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514"/>
  <workbookPr/>
  <mc:AlternateContent xmlns:mc="http://schemas.openxmlformats.org/markup-compatibility/2006">
    <mc:Choice Requires="x15">
      <x15ac:absPath xmlns:x15ac="http://schemas.microsoft.com/office/spreadsheetml/2010/11/ac" url="/Users/ted/Documents/UCSB Bren/Cook Stove/2022 final report/"/>
    </mc:Choice>
  </mc:AlternateContent>
  <xr:revisionPtr revIDLastSave="0" documentId="13_ncr:1_{6B74F392-BD9B-0D45-ABF2-DC20EE2326EA}" xr6:coauthVersionLast="47" xr6:coauthVersionMax="47" xr10:uidLastSave="{00000000-0000-0000-0000-000000000000}"/>
  <bookViews>
    <workbookView xWindow="0" yWindow="500" windowWidth="51200" windowHeight="28300" activeTab="4" xr2:uid="{00000000-000D-0000-FFFF-FFFF00000000}"/>
  </bookViews>
  <sheets>
    <sheet name="Aug-Apr, 2023" sheetId="6" r:id="rId1"/>
    <sheet name="Baseline (June to Sep)" sheetId="1" r:id="rId2"/>
    <sheet name="October to Jan, 2021 2022" sheetId="2" r:id="rId3"/>
    <sheet name="Feb to July, 2022" sheetId="3" r:id="rId4"/>
    <sheet name="Tidy Format" sheetId="4" r:id="rId5"/>
    <sheet name="Parameters" sheetId="5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902" i="4" l="1"/>
  <c r="L1903" i="4"/>
  <c r="L1904" i="4"/>
  <c r="L1905" i="4"/>
  <c r="L1906" i="4"/>
  <c r="L1907" i="4"/>
  <c r="L1908" i="4"/>
  <c r="L1909" i="4"/>
  <c r="L1910" i="4"/>
  <c r="L1911" i="4"/>
  <c r="L1912" i="4"/>
  <c r="L1913" i="4"/>
  <c r="L1914" i="4"/>
  <c r="L1915" i="4"/>
  <c r="L1916" i="4"/>
  <c r="L1917" i="4"/>
  <c r="L1918" i="4"/>
  <c r="L1919" i="4"/>
  <c r="L1920" i="4"/>
  <c r="L1921" i="4"/>
  <c r="L1922" i="4"/>
  <c r="L1923" i="4"/>
  <c r="L1924" i="4"/>
  <c r="L1925" i="4"/>
  <c r="L1926" i="4"/>
  <c r="L1927" i="4"/>
  <c r="L1928" i="4"/>
  <c r="L1929" i="4"/>
  <c r="L1930" i="4"/>
  <c r="L1931" i="4"/>
  <c r="L1932" i="4"/>
  <c r="L1933" i="4"/>
  <c r="L1934" i="4"/>
  <c r="L1935" i="4"/>
  <c r="L1936" i="4"/>
  <c r="L1937" i="4"/>
  <c r="L1938" i="4"/>
  <c r="L1939" i="4"/>
  <c r="L1940" i="4"/>
  <c r="L1941" i="4"/>
  <c r="L1942" i="4"/>
  <c r="L1943" i="4"/>
  <c r="L1944" i="4"/>
  <c r="L1945" i="4"/>
  <c r="L1946" i="4"/>
  <c r="L1947" i="4"/>
  <c r="L1948" i="4"/>
  <c r="L1949" i="4"/>
  <c r="L1950" i="4"/>
  <c r="L1951" i="4"/>
  <c r="L1952" i="4"/>
  <c r="L1953" i="4"/>
  <c r="L1954" i="4"/>
  <c r="L1955" i="4"/>
  <c r="L1956" i="4"/>
  <c r="L1957" i="4"/>
  <c r="L1958" i="4"/>
  <c r="L1959" i="4"/>
  <c r="L1960" i="4"/>
  <c r="L1961" i="4"/>
  <c r="L1962" i="4"/>
  <c r="L1963" i="4"/>
  <c r="L1964" i="4"/>
  <c r="L1965" i="4"/>
  <c r="L1966" i="4"/>
  <c r="L1967" i="4"/>
  <c r="L1968" i="4"/>
  <c r="L1969" i="4"/>
  <c r="L1970" i="4"/>
  <c r="L1971" i="4"/>
  <c r="L1972" i="4"/>
  <c r="L1973" i="4"/>
  <c r="L1974" i="4"/>
  <c r="L1975" i="4"/>
  <c r="L1976" i="4"/>
  <c r="L1977" i="4"/>
  <c r="L1978" i="4"/>
  <c r="L1979" i="4"/>
  <c r="L1980" i="4"/>
  <c r="L1981" i="4"/>
  <c r="L1982" i="4"/>
  <c r="L1983" i="4"/>
  <c r="L1984" i="4"/>
  <c r="L1985" i="4"/>
  <c r="L1986" i="4"/>
  <c r="L1987" i="4"/>
  <c r="L1988" i="4"/>
  <c r="L1989" i="4"/>
  <c r="L1990" i="4"/>
  <c r="L1991" i="4"/>
  <c r="L1992" i="4"/>
  <c r="L1993" i="4"/>
  <c r="L1994" i="4"/>
  <c r="L1995" i="4"/>
  <c r="L1996" i="4"/>
  <c r="L1997" i="4"/>
  <c r="L1998" i="4"/>
  <c r="L1999" i="4"/>
  <c r="L2000" i="4"/>
  <c r="L2001" i="4"/>
  <c r="L2002" i="4"/>
  <c r="L2003" i="4"/>
  <c r="L2004" i="4"/>
  <c r="L2005" i="4"/>
  <c r="L2006" i="4"/>
  <c r="L2007" i="4"/>
  <c r="L2008" i="4"/>
  <c r="L2009" i="4"/>
  <c r="L2010" i="4"/>
  <c r="L2011" i="4"/>
  <c r="L2012" i="4"/>
  <c r="L2013" i="4"/>
  <c r="L2014" i="4"/>
  <c r="L2015" i="4"/>
  <c r="L2016" i="4"/>
  <c r="L2017" i="4"/>
  <c r="L2018" i="4"/>
  <c r="L2019" i="4"/>
  <c r="L2020" i="4"/>
  <c r="L2021" i="4"/>
  <c r="L2022" i="4"/>
  <c r="L2023" i="4"/>
  <c r="L2024" i="4"/>
  <c r="L2025" i="4"/>
  <c r="L2026" i="4"/>
  <c r="L2027" i="4"/>
  <c r="L2028" i="4"/>
  <c r="L2029" i="4"/>
  <c r="L2030" i="4"/>
  <c r="L2031" i="4"/>
  <c r="L2032" i="4"/>
  <c r="L2033" i="4"/>
  <c r="L2034" i="4"/>
  <c r="L2035" i="4"/>
  <c r="L2036" i="4"/>
  <c r="L2037" i="4"/>
  <c r="L2038" i="4"/>
  <c r="L2039" i="4"/>
  <c r="L2040" i="4"/>
  <c r="L2041" i="4"/>
  <c r="L2042" i="4"/>
  <c r="L2043" i="4"/>
  <c r="L2044" i="4"/>
  <c r="L2045" i="4"/>
  <c r="L2046" i="4"/>
  <c r="L2047" i="4"/>
  <c r="L2048" i="4"/>
  <c r="L2049" i="4"/>
  <c r="L2050" i="4"/>
  <c r="L2051" i="4"/>
  <c r="L2052" i="4"/>
  <c r="L2053" i="4"/>
  <c r="L2054" i="4"/>
  <c r="L2055" i="4"/>
  <c r="L2056" i="4"/>
  <c r="L2057" i="4"/>
  <c r="L2058" i="4"/>
  <c r="L2059" i="4"/>
  <c r="L2060" i="4"/>
  <c r="L2061" i="4"/>
  <c r="L2062" i="4"/>
  <c r="L2063" i="4"/>
  <c r="L2064" i="4"/>
  <c r="L2065" i="4"/>
  <c r="L2066" i="4"/>
  <c r="L2067" i="4"/>
  <c r="L2068" i="4"/>
  <c r="L2069" i="4"/>
  <c r="L2070" i="4"/>
  <c r="L2071" i="4"/>
  <c r="L2072" i="4"/>
  <c r="L2073" i="4"/>
  <c r="L2074" i="4"/>
  <c r="L2075" i="4"/>
  <c r="L2076" i="4"/>
  <c r="L2077" i="4"/>
  <c r="L2078" i="4"/>
  <c r="L2079" i="4"/>
  <c r="L2080" i="4"/>
  <c r="L2081" i="4"/>
  <c r="L2082" i="4"/>
  <c r="L2083" i="4"/>
  <c r="L2084" i="4"/>
  <c r="L2085" i="4"/>
  <c r="L2086" i="4"/>
  <c r="L2087" i="4"/>
  <c r="L2088" i="4"/>
  <c r="L2089" i="4"/>
  <c r="L2090" i="4"/>
  <c r="L2091" i="4"/>
  <c r="L2092" i="4"/>
  <c r="L2093" i="4"/>
  <c r="L2094" i="4"/>
  <c r="L2095" i="4"/>
  <c r="L2096" i="4"/>
  <c r="L2097" i="4"/>
  <c r="L2098" i="4"/>
  <c r="L2099" i="4"/>
  <c r="L2100" i="4"/>
  <c r="L2101" i="4"/>
  <c r="L2102" i="4"/>
  <c r="L2103" i="4"/>
  <c r="L2104" i="4"/>
  <c r="L2105" i="4"/>
  <c r="L2106" i="4"/>
  <c r="L2107" i="4"/>
  <c r="L2108" i="4"/>
  <c r="L2109" i="4"/>
  <c r="L2110" i="4"/>
  <c r="L2111" i="4"/>
  <c r="L2112" i="4"/>
  <c r="L2113" i="4"/>
  <c r="L2114" i="4"/>
  <c r="L2115" i="4"/>
  <c r="L2116" i="4"/>
  <c r="L2117" i="4"/>
  <c r="L2118" i="4"/>
  <c r="L2119" i="4"/>
  <c r="L2120" i="4"/>
  <c r="L2121" i="4"/>
  <c r="L2122" i="4"/>
  <c r="L2123" i="4"/>
  <c r="L2124" i="4"/>
  <c r="L2125" i="4"/>
  <c r="L2126" i="4"/>
  <c r="L2127" i="4"/>
  <c r="L2128" i="4"/>
  <c r="L2129" i="4"/>
  <c r="L2130" i="4"/>
  <c r="L2131" i="4"/>
  <c r="L2132" i="4"/>
  <c r="L2133" i="4"/>
  <c r="L2134" i="4"/>
  <c r="L2135" i="4"/>
  <c r="L2136" i="4"/>
  <c r="L2137" i="4"/>
  <c r="L2138" i="4"/>
  <c r="L2139" i="4"/>
  <c r="L2140" i="4"/>
  <c r="L2141" i="4"/>
  <c r="L2142" i="4"/>
  <c r="L2143" i="4"/>
  <c r="L2144" i="4"/>
  <c r="L2145" i="4"/>
  <c r="L2146" i="4"/>
  <c r="L2147" i="4"/>
  <c r="L2148" i="4"/>
  <c r="L2149" i="4"/>
  <c r="L2150" i="4"/>
  <c r="L2151" i="4"/>
  <c r="L2152" i="4"/>
  <c r="L2153" i="4"/>
  <c r="L2154" i="4"/>
  <c r="L2155" i="4"/>
  <c r="L2156" i="4"/>
  <c r="L2157" i="4"/>
  <c r="L2158" i="4"/>
  <c r="L2159" i="4"/>
  <c r="L2160" i="4"/>
  <c r="L2161" i="4"/>
  <c r="L2162" i="4"/>
  <c r="L2163" i="4"/>
  <c r="L2164" i="4"/>
  <c r="L2165" i="4"/>
  <c r="L2166" i="4"/>
  <c r="L2167" i="4"/>
  <c r="L2168" i="4"/>
  <c r="L2169" i="4"/>
  <c r="L2170" i="4"/>
  <c r="L2171" i="4"/>
  <c r="L2172" i="4"/>
  <c r="L2173" i="4"/>
  <c r="L2174" i="4"/>
  <c r="L2175" i="4"/>
  <c r="L2176" i="4"/>
  <c r="L2177" i="4"/>
  <c r="L2178" i="4"/>
  <c r="L2179" i="4"/>
  <c r="L2180" i="4"/>
  <c r="L2181" i="4"/>
  <c r="L2182" i="4"/>
  <c r="L2183" i="4"/>
  <c r="L2184" i="4"/>
  <c r="L2185" i="4"/>
  <c r="L2186" i="4"/>
  <c r="L2187" i="4"/>
  <c r="L2188" i="4"/>
  <c r="L2189" i="4"/>
  <c r="L2190" i="4"/>
  <c r="L2191" i="4"/>
  <c r="L2192" i="4"/>
  <c r="L2193" i="4"/>
  <c r="L2194" i="4"/>
  <c r="L2195" i="4"/>
  <c r="L2196" i="4"/>
  <c r="L2197" i="4"/>
  <c r="L2198" i="4"/>
  <c r="L2199" i="4"/>
  <c r="L2200" i="4"/>
  <c r="L2201" i="4"/>
  <c r="L2202" i="4"/>
  <c r="L2203" i="4"/>
  <c r="L2204" i="4"/>
  <c r="L2205" i="4"/>
  <c r="L2206" i="4"/>
  <c r="L2207" i="4"/>
  <c r="L2208" i="4"/>
  <c r="L2209" i="4"/>
  <c r="L2210" i="4"/>
  <c r="L2211" i="4"/>
  <c r="L2212" i="4"/>
  <c r="L2213" i="4"/>
  <c r="L2214" i="4"/>
  <c r="L2215" i="4"/>
  <c r="L2216" i="4"/>
  <c r="L2217" i="4"/>
  <c r="L2218" i="4"/>
  <c r="L2219" i="4"/>
  <c r="L2220" i="4"/>
  <c r="L2221" i="4"/>
  <c r="L2222" i="4"/>
  <c r="L2223" i="4"/>
  <c r="L2224" i="4"/>
  <c r="L2225" i="4"/>
  <c r="L2226" i="4"/>
  <c r="L2227" i="4"/>
  <c r="L2228" i="4"/>
  <c r="L2229" i="4"/>
  <c r="L2230" i="4"/>
  <c r="L2231" i="4"/>
  <c r="L2232" i="4"/>
  <c r="L2233" i="4"/>
  <c r="L2234" i="4"/>
  <c r="L2235" i="4"/>
  <c r="L2236" i="4"/>
  <c r="L2237" i="4"/>
  <c r="L2238" i="4"/>
  <c r="L2239" i="4"/>
  <c r="L2240" i="4"/>
  <c r="L2241" i="4"/>
  <c r="L2242" i="4"/>
  <c r="L2243" i="4"/>
  <c r="L2244" i="4"/>
  <c r="L2245" i="4"/>
  <c r="L2246" i="4"/>
  <c r="L2247" i="4"/>
  <c r="L2248" i="4"/>
  <c r="L2249" i="4"/>
  <c r="L2250" i="4"/>
  <c r="L2251" i="4"/>
  <c r="L2252" i="4"/>
  <c r="L2253" i="4"/>
  <c r="L2254" i="4"/>
  <c r="L2255" i="4"/>
  <c r="L2256" i="4"/>
  <c r="L2257" i="4"/>
  <c r="L2258" i="4"/>
  <c r="L2259" i="4"/>
  <c r="L2260" i="4"/>
  <c r="L2261" i="4"/>
  <c r="L2262" i="4"/>
  <c r="L2263" i="4"/>
  <c r="L2264" i="4"/>
  <c r="L2265" i="4"/>
  <c r="L2266" i="4"/>
  <c r="L2267" i="4"/>
  <c r="L2268" i="4"/>
  <c r="L2269" i="4"/>
  <c r="L2270" i="4"/>
  <c r="L2271" i="4"/>
  <c r="L2272" i="4"/>
  <c r="L2273" i="4"/>
  <c r="L2274" i="4"/>
  <c r="L2275" i="4"/>
  <c r="L2276" i="4"/>
  <c r="L2277" i="4"/>
  <c r="L2278" i="4"/>
  <c r="L2279" i="4"/>
  <c r="L2280" i="4"/>
  <c r="L2281" i="4"/>
  <c r="L2282" i="4"/>
  <c r="L2283" i="4"/>
  <c r="L2284" i="4"/>
  <c r="L2285" i="4"/>
  <c r="L2286" i="4"/>
  <c r="L2287" i="4"/>
  <c r="L2288" i="4"/>
  <c r="L2289" i="4"/>
  <c r="L2290" i="4"/>
  <c r="L2291" i="4"/>
  <c r="L2292" i="4"/>
  <c r="L2293" i="4"/>
  <c r="L2294" i="4"/>
  <c r="L2295" i="4"/>
  <c r="L2296" i="4"/>
  <c r="L2297" i="4"/>
  <c r="L2298" i="4"/>
  <c r="L2299" i="4"/>
  <c r="L2300" i="4"/>
  <c r="L2301" i="4"/>
  <c r="K1902" i="4"/>
  <c r="K1903" i="4"/>
  <c r="K1904" i="4"/>
  <c r="K1905" i="4"/>
  <c r="K1906" i="4"/>
  <c r="K1907" i="4"/>
  <c r="K1908" i="4"/>
  <c r="K1909" i="4"/>
  <c r="K1910" i="4"/>
  <c r="K1911" i="4"/>
  <c r="K1912" i="4"/>
  <c r="K1913" i="4"/>
  <c r="K1914" i="4"/>
  <c r="K1915" i="4"/>
  <c r="K1916" i="4"/>
  <c r="K1917" i="4"/>
  <c r="K1918" i="4"/>
  <c r="K1919" i="4"/>
  <c r="K1920" i="4"/>
  <c r="K1921" i="4"/>
  <c r="K1922" i="4"/>
  <c r="K1923" i="4"/>
  <c r="K1924" i="4"/>
  <c r="K1925" i="4"/>
  <c r="K1926" i="4"/>
  <c r="K1927" i="4"/>
  <c r="K1928" i="4"/>
  <c r="K1929" i="4"/>
  <c r="K1930" i="4"/>
  <c r="K1931" i="4"/>
  <c r="K1932" i="4"/>
  <c r="K1933" i="4"/>
  <c r="K1934" i="4"/>
  <c r="K1935" i="4"/>
  <c r="K1936" i="4"/>
  <c r="K1937" i="4"/>
  <c r="K1938" i="4"/>
  <c r="K1939" i="4"/>
  <c r="K1940" i="4"/>
  <c r="K1941" i="4"/>
  <c r="K1942" i="4"/>
  <c r="K1943" i="4"/>
  <c r="K1944" i="4"/>
  <c r="K1945" i="4"/>
  <c r="K1946" i="4"/>
  <c r="K1947" i="4"/>
  <c r="K1948" i="4"/>
  <c r="K1949" i="4"/>
  <c r="K1950" i="4"/>
  <c r="K1951" i="4"/>
  <c r="K1952" i="4"/>
  <c r="K1953" i="4"/>
  <c r="K1954" i="4"/>
  <c r="K1955" i="4"/>
  <c r="K1956" i="4"/>
  <c r="K1957" i="4"/>
  <c r="K1958" i="4"/>
  <c r="K1959" i="4"/>
  <c r="K1960" i="4"/>
  <c r="K1961" i="4"/>
  <c r="K1962" i="4"/>
  <c r="K1963" i="4"/>
  <c r="K1964" i="4"/>
  <c r="K1965" i="4"/>
  <c r="K1966" i="4"/>
  <c r="K1967" i="4"/>
  <c r="K1968" i="4"/>
  <c r="K1969" i="4"/>
  <c r="K1970" i="4"/>
  <c r="K1971" i="4"/>
  <c r="K1972" i="4"/>
  <c r="K1973" i="4"/>
  <c r="K1974" i="4"/>
  <c r="K1975" i="4"/>
  <c r="K1976" i="4"/>
  <c r="K1977" i="4"/>
  <c r="K1978" i="4"/>
  <c r="K1979" i="4"/>
  <c r="K1980" i="4"/>
  <c r="K1981" i="4"/>
  <c r="K1982" i="4"/>
  <c r="K1983" i="4"/>
  <c r="K1984" i="4"/>
  <c r="K1985" i="4"/>
  <c r="K1986" i="4"/>
  <c r="K1987" i="4"/>
  <c r="K1988" i="4"/>
  <c r="K1989" i="4"/>
  <c r="K1990" i="4"/>
  <c r="K1991" i="4"/>
  <c r="K1992" i="4"/>
  <c r="K1993" i="4"/>
  <c r="K1994" i="4"/>
  <c r="K1995" i="4"/>
  <c r="K1996" i="4"/>
  <c r="K1997" i="4"/>
  <c r="K1998" i="4"/>
  <c r="K1999" i="4"/>
  <c r="K2000" i="4"/>
  <c r="K2001" i="4"/>
  <c r="K2002" i="4"/>
  <c r="K2003" i="4"/>
  <c r="K2004" i="4"/>
  <c r="K2005" i="4"/>
  <c r="K2006" i="4"/>
  <c r="K2007" i="4"/>
  <c r="K2008" i="4"/>
  <c r="K2009" i="4"/>
  <c r="K2010" i="4"/>
  <c r="K2011" i="4"/>
  <c r="K2012" i="4"/>
  <c r="K2013" i="4"/>
  <c r="K2014" i="4"/>
  <c r="K2015" i="4"/>
  <c r="K2016" i="4"/>
  <c r="K2017" i="4"/>
  <c r="K2018" i="4"/>
  <c r="K2019" i="4"/>
  <c r="K2020" i="4"/>
  <c r="K2021" i="4"/>
  <c r="K2022" i="4"/>
  <c r="K2023" i="4"/>
  <c r="K2024" i="4"/>
  <c r="K2025" i="4"/>
  <c r="K2026" i="4"/>
  <c r="K2027" i="4"/>
  <c r="K2028" i="4"/>
  <c r="K2029" i="4"/>
  <c r="K2030" i="4"/>
  <c r="K2031" i="4"/>
  <c r="K2032" i="4"/>
  <c r="K2033" i="4"/>
  <c r="K2034" i="4"/>
  <c r="K2035" i="4"/>
  <c r="K2036" i="4"/>
  <c r="K2037" i="4"/>
  <c r="K2038" i="4"/>
  <c r="K2039" i="4"/>
  <c r="K2040" i="4"/>
  <c r="K2041" i="4"/>
  <c r="K2042" i="4"/>
  <c r="K2043" i="4"/>
  <c r="K2044" i="4"/>
  <c r="K2045" i="4"/>
  <c r="K2046" i="4"/>
  <c r="K2047" i="4"/>
  <c r="K2048" i="4"/>
  <c r="K2049" i="4"/>
  <c r="K2050" i="4"/>
  <c r="K2051" i="4"/>
  <c r="K2052" i="4"/>
  <c r="K2053" i="4"/>
  <c r="K2054" i="4"/>
  <c r="K2055" i="4"/>
  <c r="K2056" i="4"/>
  <c r="K2057" i="4"/>
  <c r="K2058" i="4"/>
  <c r="K2059" i="4"/>
  <c r="K2060" i="4"/>
  <c r="K2061" i="4"/>
  <c r="K2062" i="4"/>
  <c r="K2063" i="4"/>
  <c r="K2064" i="4"/>
  <c r="K2065" i="4"/>
  <c r="K2066" i="4"/>
  <c r="K2067" i="4"/>
  <c r="K2068" i="4"/>
  <c r="K2069" i="4"/>
  <c r="K2070" i="4"/>
  <c r="K2071" i="4"/>
  <c r="K2072" i="4"/>
  <c r="K2073" i="4"/>
  <c r="K2074" i="4"/>
  <c r="K2075" i="4"/>
  <c r="K2076" i="4"/>
  <c r="K2077" i="4"/>
  <c r="K2078" i="4"/>
  <c r="K2079" i="4"/>
  <c r="K2080" i="4"/>
  <c r="K2081" i="4"/>
  <c r="K2082" i="4"/>
  <c r="K2083" i="4"/>
  <c r="K2084" i="4"/>
  <c r="K2085" i="4"/>
  <c r="K2086" i="4"/>
  <c r="K2087" i="4"/>
  <c r="K2088" i="4"/>
  <c r="K2089" i="4"/>
  <c r="K2090" i="4"/>
  <c r="K2091" i="4"/>
  <c r="K2092" i="4"/>
  <c r="K2093" i="4"/>
  <c r="K2094" i="4"/>
  <c r="K2095" i="4"/>
  <c r="K2096" i="4"/>
  <c r="K2097" i="4"/>
  <c r="K2098" i="4"/>
  <c r="K2099" i="4"/>
  <c r="K2100" i="4"/>
  <c r="K2101" i="4"/>
  <c r="K2102" i="4"/>
  <c r="K2103" i="4"/>
  <c r="K2104" i="4"/>
  <c r="K2105" i="4"/>
  <c r="K2106" i="4"/>
  <c r="K2107" i="4"/>
  <c r="K2108" i="4"/>
  <c r="K2109" i="4"/>
  <c r="K2110" i="4"/>
  <c r="K2111" i="4"/>
  <c r="K2112" i="4"/>
  <c r="K2113" i="4"/>
  <c r="K2114" i="4"/>
  <c r="K2115" i="4"/>
  <c r="K2116" i="4"/>
  <c r="K2117" i="4"/>
  <c r="K2118" i="4"/>
  <c r="K2119" i="4"/>
  <c r="K2120" i="4"/>
  <c r="K2121" i="4"/>
  <c r="K2122" i="4"/>
  <c r="K2123" i="4"/>
  <c r="K2124" i="4"/>
  <c r="K2125" i="4"/>
  <c r="K2126" i="4"/>
  <c r="K2127" i="4"/>
  <c r="K2128" i="4"/>
  <c r="K2129" i="4"/>
  <c r="K2130" i="4"/>
  <c r="K2131" i="4"/>
  <c r="K2132" i="4"/>
  <c r="K2133" i="4"/>
  <c r="K2134" i="4"/>
  <c r="K2135" i="4"/>
  <c r="K2136" i="4"/>
  <c r="K2137" i="4"/>
  <c r="K2138" i="4"/>
  <c r="K2139" i="4"/>
  <c r="K2140" i="4"/>
  <c r="K2141" i="4"/>
  <c r="K2142" i="4"/>
  <c r="K2143" i="4"/>
  <c r="K2144" i="4"/>
  <c r="K2145" i="4"/>
  <c r="K2146" i="4"/>
  <c r="K2147" i="4"/>
  <c r="K2148" i="4"/>
  <c r="K2149" i="4"/>
  <c r="K2150" i="4"/>
  <c r="K2151" i="4"/>
  <c r="K2152" i="4"/>
  <c r="K2153" i="4"/>
  <c r="K2154" i="4"/>
  <c r="K2155" i="4"/>
  <c r="K2156" i="4"/>
  <c r="K2157" i="4"/>
  <c r="K2158" i="4"/>
  <c r="K2159" i="4"/>
  <c r="K2160" i="4"/>
  <c r="K2161" i="4"/>
  <c r="K2162" i="4"/>
  <c r="K2163" i="4"/>
  <c r="K2164" i="4"/>
  <c r="K2165" i="4"/>
  <c r="K2166" i="4"/>
  <c r="K2167" i="4"/>
  <c r="K2168" i="4"/>
  <c r="K2169" i="4"/>
  <c r="K2170" i="4"/>
  <c r="K2171" i="4"/>
  <c r="K2172" i="4"/>
  <c r="K2173" i="4"/>
  <c r="K2174" i="4"/>
  <c r="K2175" i="4"/>
  <c r="K2176" i="4"/>
  <c r="K2177" i="4"/>
  <c r="K2178" i="4"/>
  <c r="K2179" i="4"/>
  <c r="K2180" i="4"/>
  <c r="K2181" i="4"/>
  <c r="K2182" i="4"/>
  <c r="K2183" i="4"/>
  <c r="K2184" i="4"/>
  <c r="K2185" i="4"/>
  <c r="K2186" i="4"/>
  <c r="K2187" i="4"/>
  <c r="K2188" i="4"/>
  <c r="K2189" i="4"/>
  <c r="K2190" i="4"/>
  <c r="K2191" i="4"/>
  <c r="K2192" i="4"/>
  <c r="K2193" i="4"/>
  <c r="K2194" i="4"/>
  <c r="K2195" i="4"/>
  <c r="K2196" i="4"/>
  <c r="K2197" i="4"/>
  <c r="K2198" i="4"/>
  <c r="K2199" i="4"/>
  <c r="K2200" i="4"/>
  <c r="K2201" i="4"/>
  <c r="K2202" i="4"/>
  <c r="K2203" i="4"/>
  <c r="K2204" i="4"/>
  <c r="K2205" i="4"/>
  <c r="K2206" i="4"/>
  <c r="K2207" i="4"/>
  <c r="K2208" i="4"/>
  <c r="K2209" i="4"/>
  <c r="K2210" i="4"/>
  <c r="K2211" i="4"/>
  <c r="K2212" i="4"/>
  <c r="K2213" i="4"/>
  <c r="K2214" i="4"/>
  <c r="K2215" i="4"/>
  <c r="K2216" i="4"/>
  <c r="K2217" i="4"/>
  <c r="K2218" i="4"/>
  <c r="K2219" i="4"/>
  <c r="K2220" i="4"/>
  <c r="K2221" i="4"/>
  <c r="K2222" i="4"/>
  <c r="K2223" i="4"/>
  <c r="K2224" i="4"/>
  <c r="K2225" i="4"/>
  <c r="K2226" i="4"/>
  <c r="K2227" i="4"/>
  <c r="K2228" i="4"/>
  <c r="K2229" i="4"/>
  <c r="K2230" i="4"/>
  <c r="K2231" i="4"/>
  <c r="K2232" i="4"/>
  <c r="K2233" i="4"/>
  <c r="K2234" i="4"/>
  <c r="K2235" i="4"/>
  <c r="K2236" i="4"/>
  <c r="K2237" i="4"/>
  <c r="K2238" i="4"/>
  <c r="K2239" i="4"/>
  <c r="K2240" i="4"/>
  <c r="K2241" i="4"/>
  <c r="K2242" i="4"/>
  <c r="K2243" i="4"/>
  <c r="K2244" i="4"/>
  <c r="K2245" i="4"/>
  <c r="K2246" i="4"/>
  <c r="K2247" i="4"/>
  <c r="K2248" i="4"/>
  <c r="K2249" i="4"/>
  <c r="K2250" i="4"/>
  <c r="K2251" i="4"/>
  <c r="K2252" i="4"/>
  <c r="K2253" i="4"/>
  <c r="K2254" i="4"/>
  <c r="K2255" i="4"/>
  <c r="K2256" i="4"/>
  <c r="K2257" i="4"/>
  <c r="K2258" i="4"/>
  <c r="K2259" i="4"/>
  <c r="K2260" i="4"/>
  <c r="K2261" i="4"/>
  <c r="K2262" i="4"/>
  <c r="K2263" i="4"/>
  <c r="K2264" i="4"/>
  <c r="K2265" i="4"/>
  <c r="K2266" i="4"/>
  <c r="K2267" i="4"/>
  <c r="K2268" i="4"/>
  <c r="K2269" i="4"/>
  <c r="K2270" i="4"/>
  <c r="K2271" i="4"/>
  <c r="K2272" i="4"/>
  <c r="K2273" i="4"/>
  <c r="K2274" i="4"/>
  <c r="K2275" i="4"/>
  <c r="K2276" i="4"/>
  <c r="K2277" i="4"/>
  <c r="K2278" i="4"/>
  <c r="K2279" i="4"/>
  <c r="K2280" i="4"/>
  <c r="K2281" i="4"/>
  <c r="K2282" i="4"/>
  <c r="K2283" i="4"/>
  <c r="K2284" i="4"/>
  <c r="K2285" i="4"/>
  <c r="K2286" i="4"/>
  <c r="K2287" i="4"/>
  <c r="K2288" i="4"/>
  <c r="K2289" i="4"/>
  <c r="K2290" i="4"/>
  <c r="K2291" i="4"/>
  <c r="K2292" i="4"/>
  <c r="K2293" i="4"/>
  <c r="K2294" i="4"/>
  <c r="K2295" i="4"/>
  <c r="K2296" i="4"/>
  <c r="K2297" i="4"/>
  <c r="K2298" i="4"/>
  <c r="K2299" i="4"/>
  <c r="K2300" i="4"/>
  <c r="K2301" i="4"/>
  <c r="J1902" i="4"/>
  <c r="M1902" i="4" s="1"/>
  <c r="J1903" i="4"/>
  <c r="M1903" i="4" s="1"/>
  <c r="J1904" i="4"/>
  <c r="M1904" i="4" s="1"/>
  <c r="J1905" i="4"/>
  <c r="M1905" i="4" s="1"/>
  <c r="J1906" i="4"/>
  <c r="M1906" i="4" s="1"/>
  <c r="J1907" i="4"/>
  <c r="M1907" i="4" s="1"/>
  <c r="J1908" i="4"/>
  <c r="M1908" i="4" s="1"/>
  <c r="J1909" i="4"/>
  <c r="M1909" i="4" s="1"/>
  <c r="J1910" i="4"/>
  <c r="M1910" i="4" s="1"/>
  <c r="J1911" i="4"/>
  <c r="M1911" i="4" s="1"/>
  <c r="J1912" i="4"/>
  <c r="M1912" i="4" s="1"/>
  <c r="J1913" i="4"/>
  <c r="M1913" i="4" s="1"/>
  <c r="J1914" i="4"/>
  <c r="M1914" i="4" s="1"/>
  <c r="J1915" i="4"/>
  <c r="M1915" i="4" s="1"/>
  <c r="J1916" i="4"/>
  <c r="J1917" i="4"/>
  <c r="J1918" i="4"/>
  <c r="M1918" i="4" s="1"/>
  <c r="J1919" i="4"/>
  <c r="M1919" i="4" s="1"/>
  <c r="J1920" i="4"/>
  <c r="M1920" i="4" s="1"/>
  <c r="J1921" i="4"/>
  <c r="M1921" i="4" s="1"/>
  <c r="J1922" i="4"/>
  <c r="M1922" i="4" s="1"/>
  <c r="J1923" i="4"/>
  <c r="M1923" i="4" s="1"/>
  <c r="J1924" i="4"/>
  <c r="J1925" i="4"/>
  <c r="M1925" i="4" s="1"/>
  <c r="J1926" i="4"/>
  <c r="M1926" i="4" s="1"/>
  <c r="J1927" i="4"/>
  <c r="M1927" i="4" s="1"/>
  <c r="J1928" i="4"/>
  <c r="M1928" i="4" s="1"/>
  <c r="J1929" i="4"/>
  <c r="M1929" i="4" s="1"/>
  <c r="J1930" i="4"/>
  <c r="M1930" i="4" s="1"/>
  <c r="J1931" i="4"/>
  <c r="M1931" i="4" s="1"/>
  <c r="J1932" i="4"/>
  <c r="J1933" i="4"/>
  <c r="M1933" i="4" s="1"/>
  <c r="J1934" i="4"/>
  <c r="M1934" i="4" s="1"/>
  <c r="J1935" i="4"/>
  <c r="M1935" i="4" s="1"/>
  <c r="J1936" i="4"/>
  <c r="M1936" i="4" s="1"/>
  <c r="J1937" i="4"/>
  <c r="M1937" i="4" s="1"/>
  <c r="J1938" i="4"/>
  <c r="M1938" i="4" s="1"/>
  <c r="J1939" i="4"/>
  <c r="M1939" i="4" s="1"/>
  <c r="J1940" i="4"/>
  <c r="M1940" i="4" s="1"/>
  <c r="J1941" i="4"/>
  <c r="M1941" i="4" s="1"/>
  <c r="J1942" i="4"/>
  <c r="M1942" i="4" s="1"/>
  <c r="J1943" i="4"/>
  <c r="M1943" i="4" s="1"/>
  <c r="J1944" i="4"/>
  <c r="M1944" i="4" s="1"/>
  <c r="J1945" i="4"/>
  <c r="M1945" i="4" s="1"/>
  <c r="J1946" i="4"/>
  <c r="M1946" i="4" s="1"/>
  <c r="J1947" i="4"/>
  <c r="M1947" i="4" s="1"/>
  <c r="J1948" i="4"/>
  <c r="M1948" i="4" s="1"/>
  <c r="J1949" i="4"/>
  <c r="M1949" i="4" s="1"/>
  <c r="J1950" i="4"/>
  <c r="M1950" i="4" s="1"/>
  <c r="J1951" i="4"/>
  <c r="M1951" i="4" s="1"/>
  <c r="J1952" i="4"/>
  <c r="M1952" i="4" s="1"/>
  <c r="J1953" i="4"/>
  <c r="M1953" i="4" s="1"/>
  <c r="J1954" i="4"/>
  <c r="M1954" i="4" s="1"/>
  <c r="J1955" i="4"/>
  <c r="M1955" i="4" s="1"/>
  <c r="J1956" i="4"/>
  <c r="M1956" i="4" s="1"/>
  <c r="J1957" i="4"/>
  <c r="M1957" i="4" s="1"/>
  <c r="J1958" i="4"/>
  <c r="M1958" i="4" s="1"/>
  <c r="J1959" i="4"/>
  <c r="M1959" i="4" s="1"/>
  <c r="J1960" i="4"/>
  <c r="M1960" i="4" s="1"/>
  <c r="J1961" i="4"/>
  <c r="M1961" i="4" s="1"/>
  <c r="J1962" i="4"/>
  <c r="M1962" i="4" s="1"/>
  <c r="J1963" i="4"/>
  <c r="M1963" i="4" s="1"/>
  <c r="J1964" i="4"/>
  <c r="M1964" i="4" s="1"/>
  <c r="J1965" i="4"/>
  <c r="M1965" i="4" s="1"/>
  <c r="J1966" i="4"/>
  <c r="M1966" i="4" s="1"/>
  <c r="J1967" i="4"/>
  <c r="M1967" i="4" s="1"/>
  <c r="J1968" i="4"/>
  <c r="M1968" i="4" s="1"/>
  <c r="J1969" i="4"/>
  <c r="M1969" i="4" s="1"/>
  <c r="J1970" i="4"/>
  <c r="M1970" i="4" s="1"/>
  <c r="J1971" i="4"/>
  <c r="M1971" i="4" s="1"/>
  <c r="J1972" i="4"/>
  <c r="M1972" i="4" s="1"/>
  <c r="J1973" i="4"/>
  <c r="M1973" i="4" s="1"/>
  <c r="J1974" i="4"/>
  <c r="M1974" i="4" s="1"/>
  <c r="J1975" i="4"/>
  <c r="M1975" i="4" s="1"/>
  <c r="J1976" i="4"/>
  <c r="M1976" i="4" s="1"/>
  <c r="J1977" i="4"/>
  <c r="M1977" i="4" s="1"/>
  <c r="J1978" i="4"/>
  <c r="M1978" i="4" s="1"/>
  <c r="J1979" i="4"/>
  <c r="M1979" i="4" s="1"/>
  <c r="J1980" i="4"/>
  <c r="M1980" i="4" s="1"/>
  <c r="J1981" i="4"/>
  <c r="M1981" i="4" s="1"/>
  <c r="J1982" i="4"/>
  <c r="M1982" i="4" s="1"/>
  <c r="J1983" i="4"/>
  <c r="M1983" i="4" s="1"/>
  <c r="J1984" i="4"/>
  <c r="M1984" i="4" s="1"/>
  <c r="J1985" i="4"/>
  <c r="M1985" i="4" s="1"/>
  <c r="J1986" i="4"/>
  <c r="M1986" i="4" s="1"/>
  <c r="J1987" i="4"/>
  <c r="M1987" i="4" s="1"/>
  <c r="J1988" i="4"/>
  <c r="M1988" i="4" s="1"/>
  <c r="J1989" i="4"/>
  <c r="M1989" i="4" s="1"/>
  <c r="J1990" i="4"/>
  <c r="M1990" i="4" s="1"/>
  <c r="J1991" i="4"/>
  <c r="M1991" i="4" s="1"/>
  <c r="J1992" i="4"/>
  <c r="M1992" i="4" s="1"/>
  <c r="J1993" i="4"/>
  <c r="M1993" i="4" s="1"/>
  <c r="J1994" i="4"/>
  <c r="M1994" i="4" s="1"/>
  <c r="J1995" i="4"/>
  <c r="M1995" i="4" s="1"/>
  <c r="J1996" i="4"/>
  <c r="M1996" i="4" s="1"/>
  <c r="J1997" i="4"/>
  <c r="M1997" i="4" s="1"/>
  <c r="J1998" i="4"/>
  <c r="M1998" i="4" s="1"/>
  <c r="J1999" i="4"/>
  <c r="M1999" i="4" s="1"/>
  <c r="J2000" i="4"/>
  <c r="M2000" i="4" s="1"/>
  <c r="J2001" i="4"/>
  <c r="M2001" i="4" s="1"/>
  <c r="J2002" i="4"/>
  <c r="M2002" i="4" s="1"/>
  <c r="J2003" i="4"/>
  <c r="M2003" i="4" s="1"/>
  <c r="J2004" i="4"/>
  <c r="M2004" i="4" s="1"/>
  <c r="J2005" i="4"/>
  <c r="M2005" i="4" s="1"/>
  <c r="J2006" i="4"/>
  <c r="M2006" i="4" s="1"/>
  <c r="J2007" i="4"/>
  <c r="M2007" i="4" s="1"/>
  <c r="J2008" i="4"/>
  <c r="M2008" i="4" s="1"/>
  <c r="J2009" i="4"/>
  <c r="M2009" i="4" s="1"/>
  <c r="J2010" i="4"/>
  <c r="M2010" i="4" s="1"/>
  <c r="J2011" i="4"/>
  <c r="M2011" i="4" s="1"/>
  <c r="J2012" i="4"/>
  <c r="M2012" i="4" s="1"/>
  <c r="J2013" i="4"/>
  <c r="M2013" i="4" s="1"/>
  <c r="J2014" i="4"/>
  <c r="M2014" i="4" s="1"/>
  <c r="J2015" i="4"/>
  <c r="M2015" i="4" s="1"/>
  <c r="J2016" i="4"/>
  <c r="M2016" i="4" s="1"/>
  <c r="J2017" i="4"/>
  <c r="M2017" i="4" s="1"/>
  <c r="J2018" i="4"/>
  <c r="M2018" i="4" s="1"/>
  <c r="J2019" i="4"/>
  <c r="M2019" i="4" s="1"/>
  <c r="J2020" i="4"/>
  <c r="M2020" i="4" s="1"/>
  <c r="J2021" i="4"/>
  <c r="M2021" i="4" s="1"/>
  <c r="J2022" i="4"/>
  <c r="M2022" i="4" s="1"/>
  <c r="J2023" i="4"/>
  <c r="M2023" i="4" s="1"/>
  <c r="J2024" i="4"/>
  <c r="M2024" i="4" s="1"/>
  <c r="J2025" i="4"/>
  <c r="M2025" i="4" s="1"/>
  <c r="J2026" i="4"/>
  <c r="M2026" i="4" s="1"/>
  <c r="J2027" i="4"/>
  <c r="M2027" i="4" s="1"/>
  <c r="J2028" i="4"/>
  <c r="M2028" i="4" s="1"/>
  <c r="J2029" i="4"/>
  <c r="M2029" i="4" s="1"/>
  <c r="J2030" i="4"/>
  <c r="M2030" i="4" s="1"/>
  <c r="J2031" i="4"/>
  <c r="M2031" i="4" s="1"/>
  <c r="J2032" i="4"/>
  <c r="M2032" i="4" s="1"/>
  <c r="J2033" i="4"/>
  <c r="M2033" i="4" s="1"/>
  <c r="J2034" i="4"/>
  <c r="M2034" i="4" s="1"/>
  <c r="J2035" i="4"/>
  <c r="M2035" i="4" s="1"/>
  <c r="J2036" i="4"/>
  <c r="M2036" i="4" s="1"/>
  <c r="J2037" i="4"/>
  <c r="M2037" i="4" s="1"/>
  <c r="J2038" i="4"/>
  <c r="M2038" i="4" s="1"/>
  <c r="J2039" i="4"/>
  <c r="M2039" i="4" s="1"/>
  <c r="J2040" i="4"/>
  <c r="M2040" i="4" s="1"/>
  <c r="J2041" i="4"/>
  <c r="M2041" i="4" s="1"/>
  <c r="J2042" i="4"/>
  <c r="M2042" i="4" s="1"/>
  <c r="J2043" i="4"/>
  <c r="M2043" i="4" s="1"/>
  <c r="J2044" i="4"/>
  <c r="M2044" i="4" s="1"/>
  <c r="J2045" i="4"/>
  <c r="M2045" i="4" s="1"/>
  <c r="J2046" i="4"/>
  <c r="M2046" i="4" s="1"/>
  <c r="J2047" i="4"/>
  <c r="M2047" i="4" s="1"/>
  <c r="J2048" i="4"/>
  <c r="M2048" i="4" s="1"/>
  <c r="J2049" i="4"/>
  <c r="M2049" i="4" s="1"/>
  <c r="J2050" i="4"/>
  <c r="M2050" i="4" s="1"/>
  <c r="J2051" i="4"/>
  <c r="M2051" i="4" s="1"/>
  <c r="J2052" i="4"/>
  <c r="M2052" i="4" s="1"/>
  <c r="J2053" i="4"/>
  <c r="M2053" i="4" s="1"/>
  <c r="J2054" i="4"/>
  <c r="M2054" i="4" s="1"/>
  <c r="J2055" i="4"/>
  <c r="M2055" i="4" s="1"/>
  <c r="J2056" i="4"/>
  <c r="M2056" i="4" s="1"/>
  <c r="J2057" i="4"/>
  <c r="M2057" i="4" s="1"/>
  <c r="J2058" i="4"/>
  <c r="M2058" i="4" s="1"/>
  <c r="J2059" i="4"/>
  <c r="M2059" i="4" s="1"/>
  <c r="J2060" i="4"/>
  <c r="M2060" i="4" s="1"/>
  <c r="J2061" i="4"/>
  <c r="M2061" i="4" s="1"/>
  <c r="J2062" i="4"/>
  <c r="M2062" i="4" s="1"/>
  <c r="J2063" i="4"/>
  <c r="M2063" i="4" s="1"/>
  <c r="J2064" i="4"/>
  <c r="M2064" i="4" s="1"/>
  <c r="J2065" i="4"/>
  <c r="M2065" i="4" s="1"/>
  <c r="J2066" i="4"/>
  <c r="M2066" i="4" s="1"/>
  <c r="J2067" i="4"/>
  <c r="M2067" i="4" s="1"/>
  <c r="J2068" i="4"/>
  <c r="M2068" i="4" s="1"/>
  <c r="J2069" i="4"/>
  <c r="M2069" i="4" s="1"/>
  <c r="J2070" i="4"/>
  <c r="M2070" i="4" s="1"/>
  <c r="J2071" i="4"/>
  <c r="M2071" i="4" s="1"/>
  <c r="J2072" i="4"/>
  <c r="M2072" i="4" s="1"/>
  <c r="J2073" i="4"/>
  <c r="M2073" i="4" s="1"/>
  <c r="J2074" i="4"/>
  <c r="M2074" i="4" s="1"/>
  <c r="J2075" i="4"/>
  <c r="M2075" i="4" s="1"/>
  <c r="J2076" i="4"/>
  <c r="M2076" i="4" s="1"/>
  <c r="J2077" i="4"/>
  <c r="M2077" i="4" s="1"/>
  <c r="J2078" i="4"/>
  <c r="M2078" i="4" s="1"/>
  <c r="J2079" i="4"/>
  <c r="M2079" i="4" s="1"/>
  <c r="J2080" i="4"/>
  <c r="M2080" i="4" s="1"/>
  <c r="J2081" i="4"/>
  <c r="M2081" i="4" s="1"/>
  <c r="J2082" i="4"/>
  <c r="M2082" i="4" s="1"/>
  <c r="J2083" i="4"/>
  <c r="M2083" i="4" s="1"/>
  <c r="J2084" i="4"/>
  <c r="M2084" i="4" s="1"/>
  <c r="J2085" i="4"/>
  <c r="M2085" i="4" s="1"/>
  <c r="J2086" i="4"/>
  <c r="M2086" i="4" s="1"/>
  <c r="J2087" i="4"/>
  <c r="M2087" i="4" s="1"/>
  <c r="J2088" i="4"/>
  <c r="M2088" i="4" s="1"/>
  <c r="J2089" i="4"/>
  <c r="M2089" i="4" s="1"/>
  <c r="J2090" i="4"/>
  <c r="M2090" i="4" s="1"/>
  <c r="J2091" i="4"/>
  <c r="M2091" i="4" s="1"/>
  <c r="J2092" i="4"/>
  <c r="M2092" i="4" s="1"/>
  <c r="J2093" i="4"/>
  <c r="M2093" i="4" s="1"/>
  <c r="J2094" i="4"/>
  <c r="M2094" i="4" s="1"/>
  <c r="J2095" i="4"/>
  <c r="M2095" i="4" s="1"/>
  <c r="J2096" i="4"/>
  <c r="M2096" i="4" s="1"/>
  <c r="J2097" i="4"/>
  <c r="M2097" i="4" s="1"/>
  <c r="J2098" i="4"/>
  <c r="M2098" i="4" s="1"/>
  <c r="J2099" i="4"/>
  <c r="M2099" i="4" s="1"/>
  <c r="J2100" i="4"/>
  <c r="M2100" i="4" s="1"/>
  <c r="J2101" i="4"/>
  <c r="M2101" i="4" s="1"/>
  <c r="J2102" i="4"/>
  <c r="M2102" i="4" s="1"/>
  <c r="J2103" i="4"/>
  <c r="M2103" i="4" s="1"/>
  <c r="J2104" i="4"/>
  <c r="M2104" i="4" s="1"/>
  <c r="J2105" i="4"/>
  <c r="M2105" i="4" s="1"/>
  <c r="J2106" i="4"/>
  <c r="M2106" i="4" s="1"/>
  <c r="J2107" i="4"/>
  <c r="M2107" i="4" s="1"/>
  <c r="J2108" i="4"/>
  <c r="M2108" i="4" s="1"/>
  <c r="J2109" i="4"/>
  <c r="M2109" i="4" s="1"/>
  <c r="J2110" i="4"/>
  <c r="M2110" i="4" s="1"/>
  <c r="J2111" i="4"/>
  <c r="M2111" i="4" s="1"/>
  <c r="J2112" i="4"/>
  <c r="M2112" i="4" s="1"/>
  <c r="J2113" i="4"/>
  <c r="M2113" i="4" s="1"/>
  <c r="J2114" i="4"/>
  <c r="M2114" i="4" s="1"/>
  <c r="J2115" i="4"/>
  <c r="M2115" i="4" s="1"/>
  <c r="J2116" i="4"/>
  <c r="M2116" i="4" s="1"/>
  <c r="J2117" i="4"/>
  <c r="M2117" i="4" s="1"/>
  <c r="J2118" i="4"/>
  <c r="M2118" i="4" s="1"/>
  <c r="J2119" i="4"/>
  <c r="M2119" i="4" s="1"/>
  <c r="J2120" i="4"/>
  <c r="M2120" i="4" s="1"/>
  <c r="J2121" i="4"/>
  <c r="M2121" i="4" s="1"/>
  <c r="J2122" i="4"/>
  <c r="M2122" i="4" s="1"/>
  <c r="J2123" i="4"/>
  <c r="M2123" i="4" s="1"/>
  <c r="J2124" i="4"/>
  <c r="M2124" i="4" s="1"/>
  <c r="J2125" i="4"/>
  <c r="M2125" i="4" s="1"/>
  <c r="J2126" i="4"/>
  <c r="M2126" i="4" s="1"/>
  <c r="J2127" i="4"/>
  <c r="M2127" i="4" s="1"/>
  <c r="J2128" i="4"/>
  <c r="M2128" i="4" s="1"/>
  <c r="J2129" i="4"/>
  <c r="M2129" i="4" s="1"/>
  <c r="J2130" i="4"/>
  <c r="M2130" i="4" s="1"/>
  <c r="J2131" i="4"/>
  <c r="M2131" i="4" s="1"/>
  <c r="J2132" i="4"/>
  <c r="M2132" i="4" s="1"/>
  <c r="J2133" i="4"/>
  <c r="M2133" i="4" s="1"/>
  <c r="J2134" i="4"/>
  <c r="M2134" i="4" s="1"/>
  <c r="J2135" i="4"/>
  <c r="M2135" i="4" s="1"/>
  <c r="J2136" i="4"/>
  <c r="M2136" i="4" s="1"/>
  <c r="J2137" i="4"/>
  <c r="M2137" i="4" s="1"/>
  <c r="J2138" i="4"/>
  <c r="M2138" i="4" s="1"/>
  <c r="J2139" i="4"/>
  <c r="M2139" i="4" s="1"/>
  <c r="J2140" i="4"/>
  <c r="M2140" i="4" s="1"/>
  <c r="J2141" i="4"/>
  <c r="M2141" i="4" s="1"/>
  <c r="J2142" i="4"/>
  <c r="M2142" i="4" s="1"/>
  <c r="J2143" i="4"/>
  <c r="M2143" i="4" s="1"/>
  <c r="J2144" i="4"/>
  <c r="M2144" i="4" s="1"/>
  <c r="J2145" i="4"/>
  <c r="M2145" i="4" s="1"/>
  <c r="J2146" i="4"/>
  <c r="M2146" i="4" s="1"/>
  <c r="J2147" i="4"/>
  <c r="M2147" i="4" s="1"/>
  <c r="J2148" i="4"/>
  <c r="M2148" i="4" s="1"/>
  <c r="J2149" i="4"/>
  <c r="M2149" i="4" s="1"/>
  <c r="J2150" i="4"/>
  <c r="M2150" i="4" s="1"/>
  <c r="J2151" i="4"/>
  <c r="M2151" i="4" s="1"/>
  <c r="J2152" i="4"/>
  <c r="M2152" i="4" s="1"/>
  <c r="J2153" i="4"/>
  <c r="M2153" i="4" s="1"/>
  <c r="J2154" i="4"/>
  <c r="M2154" i="4" s="1"/>
  <c r="J2155" i="4"/>
  <c r="M2155" i="4" s="1"/>
  <c r="J2156" i="4"/>
  <c r="M2156" i="4" s="1"/>
  <c r="J2157" i="4"/>
  <c r="M2157" i="4" s="1"/>
  <c r="J2158" i="4"/>
  <c r="M2158" i="4" s="1"/>
  <c r="J2159" i="4"/>
  <c r="M2159" i="4" s="1"/>
  <c r="J2160" i="4"/>
  <c r="M2160" i="4" s="1"/>
  <c r="J2161" i="4"/>
  <c r="M2161" i="4" s="1"/>
  <c r="J2162" i="4"/>
  <c r="M2162" i="4" s="1"/>
  <c r="J2163" i="4"/>
  <c r="M2163" i="4" s="1"/>
  <c r="J2164" i="4"/>
  <c r="M2164" i="4" s="1"/>
  <c r="J2165" i="4"/>
  <c r="M2165" i="4" s="1"/>
  <c r="J2166" i="4"/>
  <c r="M2166" i="4" s="1"/>
  <c r="J2167" i="4"/>
  <c r="M2167" i="4" s="1"/>
  <c r="J2168" i="4"/>
  <c r="M2168" i="4" s="1"/>
  <c r="J2169" i="4"/>
  <c r="M2169" i="4" s="1"/>
  <c r="J2170" i="4"/>
  <c r="M2170" i="4" s="1"/>
  <c r="J2171" i="4"/>
  <c r="M2171" i="4" s="1"/>
  <c r="J2172" i="4"/>
  <c r="M2172" i="4" s="1"/>
  <c r="J2173" i="4"/>
  <c r="M2173" i="4" s="1"/>
  <c r="J2174" i="4"/>
  <c r="M2174" i="4" s="1"/>
  <c r="J2175" i="4"/>
  <c r="M2175" i="4" s="1"/>
  <c r="J2176" i="4"/>
  <c r="M2176" i="4" s="1"/>
  <c r="J2177" i="4"/>
  <c r="M2177" i="4" s="1"/>
  <c r="J2178" i="4"/>
  <c r="M2178" i="4" s="1"/>
  <c r="J2179" i="4"/>
  <c r="M2179" i="4" s="1"/>
  <c r="J2180" i="4"/>
  <c r="M2180" i="4" s="1"/>
  <c r="J2181" i="4"/>
  <c r="M2181" i="4" s="1"/>
  <c r="J2182" i="4"/>
  <c r="M2182" i="4" s="1"/>
  <c r="J2183" i="4"/>
  <c r="M2183" i="4" s="1"/>
  <c r="J2184" i="4"/>
  <c r="M2184" i="4" s="1"/>
  <c r="J2185" i="4"/>
  <c r="M2185" i="4" s="1"/>
  <c r="J2186" i="4"/>
  <c r="M2186" i="4" s="1"/>
  <c r="J2187" i="4"/>
  <c r="M2187" i="4" s="1"/>
  <c r="J2188" i="4"/>
  <c r="M2188" i="4" s="1"/>
  <c r="J2189" i="4"/>
  <c r="M2189" i="4" s="1"/>
  <c r="J2190" i="4"/>
  <c r="M2190" i="4" s="1"/>
  <c r="J2191" i="4"/>
  <c r="M2191" i="4" s="1"/>
  <c r="J2192" i="4"/>
  <c r="M2192" i="4" s="1"/>
  <c r="J2193" i="4"/>
  <c r="M2193" i="4" s="1"/>
  <c r="J2194" i="4"/>
  <c r="M2194" i="4" s="1"/>
  <c r="J2195" i="4"/>
  <c r="J2196" i="4"/>
  <c r="M2196" i="4" s="1"/>
  <c r="J2197" i="4"/>
  <c r="M2197" i="4" s="1"/>
  <c r="J2198" i="4"/>
  <c r="M2198" i="4" s="1"/>
  <c r="J2199" i="4"/>
  <c r="M2199" i="4" s="1"/>
  <c r="J2200" i="4"/>
  <c r="J2201" i="4"/>
  <c r="M2201" i="4" s="1"/>
  <c r="J2202" i="4"/>
  <c r="M2202" i="4" s="1"/>
  <c r="J2203" i="4"/>
  <c r="M2203" i="4" s="1"/>
  <c r="J2204" i="4"/>
  <c r="M2204" i="4" s="1"/>
  <c r="J2205" i="4"/>
  <c r="M2205" i="4" s="1"/>
  <c r="J2206" i="4"/>
  <c r="M2206" i="4" s="1"/>
  <c r="J2207" i="4"/>
  <c r="M2207" i="4" s="1"/>
  <c r="J2208" i="4"/>
  <c r="J2209" i="4"/>
  <c r="M2209" i="4" s="1"/>
  <c r="J2210" i="4"/>
  <c r="M2210" i="4" s="1"/>
  <c r="J2211" i="4"/>
  <c r="J2212" i="4"/>
  <c r="M2212" i="4" s="1"/>
  <c r="J2213" i="4"/>
  <c r="M2213" i="4" s="1"/>
  <c r="J2214" i="4"/>
  <c r="M2214" i="4" s="1"/>
  <c r="J2215" i="4"/>
  <c r="M2215" i="4" s="1"/>
  <c r="J2216" i="4"/>
  <c r="M2216" i="4" s="1"/>
  <c r="J2217" i="4"/>
  <c r="M2217" i="4" s="1"/>
  <c r="J2218" i="4"/>
  <c r="M2218" i="4" s="1"/>
  <c r="J2219" i="4"/>
  <c r="M2219" i="4" s="1"/>
  <c r="J2220" i="4"/>
  <c r="M2220" i="4" s="1"/>
  <c r="J2221" i="4"/>
  <c r="M2221" i="4" s="1"/>
  <c r="J2222" i="4"/>
  <c r="M2222" i="4" s="1"/>
  <c r="J2223" i="4"/>
  <c r="M2223" i="4" s="1"/>
  <c r="J2224" i="4"/>
  <c r="M2224" i="4" s="1"/>
  <c r="J2225" i="4"/>
  <c r="M2225" i="4" s="1"/>
  <c r="J2226" i="4"/>
  <c r="M2226" i="4" s="1"/>
  <c r="J2227" i="4"/>
  <c r="M2227" i="4" s="1"/>
  <c r="J2228" i="4"/>
  <c r="M2228" i="4" s="1"/>
  <c r="J2229" i="4"/>
  <c r="M2229" i="4" s="1"/>
  <c r="J2230" i="4"/>
  <c r="M2230" i="4" s="1"/>
  <c r="J2231" i="4"/>
  <c r="M2231" i="4" s="1"/>
  <c r="J2232" i="4"/>
  <c r="M2232" i="4" s="1"/>
  <c r="J2233" i="4"/>
  <c r="M2233" i="4" s="1"/>
  <c r="J2234" i="4"/>
  <c r="M2234" i="4" s="1"/>
  <c r="J2235" i="4"/>
  <c r="M2235" i="4" s="1"/>
  <c r="J2236" i="4"/>
  <c r="M2236" i="4" s="1"/>
  <c r="J2237" i="4"/>
  <c r="M2237" i="4" s="1"/>
  <c r="J2238" i="4"/>
  <c r="M2238" i="4" s="1"/>
  <c r="J2239" i="4"/>
  <c r="M2239" i="4" s="1"/>
  <c r="J2240" i="4"/>
  <c r="M2240" i="4" s="1"/>
  <c r="J2241" i="4"/>
  <c r="M2241" i="4" s="1"/>
  <c r="J2242" i="4"/>
  <c r="M2242" i="4" s="1"/>
  <c r="J2243" i="4"/>
  <c r="M2243" i="4" s="1"/>
  <c r="J2244" i="4"/>
  <c r="M2244" i="4" s="1"/>
  <c r="J2245" i="4"/>
  <c r="M2245" i="4" s="1"/>
  <c r="J2246" i="4"/>
  <c r="M2246" i="4" s="1"/>
  <c r="J2247" i="4"/>
  <c r="M2247" i="4" s="1"/>
  <c r="J2248" i="4"/>
  <c r="M2248" i="4" s="1"/>
  <c r="J2249" i="4"/>
  <c r="M2249" i="4" s="1"/>
  <c r="J2250" i="4"/>
  <c r="M2250" i="4" s="1"/>
  <c r="J2251" i="4"/>
  <c r="M2251" i="4" s="1"/>
  <c r="J2252" i="4"/>
  <c r="M2252" i="4" s="1"/>
  <c r="J2253" i="4"/>
  <c r="M2253" i="4" s="1"/>
  <c r="J2254" i="4"/>
  <c r="M2254" i="4" s="1"/>
  <c r="J2255" i="4"/>
  <c r="M2255" i="4" s="1"/>
  <c r="J2256" i="4"/>
  <c r="M2256" i="4" s="1"/>
  <c r="J2257" i="4"/>
  <c r="M2257" i="4" s="1"/>
  <c r="J2258" i="4"/>
  <c r="M2258" i="4" s="1"/>
  <c r="J2259" i="4"/>
  <c r="M2259" i="4" s="1"/>
  <c r="J2260" i="4"/>
  <c r="M2260" i="4" s="1"/>
  <c r="J2261" i="4"/>
  <c r="M2261" i="4" s="1"/>
  <c r="J2262" i="4"/>
  <c r="M2262" i="4" s="1"/>
  <c r="J2263" i="4"/>
  <c r="M2263" i="4" s="1"/>
  <c r="J2264" i="4"/>
  <c r="M2264" i="4" s="1"/>
  <c r="J2265" i="4"/>
  <c r="M2265" i="4" s="1"/>
  <c r="J2266" i="4"/>
  <c r="M2266" i="4" s="1"/>
  <c r="J2267" i="4"/>
  <c r="M2267" i="4" s="1"/>
  <c r="J2268" i="4"/>
  <c r="M2268" i="4" s="1"/>
  <c r="J2269" i="4"/>
  <c r="M2269" i="4" s="1"/>
  <c r="J2270" i="4"/>
  <c r="M2270" i="4" s="1"/>
  <c r="J2271" i="4"/>
  <c r="M2271" i="4" s="1"/>
  <c r="J2272" i="4"/>
  <c r="M2272" i="4" s="1"/>
  <c r="J2273" i="4"/>
  <c r="M2273" i="4" s="1"/>
  <c r="J2274" i="4"/>
  <c r="M2274" i="4" s="1"/>
  <c r="J2275" i="4"/>
  <c r="M2275" i="4" s="1"/>
  <c r="J2276" i="4"/>
  <c r="M2276" i="4" s="1"/>
  <c r="J2277" i="4"/>
  <c r="M2277" i="4" s="1"/>
  <c r="J2278" i="4"/>
  <c r="M2278" i="4" s="1"/>
  <c r="J2279" i="4"/>
  <c r="M2279" i="4" s="1"/>
  <c r="J2280" i="4"/>
  <c r="M2280" i="4" s="1"/>
  <c r="J2281" i="4"/>
  <c r="M2281" i="4" s="1"/>
  <c r="J2282" i="4"/>
  <c r="M2282" i="4" s="1"/>
  <c r="J2283" i="4"/>
  <c r="M2283" i="4" s="1"/>
  <c r="J2284" i="4"/>
  <c r="M2284" i="4" s="1"/>
  <c r="J2285" i="4"/>
  <c r="M2285" i="4" s="1"/>
  <c r="J2286" i="4"/>
  <c r="M2286" i="4" s="1"/>
  <c r="J2287" i="4"/>
  <c r="M2287" i="4" s="1"/>
  <c r="J2288" i="4"/>
  <c r="M2288" i="4" s="1"/>
  <c r="J2289" i="4"/>
  <c r="M2289" i="4" s="1"/>
  <c r="J2290" i="4"/>
  <c r="M2290" i="4" s="1"/>
  <c r="J2291" i="4"/>
  <c r="M2291" i="4" s="1"/>
  <c r="J2292" i="4"/>
  <c r="M2292" i="4" s="1"/>
  <c r="J2293" i="4"/>
  <c r="M2293" i="4" s="1"/>
  <c r="J2294" i="4"/>
  <c r="M2294" i="4" s="1"/>
  <c r="J2295" i="4"/>
  <c r="M2295" i="4" s="1"/>
  <c r="J2296" i="4"/>
  <c r="M2296" i="4" s="1"/>
  <c r="J2297" i="4"/>
  <c r="M2297" i="4" s="1"/>
  <c r="J2298" i="4"/>
  <c r="M2298" i="4" s="1"/>
  <c r="J2299" i="4"/>
  <c r="M2299" i="4" s="1"/>
  <c r="J2300" i="4"/>
  <c r="M2300" i="4" s="1"/>
  <c r="J2301" i="4"/>
  <c r="M2301" i="4" s="1"/>
  <c r="N2203" i="4"/>
  <c r="O2203" i="4"/>
  <c r="P2203" i="4"/>
  <c r="Q2203" i="4"/>
  <c r="N2204" i="4"/>
  <c r="O2204" i="4"/>
  <c r="P2204" i="4"/>
  <c r="Q2204" i="4"/>
  <c r="N2205" i="4"/>
  <c r="O2205" i="4"/>
  <c r="P2205" i="4"/>
  <c r="Q2205" i="4"/>
  <c r="N2206" i="4"/>
  <c r="O2206" i="4"/>
  <c r="P2206" i="4"/>
  <c r="Q2206" i="4"/>
  <c r="N2207" i="4"/>
  <c r="O2207" i="4"/>
  <c r="P2207" i="4"/>
  <c r="Q2207" i="4"/>
  <c r="N2208" i="4"/>
  <c r="O2208" i="4"/>
  <c r="P2208" i="4"/>
  <c r="Q2208" i="4"/>
  <c r="N2209" i="4"/>
  <c r="O2209" i="4"/>
  <c r="P2209" i="4"/>
  <c r="Q2209" i="4"/>
  <c r="N2210" i="4"/>
  <c r="O2210" i="4"/>
  <c r="P2210" i="4"/>
  <c r="Q2210" i="4"/>
  <c r="N2211" i="4"/>
  <c r="O2211" i="4"/>
  <c r="P2211" i="4"/>
  <c r="Q2211" i="4"/>
  <c r="N2212" i="4"/>
  <c r="O2212" i="4"/>
  <c r="P2212" i="4"/>
  <c r="Q2212" i="4"/>
  <c r="N2213" i="4"/>
  <c r="O2213" i="4"/>
  <c r="P2213" i="4"/>
  <c r="Q2213" i="4"/>
  <c r="N2214" i="4"/>
  <c r="O2214" i="4"/>
  <c r="P2214" i="4"/>
  <c r="Q2214" i="4"/>
  <c r="N2215" i="4"/>
  <c r="O2215" i="4"/>
  <c r="P2215" i="4"/>
  <c r="Q2215" i="4"/>
  <c r="N2216" i="4"/>
  <c r="O2216" i="4"/>
  <c r="P2216" i="4"/>
  <c r="Q2216" i="4"/>
  <c r="N2217" i="4"/>
  <c r="O2217" i="4"/>
  <c r="P2217" i="4"/>
  <c r="Q2217" i="4"/>
  <c r="N2218" i="4"/>
  <c r="O2218" i="4"/>
  <c r="P2218" i="4"/>
  <c r="Q2218" i="4"/>
  <c r="N2219" i="4"/>
  <c r="O2219" i="4"/>
  <c r="P2219" i="4"/>
  <c r="Q2219" i="4"/>
  <c r="N2220" i="4"/>
  <c r="O2220" i="4"/>
  <c r="P2220" i="4"/>
  <c r="Q2220" i="4"/>
  <c r="N2221" i="4"/>
  <c r="O2221" i="4"/>
  <c r="P2221" i="4"/>
  <c r="Q2221" i="4"/>
  <c r="N2222" i="4"/>
  <c r="O2222" i="4"/>
  <c r="P2222" i="4"/>
  <c r="Q2222" i="4"/>
  <c r="N2223" i="4"/>
  <c r="O2223" i="4"/>
  <c r="P2223" i="4"/>
  <c r="Q2223" i="4"/>
  <c r="N2224" i="4"/>
  <c r="O2224" i="4"/>
  <c r="P2224" i="4"/>
  <c r="Q2224" i="4"/>
  <c r="N2225" i="4"/>
  <c r="O2225" i="4"/>
  <c r="P2225" i="4"/>
  <c r="Q2225" i="4"/>
  <c r="N2226" i="4"/>
  <c r="O2226" i="4"/>
  <c r="P2226" i="4"/>
  <c r="Q2226" i="4"/>
  <c r="N2227" i="4"/>
  <c r="O2227" i="4"/>
  <c r="P2227" i="4"/>
  <c r="Q2227" i="4"/>
  <c r="N2228" i="4"/>
  <c r="O2228" i="4"/>
  <c r="P2228" i="4"/>
  <c r="Q2228" i="4"/>
  <c r="N2229" i="4"/>
  <c r="O2229" i="4"/>
  <c r="P2229" i="4"/>
  <c r="Q2229" i="4"/>
  <c r="N2230" i="4"/>
  <c r="O2230" i="4"/>
  <c r="P2230" i="4"/>
  <c r="Q2230" i="4"/>
  <c r="N2231" i="4"/>
  <c r="O2231" i="4"/>
  <c r="P2231" i="4"/>
  <c r="Q2231" i="4"/>
  <c r="N2232" i="4"/>
  <c r="O2232" i="4"/>
  <c r="P2232" i="4"/>
  <c r="Q2232" i="4"/>
  <c r="N2233" i="4"/>
  <c r="O2233" i="4"/>
  <c r="P2233" i="4"/>
  <c r="Q2233" i="4"/>
  <c r="N2234" i="4"/>
  <c r="O2234" i="4"/>
  <c r="P2234" i="4"/>
  <c r="Q2234" i="4"/>
  <c r="N2235" i="4"/>
  <c r="O2235" i="4"/>
  <c r="P2235" i="4"/>
  <c r="Q2235" i="4"/>
  <c r="N2236" i="4"/>
  <c r="O2236" i="4"/>
  <c r="P2236" i="4"/>
  <c r="Q2236" i="4"/>
  <c r="N2237" i="4"/>
  <c r="O2237" i="4"/>
  <c r="P2237" i="4"/>
  <c r="Q2237" i="4"/>
  <c r="N2238" i="4"/>
  <c r="O2238" i="4"/>
  <c r="P2238" i="4"/>
  <c r="Q2238" i="4"/>
  <c r="N2239" i="4"/>
  <c r="O2239" i="4"/>
  <c r="P2239" i="4"/>
  <c r="Q2239" i="4"/>
  <c r="N2240" i="4"/>
  <c r="O2240" i="4"/>
  <c r="P2240" i="4"/>
  <c r="Q2240" i="4"/>
  <c r="N2241" i="4"/>
  <c r="O2241" i="4"/>
  <c r="P2241" i="4"/>
  <c r="Q2241" i="4"/>
  <c r="N2242" i="4"/>
  <c r="O2242" i="4"/>
  <c r="P2242" i="4"/>
  <c r="Q2242" i="4"/>
  <c r="N2243" i="4"/>
  <c r="O2243" i="4"/>
  <c r="P2243" i="4"/>
  <c r="Q2243" i="4"/>
  <c r="N2244" i="4"/>
  <c r="O2244" i="4"/>
  <c r="P2244" i="4"/>
  <c r="Q2244" i="4"/>
  <c r="N2245" i="4"/>
  <c r="O2245" i="4"/>
  <c r="P2245" i="4"/>
  <c r="Q2245" i="4"/>
  <c r="N2246" i="4"/>
  <c r="O2246" i="4"/>
  <c r="P2246" i="4"/>
  <c r="Q2246" i="4"/>
  <c r="N2247" i="4"/>
  <c r="O2247" i="4"/>
  <c r="P2247" i="4"/>
  <c r="Q2247" i="4"/>
  <c r="N2248" i="4"/>
  <c r="O2248" i="4"/>
  <c r="P2248" i="4"/>
  <c r="Q2248" i="4"/>
  <c r="N2249" i="4"/>
  <c r="O2249" i="4"/>
  <c r="P2249" i="4"/>
  <c r="Q2249" i="4"/>
  <c r="N2250" i="4"/>
  <c r="O2250" i="4"/>
  <c r="P2250" i="4"/>
  <c r="Q2250" i="4"/>
  <c r="N2251" i="4"/>
  <c r="O2251" i="4"/>
  <c r="P2251" i="4"/>
  <c r="Q2251" i="4"/>
  <c r="N2252" i="4"/>
  <c r="O2252" i="4"/>
  <c r="P2252" i="4"/>
  <c r="Q2252" i="4"/>
  <c r="N2253" i="4"/>
  <c r="O2253" i="4"/>
  <c r="P2253" i="4"/>
  <c r="Q2253" i="4"/>
  <c r="N2254" i="4"/>
  <c r="O2254" i="4"/>
  <c r="P2254" i="4"/>
  <c r="Q2254" i="4"/>
  <c r="N2255" i="4"/>
  <c r="O2255" i="4"/>
  <c r="P2255" i="4"/>
  <c r="Q2255" i="4"/>
  <c r="N2256" i="4"/>
  <c r="O2256" i="4"/>
  <c r="P2256" i="4"/>
  <c r="Q2256" i="4"/>
  <c r="N2257" i="4"/>
  <c r="O2257" i="4"/>
  <c r="P2257" i="4"/>
  <c r="Q2257" i="4"/>
  <c r="N2258" i="4"/>
  <c r="O2258" i="4"/>
  <c r="P2258" i="4"/>
  <c r="Q2258" i="4"/>
  <c r="N2259" i="4"/>
  <c r="O2259" i="4"/>
  <c r="P2259" i="4"/>
  <c r="Q2259" i="4"/>
  <c r="N2260" i="4"/>
  <c r="O2260" i="4"/>
  <c r="P2260" i="4"/>
  <c r="Q2260" i="4"/>
  <c r="N2261" i="4"/>
  <c r="O2261" i="4"/>
  <c r="P2261" i="4"/>
  <c r="Q2261" i="4"/>
  <c r="N2262" i="4"/>
  <c r="O2262" i="4"/>
  <c r="P2262" i="4"/>
  <c r="Q2262" i="4"/>
  <c r="N2263" i="4"/>
  <c r="O2263" i="4"/>
  <c r="P2263" i="4"/>
  <c r="Q2263" i="4"/>
  <c r="N2264" i="4"/>
  <c r="O2264" i="4"/>
  <c r="P2264" i="4"/>
  <c r="Q2264" i="4"/>
  <c r="N2265" i="4"/>
  <c r="O2265" i="4"/>
  <c r="P2265" i="4"/>
  <c r="Q2265" i="4"/>
  <c r="N2266" i="4"/>
  <c r="O2266" i="4"/>
  <c r="P2266" i="4"/>
  <c r="Q2266" i="4"/>
  <c r="N2267" i="4"/>
  <c r="O2267" i="4"/>
  <c r="P2267" i="4"/>
  <c r="Q2267" i="4"/>
  <c r="N2268" i="4"/>
  <c r="O2268" i="4"/>
  <c r="P2268" i="4"/>
  <c r="Q2268" i="4"/>
  <c r="N2269" i="4"/>
  <c r="O2269" i="4"/>
  <c r="P2269" i="4"/>
  <c r="Q2269" i="4"/>
  <c r="N2270" i="4"/>
  <c r="O2270" i="4"/>
  <c r="P2270" i="4"/>
  <c r="Q2270" i="4"/>
  <c r="N2271" i="4"/>
  <c r="O2271" i="4"/>
  <c r="P2271" i="4"/>
  <c r="Q2271" i="4"/>
  <c r="N2272" i="4"/>
  <c r="O2272" i="4"/>
  <c r="P2272" i="4"/>
  <c r="Q2272" i="4"/>
  <c r="N2273" i="4"/>
  <c r="O2273" i="4"/>
  <c r="P2273" i="4"/>
  <c r="Q2273" i="4"/>
  <c r="N2274" i="4"/>
  <c r="O2274" i="4"/>
  <c r="P2274" i="4"/>
  <c r="Q2274" i="4"/>
  <c r="N2275" i="4"/>
  <c r="O2275" i="4"/>
  <c r="P2275" i="4"/>
  <c r="Q2275" i="4"/>
  <c r="N2276" i="4"/>
  <c r="O2276" i="4"/>
  <c r="P2276" i="4"/>
  <c r="Q2276" i="4"/>
  <c r="N2277" i="4"/>
  <c r="O2277" i="4"/>
  <c r="P2277" i="4"/>
  <c r="Q2277" i="4"/>
  <c r="N2278" i="4"/>
  <c r="O2278" i="4"/>
  <c r="P2278" i="4"/>
  <c r="Q2278" i="4"/>
  <c r="N2279" i="4"/>
  <c r="O2279" i="4"/>
  <c r="P2279" i="4"/>
  <c r="Q2279" i="4"/>
  <c r="N2280" i="4"/>
  <c r="O2280" i="4"/>
  <c r="P2280" i="4"/>
  <c r="Q2280" i="4"/>
  <c r="N2281" i="4"/>
  <c r="O2281" i="4"/>
  <c r="P2281" i="4"/>
  <c r="Q2281" i="4"/>
  <c r="N2282" i="4"/>
  <c r="O2282" i="4"/>
  <c r="P2282" i="4"/>
  <c r="Q2282" i="4"/>
  <c r="N2283" i="4"/>
  <c r="O2283" i="4"/>
  <c r="P2283" i="4"/>
  <c r="Q2283" i="4"/>
  <c r="N2284" i="4"/>
  <c r="O2284" i="4"/>
  <c r="P2284" i="4"/>
  <c r="Q2284" i="4"/>
  <c r="N2285" i="4"/>
  <c r="O2285" i="4"/>
  <c r="P2285" i="4"/>
  <c r="Q2285" i="4"/>
  <c r="N2286" i="4"/>
  <c r="O2286" i="4"/>
  <c r="P2286" i="4"/>
  <c r="Q2286" i="4"/>
  <c r="N2287" i="4"/>
  <c r="O2287" i="4"/>
  <c r="P2287" i="4"/>
  <c r="Q2287" i="4"/>
  <c r="N2288" i="4"/>
  <c r="O2288" i="4"/>
  <c r="P2288" i="4"/>
  <c r="Q2288" i="4"/>
  <c r="N2289" i="4"/>
  <c r="O2289" i="4"/>
  <c r="P2289" i="4"/>
  <c r="Q2289" i="4"/>
  <c r="N2290" i="4"/>
  <c r="O2290" i="4"/>
  <c r="P2290" i="4"/>
  <c r="Q2290" i="4"/>
  <c r="N2291" i="4"/>
  <c r="O2291" i="4"/>
  <c r="P2291" i="4"/>
  <c r="Q2291" i="4"/>
  <c r="N2292" i="4"/>
  <c r="O2292" i="4"/>
  <c r="P2292" i="4"/>
  <c r="Q2292" i="4"/>
  <c r="N2293" i="4"/>
  <c r="O2293" i="4"/>
  <c r="P2293" i="4"/>
  <c r="Q2293" i="4"/>
  <c r="N2294" i="4"/>
  <c r="O2294" i="4"/>
  <c r="P2294" i="4"/>
  <c r="Q2294" i="4"/>
  <c r="N2295" i="4"/>
  <c r="O2295" i="4"/>
  <c r="P2295" i="4"/>
  <c r="Q2295" i="4"/>
  <c r="N2296" i="4"/>
  <c r="O2296" i="4"/>
  <c r="P2296" i="4"/>
  <c r="Q2296" i="4"/>
  <c r="N2297" i="4"/>
  <c r="O2297" i="4"/>
  <c r="P2297" i="4"/>
  <c r="Q2297" i="4"/>
  <c r="N2298" i="4"/>
  <c r="O2298" i="4"/>
  <c r="P2298" i="4"/>
  <c r="Q2298" i="4"/>
  <c r="N2299" i="4"/>
  <c r="O2299" i="4"/>
  <c r="P2299" i="4"/>
  <c r="Q2299" i="4"/>
  <c r="N2300" i="4"/>
  <c r="O2300" i="4"/>
  <c r="P2300" i="4"/>
  <c r="Q2300" i="4"/>
  <c r="N2301" i="4"/>
  <c r="O2301" i="4"/>
  <c r="P2301" i="4"/>
  <c r="Q2301" i="4"/>
  <c r="O2202" i="4"/>
  <c r="P2202" i="4"/>
  <c r="Q2202" i="4"/>
  <c r="N2202" i="4"/>
  <c r="H2203" i="4"/>
  <c r="I2203" i="4"/>
  <c r="H2204" i="4"/>
  <c r="I2204" i="4"/>
  <c r="H2205" i="4"/>
  <c r="I2205" i="4"/>
  <c r="H2206" i="4"/>
  <c r="I2206" i="4"/>
  <c r="H2207" i="4"/>
  <c r="I2207" i="4"/>
  <c r="H2208" i="4"/>
  <c r="I2208" i="4"/>
  <c r="H2209" i="4"/>
  <c r="I2209" i="4"/>
  <c r="H2210" i="4"/>
  <c r="I2210" i="4"/>
  <c r="H2211" i="4"/>
  <c r="I2211" i="4"/>
  <c r="H2212" i="4"/>
  <c r="I2212" i="4"/>
  <c r="H2213" i="4"/>
  <c r="I2213" i="4"/>
  <c r="H2214" i="4"/>
  <c r="I2214" i="4"/>
  <c r="H2215" i="4"/>
  <c r="I2215" i="4"/>
  <c r="H2216" i="4"/>
  <c r="I2216" i="4"/>
  <c r="H2217" i="4"/>
  <c r="I2217" i="4"/>
  <c r="H2218" i="4"/>
  <c r="I2218" i="4"/>
  <c r="H2219" i="4"/>
  <c r="I2219" i="4"/>
  <c r="H2220" i="4"/>
  <c r="I2220" i="4"/>
  <c r="H2221" i="4"/>
  <c r="I2221" i="4"/>
  <c r="H2222" i="4"/>
  <c r="I2222" i="4"/>
  <c r="H2223" i="4"/>
  <c r="I2223" i="4"/>
  <c r="H2224" i="4"/>
  <c r="I2224" i="4"/>
  <c r="H2225" i="4"/>
  <c r="I2225" i="4"/>
  <c r="H2226" i="4"/>
  <c r="I2226" i="4"/>
  <c r="H2227" i="4"/>
  <c r="I2227" i="4"/>
  <c r="H2228" i="4"/>
  <c r="I2228" i="4"/>
  <c r="H2229" i="4"/>
  <c r="I2229" i="4"/>
  <c r="H2230" i="4"/>
  <c r="I2230" i="4"/>
  <c r="H2231" i="4"/>
  <c r="I2231" i="4"/>
  <c r="H2232" i="4"/>
  <c r="I2232" i="4"/>
  <c r="H2233" i="4"/>
  <c r="I2233" i="4"/>
  <c r="H2234" i="4"/>
  <c r="I2234" i="4"/>
  <c r="H2235" i="4"/>
  <c r="I2235" i="4"/>
  <c r="H2236" i="4"/>
  <c r="I2236" i="4"/>
  <c r="H2237" i="4"/>
  <c r="I2237" i="4"/>
  <c r="H2238" i="4"/>
  <c r="I2238" i="4"/>
  <c r="H2239" i="4"/>
  <c r="I2239" i="4"/>
  <c r="H2240" i="4"/>
  <c r="I2240" i="4"/>
  <c r="H2241" i="4"/>
  <c r="I2241" i="4"/>
  <c r="H2242" i="4"/>
  <c r="I2242" i="4"/>
  <c r="H2243" i="4"/>
  <c r="I2243" i="4"/>
  <c r="H2244" i="4"/>
  <c r="I2244" i="4"/>
  <c r="H2245" i="4"/>
  <c r="I2245" i="4"/>
  <c r="H2246" i="4"/>
  <c r="I2246" i="4"/>
  <c r="H2247" i="4"/>
  <c r="I2247" i="4"/>
  <c r="H2248" i="4"/>
  <c r="I2248" i="4"/>
  <c r="H2249" i="4"/>
  <c r="I2249" i="4"/>
  <c r="H2250" i="4"/>
  <c r="I2250" i="4"/>
  <c r="H2251" i="4"/>
  <c r="I2251" i="4"/>
  <c r="H2252" i="4"/>
  <c r="I2252" i="4"/>
  <c r="H2253" i="4"/>
  <c r="I2253" i="4"/>
  <c r="H2254" i="4"/>
  <c r="I2254" i="4"/>
  <c r="H2255" i="4"/>
  <c r="I2255" i="4"/>
  <c r="H2256" i="4"/>
  <c r="I2256" i="4"/>
  <c r="H2257" i="4"/>
  <c r="I2257" i="4"/>
  <c r="H2258" i="4"/>
  <c r="I2258" i="4"/>
  <c r="H2259" i="4"/>
  <c r="I2259" i="4"/>
  <c r="H2260" i="4"/>
  <c r="I2260" i="4"/>
  <c r="H2261" i="4"/>
  <c r="I2261" i="4"/>
  <c r="H2262" i="4"/>
  <c r="I2262" i="4"/>
  <c r="H2263" i="4"/>
  <c r="I2263" i="4"/>
  <c r="H2264" i="4"/>
  <c r="I2264" i="4"/>
  <c r="H2265" i="4"/>
  <c r="I2265" i="4"/>
  <c r="H2266" i="4"/>
  <c r="I2266" i="4"/>
  <c r="H2267" i="4"/>
  <c r="I2267" i="4"/>
  <c r="H2268" i="4"/>
  <c r="I2268" i="4"/>
  <c r="H2269" i="4"/>
  <c r="I2269" i="4"/>
  <c r="H2270" i="4"/>
  <c r="I2270" i="4"/>
  <c r="H2271" i="4"/>
  <c r="I2271" i="4"/>
  <c r="H2272" i="4"/>
  <c r="I2272" i="4"/>
  <c r="H2273" i="4"/>
  <c r="I2273" i="4"/>
  <c r="H2274" i="4"/>
  <c r="I2274" i="4"/>
  <c r="H2275" i="4"/>
  <c r="I2275" i="4"/>
  <c r="H2276" i="4"/>
  <c r="I2276" i="4"/>
  <c r="H2277" i="4"/>
  <c r="I2277" i="4"/>
  <c r="H2278" i="4"/>
  <c r="I2278" i="4"/>
  <c r="H2279" i="4"/>
  <c r="I2279" i="4"/>
  <c r="H2280" i="4"/>
  <c r="I2280" i="4"/>
  <c r="H2281" i="4"/>
  <c r="I2281" i="4"/>
  <c r="H2282" i="4"/>
  <c r="I2282" i="4"/>
  <c r="H2283" i="4"/>
  <c r="I2283" i="4"/>
  <c r="H2284" i="4"/>
  <c r="I2284" i="4"/>
  <c r="H2285" i="4"/>
  <c r="I2285" i="4"/>
  <c r="H2286" i="4"/>
  <c r="I2286" i="4"/>
  <c r="H2287" i="4"/>
  <c r="I2287" i="4"/>
  <c r="H2288" i="4"/>
  <c r="I2288" i="4"/>
  <c r="H2289" i="4"/>
  <c r="I2289" i="4"/>
  <c r="H2290" i="4"/>
  <c r="I2290" i="4"/>
  <c r="H2291" i="4"/>
  <c r="I2291" i="4"/>
  <c r="H2292" i="4"/>
  <c r="I2292" i="4"/>
  <c r="H2293" i="4"/>
  <c r="I2293" i="4"/>
  <c r="H2294" i="4"/>
  <c r="I2294" i="4"/>
  <c r="H2295" i="4"/>
  <c r="I2295" i="4"/>
  <c r="H2296" i="4"/>
  <c r="I2296" i="4"/>
  <c r="H2297" i="4"/>
  <c r="I2297" i="4"/>
  <c r="H2298" i="4"/>
  <c r="I2298" i="4"/>
  <c r="H2299" i="4"/>
  <c r="I2299" i="4"/>
  <c r="H2300" i="4"/>
  <c r="I2300" i="4"/>
  <c r="H2301" i="4"/>
  <c r="I2301" i="4"/>
  <c r="I2202" i="4"/>
  <c r="H2202" i="4"/>
  <c r="G2203" i="4"/>
  <c r="G2204" i="4"/>
  <c r="G2205" i="4"/>
  <c r="G2206" i="4"/>
  <c r="G2207" i="4"/>
  <c r="G2208" i="4"/>
  <c r="G2209" i="4"/>
  <c r="G2210" i="4"/>
  <c r="G2211" i="4"/>
  <c r="G2212" i="4"/>
  <c r="G2213" i="4"/>
  <c r="G2214" i="4"/>
  <c r="G2215" i="4"/>
  <c r="G2216" i="4"/>
  <c r="G2217" i="4"/>
  <c r="G2218" i="4"/>
  <c r="G2219" i="4"/>
  <c r="G2220" i="4"/>
  <c r="G2221" i="4"/>
  <c r="G2222" i="4"/>
  <c r="G2223" i="4"/>
  <c r="G2224" i="4"/>
  <c r="G2225" i="4"/>
  <c r="G2226" i="4"/>
  <c r="G2227" i="4"/>
  <c r="G2228" i="4"/>
  <c r="G2229" i="4"/>
  <c r="G2230" i="4"/>
  <c r="G2231" i="4"/>
  <c r="G2232" i="4"/>
  <c r="G2233" i="4"/>
  <c r="G2234" i="4"/>
  <c r="G2235" i="4"/>
  <c r="G2236" i="4"/>
  <c r="G2237" i="4"/>
  <c r="G2238" i="4"/>
  <c r="G2239" i="4"/>
  <c r="G2240" i="4"/>
  <c r="G2241" i="4"/>
  <c r="G2242" i="4"/>
  <c r="G2243" i="4"/>
  <c r="G2244" i="4"/>
  <c r="G2245" i="4"/>
  <c r="G2246" i="4"/>
  <c r="G2247" i="4"/>
  <c r="G2248" i="4"/>
  <c r="G2249" i="4"/>
  <c r="G2250" i="4"/>
  <c r="G2251" i="4"/>
  <c r="G2252" i="4"/>
  <c r="G2253" i="4"/>
  <c r="G2254" i="4"/>
  <c r="G2255" i="4"/>
  <c r="G2256" i="4"/>
  <c r="G2257" i="4"/>
  <c r="G2258" i="4"/>
  <c r="G2259" i="4"/>
  <c r="G2260" i="4"/>
  <c r="G2261" i="4"/>
  <c r="G2262" i="4"/>
  <c r="G2263" i="4"/>
  <c r="G2264" i="4"/>
  <c r="G2265" i="4"/>
  <c r="G2266" i="4"/>
  <c r="G2267" i="4"/>
  <c r="G2268" i="4"/>
  <c r="G2269" i="4"/>
  <c r="G2270" i="4"/>
  <c r="G2271" i="4"/>
  <c r="G2272" i="4"/>
  <c r="G2273" i="4"/>
  <c r="G2274" i="4"/>
  <c r="G2275" i="4"/>
  <c r="G2276" i="4"/>
  <c r="G2277" i="4"/>
  <c r="G2278" i="4"/>
  <c r="G2279" i="4"/>
  <c r="G2280" i="4"/>
  <c r="G2281" i="4"/>
  <c r="G2282" i="4"/>
  <c r="G2283" i="4"/>
  <c r="G2284" i="4"/>
  <c r="G2285" i="4"/>
  <c r="G2286" i="4"/>
  <c r="G2287" i="4"/>
  <c r="G2288" i="4"/>
  <c r="G2289" i="4"/>
  <c r="G2290" i="4"/>
  <c r="G2291" i="4"/>
  <c r="G2292" i="4"/>
  <c r="G2293" i="4"/>
  <c r="G2294" i="4"/>
  <c r="G2295" i="4"/>
  <c r="G2296" i="4"/>
  <c r="G2297" i="4"/>
  <c r="G2298" i="4"/>
  <c r="G2299" i="4"/>
  <c r="G2300" i="4"/>
  <c r="G2301" i="4"/>
  <c r="G2202" i="4"/>
  <c r="N2103" i="4"/>
  <c r="O2103" i="4"/>
  <c r="P2103" i="4"/>
  <c r="Q2103" i="4"/>
  <c r="N2104" i="4"/>
  <c r="O2104" i="4"/>
  <c r="P2104" i="4"/>
  <c r="Q2104" i="4"/>
  <c r="N2105" i="4"/>
  <c r="O2105" i="4"/>
  <c r="P2105" i="4"/>
  <c r="Q2105" i="4"/>
  <c r="N2106" i="4"/>
  <c r="O2106" i="4"/>
  <c r="P2106" i="4"/>
  <c r="Q2106" i="4"/>
  <c r="N2107" i="4"/>
  <c r="O2107" i="4"/>
  <c r="P2107" i="4"/>
  <c r="Q2107" i="4"/>
  <c r="N2108" i="4"/>
  <c r="O2108" i="4"/>
  <c r="P2108" i="4"/>
  <c r="Q2108" i="4"/>
  <c r="N2109" i="4"/>
  <c r="O2109" i="4"/>
  <c r="P2109" i="4"/>
  <c r="Q2109" i="4"/>
  <c r="N2110" i="4"/>
  <c r="O2110" i="4"/>
  <c r="P2110" i="4"/>
  <c r="Q2110" i="4"/>
  <c r="N2111" i="4"/>
  <c r="O2111" i="4"/>
  <c r="P2111" i="4"/>
  <c r="Q2111" i="4"/>
  <c r="N2112" i="4"/>
  <c r="O2112" i="4"/>
  <c r="P2112" i="4"/>
  <c r="Q2112" i="4"/>
  <c r="N2113" i="4"/>
  <c r="O2113" i="4"/>
  <c r="P2113" i="4"/>
  <c r="Q2113" i="4"/>
  <c r="N2114" i="4"/>
  <c r="O2114" i="4"/>
  <c r="P2114" i="4"/>
  <c r="Q2114" i="4"/>
  <c r="N2115" i="4"/>
  <c r="O2115" i="4"/>
  <c r="P2115" i="4"/>
  <c r="Q2115" i="4"/>
  <c r="N2116" i="4"/>
  <c r="O2116" i="4"/>
  <c r="P2116" i="4"/>
  <c r="Q2116" i="4"/>
  <c r="N2117" i="4"/>
  <c r="O2117" i="4"/>
  <c r="P2117" i="4"/>
  <c r="Q2117" i="4"/>
  <c r="N2118" i="4"/>
  <c r="O2118" i="4"/>
  <c r="P2118" i="4"/>
  <c r="Q2118" i="4"/>
  <c r="N2119" i="4"/>
  <c r="O2119" i="4"/>
  <c r="P2119" i="4"/>
  <c r="Q2119" i="4"/>
  <c r="N2120" i="4"/>
  <c r="O2120" i="4"/>
  <c r="P2120" i="4"/>
  <c r="Q2120" i="4"/>
  <c r="N2121" i="4"/>
  <c r="O2121" i="4"/>
  <c r="P2121" i="4"/>
  <c r="Q2121" i="4"/>
  <c r="N2122" i="4"/>
  <c r="O2122" i="4"/>
  <c r="P2122" i="4"/>
  <c r="Q2122" i="4"/>
  <c r="N2123" i="4"/>
  <c r="O2123" i="4"/>
  <c r="P2123" i="4"/>
  <c r="Q2123" i="4"/>
  <c r="N2124" i="4"/>
  <c r="O2124" i="4"/>
  <c r="P2124" i="4"/>
  <c r="Q2124" i="4"/>
  <c r="N2125" i="4"/>
  <c r="O2125" i="4"/>
  <c r="P2125" i="4"/>
  <c r="Q2125" i="4"/>
  <c r="N2126" i="4"/>
  <c r="O2126" i="4"/>
  <c r="P2126" i="4"/>
  <c r="Q2126" i="4"/>
  <c r="N2127" i="4"/>
  <c r="O2127" i="4"/>
  <c r="P2127" i="4"/>
  <c r="Q2127" i="4"/>
  <c r="N2128" i="4"/>
  <c r="O2128" i="4"/>
  <c r="P2128" i="4"/>
  <c r="Q2128" i="4"/>
  <c r="N2129" i="4"/>
  <c r="O2129" i="4"/>
  <c r="P2129" i="4"/>
  <c r="Q2129" i="4"/>
  <c r="N2130" i="4"/>
  <c r="O2130" i="4"/>
  <c r="P2130" i="4"/>
  <c r="Q2130" i="4"/>
  <c r="N2131" i="4"/>
  <c r="O2131" i="4"/>
  <c r="P2131" i="4"/>
  <c r="Q2131" i="4"/>
  <c r="N2132" i="4"/>
  <c r="O2132" i="4"/>
  <c r="P2132" i="4"/>
  <c r="Q2132" i="4"/>
  <c r="N2133" i="4"/>
  <c r="O2133" i="4"/>
  <c r="P2133" i="4"/>
  <c r="Q2133" i="4"/>
  <c r="N2134" i="4"/>
  <c r="O2134" i="4"/>
  <c r="P2134" i="4"/>
  <c r="Q2134" i="4"/>
  <c r="N2135" i="4"/>
  <c r="O2135" i="4"/>
  <c r="P2135" i="4"/>
  <c r="Q2135" i="4"/>
  <c r="N2136" i="4"/>
  <c r="O2136" i="4"/>
  <c r="P2136" i="4"/>
  <c r="Q2136" i="4"/>
  <c r="N2137" i="4"/>
  <c r="O2137" i="4"/>
  <c r="P2137" i="4"/>
  <c r="Q2137" i="4"/>
  <c r="N2138" i="4"/>
  <c r="O2138" i="4"/>
  <c r="P2138" i="4"/>
  <c r="Q2138" i="4"/>
  <c r="N2139" i="4"/>
  <c r="O2139" i="4"/>
  <c r="P2139" i="4"/>
  <c r="Q2139" i="4"/>
  <c r="N2140" i="4"/>
  <c r="O2140" i="4"/>
  <c r="P2140" i="4"/>
  <c r="Q2140" i="4"/>
  <c r="N2141" i="4"/>
  <c r="O2141" i="4"/>
  <c r="P2141" i="4"/>
  <c r="Q2141" i="4"/>
  <c r="N2142" i="4"/>
  <c r="O2142" i="4"/>
  <c r="P2142" i="4"/>
  <c r="Q2142" i="4"/>
  <c r="N2143" i="4"/>
  <c r="O2143" i="4"/>
  <c r="P2143" i="4"/>
  <c r="Q2143" i="4"/>
  <c r="N2144" i="4"/>
  <c r="O2144" i="4"/>
  <c r="P2144" i="4"/>
  <c r="Q2144" i="4"/>
  <c r="N2145" i="4"/>
  <c r="O2145" i="4"/>
  <c r="P2145" i="4"/>
  <c r="Q2145" i="4"/>
  <c r="N2146" i="4"/>
  <c r="O2146" i="4"/>
  <c r="P2146" i="4"/>
  <c r="Q2146" i="4"/>
  <c r="N2147" i="4"/>
  <c r="O2147" i="4"/>
  <c r="P2147" i="4"/>
  <c r="Q2147" i="4"/>
  <c r="N2148" i="4"/>
  <c r="O2148" i="4"/>
  <c r="P2148" i="4"/>
  <c r="Q2148" i="4"/>
  <c r="N2149" i="4"/>
  <c r="O2149" i="4"/>
  <c r="P2149" i="4"/>
  <c r="Q2149" i="4"/>
  <c r="N2150" i="4"/>
  <c r="O2150" i="4"/>
  <c r="P2150" i="4"/>
  <c r="Q2150" i="4"/>
  <c r="N2151" i="4"/>
  <c r="O2151" i="4"/>
  <c r="P2151" i="4"/>
  <c r="Q2151" i="4"/>
  <c r="N2152" i="4"/>
  <c r="O2152" i="4"/>
  <c r="P2152" i="4"/>
  <c r="Q2152" i="4"/>
  <c r="N2153" i="4"/>
  <c r="O2153" i="4"/>
  <c r="P2153" i="4"/>
  <c r="Q2153" i="4"/>
  <c r="N2154" i="4"/>
  <c r="O2154" i="4"/>
  <c r="P2154" i="4"/>
  <c r="Q2154" i="4"/>
  <c r="N2155" i="4"/>
  <c r="O2155" i="4"/>
  <c r="P2155" i="4"/>
  <c r="Q2155" i="4"/>
  <c r="N2156" i="4"/>
  <c r="O2156" i="4"/>
  <c r="P2156" i="4"/>
  <c r="Q2156" i="4"/>
  <c r="N2157" i="4"/>
  <c r="O2157" i="4"/>
  <c r="P2157" i="4"/>
  <c r="Q2157" i="4"/>
  <c r="N2158" i="4"/>
  <c r="O2158" i="4"/>
  <c r="P2158" i="4"/>
  <c r="Q2158" i="4"/>
  <c r="N2159" i="4"/>
  <c r="O2159" i="4"/>
  <c r="P2159" i="4"/>
  <c r="Q2159" i="4"/>
  <c r="N2160" i="4"/>
  <c r="O2160" i="4"/>
  <c r="P2160" i="4"/>
  <c r="Q2160" i="4"/>
  <c r="N2161" i="4"/>
  <c r="O2161" i="4"/>
  <c r="P2161" i="4"/>
  <c r="Q2161" i="4"/>
  <c r="N2162" i="4"/>
  <c r="O2162" i="4"/>
  <c r="P2162" i="4"/>
  <c r="Q2162" i="4"/>
  <c r="N2163" i="4"/>
  <c r="O2163" i="4"/>
  <c r="P2163" i="4"/>
  <c r="Q2163" i="4"/>
  <c r="N2164" i="4"/>
  <c r="O2164" i="4"/>
  <c r="P2164" i="4"/>
  <c r="Q2164" i="4"/>
  <c r="N2165" i="4"/>
  <c r="O2165" i="4"/>
  <c r="P2165" i="4"/>
  <c r="Q2165" i="4"/>
  <c r="N2166" i="4"/>
  <c r="O2166" i="4"/>
  <c r="P2166" i="4"/>
  <c r="Q2166" i="4"/>
  <c r="N2167" i="4"/>
  <c r="O2167" i="4"/>
  <c r="P2167" i="4"/>
  <c r="Q2167" i="4"/>
  <c r="N2168" i="4"/>
  <c r="O2168" i="4"/>
  <c r="P2168" i="4"/>
  <c r="Q2168" i="4"/>
  <c r="N2169" i="4"/>
  <c r="O2169" i="4"/>
  <c r="P2169" i="4"/>
  <c r="Q2169" i="4"/>
  <c r="N2170" i="4"/>
  <c r="O2170" i="4"/>
  <c r="P2170" i="4"/>
  <c r="Q2170" i="4"/>
  <c r="N2171" i="4"/>
  <c r="O2171" i="4"/>
  <c r="P2171" i="4"/>
  <c r="Q2171" i="4"/>
  <c r="N2172" i="4"/>
  <c r="O2172" i="4"/>
  <c r="P2172" i="4"/>
  <c r="Q2172" i="4"/>
  <c r="N2173" i="4"/>
  <c r="O2173" i="4"/>
  <c r="P2173" i="4"/>
  <c r="Q2173" i="4"/>
  <c r="N2174" i="4"/>
  <c r="O2174" i="4"/>
  <c r="P2174" i="4"/>
  <c r="Q2174" i="4"/>
  <c r="N2175" i="4"/>
  <c r="O2175" i="4"/>
  <c r="P2175" i="4"/>
  <c r="Q2175" i="4"/>
  <c r="N2176" i="4"/>
  <c r="O2176" i="4"/>
  <c r="P2176" i="4"/>
  <c r="Q2176" i="4"/>
  <c r="N2177" i="4"/>
  <c r="O2177" i="4"/>
  <c r="P2177" i="4"/>
  <c r="Q2177" i="4"/>
  <c r="N2178" i="4"/>
  <c r="O2178" i="4"/>
  <c r="P2178" i="4"/>
  <c r="Q2178" i="4"/>
  <c r="N2179" i="4"/>
  <c r="O2179" i="4"/>
  <c r="P2179" i="4"/>
  <c r="Q2179" i="4"/>
  <c r="N2180" i="4"/>
  <c r="O2180" i="4"/>
  <c r="P2180" i="4"/>
  <c r="Q2180" i="4"/>
  <c r="N2181" i="4"/>
  <c r="O2181" i="4"/>
  <c r="P2181" i="4"/>
  <c r="Q2181" i="4"/>
  <c r="N2182" i="4"/>
  <c r="O2182" i="4"/>
  <c r="P2182" i="4"/>
  <c r="Q2182" i="4"/>
  <c r="N2183" i="4"/>
  <c r="O2183" i="4"/>
  <c r="P2183" i="4"/>
  <c r="Q2183" i="4"/>
  <c r="N2184" i="4"/>
  <c r="O2184" i="4"/>
  <c r="P2184" i="4"/>
  <c r="Q2184" i="4"/>
  <c r="N2185" i="4"/>
  <c r="O2185" i="4"/>
  <c r="P2185" i="4"/>
  <c r="Q2185" i="4"/>
  <c r="N2186" i="4"/>
  <c r="O2186" i="4"/>
  <c r="P2186" i="4"/>
  <c r="Q2186" i="4"/>
  <c r="N2187" i="4"/>
  <c r="O2187" i="4"/>
  <c r="P2187" i="4"/>
  <c r="Q2187" i="4"/>
  <c r="N2188" i="4"/>
  <c r="O2188" i="4"/>
  <c r="P2188" i="4"/>
  <c r="Q2188" i="4"/>
  <c r="N2189" i="4"/>
  <c r="O2189" i="4"/>
  <c r="P2189" i="4"/>
  <c r="Q2189" i="4"/>
  <c r="N2190" i="4"/>
  <c r="O2190" i="4"/>
  <c r="P2190" i="4"/>
  <c r="Q2190" i="4"/>
  <c r="N2191" i="4"/>
  <c r="O2191" i="4"/>
  <c r="P2191" i="4"/>
  <c r="Q2191" i="4"/>
  <c r="N2192" i="4"/>
  <c r="O2192" i="4"/>
  <c r="P2192" i="4"/>
  <c r="Q2192" i="4"/>
  <c r="N2193" i="4"/>
  <c r="O2193" i="4"/>
  <c r="P2193" i="4"/>
  <c r="Q2193" i="4"/>
  <c r="N2194" i="4"/>
  <c r="O2194" i="4"/>
  <c r="P2194" i="4"/>
  <c r="Q2194" i="4"/>
  <c r="N2195" i="4"/>
  <c r="O2195" i="4"/>
  <c r="P2195" i="4"/>
  <c r="Q2195" i="4"/>
  <c r="N2196" i="4"/>
  <c r="O2196" i="4"/>
  <c r="P2196" i="4"/>
  <c r="Q2196" i="4"/>
  <c r="N2197" i="4"/>
  <c r="O2197" i="4"/>
  <c r="P2197" i="4"/>
  <c r="Q2197" i="4"/>
  <c r="N2198" i="4"/>
  <c r="O2198" i="4"/>
  <c r="P2198" i="4"/>
  <c r="Q2198" i="4"/>
  <c r="N2199" i="4"/>
  <c r="O2199" i="4"/>
  <c r="P2199" i="4"/>
  <c r="Q2199" i="4"/>
  <c r="N2200" i="4"/>
  <c r="O2200" i="4"/>
  <c r="P2200" i="4"/>
  <c r="Q2200" i="4"/>
  <c r="N2201" i="4"/>
  <c r="O2201" i="4"/>
  <c r="P2201" i="4"/>
  <c r="Q2201" i="4"/>
  <c r="O2102" i="4"/>
  <c r="P2102" i="4"/>
  <c r="Q2102" i="4"/>
  <c r="N2102" i="4"/>
  <c r="H2103" i="4"/>
  <c r="I2103" i="4"/>
  <c r="H2104" i="4"/>
  <c r="I2104" i="4"/>
  <c r="H2105" i="4"/>
  <c r="I2105" i="4"/>
  <c r="H2106" i="4"/>
  <c r="I2106" i="4"/>
  <c r="H2107" i="4"/>
  <c r="I2107" i="4"/>
  <c r="H2108" i="4"/>
  <c r="I2108" i="4"/>
  <c r="H2109" i="4"/>
  <c r="I2109" i="4"/>
  <c r="H2110" i="4"/>
  <c r="I2110" i="4"/>
  <c r="H2111" i="4"/>
  <c r="I2111" i="4"/>
  <c r="H2112" i="4"/>
  <c r="I2112" i="4"/>
  <c r="H2113" i="4"/>
  <c r="I2113" i="4"/>
  <c r="H2114" i="4"/>
  <c r="I2114" i="4"/>
  <c r="H2115" i="4"/>
  <c r="I2115" i="4"/>
  <c r="H2116" i="4"/>
  <c r="I2116" i="4"/>
  <c r="H2117" i="4"/>
  <c r="I2117" i="4"/>
  <c r="H2118" i="4"/>
  <c r="I2118" i="4"/>
  <c r="H2119" i="4"/>
  <c r="I2119" i="4"/>
  <c r="H2120" i="4"/>
  <c r="I2120" i="4"/>
  <c r="H2121" i="4"/>
  <c r="I2121" i="4"/>
  <c r="H2122" i="4"/>
  <c r="I2122" i="4"/>
  <c r="H2123" i="4"/>
  <c r="I2123" i="4"/>
  <c r="H2124" i="4"/>
  <c r="I2124" i="4"/>
  <c r="H2125" i="4"/>
  <c r="I2125" i="4"/>
  <c r="H2126" i="4"/>
  <c r="I2126" i="4"/>
  <c r="H2127" i="4"/>
  <c r="I2127" i="4"/>
  <c r="H2128" i="4"/>
  <c r="I2128" i="4"/>
  <c r="H2129" i="4"/>
  <c r="I2129" i="4"/>
  <c r="H2130" i="4"/>
  <c r="I2130" i="4"/>
  <c r="H2131" i="4"/>
  <c r="I2131" i="4"/>
  <c r="H2132" i="4"/>
  <c r="I2132" i="4"/>
  <c r="H2133" i="4"/>
  <c r="I2133" i="4"/>
  <c r="H2134" i="4"/>
  <c r="I2134" i="4"/>
  <c r="H2135" i="4"/>
  <c r="I2135" i="4"/>
  <c r="H2136" i="4"/>
  <c r="I2136" i="4"/>
  <c r="H2137" i="4"/>
  <c r="I2137" i="4"/>
  <c r="H2138" i="4"/>
  <c r="I2138" i="4"/>
  <c r="H2139" i="4"/>
  <c r="I2139" i="4"/>
  <c r="H2140" i="4"/>
  <c r="I2140" i="4"/>
  <c r="H2141" i="4"/>
  <c r="I2141" i="4"/>
  <c r="H2142" i="4"/>
  <c r="I2142" i="4"/>
  <c r="H2143" i="4"/>
  <c r="I2143" i="4"/>
  <c r="H2144" i="4"/>
  <c r="I2144" i="4"/>
  <c r="H2145" i="4"/>
  <c r="I2145" i="4"/>
  <c r="H2146" i="4"/>
  <c r="I2146" i="4"/>
  <c r="H2147" i="4"/>
  <c r="I2147" i="4"/>
  <c r="H2148" i="4"/>
  <c r="I2148" i="4"/>
  <c r="H2149" i="4"/>
  <c r="I2149" i="4"/>
  <c r="H2150" i="4"/>
  <c r="I2150" i="4"/>
  <c r="H2151" i="4"/>
  <c r="I2151" i="4"/>
  <c r="H2152" i="4"/>
  <c r="I2152" i="4"/>
  <c r="H2153" i="4"/>
  <c r="I2153" i="4"/>
  <c r="H2154" i="4"/>
  <c r="I2154" i="4"/>
  <c r="H2155" i="4"/>
  <c r="I2155" i="4"/>
  <c r="H2156" i="4"/>
  <c r="I2156" i="4"/>
  <c r="H2157" i="4"/>
  <c r="I2157" i="4"/>
  <c r="H2158" i="4"/>
  <c r="I2158" i="4"/>
  <c r="H2159" i="4"/>
  <c r="I2159" i="4"/>
  <c r="H2160" i="4"/>
  <c r="I2160" i="4"/>
  <c r="H2161" i="4"/>
  <c r="I2161" i="4"/>
  <c r="H2162" i="4"/>
  <c r="I2162" i="4"/>
  <c r="H2163" i="4"/>
  <c r="I2163" i="4"/>
  <c r="H2164" i="4"/>
  <c r="I2164" i="4"/>
  <c r="H2165" i="4"/>
  <c r="I2165" i="4"/>
  <c r="H2166" i="4"/>
  <c r="I2166" i="4"/>
  <c r="H2167" i="4"/>
  <c r="I2167" i="4"/>
  <c r="H2168" i="4"/>
  <c r="I2168" i="4"/>
  <c r="H2169" i="4"/>
  <c r="I2169" i="4"/>
  <c r="H2170" i="4"/>
  <c r="I2170" i="4"/>
  <c r="H2171" i="4"/>
  <c r="I2171" i="4"/>
  <c r="H2172" i="4"/>
  <c r="I2172" i="4"/>
  <c r="H2173" i="4"/>
  <c r="I2173" i="4"/>
  <c r="H2174" i="4"/>
  <c r="I2174" i="4"/>
  <c r="H2175" i="4"/>
  <c r="I2175" i="4"/>
  <c r="H2176" i="4"/>
  <c r="I2176" i="4"/>
  <c r="H2177" i="4"/>
  <c r="I2177" i="4"/>
  <c r="H2178" i="4"/>
  <c r="I2178" i="4"/>
  <c r="H2179" i="4"/>
  <c r="I2179" i="4"/>
  <c r="H2180" i="4"/>
  <c r="I2180" i="4"/>
  <c r="H2181" i="4"/>
  <c r="I2181" i="4"/>
  <c r="H2182" i="4"/>
  <c r="I2182" i="4"/>
  <c r="H2183" i="4"/>
  <c r="I2183" i="4"/>
  <c r="H2184" i="4"/>
  <c r="I2184" i="4"/>
  <c r="H2185" i="4"/>
  <c r="I2185" i="4"/>
  <c r="H2186" i="4"/>
  <c r="I2186" i="4"/>
  <c r="H2187" i="4"/>
  <c r="I2187" i="4"/>
  <c r="H2188" i="4"/>
  <c r="I2188" i="4"/>
  <c r="H2189" i="4"/>
  <c r="I2189" i="4"/>
  <c r="H2190" i="4"/>
  <c r="I2190" i="4"/>
  <c r="H2191" i="4"/>
  <c r="I2191" i="4"/>
  <c r="H2192" i="4"/>
  <c r="I2192" i="4"/>
  <c r="H2193" i="4"/>
  <c r="I2193" i="4"/>
  <c r="H2194" i="4"/>
  <c r="I2194" i="4"/>
  <c r="H2195" i="4"/>
  <c r="I2195" i="4"/>
  <c r="H2196" i="4"/>
  <c r="I2196" i="4"/>
  <c r="H2197" i="4"/>
  <c r="I2197" i="4"/>
  <c r="H2198" i="4"/>
  <c r="I2198" i="4"/>
  <c r="H2199" i="4"/>
  <c r="I2199" i="4"/>
  <c r="H2200" i="4"/>
  <c r="I2200" i="4"/>
  <c r="H2201" i="4"/>
  <c r="I2201" i="4"/>
  <c r="I2102" i="4"/>
  <c r="H2102" i="4"/>
  <c r="G2103" i="4"/>
  <c r="G2104" i="4"/>
  <c r="G2105" i="4"/>
  <c r="G2106" i="4"/>
  <c r="G2107" i="4"/>
  <c r="G2108" i="4"/>
  <c r="G2109" i="4"/>
  <c r="G2110" i="4"/>
  <c r="G2111" i="4"/>
  <c r="G2112" i="4"/>
  <c r="G2113" i="4"/>
  <c r="G2114" i="4"/>
  <c r="G2115" i="4"/>
  <c r="G2116" i="4"/>
  <c r="G2117" i="4"/>
  <c r="G2118" i="4"/>
  <c r="G2119" i="4"/>
  <c r="G2120" i="4"/>
  <c r="G2121" i="4"/>
  <c r="G2122" i="4"/>
  <c r="G2123" i="4"/>
  <c r="G2124" i="4"/>
  <c r="G2125" i="4"/>
  <c r="G2126" i="4"/>
  <c r="G2127" i="4"/>
  <c r="G2128" i="4"/>
  <c r="G2129" i="4"/>
  <c r="G2130" i="4"/>
  <c r="G2131" i="4"/>
  <c r="G2132" i="4"/>
  <c r="G2133" i="4"/>
  <c r="G2134" i="4"/>
  <c r="G2135" i="4"/>
  <c r="G2136" i="4"/>
  <c r="G2137" i="4"/>
  <c r="G2138" i="4"/>
  <c r="G2139" i="4"/>
  <c r="G2140" i="4"/>
  <c r="G2141" i="4"/>
  <c r="G2142" i="4"/>
  <c r="G2143" i="4"/>
  <c r="G2144" i="4"/>
  <c r="G2145" i="4"/>
  <c r="G2146" i="4"/>
  <c r="G2147" i="4"/>
  <c r="G2148" i="4"/>
  <c r="G2149" i="4"/>
  <c r="G2150" i="4"/>
  <c r="G2151" i="4"/>
  <c r="G2152" i="4"/>
  <c r="G2153" i="4"/>
  <c r="G2154" i="4"/>
  <c r="G2155" i="4"/>
  <c r="G2156" i="4"/>
  <c r="G2157" i="4"/>
  <c r="G2158" i="4"/>
  <c r="G2159" i="4"/>
  <c r="G2160" i="4"/>
  <c r="G2161" i="4"/>
  <c r="G2162" i="4"/>
  <c r="G2163" i="4"/>
  <c r="G2164" i="4"/>
  <c r="G2165" i="4"/>
  <c r="G2166" i="4"/>
  <c r="G2167" i="4"/>
  <c r="G2168" i="4"/>
  <c r="G2169" i="4"/>
  <c r="G2170" i="4"/>
  <c r="G2171" i="4"/>
  <c r="G2172" i="4"/>
  <c r="G2173" i="4"/>
  <c r="G2174" i="4"/>
  <c r="G2175" i="4"/>
  <c r="G2176" i="4"/>
  <c r="G2177" i="4"/>
  <c r="G2178" i="4"/>
  <c r="G2179" i="4"/>
  <c r="G2180" i="4"/>
  <c r="G2181" i="4"/>
  <c r="G2182" i="4"/>
  <c r="G2183" i="4"/>
  <c r="G2184" i="4"/>
  <c r="G2185" i="4"/>
  <c r="G2186" i="4"/>
  <c r="G2187" i="4"/>
  <c r="G2188" i="4"/>
  <c r="G2189" i="4"/>
  <c r="G2190" i="4"/>
  <c r="G2191" i="4"/>
  <c r="G2192" i="4"/>
  <c r="G2193" i="4"/>
  <c r="G2194" i="4"/>
  <c r="G2195" i="4"/>
  <c r="G2196" i="4"/>
  <c r="G2197" i="4"/>
  <c r="G2198" i="4"/>
  <c r="G2199" i="4"/>
  <c r="G2200" i="4"/>
  <c r="G2201" i="4"/>
  <c r="G2102" i="4"/>
  <c r="N2003" i="4"/>
  <c r="O2003" i="4"/>
  <c r="P2003" i="4"/>
  <c r="Q2003" i="4"/>
  <c r="N2004" i="4"/>
  <c r="O2004" i="4"/>
  <c r="P2004" i="4"/>
  <c r="Q2004" i="4"/>
  <c r="N2005" i="4"/>
  <c r="O2005" i="4"/>
  <c r="P2005" i="4"/>
  <c r="Q2005" i="4"/>
  <c r="N2006" i="4"/>
  <c r="O2006" i="4"/>
  <c r="P2006" i="4"/>
  <c r="Q2006" i="4"/>
  <c r="N2007" i="4"/>
  <c r="O2007" i="4"/>
  <c r="P2007" i="4"/>
  <c r="Q2007" i="4"/>
  <c r="N2008" i="4"/>
  <c r="O2008" i="4"/>
  <c r="P2008" i="4"/>
  <c r="Q2008" i="4"/>
  <c r="N2009" i="4"/>
  <c r="O2009" i="4"/>
  <c r="P2009" i="4"/>
  <c r="Q2009" i="4"/>
  <c r="N2010" i="4"/>
  <c r="O2010" i="4"/>
  <c r="P2010" i="4"/>
  <c r="Q2010" i="4"/>
  <c r="N2011" i="4"/>
  <c r="O2011" i="4"/>
  <c r="P2011" i="4"/>
  <c r="Q2011" i="4"/>
  <c r="N2012" i="4"/>
  <c r="O2012" i="4"/>
  <c r="P2012" i="4"/>
  <c r="Q2012" i="4"/>
  <c r="N2013" i="4"/>
  <c r="O2013" i="4"/>
  <c r="P2013" i="4"/>
  <c r="Q2013" i="4"/>
  <c r="N2014" i="4"/>
  <c r="O2014" i="4"/>
  <c r="P2014" i="4"/>
  <c r="Q2014" i="4"/>
  <c r="N2015" i="4"/>
  <c r="O2015" i="4"/>
  <c r="P2015" i="4"/>
  <c r="Q2015" i="4"/>
  <c r="N2016" i="4"/>
  <c r="O2016" i="4"/>
  <c r="P2016" i="4"/>
  <c r="Q2016" i="4"/>
  <c r="N2017" i="4"/>
  <c r="O2017" i="4"/>
  <c r="P2017" i="4"/>
  <c r="Q2017" i="4"/>
  <c r="N2018" i="4"/>
  <c r="O2018" i="4"/>
  <c r="P2018" i="4"/>
  <c r="Q2018" i="4"/>
  <c r="N2019" i="4"/>
  <c r="O2019" i="4"/>
  <c r="P2019" i="4"/>
  <c r="Q2019" i="4"/>
  <c r="N2020" i="4"/>
  <c r="O2020" i="4"/>
  <c r="P2020" i="4"/>
  <c r="Q2020" i="4"/>
  <c r="N2021" i="4"/>
  <c r="O2021" i="4"/>
  <c r="P2021" i="4"/>
  <c r="Q2021" i="4"/>
  <c r="N2022" i="4"/>
  <c r="O2022" i="4"/>
  <c r="P2022" i="4"/>
  <c r="Q2022" i="4"/>
  <c r="N2023" i="4"/>
  <c r="O2023" i="4"/>
  <c r="P2023" i="4"/>
  <c r="Q2023" i="4"/>
  <c r="N2024" i="4"/>
  <c r="O2024" i="4"/>
  <c r="P2024" i="4"/>
  <c r="Q2024" i="4"/>
  <c r="N2025" i="4"/>
  <c r="O2025" i="4"/>
  <c r="P2025" i="4"/>
  <c r="Q2025" i="4"/>
  <c r="N2026" i="4"/>
  <c r="O2026" i="4"/>
  <c r="P2026" i="4"/>
  <c r="Q2026" i="4"/>
  <c r="N2027" i="4"/>
  <c r="O2027" i="4"/>
  <c r="P2027" i="4"/>
  <c r="Q2027" i="4"/>
  <c r="N2028" i="4"/>
  <c r="O2028" i="4"/>
  <c r="P2028" i="4"/>
  <c r="Q2028" i="4"/>
  <c r="N2029" i="4"/>
  <c r="O2029" i="4"/>
  <c r="P2029" i="4"/>
  <c r="Q2029" i="4"/>
  <c r="N2030" i="4"/>
  <c r="O2030" i="4"/>
  <c r="P2030" i="4"/>
  <c r="Q2030" i="4"/>
  <c r="N2031" i="4"/>
  <c r="O2031" i="4"/>
  <c r="P2031" i="4"/>
  <c r="Q2031" i="4"/>
  <c r="N2032" i="4"/>
  <c r="O2032" i="4"/>
  <c r="P2032" i="4"/>
  <c r="Q2032" i="4"/>
  <c r="N2033" i="4"/>
  <c r="O2033" i="4"/>
  <c r="P2033" i="4"/>
  <c r="Q2033" i="4"/>
  <c r="N2034" i="4"/>
  <c r="O2034" i="4"/>
  <c r="P2034" i="4"/>
  <c r="Q2034" i="4"/>
  <c r="N2035" i="4"/>
  <c r="O2035" i="4"/>
  <c r="P2035" i="4"/>
  <c r="Q2035" i="4"/>
  <c r="N2036" i="4"/>
  <c r="O2036" i="4"/>
  <c r="P2036" i="4"/>
  <c r="Q2036" i="4"/>
  <c r="N2037" i="4"/>
  <c r="O2037" i="4"/>
  <c r="P2037" i="4"/>
  <c r="Q2037" i="4"/>
  <c r="N2038" i="4"/>
  <c r="O2038" i="4"/>
  <c r="P2038" i="4"/>
  <c r="Q2038" i="4"/>
  <c r="N2039" i="4"/>
  <c r="O2039" i="4"/>
  <c r="P2039" i="4"/>
  <c r="Q2039" i="4"/>
  <c r="N2040" i="4"/>
  <c r="O2040" i="4"/>
  <c r="P2040" i="4"/>
  <c r="Q2040" i="4"/>
  <c r="N2041" i="4"/>
  <c r="O2041" i="4"/>
  <c r="P2041" i="4"/>
  <c r="Q2041" i="4"/>
  <c r="N2042" i="4"/>
  <c r="O2042" i="4"/>
  <c r="P2042" i="4"/>
  <c r="Q2042" i="4"/>
  <c r="N2043" i="4"/>
  <c r="O2043" i="4"/>
  <c r="P2043" i="4"/>
  <c r="Q2043" i="4"/>
  <c r="N2044" i="4"/>
  <c r="O2044" i="4"/>
  <c r="P2044" i="4"/>
  <c r="Q2044" i="4"/>
  <c r="N2045" i="4"/>
  <c r="O2045" i="4"/>
  <c r="P2045" i="4"/>
  <c r="Q2045" i="4"/>
  <c r="N2046" i="4"/>
  <c r="O2046" i="4"/>
  <c r="P2046" i="4"/>
  <c r="Q2046" i="4"/>
  <c r="N2047" i="4"/>
  <c r="O2047" i="4"/>
  <c r="P2047" i="4"/>
  <c r="Q2047" i="4"/>
  <c r="N2048" i="4"/>
  <c r="O2048" i="4"/>
  <c r="P2048" i="4"/>
  <c r="Q2048" i="4"/>
  <c r="N2049" i="4"/>
  <c r="O2049" i="4"/>
  <c r="P2049" i="4"/>
  <c r="Q2049" i="4"/>
  <c r="N2050" i="4"/>
  <c r="O2050" i="4"/>
  <c r="P2050" i="4"/>
  <c r="Q2050" i="4"/>
  <c r="N2051" i="4"/>
  <c r="O2051" i="4"/>
  <c r="P2051" i="4"/>
  <c r="Q2051" i="4"/>
  <c r="N2052" i="4"/>
  <c r="O2052" i="4"/>
  <c r="P2052" i="4"/>
  <c r="Q2052" i="4"/>
  <c r="N2053" i="4"/>
  <c r="O2053" i="4"/>
  <c r="P2053" i="4"/>
  <c r="Q2053" i="4"/>
  <c r="N2054" i="4"/>
  <c r="O2054" i="4"/>
  <c r="P2054" i="4"/>
  <c r="Q2054" i="4"/>
  <c r="N2055" i="4"/>
  <c r="O2055" i="4"/>
  <c r="P2055" i="4"/>
  <c r="Q2055" i="4"/>
  <c r="N2056" i="4"/>
  <c r="O2056" i="4"/>
  <c r="P2056" i="4"/>
  <c r="Q2056" i="4"/>
  <c r="N2057" i="4"/>
  <c r="O2057" i="4"/>
  <c r="P2057" i="4"/>
  <c r="Q2057" i="4"/>
  <c r="N2058" i="4"/>
  <c r="O2058" i="4"/>
  <c r="P2058" i="4"/>
  <c r="Q2058" i="4"/>
  <c r="N2059" i="4"/>
  <c r="O2059" i="4"/>
  <c r="P2059" i="4"/>
  <c r="Q2059" i="4"/>
  <c r="N2060" i="4"/>
  <c r="O2060" i="4"/>
  <c r="P2060" i="4"/>
  <c r="Q2060" i="4"/>
  <c r="N2061" i="4"/>
  <c r="O2061" i="4"/>
  <c r="P2061" i="4"/>
  <c r="Q2061" i="4"/>
  <c r="N2062" i="4"/>
  <c r="O2062" i="4"/>
  <c r="P2062" i="4"/>
  <c r="Q2062" i="4"/>
  <c r="N2063" i="4"/>
  <c r="O2063" i="4"/>
  <c r="P2063" i="4"/>
  <c r="Q2063" i="4"/>
  <c r="N2064" i="4"/>
  <c r="O2064" i="4"/>
  <c r="P2064" i="4"/>
  <c r="Q2064" i="4"/>
  <c r="N2065" i="4"/>
  <c r="O2065" i="4"/>
  <c r="P2065" i="4"/>
  <c r="Q2065" i="4"/>
  <c r="N2066" i="4"/>
  <c r="O2066" i="4"/>
  <c r="P2066" i="4"/>
  <c r="Q2066" i="4"/>
  <c r="N2067" i="4"/>
  <c r="O2067" i="4"/>
  <c r="P2067" i="4"/>
  <c r="Q2067" i="4"/>
  <c r="N2068" i="4"/>
  <c r="O2068" i="4"/>
  <c r="P2068" i="4"/>
  <c r="Q2068" i="4"/>
  <c r="N2069" i="4"/>
  <c r="O2069" i="4"/>
  <c r="P2069" i="4"/>
  <c r="Q2069" i="4"/>
  <c r="N2070" i="4"/>
  <c r="O2070" i="4"/>
  <c r="P2070" i="4"/>
  <c r="Q2070" i="4"/>
  <c r="N2071" i="4"/>
  <c r="O2071" i="4"/>
  <c r="P2071" i="4"/>
  <c r="Q2071" i="4"/>
  <c r="N2072" i="4"/>
  <c r="O2072" i="4"/>
  <c r="P2072" i="4"/>
  <c r="Q2072" i="4"/>
  <c r="N2073" i="4"/>
  <c r="O2073" i="4"/>
  <c r="P2073" i="4"/>
  <c r="Q2073" i="4"/>
  <c r="N2074" i="4"/>
  <c r="O2074" i="4"/>
  <c r="P2074" i="4"/>
  <c r="Q2074" i="4"/>
  <c r="N2075" i="4"/>
  <c r="O2075" i="4"/>
  <c r="P2075" i="4"/>
  <c r="Q2075" i="4"/>
  <c r="N2076" i="4"/>
  <c r="O2076" i="4"/>
  <c r="P2076" i="4"/>
  <c r="Q2076" i="4"/>
  <c r="N2077" i="4"/>
  <c r="O2077" i="4"/>
  <c r="P2077" i="4"/>
  <c r="Q2077" i="4"/>
  <c r="N2078" i="4"/>
  <c r="O2078" i="4"/>
  <c r="P2078" i="4"/>
  <c r="Q2078" i="4"/>
  <c r="N2079" i="4"/>
  <c r="O2079" i="4"/>
  <c r="P2079" i="4"/>
  <c r="Q2079" i="4"/>
  <c r="N2080" i="4"/>
  <c r="O2080" i="4"/>
  <c r="P2080" i="4"/>
  <c r="Q2080" i="4"/>
  <c r="N2081" i="4"/>
  <c r="O2081" i="4"/>
  <c r="P2081" i="4"/>
  <c r="Q2081" i="4"/>
  <c r="N2082" i="4"/>
  <c r="O2082" i="4"/>
  <c r="P2082" i="4"/>
  <c r="Q2082" i="4"/>
  <c r="N2083" i="4"/>
  <c r="O2083" i="4"/>
  <c r="P2083" i="4"/>
  <c r="Q2083" i="4"/>
  <c r="N2084" i="4"/>
  <c r="O2084" i="4"/>
  <c r="P2084" i="4"/>
  <c r="Q2084" i="4"/>
  <c r="N2085" i="4"/>
  <c r="O2085" i="4"/>
  <c r="P2085" i="4"/>
  <c r="Q2085" i="4"/>
  <c r="N2086" i="4"/>
  <c r="O2086" i="4"/>
  <c r="P2086" i="4"/>
  <c r="Q2086" i="4"/>
  <c r="N2087" i="4"/>
  <c r="O2087" i="4"/>
  <c r="P2087" i="4"/>
  <c r="Q2087" i="4"/>
  <c r="N2088" i="4"/>
  <c r="O2088" i="4"/>
  <c r="P2088" i="4"/>
  <c r="Q2088" i="4"/>
  <c r="N2089" i="4"/>
  <c r="O2089" i="4"/>
  <c r="P2089" i="4"/>
  <c r="Q2089" i="4"/>
  <c r="N2090" i="4"/>
  <c r="O2090" i="4"/>
  <c r="P2090" i="4"/>
  <c r="Q2090" i="4"/>
  <c r="N2091" i="4"/>
  <c r="O2091" i="4"/>
  <c r="P2091" i="4"/>
  <c r="Q2091" i="4"/>
  <c r="N2092" i="4"/>
  <c r="O2092" i="4"/>
  <c r="P2092" i="4"/>
  <c r="Q2092" i="4"/>
  <c r="N2093" i="4"/>
  <c r="O2093" i="4"/>
  <c r="P2093" i="4"/>
  <c r="Q2093" i="4"/>
  <c r="N2094" i="4"/>
  <c r="O2094" i="4"/>
  <c r="P2094" i="4"/>
  <c r="Q2094" i="4"/>
  <c r="N2095" i="4"/>
  <c r="O2095" i="4"/>
  <c r="P2095" i="4"/>
  <c r="Q2095" i="4"/>
  <c r="N2096" i="4"/>
  <c r="O2096" i="4"/>
  <c r="P2096" i="4"/>
  <c r="Q2096" i="4"/>
  <c r="N2097" i="4"/>
  <c r="O2097" i="4"/>
  <c r="P2097" i="4"/>
  <c r="Q2097" i="4"/>
  <c r="N2098" i="4"/>
  <c r="O2098" i="4"/>
  <c r="P2098" i="4"/>
  <c r="Q2098" i="4"/>
  <c r="N2099" i="4"/>
  <c r="O2099" i="4"/>
  <c r="P2099" i="4"/>
  <c r="Q2099" i="4"/>
  <c r="N2100" i="4"/>
  <c r="O2100" i="4"/>
  <c r="P2100" i="4"/>
  <c r="Q2100" i="4"/>
  <c r="N2101" i="4"/>
  <c r="O2101" i="4"/>
  <c r="P2101" i="4"/>
  <c r="Q2101" i="4"/>
  <c r="O2002" i="4"/>
  <c r="P2002" i="4"/>
  <c r="Q2002" i="4"/>
  <c r="N2002" i="4"/>
  <c r="H2003" i="4"/>
  <c r="I2003" i="4"/>
  <c r="H2004" i="4"/>
  <c r="I2004" i="4"/>
  <c r="H2005" i="4"/>
  <c r="I2005" i="4"/>
  <c r="H2006" i="4"/>
  <c r="I2006" i="4"/>
  <c r="H2007" i="4"/>
  <c r="I2007" i="4"/>
  <c r="H2008" i="4"/>
  <c r="I2008" i="4"/>
  <c r="H2009" i="4"/>
  <c r="I2009" i="4"/>
  <c r="H2010" i="4"/>
  <c r="I2010" i="4"/>
  <c r="H2011" i="4"/>
  <c r="I2011" i="4"/>
  <c r="H2012" i="4"/>
  <c r="I2012" i="4"/>
  <c r="H2013" i="4"/>
  <c r="I2013" i="4"/>
  <c r="H2014" i="4"/>
  <c r="I2014" i="4"/>
  <c r="H2015" i="4"/>
  <c r="I2015" i="4"/>
  <c r="H2016" i="4"/>
  <c r="I2016" i="4"/>
  <c r="H2017" i="4"/>
  <c r="I2017" i="4"/>
  <c r="H2018" i="4"/>
  <c r="I2018" i="4"/>
  <c r="H2019" i="4"/>
  <c r="I2019" i="4"/>
  <c r="H2020" i="4"/>
  <c r="I2020" i="4"/>
  <c r="H2021" i="4"/>
  <c r="I2021" i="4"/>
  <c r="H2022" i="4"/>
  <c r="I2022" i="4"/>
  <c r="H2023" i="4"/>
  <c r="I2023" i="4"/>
  <c r="H2024" i="4"/>
  <c r="I2024" i="4"/>
  <c r="H2025" i="4"/>
  <c r="I2025" i="4"/>
  <c r="H2026" i="4"/>
  <c r="I2026" i="4"/>
  <c r="H2027" i="4"/>
  <c r="I2027" i="4"/>
  <c r="H2028" i="4"/>
  <c r="I2028" i="4"/>
  <c r="H2029" i="4"/>
  <c r="I2029" i="4"/>
  <c r="H2030" i="4"/>
  <c r="I2030" i="4"/>
  <c r="H2031" i="4"/>
  <c r="I2031" i="4"/>
  <c r="H2032" i="4"/>
  <c r="I2032" i="4"/>
  <c r="H2033" i="4"/>
  <c r="I2033" i="4"/>
  <c r="H2034" i="4"/>
  <c r="I2034" i="4"/>
  <c r="H2035" i="4"/>
  <c r="I2035" i="4"/>
  <c r="H2036" i="4"/>
  <c r="I2036" i="4"/>
  <c r="H2037" i="4"/>
  <c r="I2037" i="4"/>
  <c r="H2038" i="4"/>
  <c r="I2038" i="4"/>
  <c r="H2039" i="4"/>
  <c r="I2039" i="4"/>
  <c r="H2040" i="4"/>
  <c r="I2040" i="4"/>
  <c r="H2041" i="4"/>
  <c r="I2041" i="4"/>
  <c r="H2042" i="4"/>
  <c r="I2042" i="4"/>
  <c r="H2043" i="4"/>
  <c r="I2043" i="4"/>
  <c r="H2044" i="4"/>
  <c r="I2044" i="4"/>
  <c r="H2045" i="4"/>
  <c r="I2045" i="4"/>
  <c r="H2046" i="4"/>
  <c r="I2046" i="4"/>
  <c r="H2047" i="4"/>
  <c r="I2047" i="4"/>
  <c r="H2048" i="4"/>
  <c r="I2048" i="4"/>
  <c r="H2049" i="4"/>
  <c r="I2049" i="4"/>
  <c r="H2050" i="4"/>
  <c r="I2050" i="4"/>
  <c r="H2051" i="4"/>
  <c r="I2051" i="4"/>
  <c r="H2052" i="4"/>
  <c r="I2052" i="4"/>
  <c r="H2053" i="4"/>
  <c r="I2053" i="4"/>
  <c r="H2054" i="4"/>
  <c r="I2054" i="4"/>
  <c r="H2055" i="4"/>
  <c r="I2055" i="4"/>
  <c r="H2056" i="4"/>
  <c r="I2056" i="4"/>
  <c r="H2057" i="4"/>
  <c r="I2057" i="4"/>
  <c r="H2058" i="4"/>
  <c r="I2058" i="4"/>
  <c r="H2059" i="4"/>
  <c r="I2059" i="4"/>
  <c r="H2060" i="4"/>
  <c r="I2060" i="4"/>
  <c r="H2061" i="4"/>
  <c r="I2061" i="4"/>
  <c r="H2062" i="4"/>
  <c r="I2062" i="4"/>
  <c r="H2063" i="4"/>
  <c r="I2063" i="4"/>
  <c r="H2064" i="4"/>
  <c r="I2064" i="4"/>
  <c r="H2065" i="4"/>
  <c r="I2065" i="4"/>
  <c r="H2066" i="4"/>
  <c r="I2066" i="4"/>
  <c r="H2067" i="4"/>
  <c r="I2067" i="4"/>
  <c r="H2068" i="4"/>
  <c r="I2068" i="4"/>
  <c r="H2069" i="4"/>
  <c r="I2069" i="4"/>
  <c r="H2070" i="4"/>
  <c r="I2070" i="4"/>
  <c r="H2071" i="4"/>
  <c r="I2071" i="4"/>
  <c r="H2072" i="4"/>
  <c r="I2072" i="4"/>
  <c r="H2073" i="4"/>
  <c r="I2073" i="4"/>
  <c r="H2074" i="4"/>
  <c r="I2074" i="4"/>
  <c r="H2075" i="4"/>
  <c r="I2075" i="4"/>
  <c r="H2076" i="4"/>
  <c r="I2076" i="4"/>
  <c r="H2077" i="4"/>
  <c r="I2077" i="4"/>
  <c r="H2078" i="4"/>
  <c r="I2078" i="4"/>
  <c r="H2079" i="4"/>
  <c r="I2079" i="4"/>
  <c r="H2080" i="4"/>
  <c r="I2080" i="4"/>
  <c r="H2081" i="4"/>
  <c r="I2081" i="4"/>
  <c r="H2082" i="4"/>
  <c r="I2082" i="4"/>
  <c r="H2083" i="4"/>
  <c r="I2083" i="4"/>
  <c r="H2084" i="4"/>
  <c r="I2084" i="4"/>
  <c r="H2085" i="4"/>
  <c r="I2085" i="4"/>
  <c r="H2086" i="4"/>
  <c r="I2086" i="4"/>
  <c r="H2087" i="4"/>
  <c r="I2087" i="4"/>
  <c r="H2088" i="4"/>
  <c r="I2088" i="4"/>
  <c r="H2089" i="4"/>
  <c r="I2089" i="4"/>
  <c r="H2090" i="4"/>
  <c r="I2090" i="4"/>
  <c r="H2091" i="4"/>
  <c r="I2091" i="4"/>
  <c r="H2092" i="4"/>
  <c r="I2092" i="4"/>
  <c r="H2093" i="4"/>
  <c r="I2093" i="4"/>
  <c r="H2094" i="4"/>
  <c r="I2094" i="4"/>
  <c r="H2095" i="4"/>
  <c r="I2095" i="4"/>
  <c r="H2096" i="4"/>
  <c r="I2096" i="4"/>
  <c r="H2097" i="4"/>
  <c r="I2097" i="4"/>
  <c r="H2098" i="4"/>
  <c r="I2098" i="4"/>
  <c r="H2099" i="4"/>
  <c r="I2099" i="4"/>
  <c r="H2100" i="4"/>
  <c r="I2100" i="4"/>
  <c r="H2101" i="4"/>
  <c r="I2101" i="4"/>
  <c r="I2002" i="4"/>
  <c r="H2002" i="4"/>
  <c r="G2003" i="4"/>
  <c r="G2004" i="4"/>
  <c r="G2005" i="4"/>
  <c r="G2006" i="4"/>
  <c r="G2007" i="4"/>
  <c r="G2008" i="4"/>
  <c r="G2009" i="4"/>
  <c r="G2010" i="4"/>
  <c r="G2011" i="4"/>
  <c r="G2012" i="4"/>
  <c r="G2013" i="4"/>
  <c r="G2014" i="4"/>
  <c r="G2015" i="4"/>
  <c r="G2016" i="4"/>
  <c r="G2017" i="4"/>
  <c r="G2018" i="4"/>
  <c r="G2019" i="4"/>
  <c r="G2020" i="4"/>
  <c r="G2021" i="4"/>
  <c r="G2022" i="4"/>
  <c r="G2023" i="4"/>
  <c r="G2024" i="4"/>
  <c r="G2025" i="4"/>
  <c r="G2026" i="4"/>
  <c r="G2027" i="4"/>
  <c r="G2028" i="4"/>
  <c r="G2029" i="4"/>
  <c r="G2030" i="4"/>
  <c r="G2031" i="4"/>
  <c r="G2032" i="4"/>
  <c r="G2033" i="4"/>
  <c r="G2034" i="4"/>
  <c r="G2035" i="4"/>
  <c r="G2036" i="4"/>
  <c r="G2037" i="4"/>
  <c r="G2038" i="4"/>
  <c r="G2039" i="4"/>
  <c r="G2040" i="4"/>
  <c r="G2041" i="4"/>
  <c r="G2042" i="4"/>
  <c r="G2043" i="4"/>
  <c r="G2044" i="4"/>
  <c r="G2045" i="4"/>
  <c r="G2046" i="4"/>
  <c r="G2047" i="4"/>
  <c r="G2048" i="4"/>
  <c r="G2049" i="4"/>
  <c r="G2050" i="4"/>
  <c r="G2051" i="4"/>
  <c r="G2052" i="4"/>
  <c r="G2053" i="4"/>
  <c r="G2054" i="4"/>
  <c r="G2055" i="4"/>
  <c r="G2056" i="4"/>
  <c r="G2057" i="4"/>
  <c r="G2058" i="4"/>
  <c r="G2059" i="4"/>
  <c r="G2060" i="4"/>
  <c r="G2061" i="4"/>
  <c r="G2062" i="4"/>
  <c r="G2063" i="4"/>
  <c r="G2064" i="4"/>
  <c r="G2065" i="4"/>
  <c r="G2066" i="4"/>
  <c r="G2067" i="4"/>
  <c r="G2068" i="4"/>
  <c r="G2069" i="4"/>
  <c r="G2070" i="4"/>
  <c r="G2071" i="4"/>
  <c r="G2072" i="4"/>
  <c r="G2073" i="4"/>
  <c r="G2074" i="4"/>
  <c r="G2075" i="4"/>
  <c r="G2076" i="4"/>
  <c r="G2077" i="4"/>
  <c r="G2078" i="4"/>
  <c r="G2079" i="4"/>
  <c r="G2080" i="4"/>
  <c r="G2081" i="4"/>
  <c r="G2082" i="4"/>
  <c r="G2083" i="4"/>
  <c r="G2084" i="4"/>
  <c r="G2085" i="4"/>
  <c r="G2086" i="4"/>
  <c r="G2087" i="4"/>
  <c r="G2088" i="4"/>
  <c r="G2089" i="4"/>
  <c r="G2090" i="4"/>
  <c r="G2091" i="4"/>
  <c r="G2092" i="4"/>
  <c r="G2093" i="4"/>
  <c r="G2094" i="4"/>
  <c r="G2095" i="4"/>
  <c r="G2096" i="4"/>
  <c r="G2097" i="4"/>
  <c r="G2098" i="4"/>
  <c r="G2099" i="4"/>
  <c r="G2100" i="4"/>
  <c r="G2101" i="4"/>
  <c r="G2002" i="4"/>
  <c r="N1903" i="4"/>
  <c r="O1903" i="4"/>
  <c r="P1903" i="4"/>
  <c r="Q1903" i="4"/>
  <c r="N1904" i="4"/>
  <c r="O1904" i="4"/>
  <c r="P1904" i="4"/>
  <c r="Q1904" i="4"/>
  <c r="N1905" i="4"/>
  <c r="O1905" i="4"/>
  <c r="P1905" i="4"/>
  <c r="Q1905" i="4"/>
  <c r="N1906" i="4"/>
  <c r="O1906" i="4"/>
  <c r="P1906" i="4"/>
  <c r="Q1906" i="4"/>
  <c r="N1907" i="4"/>
  <c r="O1907" i="4"/>
  <c r="P1907" i="4"/>
  <c r="Q1907" i="4"/>
  <c r="N1908" i="4"/>
  <c r="O1908" i="4"/>
  <c r="P1908" i="4"/>
  <c r="Q1908" i="4"/>
  <c r="N1909" i="4"/>
  <c r="O1909" i="4"/>
  <c r="P1909" i="4"/>
  <c r="Q1909" i="4"/>
  <c r="N1910" i="4"/>
  <c r="O1910" i="4"/>
  <c r="P1910" i="4"/>
  <c r="Q1910" i="4"/>
  <c r="N1911" i="4"/>
  <c r="O1911" i="4"/>
  <c r="P1911" i="4"/>
  <c r="Q1911" i="4"/>
  <c r="N1912" i="4"/>
  <c r="O1912" i="4"/>
  <c r="P1912" i="4"/>
  <c r="Q1912" i="4"/>
  <c r="N1913" i="4"/>
  <c r="O1913" i="4"/>
  <c r="P1913" i="4"/>
  <c r="Q1913" i="4"/>
  <c r="N1914" i="4"/>
  <c r="O1914" i="4"/>
  <c r="P1914" i="4"/>
  <c r="Q1914" i="4"/>
  <c r="N1915" i="4"/>
  <c r="O1915" i="4"/>
  <c r="P1915" i="4"/>
  <c r="Q1915" i="4"/>
  <c r="N1916" i="4"/>
  <c r="O1916" i="4"/>
  <c r="P1916" i="4"/>
  <c r="Q1916" i="4"/>
  <c r="N1917" i="4"/>
  <c r="O1917" i="4"/>
  <c r="P1917" i="4"/>
  <c r="Q1917" i="4"/>
  <c r="N1918" i="4"/>
  <c r="O1918" i="4"/>
  <c r="P1918" i="4"/>
  <c r="Q1918" i="4"/>
  <c r="N1919" i="4"/>
  <c r="O1919" i="4"/>
  <c r="P1919" i="4"/>
  <c r="Q1919" i="4"/>
  <c r="N1920" i="4"/>
  <c r="O1920" i="4"/>
  <c r="P1920" i="4"/>
  <c r="Q1920" i="4"/>
  <c r="N1921" i="4"/>
  <c r="O1921" i="4"/>
  <c r="P1921" i="4"/>
  <c r="Q1921" i="4"/>
  <c r="N1922" i="4"/>
  <c r="O1922" i="4"/>
  <c r="P1922" i="4"/>
  <c r="Q1922" i="4"/>
  <c r="N1923" i="4"/>
  <c r="O1923" i="4"/>
  <c r="P1923" i="4"/>
  <c r="Q1923" i="4"/>
  <c r="N1924" i="4"/>
  <c r="O1924" i="4"/>
  <c r="P1924" i="4"/>
  <c r="Q1924" i="4"/>
  <c r="N1925" i="4"/>
  <c r="O1925" i="4"/>
  <c r="P1925" i="4"/>
  <c r="Q1925" i="4"/>
  <c r="N1926" i="4"/>
  <c r="O1926" i="4"/>
  <c r="P1926" i="4"/>
  <c r="Q1926" i="4"/>
  <c r="N1927" i="4"/>
  <c r="O1927" i="4"/>
  <c r="P1927" i="4"/>
  <c r="Q1927" i="4"/>
  <c r="N1928" i="4"/>
  <c r="O1928" i="4"/>
  <c r="P1928" i="4"/>
  <c r="Q1928" i="4"/>
  <c r="N1929" i="4"/>
  <c r="O1929" i="4"/>
  <c r="P1929" i="4"/>
  <c r="Q1929" i="4"/>
  <c r="N1930" i="4"/>
  <c r="O1930" i="4"/>
  <c r="P1930" i="4"/>
  <c r="Q1930" i="4"/>
  <c r="N1931" i="4"/>
  <c r="O1931" i="4"/>
  <c r="P1931" i="4"/>
  <c r="Q1931" i="4"/>
  <c r="N1932" i="4"/>
  <c r="O1932" i="4"/>
  <c r="P1932" i="4"/>
  <c r="Q1932" i="4"/>
  <c r="N1933" i="4"/>
  <c r="O1933" i="4"/>
  <c r="P1933" i="4"/>
  <c r="Q1933" i="4"/>
  <c r="N1934" i="4"/>
  <c r="O1934" i="4"/>
  <c r="P1934" i="4"/>
  <c r="Q1934" i="4"/>
  <c r="N1935" i="4"/>
  <c r="O1935" i="4"/>
  <c r="P1935" i="4"/>
  <c r="Q1935" i="4"/>
  <c r="N1936" i="4"/>
  <c r="O1936" i="4"/>
  <c r="P1936" i="4"/>
  <c r="Q1936" i="4"/>
  <c r="N1937" i="4"/>
  <c r="O1937" i="4"/>
  <c r="P1937" i="4"/>
  <c r="Q1937" i="4"/>
  <c r="N1938" i="4"/>
  <c r="O1938" i="4"/>
  <c r="P1938" i="4"/>
  <c r="Q1938" i="4"/>
  <c r="N1939" i="4"/>
  <c r="O1939" i="4"/>
  <c r="P1939" i="4"/>
  <c r="Q1939" i="4"/>
  <c r="N1940" i="4"/>
  <c r="O1940" i="4"/>
  <c r="P1940" i="4"/>
  <c r="Q1940" i="4"/>
  <c r="N1941" i="4"/>
  <c r="O1941" i="4"/>
  <c r="P1941" i="4"/>
  <c r="Q1941" i="4"/>
  <c r="N1942" i="4"/>
  <c r="O1942" i="4"/>
  <c r="P1942" i="4"/>
  <c r="Q1942" i="4"/>
  <c r="N1943" i="4"/>
  <c r="O1943" i="4"/>
  <c r="P1943" i="4"/>
  <c r="Q1943" i="4"/>
  <c r="N1944" i="4"/>
  <c r="O1944" i="4"/>
  <c r="P1944" i="4"/>
  <c r="Q1944" i="4"/>
  <c r="N1945" i="4"/>
  <c r="O1945" i="4"/>
  <c r="P1945" i="4"/>
  <c r="Q1945" i="4"/>
  <c r="N1946" i="4"/>
  <c r="O1946" i="4"/>
  <c r="P1946" i="4"/>
  <c r="Q1946" i="4"/>
  <c r="N1947" i="4"/>
  <c r="O1947" i="4"/>
  <c r="P1947" i="4"/>
  <c r="Q1947" i="4"/>
  <c r="N1948" i="4"/>
  <c r="O1948" i="4"/>
  <c r="P1948" i="4"/>
  <c r="Q1948" i="4"/>
  <c r="N1949" i="4"/>
  <c r="O1949" i="4"/>
  <c r="P1949" i="4"/>
  <c r="Q1949" i="4"/>
  <c r="N1950" i="4"/>
  <c r="O1950" i="4"/>
  <c r="P1950" i="4"/>
  <c r="Q1950" i="4"/>
  <c r="N1951" i="4"/>
  <c r="O1951" i="4"/>
  <c r="P1951" i="4"/>
  <c r="Q1951" i="4"/>
  <c r="N1952" i="4"/>
  <c r="O1952" i="4"/>
  <c r="P1952" i="4"/>
  <c r="Q1952" i="4"/>
  <c r="N1953" i="4"/>
  <c r="O1953" i="4"/>
  <c r="P1953" i="4"/>
  <c r="Q1953" i="4"/>
  <c r="N1954" i="4"/>
  <c r="O1954" i="4"/>
  <c r="P1954" i="4"/>
  <c r="Q1954" i="4"/>
  <c r="N1955" i="4"/>
  <c r="O1955" i="4"/>
  <c r="P1955" i="4"/>
  <c r="Q1955" i="4"/>
  <c r="N1956" i="4"/>
  <c r="O1956" i="4"/>
  <c r="P1956" i="4"/>
  <c r="Q1956" i="4"/>
  <c r="N1957" i="4"/>
  <c r="O1957" i="4"/>
  <c r="P1957" i="4"/>
  <c r="Q1957" i="4"/>
  <c r="N1958" i="4"/>
  <c r="O1958" i="4"/>
  <c r="P1958" i="4"/>
  <c r="Q1958" i="4"/>
  <c r="N1959" i="4"/>
  <c r="O1959" i="4"/>
  <c r="P1959" i="4"/>
  <c r="Q1959" i="4"/>
  <c r="N1960" i="4"/>
  <c r="O1960" i="4"/>
  <c r="P1960" i="4"/>
  <c r="Q1960" i="4"/>
  <c r="N1961" i="4"/>
  <c r="O1961" i="4"/>
  <c r="P1961" i="4"/>
  <c r="Q1961" i="4"/>
  <c r="N1962" i="4"/>
  <c r="O1962" i="4"/>
  <c r="P1962" i="4"/>
  <c r="Q1962" i="4"/>
  <c r="N1963" i="4"/>
  <c r="O1963" i="4"/>
  <c r="P1963" i="4"/>
  <c r="Q1963" i="4"/>
  <c r="N1964" i="4"/>
  <c r="O1964" i="4"/>
  <c r="P1964" i="4"/>
  <c r="Q1964" i="4"/>
  <c r="N1965" i="4"/>
  <c r="O1965" i="4"/>
  <c r="P1965" i="4"/>
  <c r="Q1965" i="4"/>
  <c r="N1966" i="4"/>
  <c r="O1966" i="4"/>
  <c r="P1966" i="4"/>
  <c r="Q1966" i="4"/>
  <c r="N1967" i="4"/>
  <c r="O1967" i="4"/>
  <c r="P1967" i="4"/>
  <c r="Q1967" i="4"/>
  <c r="N1968" i="4"/>
  <c r="O1968" i="4"/>
  <c r="P1968" i="4"/>
  <c r="Q1968" i="4"/>
  <c r="N1969" i="4"/>
  <c r="O1969" i="4"/>
  <c r="P1969" i="4"/>
  <c r="Q1969" i="4"/>
  <c r="N1970" i="4"/>
  <c r="O1970" i="4"/>
  <c r="P1970" i="4"/>
  <c r="Q1970" i="4"/>
  <c r="N1971" i="4"/>
  <c r="O1971" i="4"/>
  <c r="P1971" i="4"/>
  <c r="Q1971" i="4"/>
  <c r="N1972" i="4"/>
  <c r="O1972" i="4"/>
  <c r="P1972" i="4"/>
  <c r="Q1972" i="4"/>
  <c r="N1973" i="4"/>
  <c r="O1973" i="4"/>
  <c r="P1973" i="4"/>
  <c r="Q1973" i="4"/>
  <c r="N1974" i="4"/>
  <c r="O1974" i="4"/>
  <c r="P1974" i="4"/>
  <c r="Q1974" i="4"/>
  <c r="N1975" i="4"/>
  <c r="O1975" i="4"/>
  <c r="P1975" i="4"/>
  <c r="Q1975" i="4"/>
  <c r="N1976" i="4"/>
  <c r="O1976" i="4"/>
  <c r="P1976" i="4"/>
  <c r="Q1976" i="4"/>
  <c r="N1977" i="4"/>
  <c r="O1977" i="4"/>
  <c r="P1977" i="4"/>
  <c r="Q1977" i="4"/>
  <c r="N1978" i="4"/>
  <c r="O1978" i="4"/>
  <c r="P1978" i="4"/>
  <c r="Q1978" i="4"/>
  <c r="N1979" i="4"/>
  <c r="O1979" i="4"/>
  <c r="P1979" i="4"/>
  <c r="Q1979" i="4"/>
  <c r="N1980" i="4"/>
  <c r="O1980" i="4"/>
  <c r="P1980" i="4"/>
  <c r="Q1980" i="4"/>
  <c r="N1981" i="4"/>
  <c r="O1981" i="4"/>
  <c r="P1981" i="4"/>
  <c r="Q1981" i="4"/>
  <c r="N1982" i="4"/>
  <c r="O1982" i="4"/>
  <c r="P1982" i="4"/>
  <c r="Q1982" i="4"/>
  <c r="N1983" i="4"/>
  <c r="O1983" i="4"/>
  <c r="P1983" i="4"/>
  <c r="Q1983" i="4"/>
  <c r="N1984" i="4"/>
  <c r="O1984" i="4"/>
  <c r="P1984" i="4"/>
  <c r="Q1984" i="4"/>
  <c r="N1985" i="4"/>
  <c r="O1985" i="4"/>
  <c r="P1985" i="4"/>
  <c r="Q1985" i="4"/>
  <c r="N1986" i="4"/>
  <c r="O1986" i="4"/>
  <c r="P1986" i="4"/>
  <c r="Q1986" i="4"/>
  <c r="N1987" i="4"/>
  <c r="O1987" i="4"/>
  <c r="P1987" i="4"/>
  <c r="Q1987" i="4"/>
  <c r="N1988" i="4"/>
  <c r="O1988" i="4"/>
  <c r="P1988" i="4"/>
  <c r="Q1988" i="4"/>
  <c r="N1989" i="4"/>
  <c r="O1989" i="4"/>
  <c r="P1989" i="4"/>
  <c r="Q1989" i="4"/>
  <c r="N1990" i="4"/>
  <c r="O1990" i="4"/>
  <c r="P1990" i="4"/>
  <c r="Q1990" i="4"/>
  <c r="N1991" i="4"/>
  <c r="O1991" i="4"/>
  <c r="P1991" i="4"/>
  <c r="Q1991" i="4"/>
  <c r="N1992" i="4"/>
  <c r="O1992" i="4"/>
  <c r="P1992" i="4"/>
  <c r="Q1992" i="4"/>
  <c r="N1993" i="4"/>
  <c r="O1993" i="4"/>
  <c r="P1993" i="4"/>
  <c r="Q1993" i="4"/>
  <c r="N1994" i="4"/>
  <c r="O1994" i="4"/>
  <c r="P1994" i="4"/>
  <c r="Q1994" i="4"/>
  <c r="N1995" i="4"/>
  <c r="O1995" i="4"/>
  <c r="P1995" i="4"/>
  <c r="Q1995" i="4"/>
  <c r="N1996" i="4"/>
  <c r="O1996" i="4"/>
  <c r="P1996" i="4"/>
  <c r="Q1996" i="4"/>
  <c r="N1997" i="4"/>
  <c r="O1997" i="4"/>
  <c r="P1997" i="4"/>
  <c r="Q1997" i="4"/>
  <c r="N1998" i="4"/>
  <c r="O1998" i="4"/>
  <c r="P1998" i="4"/>
  <c r="Q1998" i="4"/>
  <c r="N1999" i="4"/>
  <c r="O1999" i="4"/>
  <c r="P1999" i="4"/>
  <c r="Q1999" i="4"/>
  <c r="N2000" i="4"/>
  <c r="O2000" i="4"/>
  <c r="P2000" i="4"/>
  <c r="Q2000" i="4"/>
  <c r="N2001" i="4"/>
  <c r="O2001" i="4"/>
  <c r="P2001" i="4"/>
  <c r="Q2001" i="4"/>
  <c r="O1902" i="4"/>
  <c r="P1902" i="4"/>
  <c r="Q1902" i="4"/>
  <c r="N1902" i="4"/>
  <c r="I1903" i="4"/>
  <c r="I1904" i="4"/>
  <c r="I1905" i="4"/>
  <c r="I1906" i="4"/>
  <c r="I1907" i="4"/>
  <c r="I1908" i="4"/>
  <c r="I1909" i="4"/>
  <c r="I1910" i="4"/>
  <c r="I1911" i="4"/>
  <c r="I1912" i="4"/>
  <c r="I1913" i="4"/>
  <c r="I1914" i="4"/>
  <c r="I1915" i="4"/>
  <c r="I1916" i="4"/>
  <c r="I1917" i="4"/>
  <c r="I1918" i="4"/>
  <c r="I1919" i="4"/>
  <c r="I1920" i="4"/>
  <c r="I1921" i="4"/>
  <c r="I1922" i="4"/>
  <c r="I1923" i="4"/>
  <c r="I1924" i="4"/>
  <c r="I1925" i="4"/>
  <c r="I1926" i="4"/>
  <c r="I1927" i="4"/>
  <c r="I1928" i="4"/>
  <c r="I1929" i="4"/>
  <c r="I1930" i="4"/>
  <c r="I1931" i="4"/>
  <c r="I1932" i="4"/>
  <c r="I1933" i="4"/>
  <c r="I1934" i="4"/>
  <c r="I1935" i="4"/>
  <c r="I1936" i="4"/>
  <c r="I1937" i="4"/>
  <c r="I1938" i="4"/>
  <c r="I1939" i="4"/>
  <c r="I1940" i="4"/>
  <c r="I1941" i="4"/>
  <c r="I1942" i="4"/>
  <c r="I1943" i="4"/>
  <c r="I1944" i="4"/>
  <c r="I1945" i="4"/>
  <c r="I1946" i="4"/>
  <c r="I1947" i="4"/>
  <c r="I1948" i="4"/>
  <c r="I1949" i="4"/>
  <c r="I1950" i="4"/>
  <c r="I1951" i="4"/>
  <c r="I1952" i="4"/>
  <c r="I1953" i="4"/>
  <c r="I1954" i="4"/>
  <c r="I1955" i="4"/>
  <c r="I1956" i="4"/>
  <c r="I1957" i="4"/>
  <c r="I1958" i="4"/>
  <c r="I1959" i="4"/>
  <c r="I1960" i="4"/>
  <c r="I1961" i="4"/>
  <c r="I1962" i="4"/>
  <c r="I1963" i="4"/>
  <c r="I1964" i="4"/>
  <c r="I1965" i="4"/>
  <c r="I1966" i="4"/>
  <c r="I1967" i="4"/>
  <c r="I1968" i="4"/>
  <c r="I1969" i="4"/>
  <c r="I1970" i="4"/>
  <c r="I1971" i="4"/>
  <c r="I1972" i="4"/>
  <c r="I1973" i="4"/>
  <c r="I1974" i="4"/>
  <c r="I1975" i="4"/>
  <c r="I1976" i="4"/>
  <c r="I1977" i="4"/>
  <c r="I1978" i="4"/>
  <c r="I1979" i="4"/>
  <c r="I1980" i="4"/>
  <c r="I1981" i="4"/>
  <c r="I1982" i="4"/>
  <c r="I1983" i="4"/>
  <c r="I1984" i="4"/>
  <c r="I1985" i="4"/>
  <c r="I1986" i="4"/>
  <c r="I1987" i="4"/>
  <c r="I1988" i="4"/>
  <c r="I1989" i="4"/>
  <c r="I1990" i="4"/>
  <c r="I1991" i="4"/>
  <c r="I1992" i="4"/>
  <c r="I1993" i="4"/>
  <c r="I1994" i="4"/>
  <c r="I1995" i="4"/>
  <c r="I1996" i="4"/>
  <c r="I1997" i="4"/>
  <c r="I1998" i="4"/>
  <c r="I1999" i="4"/>
  <c r="I2000" i="4"/>
  <c r="I2001" i="4"/>
  <c r="I1902" i="4"/>
  <c r="H1903" i="4"/>
  <c r="H1904" i="4"/>
  <c r="H1905" i="4"/>
  <c r="H1906" i="4"/>
  <c r="H1907" i="4"/>
  <c r="H1908" i="4"/>
  <c r="H1909" i="4"/>
  <c r="H1910" i="4"/>
  <c r="H1911" i="4"/>
  <c r="H1912" i="4"/>
  <c r="H1913" i="4"/>
  <c r="H1914" i="4"/>
  <c r="H1915" i="4"/>
  <c r="H1916" i="4"/>
  <c r="H1917" i="4"/>
  <c r="H1918" i="4"/>
  <c r="H1919" i="4"/>
  <c r="H1920" i="4"/>
  <c r="H1921" i="4"/>
  <c r="H1922" i="4"/>
  <c r="H1923" i="4"/>
  <c r="H1924" i="4"/>
  <c r="H1925" i="4"/>
  <c r="H1926" i="4"/>
  <c r="H1927" i="4"/>
  <c r="H1928" i="4"/>
  <c r="H1929" i="4"/>
  <c r="H1930" i="4"/>
  <c r="H1931" i="4"/>
  <c r="H1932" i="4"/>
  <c r="H1933" i="4"/>
  <c r="H1934" i="4"/>
  <c r="H1935" i="4"/>
  <c r="H1936" i="4"/>
  <c r="H1937" i="4"/>
  <c r="H1938" i="4"/>
  <c r="H1939" i="4"/>
  <c r="H1940" i="4"/>
  <c r="H1941" i="4"/>
  <c r="H1942" i="4"/>
  <c r="H1943" i="4"/>
  <c r="H1944" i="4"/>
  <c r="H1945" i="4"/>
  <c r="H1946" i="4"/>
  <c r="H1947" i="4"/>
  <c r="H1948" i="4"/>
  <c r="H1949" i="4"/>
  <c r="H1950" i="4"/>
  <c r="H1951" i="4"/>
  <c r="H1952" i="4"/>
  <c r="H1953" i="4"/>
  <c r="H1954" i="4"/>
  <c r="H1955" i="4"/>
  <c r="H1956" i="4"/>
  <c r="H1957" i="4"/>
  <c r="H1958" i="4"/>
  <c r="H1959" i="4"/>
  <c r="H1960" i="4"/>
  <c r="H1961" i="4"/>
  <c r="H1962" i="4"/>
  <c r="H1963" i="4"/>
  <c r="H1964" i="4"/>
  <c r="H1965" i="4"/>
  <c r="H1966" i="4"/>
  <c r="H1967" i="4"/>
  <c r="H1968" i="4"/>
  <c r="H1969" i="4"/>
  <c r="H1970" i="4"/>
  <c r="H1971" i="4"/>
  <c r="H1972" i="4"/>
  <c r="H1973" i="4"/>
  <c r="H1974" i="4"/>
  <c r="H1975" i="4"/>
  <c r="H1976" i="4"/>
  <c r="H1977" i="4"/>
  <c r="H1978" i="4"/>
  <c r="H1979" i="4"/>
  <c r="H1980" i="4"/>
  <c r="H1981" i="4"/>
  <c r="H1982" i="4"/>
  <c r="H1983" i="4"/>
  <c r="H1984" i="4"/>
  <c r="H1985" i="4"/>
  <c r="H1986" i="4"/>
  <c r="H1987" i="4"/>
  <c r="H1988" i="4"/>
  <c r="H1989" i="4"/>
  <c r="H1990" i="4"/>
  <c r="H1991" i="4"/>
  <c r="H1992" i="4"/>
  <c r="H1993" i="4"/>
  <c r="H1994" i="4"/>
  <c r="H1995" i="4"/>
  <c r="H1996" i="4"/>
  <c r="H1997" i="4"/>
  <c r="H1998" i="4"/>
  <c r="H1999" i="4"/>
  <c r="H2000" i="4"/>
  <c r="H2001" i="4"/>
  <c r="H1902" i="4"/>
  <c r="G1903" i="4"/>
  <c r="G1904" i="4"/>
  <c r="G1905" i="4"/>
  <c r="G1906" i="4"/>
  <c r="G1907" i="4"/>
  <c r="G1908" i="4"/>
  <c r="G1909" i="4"/>
  <c r="G1910" i="4"/>
  <c r="G1911" i="4"/>
  <c r="G1912" i="4"/>
  <c r="G1913" i="4"/>
  <c r="G1914" i="4"/>
  <c r="G1915" i="4"/>
  <c r="G1916" i="4"/>
  <c r="G1917" i="4"/>
  <c r="G1918" i="4"/>
  <c r="G1919" i="4"/>
  <c r="G1920" i="4"/>
  <c r="G1921" i="4"/>
  <c r="G1922" i="4"/>
  <c r="G1923" i="4"/>
  <c r="G1924" i="4"/>
  <c r="G1925" i="4"/>
  <c r="G1926" i="4"/>
  <c r="G1927" i="4"/>
  <c r="G1928" i="4"/>
  <c r="G1929" i="4"/>
  <c r="G1930" i="4"/>
  <c r="G1931" i="4"/>
  <c r="G1932" i="4"/>
  <c r="G1933" i="4"/>
  <c r="G1934" i="4"/>
  <c r="G1935" i="4"/>
  <c r="G1936" i="4"/>
  <c r="G1937" i="4"/>
  <c r="G1938" i="4"/>
  <c r="G1939" i="4"/>
  <c r="G1940" i="4"/>
  <c r="G1941" i="4"/>
  <c r="G1942" i="4"/>
  <c r="G1943" i="4"/>
  <c r="G1944" i="4"/>
  <c r="G1945" i="4"/>
  <c r="G1946" i="4"/>
  <c r="G1947" i="4"/>
  <c r="G1948" i="4"/>
  <c r="G1949" i="4"/>
  <c r="G1950" i="4"/>
  <c r="G1951" i="4"/>
  <c r="G1952" i="4"/>
  <c r="G1953" i="4"/>
  <c r="G1954" i="4"/>
  <c r="G1955" i="4"/>
  <c r="G1956" i="4"/>
  <c r="G1957" i="4"/>
  <c r="G1958" i="4"/>
  <c r="G1959" i="4"/>
  <c r="G1960" i="4"/>
  <c r="G1961" i="4"/>
  <c r="G1962" i="4"/>
  <c r="G1963" i="4"/>
  <c r="G1964" i="4"/>
  <c r="G1965" i="4"/>
  <c r="G1966" i="4"/>
  <c r="G1967" i="4"/>
  <c r="G1968" i="4"/>
  <c r="G1969" i="4"/>
  <c r="G1970" i="4"/>
  <c r="G1971" i="4"/>
  <c r="G1972" i="4"/>
  <c r="G1973" i="4"/>
  <c r="G1974" i="4"/>
  <c r="G1975" i="4"/>
  <c r="G1976" i="4"/>
  <c r="G1977" i="4"/>
  <c r="G1978" i="4"/>
  <c r="G1979" i="4"/>
  <c r="G1980" i="4"/>
  <c r="G1981" i="4"/>
  <c r="G1982" i="4"/>
  <c r="G1983" i="4"/>
  <c r="G1984" i="4"/>
  <c r="G1985" i="4"/>
  <c r="G1986" i="4"/>
  <c r="G1987" i="4"/>
  <c r="G1988" i="4"/>
  <c r="G1989" i="4"/>
  <c r="G1990" i="4"/>
  <c r="G1991" i="4"/>
  <c r="G1992" i="4"/>
  <c r="G1993" i="4"/>
  <c r="G1994" i="4"/>
  <c r="G1995" i="4"/>
  <c r="G1996" i="4"/>
  <c r="G1997" i="4"/>
  <c r="G1998" i="4"/>
  <c r="G1999" i="4"/>
  <c r="G2000" i="4"/>
  <c r="G2001" i="4"/>
  <c r="G1902" i="4"/>
  <c r="BV170" i="6"/>
  <c r="BU170" i="6"/>
  <c r="BT170" i="6"/>
  <c r="BS170" i="6"/>
  <c r="BN170" i="6"/>
  <c r="BM170" i="6"/>
  <c r="BL170" i="6"/>
  <c r="BK170" i="6"/>
  <c r="BF170" i="6"/>
  <c r="BE170" i="6"/>
  <c r="BD170" i="6"/>
  <c r="BC170" i="6"/>
  <c r="AX170" i="6"/>
  <c r="AW170" i="6"/>
  <c r="AV170" i="6"/>
  <c r="AU170" i="6"/>
  <c r="BZ169" i="6"/>
  <c r="BY169" i="6"/>
  <c r="BX169" i="6"/>
  <c r="BW169" i="6"/>
  <c r="BR169" i="6"/>
  <c r="BQ169" i="6"/>
  <c r="BP169" i="6"/>
  <c r="BO169" i="6"/>
  <c r="BJ169" i="6"/>
  <c r="BI169" i="6"/>
  <c r="BH169" i="6"/>
  <c r="BG169" i="6"/>
  <c r="BB169" i="6"/>
  <c r="BA169" i="6"/>
  <c r="AZ169" i="6"/>
  <c r="AY169" i="6"/>
  <c r="BZ168" i="6"/>
  <c r="BY168" i="6"/>
  <c r="BX168" i="6"/>
  <c r="BW168" i="6"/>
  <c r="BR168" i="6"/>
  <c r="BQ168" i="6"/>
  <c r="BP168" i="6"/>
  <c r="BO168" i="6"/>
  <c r="BJ168" i="6"/>
  <c r="BI168" i="6"/>
  <c r="BH168" i="6"/>
  <c r="BG168" i="6"/>
  <c r="BB168" i="6"/>
  <c r="BA168" i="6"/>
  <c r="AZ168" i="6"/>
  <c r="AY168" i="6"/>
  <c r="BZ167" i="6"/>
  <c r="BY167" i="6"/>
  <c r="BX167" i="6"/>
  <c r="BW167" i="6"/>
  <c r="BR167" i="6"/>
  <c r="BQ167" i="6"/>
  <c r="BP167" i="6"/>
  <c r="BO167" i="6"/>
  <c r="BJ167" i="6"/>
  <c r="BI167" i="6"/>
  <c r="BH167" i="6"/>
  <c r="BG167" i="6"/>
  <c r="BB167" i="6"/>
  <c r="BA167" i="6"/>
  <c r="AZ167" i="6"/>
  <c r="AY167" i="6"/>
  <c r="BZ166" i="6"/>
  <c r="BY166" i="6"/>
  <c r="BX166" i="6"/>
  <c r="BW166" i="6"/>
  <c r="BR166" i="6"/>
  <c r="BQ166" i="6"/>
  <c r="BP166" i="6"/>
  <c r="BO166" i="6"/>
  <c r="BJ166" i="6"/>
  <c r="BI166" i="6"/>
  <c r="BH166" i="6"/>
  <c r="BG166" i="6"/>
  <c r="BB166" i="6"/>
  <c r="BA166" i="6"/>
  <c r="AZ166" i="6"/>
  <c r="AY166" i="6"/>
  <c r="BZ165" i="6"/>
  <c r="BY165" i="6"/>
  <c r="BX165" i="6"/>
  <c r="BW165" i="6"/>
  <c r="BR165" i="6"/>
  <c r="BQ165" i="6"/>
  <c r="BP165" i="6"/>
  <c r="BO165" i="6"/>
  <c r="BJ165" i="6"/>
  <c r="BI165" i="6"/>
  <c r="BH165" i="6"/>
  <c r="BG165" i="6"/>
  <c r="BB165" i="6"/>
  <c r="BA165" i="6"/>
  <c r="AZ165" i="6"/>
  <c r="AY165" i="6"/>
  <c r="BZ164" i="6"/>
  <c r="BY164" i="6"/>
  <c r="BX164" i="6"/>
  <c r="BW164" i="6"/>
  <c r="BR164" i="6"/>
  <c r="BQ164" i="6"/>
  <c r="BP164" i="6"/>
  <c r="BO164" i="6"/>
  <c r="BJ164" i="6"/>
  <c r="BI164" i="6"/>
  <c r="BH164" i="6"/>
  <c r="BG164" i="6"/>
  <c r="BB164" i="6"/>
  <c r="BA164" i="6"/>
  <c r="AZ164" i="6"/>
  <c r="AY164" i="6"/>
  <c r="BZ163" i="6"/>
  <c r="BY163" i="6"/>
  <c r="BX163" i="6"/>
  <c r="BW163" i="6"/>
  <c r="BR163" i="6"/>
  <c r="BQ163" i="6"/>
  <c r="BP163" i="6"/>
  <c r="BO163" i="6"/>
  <c r="BJ163" i="6"/>
  <c r="BI163" i="6"/>
  <c r="BH163" i="6"/>
  <c r="BG163" i="6"/>
  <c r="BB163" i="6"/>
  <c r="BA163" i="6"/>
  <c r="AZ163" i="6"/>
  <c r="AY163" i="6"/>
  <c r="BZ162" i="6"/>
  <c r="BY162" i="6"/>
  <c r="BX162" i="6"/>
  <c r="BW162" i="6"/>
  <c r="BR162" i="6"/>
  <c r="BQ162" i="6"/>
  <c r="BP162" i="6"/>
  <c r="BO162" i="6"/>
  <c r="BJ162" i="6"/>
  <c r="BI162" i="6"/>
  <c r="BH162" i="6"/>
  <c r="BG162" i="6"/>
  <c r="BB162" i="6"/>
  <c r="BA162" i="6"/>
  <c r="AZ162" i="6"/>
  <c r="AY162" i="6"/>
  <c r="BZ161" i="6"/>
  <c r="BY161" i="6"/>
  <c r="BX161" i="6"/>
  <c r="BW161" i="6"/>
  <c r="BR161" i="6"/>
  <c r="BQ161" i="6"/>
  <c r="BP161" i="6"/>
  <c r="BO161" i="6"/>
  <c r="BJ161" i="6"/>
  <c r="BI161" i="6"/>
  <c r="BH161" i="6"/>
  <c r="BG161" i="6"/>
  <c r="BB161" i="6"/>
  <c r="BA161" i="6"/>
  <c r="AZ161" i="6"/>
  <c r="AY161" i="6"/>
  <c r="BZ160" i="6"/>
  <c r="BY160" i="6"/>
  <c r="BX160" i="6"/>
  <c r="BW160" i="6"/>
  <c r="BR160" i="6"/>
  <c r="BQ160" i="6"/>
  <c r="BP160" i="6"/>
  <c r="BO160" i="6"/>
  <c r="BJ160" i="6"/>
  <c r="BI160" i="6"/>
  <c r="BH160" i="6"/>
  <c r="BG160" i="6"/>
  <c r="BB160" i="6"/>
  <c r="BA160" i="6"/>
  <c r="AZ160" i="6"/>
  <c r="AY160" i="6"/>
  <c r="BZ159" i="6"/>
  <c r="BY159" i="6"/>
  <c r="BX159" i="6"/>
  <c r="BW159" i="6"/>
  <c r="BR159" i="6"/>
  <c r="BQ159" i="6"/>
  <c r="BP159" i="6"/>
  <c r="BO159" i="6"/>
  <c r="BJ159" i="6"/>
  <c r="BI159" i="6"/>
  <c r="BH159" i="6"/>
  <c r="BG159" i="6"/>
  <c r="BB159" i="6"/>
  <c r="BA159" i="6"/>
  <c r="AZ159" i="6"/>
  <c r="AY159" i="6"/>
  <c r="BZ158" i="6"/>
  <c r="BY158" i="6"/>
  <c r="BX158" i="6"/>
  <c r="BW158" i="6"/>
  <c r="BR158" i="6"/>
  <c r="BQ158" i="6"/>
  <c r="BP158" i="6"/>
  <c r="BO158" i="6"/>
  <c r="BJ158" i="6"/>
  <c r="BI158" i="6"/>
  <c r="BH158" i="6"/>
  <c r="BG158" i="6"/>
  <c r="BB158" i="6"/>
  <c r="BA158" i="6"/>
  <c r="AZ158" i="6"/>
  <c r="AY158" i="6"/>
  <c r="BZ157" i="6"/>
  <c r="BY157" i="6"/>
  <c r="BX157" i="6"/>
  <c r="BW157" i="6"/>
  <c r="BR157" i="6"/>
  <c r="BQ157" i="6"/>
  <c r="BP157" i="6"/>
  <c r="BO157" i="6"/>
  <c r="BJ157" i="6"/>
  <c r="BI157" i="6"/>
  <c r="BH157" i="6"/>
  <c r="BG157" i="6"/>
  <c r="BB157" i="6"/>
  <c r="BA157" i="6"/>
  <c r="AZ157" i="6"/>
  <c r="AY157" i="6"/>
  <c r="BZ156" i="6"/>
  <c r="BY156" i="6"/>
  <c r="BX156" i="6"/>
  <c r="BW156" i="6"/>
  <c r="BR156" i="6"/>
  <c r="BQ156" i="6"/>
  <c r="BP156" i="6"/>
  <c r="BO156" i="6"/>
  <c r="BJ156" i="6"/>
  <c r="BI156" i="6"/>
  <c r="BH156" i="6"/>
  <c r="BG156" i="6"/>
  <c r="BB156" i="6"/>
  <c r="BA156" i="6"/>
  <c r="AZ156" i="6"/>
  <c r="AY156" i="6"/>
  <c r="BZ155" i="6"/>
  <c r="BY155" i="6"/>
  <c r="BX155" i="6"/>
  <c r="BW155" i="6"/>
  <c r="BR155" i="6"/>
  <c r="BQ155" i="6"/>
  <c r="BP155" i="6"/>
  <c r="BO155" i="6"/>
  <c r="BJ155" i="6"/>
  <c r="BI155" i="6"/>
  <c r="BH155" i="6"/>
  <c r="BG155" i="6"/>
  <c r="BB155" i="6"/>
  <c r="BA155" i="6"/>
  <c r="AZ155" i="6"/>
  <c r="AY155" i="6"/>
  <c r="BZ154" i="6"/>
  <c r="BY154" i="6"/>
  <c r="BX154" i="6"/>
  <c r="BW154" i="6"/>
  <c r="BR154" i="6"/>
  <c r="BQ154" i="6"/>
  <c r="BP154" i="6"/>
  <c r="BO154" i="6"/>
  <c r="BJ154" i="6"/>
  <c r="BI154" i="6"/>
  <c r="BH154" i="6"/>
  <c r="BG154" i="6"/>
  <c r="BB154" i="6"/>
  <c r="BA154" i="6"/>
  <c r="AZ154" i="6"/>
  <c r="AY154" i="6"/>
  <c r="BZ153" i="6"/>
  <c r="BY153" i="6"/>
  <c r="BX153" i="6"/>
  <c r="BW153" i="6"/>
  <c r="BR153" i="6"/>
  <c r="BQ153" i="6"/>
  <c r="BP153" i="6"/>
  <c r="BO153" i="6"/>
  <c r="BJ153" i="6"/>
  <c r="BI153" i="6"/>
  <c r="BH153" i="6"/>
  <c r="BG153" i="6"/>
  <c r="BB153" i="6"/>
  <c r="BA153" i="6"/>
  <c r="AZ153" i="6"/>
  <c r="AY153" i="6"/>
  <c r="BZ152" i="6"/>
  <c r="BY152" i="6"/>
  <c r="BX152" i="6"/>
  <c r="BW152" i="6"/>
  <c r="BR152" i="6"/>
  <c r="BQ152" i="6"/>
  <c r="BP152" i="6"/>
  <c r="BO152" i="6"/>
  <c r="BJ152" i="6"/>
  <c r="BI152" i="6"/>
  <c r="BH152" i="6"/>
  <c r="BG152" i="6"/>
  <c r="BB152" i="6"/>
  <c r="BA152" i="6"/>
  <c r="AZ152" i="6"/>
  <c r="AY152" i="6"/>
  <c r="BZ151" i="6"/>
  <c r="BY151" i="6"/>
  <c r="BX151" i="6"/>
  <c r="BW151" i="6"/>
  <c r="BR151" i="6"/>
  <c r="BQ151" i="6"/>
  <c r="BP151" i="6"/>
  <c r="BO151" i="6"/>
  <c r="BJ151" i="6"/>
  <c r="BI151" i="6"/>
  <c r="BH151" i="6"/>
  <c r="BG151" i="6"/>
  <c r="BB151" i="6"/>
  <c r="BA151" i="6"/>
  <c r="AZ151" i="6"/>
  <c r="AY151" i="6"/>
  <c r="BZ150" i="6"/>
  <c r="BY150" i="6"/>
  <c r="BX150" i="6"/>
  <c r="BW150" i="6"/>
  <c r="BR150" i="6"/>
  <c r="BQ150" i="6"/>
  <c r="BP150" i="6"/>
  <c r="BO150" i="6"/>
  <c r="BJ150" i="6"/>
  <c r="BI150" i="6"/>
  <c r="BH150" i="6"/>
  <c r="BG150" i="6"/>
  <c r="BB150" i="6"/>
  <c r="BA150" i="6"/>
  <c r="AZ150" i="6"/>
  <c r="AY150" i="6"/>
  <c r="BZ149" i="6"/>
  <c r="BY149" i="6"/>
  <c r="BX149" i="6"/>
  <c r="BW149" i="6"/>
  <c r="BR149" i="6"/>
  <c r="BQ149" i="6"/>
  <c r="BP149" i="6"/>
  <c r="BO149" i="6"/>
  <c r="BJ149" i="6"/>
  <c r="BI149" i="6"/>
  <c r="BH149" i="6"/>
  <c r="BG149" i="6"/>
  <c r="BB149" i="6"/>
  <c r="BA149" i="6"/>
  <c r="AZ149" i="6"/>
  <c r="AY149" i="6"/>
  <c r="BZ148" i="6"/>
  <c r="BY148" i="6"/>
  <c r="BX148" i="6"/>
  <c r="BW148" i="6"/>
  <c r="BR148" i="6"/>
  <c r="BQ148" i="6"/>
  <c r="BP148" i="6"/>
  <c r="BO148" i="6"/>
  <c r="BJ148" i="6"/>
  <c r="BI148" i="6"/>
  <c r="BH148" i="6"/>
  <c r="BG148" i="6"/>
  <c r="BB148" i="6"/>
  <c r="BA148" i="6"/>
  <c r="AZ148" i="6"/>
  <c r="AY148" i="6"/>
  <c r="BZ147" i="6"/>
  <c r="BY147" i="6"/>
  <c r="BX147" i="6"/>
  <c r="BW147" i="6"/>
  <c r="BR147" i="6"/>
  <c r="BQ147" i="6"/>
  <c r="BP147" i="6"/>
  <c r="BO147" i="6"/>
  <c r="BJ147" i="6"/>
  <c r="BI147" i="6"/>
  <c r="BH147" i="6"/>
  <c r="BG147" i="6"/>
  <c r="BB147" i="6"/>
  <c r="BA147" i="6"/>
  <c r="AZ147" i="6"/>
  <c r="AY147" i="6"/>
  <c r="BZ146" i="6"/>
  <c r="BY146" i="6"/>
  <c r="BX146" i="6"/>
  <c r="BW146" i="6"/>
  <c r="BR146" i="6"/>
  <c r="BQ146" i="6"/>
  <c r="BP146" i="6"/>
  <c r="BO146" i="6"/>
  <c r="BJ146" i="6"/>
  <c r="BI146" i="6"/>
  <c r="BH146" i="6"/>
  <c r="BG146" i="6"/>
  <c r="BB146" i="6"/>
  <c r="BA146" i="6"/>
  <c r="AZ146" i="6"/>
  <c r="AY146" i="6"/>
  <c r="BZ145" i="6"/>
  <c r="BY145" i="6"/>
  <c r="BX145" i="6"/>
  <c r="BW145" i="6"/>
  <c r="BR145" i="6"/>
  <c r="BQ145" i="6"/>
  <c r="BP145" i="6"/>
  <c r="BO145" i="6"/>
  <c r="BJ145" i="6"/>
  <c r="BI145" i="6"/>
  <c r="BH145" i="6"/>
  <c r="BG145" i="6"/>
  <c r="BB145" i="6"/>
  <c r="BA145" i="6"/>
  <c r="AZ145" i="6"/>
  <c r="AY145" i="6"/>
  <c r="BZ144" i="6"/>
  <c r="BY144" i="6"/>
  <c r="BX144" i="6"/>
  <c r="BW144" i="6"/>
  <c r="BR144" i="6"/>
  <c r="BQ144" i="6"/>
  <c r="BP144" i="6"/>
  <c r="BO144" i="6"/>
  <c r="BJ144" i="6"/>
  <c r="BI144" i="6"/>
  <c r="BH144" i="6"/>
  <c r="BG144" i="6"/>
  <c r="BB144" i="6"/>
  <c r="BA144" i="6"/>
  <c r="AZ144" i="6"/>
  <c r="AY144" i="6"/>
  <c r="BZ143" i="6"/>
  <c r="BY143" i="6"/>
  <c r="BX143" i="6"/>
  <c r="BW143" i="6"/>
  <c r="BR143" i="6"/>
  <c r="BQ143" i="6"/>
  <c r="BP143" i="6"/>
  <c r="BO143" i="6"/>
  <c r="BJ143" i="6"/>
  <c r="BI143" i="6"/>
  <c r="BH143" i="6"/>
  <c r="BG143" i="6"/>
  <c r="BB143" i="6"/>
  <c r="BA143" i="6"/>
  <c r="AZ143" i="6"/>
  <c r="AY143" i="6"/>
  <c r="BZ142" i="6"/>
  <c r="BY142" i="6"/>
  <c r="BX142" i="6"/>
  <c r="BW142" i="6"/>
  <c r="BR142" i="6"/>
  <c r="BQ142" i="6"/>
  <c r="BP142" i="6"/>
  <c r="BO142" i="6"/>
  <c r="BJ142" i="6"/>
  <c r="BI142" i="6"/>
  <c r="BH142" i="6"/>
  <c r="BG142" i="6"/>
  <c r="BB142" i="6"/>
  <c r="BA142" i="6"/>
  <c r="AZ142" i="6"/>
  <c r="AY142" i="6"/>
  <c r="BZ141" i="6"/>
  <c r="BY141" i="6"/>
  <c r="BX141" i="6"/>
  <c r="BW141" i="6"/>
  <c r="BR141" i="6"/>
  <c r="BQ141" i="6"/>
  <c r="BP141" i="6"/>
  <c r="BO141" i="6"/>
  <c r="BJ141" i="6"/>
  <c r="BI141" i="6"/>
  <c r="BH141" i="6"/>
  <c r="BG141" i="6"/>
  <c r="BB141" i="6"/>
  <c r="BA141" i="6"/>
  <c r="AZ141" i="6"/>
  <c r="AY141" i="6"/>
  <c r="BZ140" i="6"/>
  <c r="BY140" i="6"/>
  <c r="BX140" i="6"/>
  <c r="BW140" i="6"/>
  <c r="BR140" i="6"/>
  <c r="BQ140" i="6"/>
  <c r="BP140" i="6"/>
  <c r="BO140" i="6"/>
  <c r="BJ140" i="6"/>
  <c r="BI140" i="6"/>
  <c r="BH140" i="6"/>
  <c r="BG140" i="6"/>
  <c r="BB140" i="6"/>
  <c r="BA140" i="6"/>
  <c r="AZ140" i="6"/>
  <c r="AY140" i="6"/>
  <c r="BZ139" i="6"/>
  <c r="BY139" i="6"/>
  <c r="BX139" i="6"/>
  <c r="BW139" i="6"/>
  <c r="BR139" i="6"/>
  <c r="BQ139" i="6"/>
  <c r="BP139" i="6"/>
  <c r="BO139" i="6"/>
  <c r="BJ139" i="6"/>
  <c r="BI139" i="6"/>
  <c r="BH139" i="6"/>
  <c r="BG139" i="6"/>
  <c r="BB139" i="6"/>
  <c r="BA139" i="6"/>
  <c r="AZ139" i="6"/>
  <c r="AY139" i="6"/>
  <c r="BZ138" i="6"/>
  <c r="BY138" i="6"/>
  <c r="BX138" i="6"/>
  <c r="BW138" i="6"/>
  <c r="BR138" i="6"/>
  <c r="BQ138" i="6"/>
  <c r="BP138" i="6"/>
  <c r="BO138" i="6"/>
  <c r="BJ138" i="6"/>
  <c r="BI138" i="6"/>
  <c r="BH138" i="6"/>
  <c r="BG138" i="6"/>
  <c r="BB138" i="6"/>
  <c r="BA138" i="6"/>
  <c r="AZ138" i="6"/>
  <c r="AY138" i="6"/>
  <c r="BZ137" i="6"/>
  <c r="BY137" i="6"/>
  <c r="BX137" i="6"/>
  <c r="BW137" i="6"/>
  <c r="BR137" i="6"/>
  <c r="BQ137" i="6"/>
  <c r="BP137" i="6"/>
  <c r="BO137" i="6"/>
  <c r="BJ137" i="6"/>
  <c r="BI137" i="6"/>
  <c r="BH137" i="6"/>
  <c r="BG137" i="6"/>
  <c r="BB137" i="6"/>
  <c r="BA137" i="6"/>
  <c r="AZ137" i="6"/>
  <c r="AY137" i="6"/>
  <c r="BZ136" i="6"/>
  <c r="BY136" i="6"/>
  <c r="BX136" i="6"/>
  <c r="BW136" i="6"/>
  <c r="BR136" i="6"/>
  <c r="BQ136" i="6"/>
  <c r="BP136" i="6"/>
  <c r="BO136" i="6"/>
  <c r="BJ136" i="6"/>
  <c r="BI136" i="6"/>
  <c r="BH136" i="6"/>
  <c r="BG136" i="6"/>
  <c r="BB136" i="6"/>
  <c r="BA136" i="6"/>
  <c r="AZ136" i="6"/>
  <c r="AY136" i="6"/>
  <c r="BZ135" i="6"/>
  <c r="BY135" i="6"/>
  <c r="BX135" i="6"/>
  <c r="BW135" i="6"/>
  <c r="BR135" i="6"/>
  <c r="BQ135" i="6"/>
  <c r="BP135" i="6"/>
  <c r="BO135" i="6"/>
  <c r="BJ135" i="6"/>
  <c r="BI135" i="6"/>
  <c r="BH135" i="6"/>
  <c r="BG135" i="6"/>
  <c r="BB135" i="6"/>
  <c r="BA135" i="6"/>
  <c r="AZ135" i="6"/>
  <c r="AY135" i="6"/>
  <c r="BZ134" i="6"/>
  <c r="BY134" i="6"/>
  <c r="BX134" i="6"/>
  <c r="BW134" i="6"/>
  <c r="BR134" i="6"/>
  <c r="BQ134" i="6"/>
  <c r="BP134" i="6"/>
  <c r="BO134" i="6"/>
  <c r="BJ134" i="6"/>
  <c r="BI134" i="6"/>
  <c r="BH134" i="6"/>
  <c r="BG134" i="6"/>
  <c r="BB134" i="6"/>
  <c r="BA134" i="6"/>
  <c r="AZ134" i="6"/>
  <c r="AY134" i="6"/>
  <c r="BZ133" i="6"/>
  <c r="BY133" i="6"/>
  <c r="BX133" i="6"/>
  <c r="BW133" i="6"/>
  <c r="BR133" i="6"/>
  <c r="BQ133" i="6"/>
  <c r="BP133" i="6"/>
  <c r="BO133" i="6"/>
  <c r="BJ133" i="6"/>
  <c r="BI133" i="6"/>
  <c r="BH133" i="6"/>
  <c r="BG133" i="6"/>
  <c r="BB133" i="6"/>
  <c r="BA133" i="6"/>
  <c r="AZ133" i="6"/>
  <c r="AY133" i="6"/>
  <c r="BZ132" i="6"/>
  <c r="BY132" i="6"/>
  <c r="BX132" i="6"/>
  <c r="BW132" i="6"/>
  <c r="BR132" i="6"/>
  <c r="BQ132" i="6"/>
  <c r="BP132" i="6"/>
  <c r="BO132" i="6"/>
  <c r="BJ132" i="6"/>
  <c r="BI132" i="6"/>
  <c r="BH132" i="6"/>
  <c r="BG132" i="6"/>
  <c r="BB132" i="6"/>
  <c r="BA132" i="6"/>
  <c r="AZ132" i="6"/>
  <c r="AY132" i="6"/>
  <c r="BZ131" i="6"/>
  <c r="BY131" i="6"/>
  <c r="BX131" i="6"/>
  <c r="BW131" i="6"/>
  <c r="BR131" i="6"/>
  <c r="BQ131" i="6"/>
  <c r="BP131" i="6"/>
  <c r="BO131" i="6"/>
  <c r="BJ131" i="6"/>
  <c r="BI131" i="6"/>
  <c r="BH131" i="6"/>
  <c r="BG131" i="6"/>
  <c r="BB131" i="6"/>
  <c r="BA131" i="6"/>
  <c r="AZ131" i="6"/>
  <c r="AY131" i="6"/>
  <c r="BZ130" i="6"/>
  <c r="BY130" i="6"/>
  <c r="BX130" i="6"/>
  <c r="BW130" i="6"/>
  <c r="BR130" i="6"/>
  <c r="BQ130" i="6"/>
  <c r="BP130" i="6"/>
  <c r="BO130" i="6"/>
  <c r="BJ130" i="6"/>
  <c r="BI130" i="6"/>
  <c r="BH130" i="6"/>
  <c r="BG130" i="6"/>
  <c r="BB130" i="6"/>
  <c r="BA130" i="6"/>
  <c r="AZ130" i="6"/>
  <c r="AY130" i="6"/>
  <c r="BZ129" i="6"/>
  <c r="BY129" i="6"/>
  <c r="BX129" i="6"/>
  <c r="BW129" i="6"/>
  <c r="BR129" i="6"/>
  <c r="BQ129" i="6"/>
  <c r="BP129" i="6"/>
  <c r="BO129" i="6"/>
  <c r="BJ129" i="6"/>
  <c r="BI129" i="6"/>
  <c r="BH129" i="6"/>
  <c r="BG129" i="6"/>
  <c r="BB129" i="6"/>
  <c r="BA129" i="6"/>
  <c r="AZ129" i="6"/>
  <c r="AY129" i="6"/>
  <c r="BZ128" i="6"/>
  <c r="BY128" i="6"/>
  <c r="BX128" i="6"/>
  <c r="BW128" i="6"/>
  <c r="BR128" i="6"/>
  <c r="BQ128" i="6"/>
  <c r="BP128" i="6"/>
  <c r="BO128" i="6"/>
  <c r="BJ128" i="6"/>
  <c r="BI128" i="6"/>
  <c r="BH128" i="6"/>
  <c r="BG128" i="6"/>
  <c r="BB128" i="6"/>
  <c r="BA128" i="6"/>
  <c r="AZ128" i="6"/>
  <c r="AY128" i="6"/>
  <c r="BZ127" i="6"/>
  <c r="BY127" i="6"/>
  <c r="BX127" i="6"/>
  <c r="BW127" i="6"/>
  <c r="BR127" i="6"/>
  <c r="BQ127" i="6"/>
  <c r="BP127" i="6"/>
  <c r="BO127" i="6"/>
  <c r="BJ127" i="6"/>
  <c r="BI127" i="6"/>
  <c r="BH127" i="6"/>
  <c r="BG127" i="6"/>
  <c r="BB127" i="6"/>
  <c r="BA127" i="6"/>
  <c r="AZ127" i="6"/>
  <c r="AY127" i="6"/>
  <c r="BZ126" i="6"/>
  <c r="BY126" i="6"/>
  <c r="BX126" i="6"/>
  <c r="BW126" i="6"/>
  <c r="BR126" i="6"/>
  <c r="BQ126" i="6"/>
  <c r="BP126" i="6"/>
  <c r="BO126" i="6"/>
  <c r="BJ126" i="6"/>
  <c r="BI126" i="6"/>
  <c r="BH126" i="6"/>
  <c r="BG126" i="6"/>
  <c r="BB126" i="6"/>
  <c r="BA126" i="6"/>
  <c r="AZ126" i="6"/>
  <c r="AY126" i="6"/>
  <c r="BZ125" i="6"/>
  <c r="BY125" i="6"/>
  <c r="BX125" i="6"/>
  <c r="BW125" i="6"/>
  <c r="BR125" i="6"/>
  <c r="BQ125" i="6"/>
  <c r="BP125" i="6"/>
  <c r="BO125" i="6"/>
  <c r="BJ125" i="6"/>
  <c r="BI125" i="6"/>
  <c r="BH125" i="6"/>
  <c r="BG125" i="6"/>
  <c r="BB125" i="6"/>
  <c r="BA125" i="6"/>
  <c r="AZ125" i="6"/>
  <c r="AY125" i="6"/>
  <c r="BZ124" i="6"/>
  <c r="BY124" i="6"/>
  <c r="BX124" i="6"/>
  <c r="BW124" i="6"/>
  <c r="BR124" i="6"/>
  <c r="BQ124" i="6"/>
  <c r="BP124" i="6"/>
  <c r="BO124" i="6"/>
  <c r="BJ124" i="6"/>
  <c r="BI124" i="6"/>
  <c r="BH124" i="6"/>
  <c r="BG124" i="6"/>
  <c r="BB124" i="6"/>
  <c r="BA124" i="6"/>
  <c r="AZ124" i="6"/>
  <c r="AY124" i="6"/>
  <c r="BZ123" i="6"/>
  <c r="BY123" i="6"/>
  <c r="BX123" i="6"/>
  <c r="BW123" i="6"/>
  <c r="BR123" i="6"/>
  <c r="BQ123" i="6"/>
  <c r="BP123" i="6"/>
  <c r="BO123" i="6"/>
  <c r="BJ123" i="6"/>
  <c r="BI123" i="6"/>
  <c r="BH123" i="6"/>
  <c r="BG123" i="6"/>
  <c r="BB123" i="6"/>
  <c r="BA123" i="6"/>
  <c r="AZ123" i="6"/>
  <c r="AY123" i="6"/>
  <c r="BZ122" i="6"/>
  <c r="BY122" i="6"/>
  <c r="BX122" i="6"/>
  <c r="BW122" i="6"/>
  <c r="BR122" i="6"/>
  <c r="BQ122" i="6"/>
  <c r="BP122" i="6"/>
  <c r="BO122" i="6"/>
  <c r="BJ122" i="6"/>
  <c r="BI122" i="6"/>
  <c r="BH122" i="6"/>
  <c r="BG122" i="6"/>
  <c r="BB122" i="6"/>
  <c r="BA122" i="6"/>
  <c r="AZ122" i="6"/>
  <c r="AY122" i="6"/>
  <c r="BZ121" i="6"/>
  <c r="BY121" i="6"/>
  <c r="BX121" i="6"/>
  <c r="BW121" i="6"/>
  <c r="BR121" i="6"/>
  <c r="BQ121" i="6"/>
  <c r="BP121" i="6"/>
  <c r="BO121" i="6"/>
  <c r="BJ121" i="6"/>
  <c r="BI121" i="6"/>
  <c r="BH121" i="6"/>
  <c r="BG121" i="6"/>
  <c r="BB121" i="6"/>
  <c r="BA121" i="6"/>
  <c r="AZ121" i="6"/>
  <c r="AY121" i="6"/>
  <c r="BZ120" i="6"/>
  <c r="BY120" i="6"/>
  <c r="BX120" i="6"/>
  <c r="BW120" i="6"/>
  <c r="BR120" i="6"/>
  <c r="BQ120" i="6"/>
  <c r="BP120" i="6"/>
  <c r="BO120" i="6"/>
  <c r="BJ120" i="6"/>
  <c r="BI120" i="6"/>
  <c r="BH120" i="6"/>
  <c r="BG120" i="6"/>
  <c r="BB120" i="6"/>
  <c r="BA120" i="6"/>
  <c r="AZ120" i="6"/>
  <c r="AY120" i="6"/>
  <c r="BZ119" i="6"/>
  <c r="BY119" i="6"/>
  <c r="BX119" i="6"/>
  <c r="BW119" i="6"/>
  <c r="BR119" i="6"/>
  <c r="BQ119" i="6"/>
  <c r="BP119" i="6"/>
  <c r="BO119" i="6"/>
  <c r="BJ119" i="6"/>
  <c r="BI119" i="6"/>
  <c r="BH119" i="6"/>
  <c r="BG119" i="6"/>
  <c r="BB119" i="6"/>
  <c r="BA119" i="6"/>
  <c r="AZ119" i="6"/>
  <c r="AY119" i="6"/>
  <c r="BZ118" i="6"/>
  <c r="BY118" i="6"/>
  <c r="BX118" i="6"/>
  <c r="BW118" i="6"/>
  <c r="BR118" i="6"/>
  <c r="BQ118" i="6"/>
  <c r="BP118" i="6"/>
  <c r="BO118" i="6"/>
  <c r="BJ118" i="6"/>
  <c r="BI118" i="6"/>
  <c r="BH118" i="6"/>
  <c r="BG118" i="6"/>
  <c r="BB118" i="6"/>
  <c r="BA118" i="6"/>
  <c r="AZ118" i="6"/>
  <c r="AY118" i="6"/>
  <c r="BZ117" i="6"/>
  <c r="BY117" i="6"/>
  <c r="BX117" i="6"/>
  <c r="BW117" i="6"/>
  <c r="BR117" i="6"/>
  <c r="BQ117" i="6"/>
  <c r="BP117" i="6"/>
  <c r="BO117" i="6"/>
  <c r="BJ117" i="6"/>
  <c r="BI117" i="6"/>
  <c r="BH117" i="6"/>
  <c r="BG117" i="6"/>
  <c r="BB117" i="6"/>
  <c r="BA117" i="6"/>
  <c r="AZ117" i="6"/>
  <c r="AY117" i="6"/>
  <c r="BZ116" i="6"/>
  <c r="BY116" i="6"/>
  <c r="BX116" i="6"/>
  <c r="BW116" i="6"/>
  <c r="BR116" i="6"/>
  <c r="BQ116" i="6"/>
  <c r="BP116" i="6"/>
  <c r="BO116" i="6"/>
  <c r="BJ116" i="6"/>
  <c r="BI116" i="6"/>
  <c r="BH116" i="6"/>
  <c r="BG116" i="6"/>
  <c r="BB116" i="6"/>
  <c r="BA116" i="6"/>
  <c r="AZ116" i="6"/>
  <c r="AY116" i="6"/>
  <c r="BZ115" i="6"/>
  <c r="BY115" i="6"/>
  <c r="BX115" i="6"/>
  <c r="BW115" i="6"/>
  <c r="BR115" i="6"/>
  <c r="BQ115" i="6"/>
  <c r="BP115" i="6"/>
  <c r="BO115" i="6"/>
  <c r="BJ115" i="6"/>
  <c r="BI115" i="6"/>
  <c r="BH115" i="6"/>
  <c r="BG115" i="6"/>
  <c r="BB115" i="6"/>
  <c r="BA115" i="6"/>
  <c r="AZ115" i="6"/>
  <c r="AY115" i="6"/>
  <c r="BZ114" i="6"/>
  <c r="BY114" i="6"/>
  <c r="BX114" i="6"/>
  <c r="BW114" i="6"/>
  <c r="BR114" i="6"/>
  <c r="BQ114" i="6"/>
  <c r="BP114" i="6"/>
  <c r="BO114" i="6"/>
  <c r="BJ114" i="6"/>
  <c r="BI114" i="6"/>
  <c r="BH114" i="6"/>
  <c r="BG114" i="6"/>
  <c r="BB114" i="6"/>
  <c r="BA114" i="6"/>
  <c r="AZ114" i="6"/>
  <c r="AY114" i="6"/>
  <c r="BZ113" i="6"/>
  <c r="BY113" i="6"/>
  <c r="BX113" i="6"/>
  <c r="BW113" i="6"/>
  <c r="BR113" i="6"/>
  <c r="BQ113" i="6"/>
  <c r="BP113" i="6"/>
  <c r="BO113" i="6"/>
  <c r="BJ113" i="6"/>
  <c r="BI113" i="6"/>
  <c r="BH113" i="6"/>
  <c r="BG113" i="6"/>
  <c r="BB113" i="6"/>
  <c r="BA113" i="6"/>
  <c r="AZ113" i="6"/>
  <c r="AY113" i="6"/>
  <c r="BZ112" i="6"/>
  <c r="BY112" i="6"/>
  <c r="BX112" i="6"/>
  <c r="BW112" i="6"/>
  <c r="BR112" i="6"/>
  <c r="BQ112" i="6"/>
  <c r="BP112" i="6"/>
  <c r="BO112" i="6"/>
  <c r="BJ112" i="6"/>
  <c r="BI112" i="6"/>
  <c r="BH112" i="6"/>
  <c r="BG112" i="6"/>
  <c r="BB112" i="6"/>
  <c r="BA112" i="6"/>
  <c r="AZ112" i="6"/>
  <c r="AY112" i="6"/>
  <c r="BZ111" i="6"/>
  <c r="BY111" i="6"/>
  <c r="BX111" i="6"/>
  <c r="BW111" i="6"/>
  <c r="BR111" i="6"/>
  <c r="BQ111" i="6"/>
  <c r="BP111" i="6"/>
  <c r="BO111" i="6"/>
  <c r="BJ111" i="6"/>
  <c r="BI111" i="6"/>
  <c r="BH111" i="6"/>
  <c r="BG111" i="6"/>
  <c r="BB111" i="6"/>
  <c r="BA111" i="6"/>
  <c r="AZ111" i="6"/>
  <c r="AY111" i="6"/>
  <c r="BZ110" i="6"/>
  <c r="BY110" i="6"/>
  <c r="BX110" i="6"/>
  <c r="BW110" i="6"/>
  <c r="BR110" i="6"/>
  <c r="BQ110" i="6"/>
  <c r="BP110" i="6"/>
  <c r="BO110" i="6"/>
  <c r="BJ110" i="6"/>
  <c r="BI110" i="6"/>
  <c r="BH110" i="6"/>
  <c r="BG110" i="6"/>
  <c r="BB110" i="6"/>
  <c r="BA110" i="6"/>
  <c r="AZ110" i="6"/>
  <c r="AY110" i="6"/>
  <c r="BZ109" i="6"/>
  <c r="BZ170" i="6" s="1"/>
  <c r="BY109" i="6"/>
  <c r="BY170" i="6" s="1"/>
  <c r="BX109" i="6"/>
  <c r="BX170" i="6" s="1"/>
  <c r="BW109" i="6"/>
  <c r="BW170" i="6" s="1"/>
  <c r="BR109" i="6"/>
  <c r="BR170" i="6" s="1"/>
  <c r="BQ109" i="6"/>
  <c r="BQ170" i="6" s="1"/>
  <c r="BP109" i="6"/>
  <c r="BP170" i="6" s="1"/>
  <c r="BO109" i="6"/>
  <c r="BO170" i="6" s="1"/>
  <c r="BJ109" i="6"/>
  <c r="BJ170" i="6" s="1"/>
  <c r="BI109" i="6"/>
  <c r="BI170" i="6" s="1"/>
  <c r="BH109" i="6"/>
  <c r="BH170" i="6" s="1"/>
  <c r="BG109" i="6"/>
  <c r="BG170" i="6" s="1"/>
  <c r="BB109" i="6"/>
  <c r="BB170" i="6" s="1"/>
  <c r="BA109" i="6"/>
  <c r="BA170" i="6" s="1"/>
  <c r="AZ109" i="6"/>
  <c r="AZ170" i="6" s="1"/>
  <c r="AY109" i="6"/>
  <c r="AY170" i="6" s="1"/>
  <c r="BY104" i="6"/>
  <c r="BV104" i="6"/>
  <c r="BZ104" i="6" s="1"/>
  <c r="BU104" i="6"/>
  <c r="BT104" i="6"/>
  <c r="BX104" i="6" s="1"/>
  <c r="BS104" i="6"/>
  <c r="BW104" i="6" s="1"/>
  <c r="BQ104" i="6"/>
  <c r="BN104" i="6"/>
  <c r="BR104" i="6" s="1"/>
  <c r="BM104" i="6"/>
  <c r="BL104" i="6"/>
  <c r="BP104" i="6" s="1"/>
  <c r="BK104" i="6"/>
  <c r="BO104" i="6" s="1"/>
  <c r="BF104" i="6"/>
  <c r="BJ104" i="6" s="1"/>
  <c r="BE104" i="6"/>
  <c r="BI104" i="6" s="1"/>
  <c r="BD104" i="6"/>
  <c r="BH104" i="6" s="1"/>
  <c r="BC104" i="6"/>
  <c r="BG104" i="6" s="1"/>
  <c r="AX104" i="6"/>
  <c r="BB104" i="6" s="1"/>
  <c r="AW104" i="6"/>
  <c r="BA104" i="6" s="1"/>
  <c r="AV104" i="6"/>
  <c r="AZ104" i="6" s="1"/>
  <c r="AU104" i="6"/>
  <c r="AY104" i="6" s="1"/>
  <c r="BZ103" i="6"/>
  <c r="BY103" i="6"/>
  <c r="BX103" i="6"/>
  <c r="BW103" i="6"/>
  <c r="BR103" i="6"/>
  <c r="BQ103" i="6"/>
  <c r="BP103" i="6"/>
  <c r="BO103" i="6"/>
  <c r="BJ103" i="6"/>
  <c r="BI103" i="6"/>
  <c r="BH103" i="6"/>
  <c r="BG103" i="6"/>
  <c r="BB103" i="6"/>
  <c r="BA103" i="6"/>
  <c r="AZ103" i="6"/>
  <c r="AY103" i="6"/>
  <c r="BZ102" i="6"/>
  <c r="BY102" i="6"/>
  <c r="BX102" i="6"/>
  <c r="BW102" i="6"/>
  <c r="BR102" i="6"/>
  <c r="BQ102" i="6"/>
  <c r="BP102" i="6"/>
  <c r="BO102" i="6"/>
  <c r="BJ102" i="6"/>
  <c r="BI102" i="6"/>
  <c r="BH102" i="6"/>
  <c r="BG102" i="6"/>
  <c r="BB102" i="6"/>
  <c r="BA102" i="6"/>
  <c r="AZ102" i="6"/>
  <c r="AY102" i="6"/>
  <c r="BZ101" i="6"/>
  <c r="BY101" i="6"/>
  <c r="BX101" i="6"/>
  <c r="BW101" i="6"/>
  <c r="BR101" i="6"/>
  <c r="BQ101" i="6"/>
  <c r="BP101" i="6"/>
  <c r="BO101" i="6"/>
  <c r="BJ101" i="6"/>
  <c r="BI101" i="6"/>
  <c r="BH101" i="6"/>
  <c r="BG101" i="6"/>
  <c r="BB101" i="6"/>
  <c r="BA101" i="6"/>
  <c r="AZ101" i="6"/>
  <c r="AY101" i="6"/>
  <c r="BZ100" i="6"/>
  <c r="BY100" i="6"/>
  <c r="BX100" i="6"/>
  <c r="BW100" i="6"/>
  <c r="BR100" i="6"/>
  <c r="BQ100" i="6"/>
  <c r="BP100" i="6"/>
  <c r="BO100" i="6"/>
  <c r="BJ100" i="6"/>
  <c r="BI100" i="6"/>
  <c r="BH100" i="6"/>
  <c r="BG100" i="6"/>
  <c r="BB100" i="6"/>
  <c r="BA100" i="6"/>
  <c r="AZ100" i="6"/>
  <c r="AY100" i="6"/>
  <c r="BZ99" i="6"/>
  <c r="BY99" i="6"/>
  <c r="BX99" i="6"/>
  <c r="BW99" i="6"/>
  <c r="BR99" i="6"/>
  <c r="BQ99" i="6"/>
  <c r="BP99" i="6"/>
  <c r="BO99" i="6"/>
  <c r="BJ99" i="6"/>
  <c r="BI99" i="6"/>
  <c r="BH99" i="6"/>
  <c r="BG99" i="6"/>
  <c r="BB99" i="6"/>
  <c r="BA99" i="6"/>
  <c r="AZ99" i="6"/>
  <c r="AY99" i="6"/>
  <c r="BZ98" i="6"/>
  <c r="BY98" i="6"/>
  <c r="BX98" i="6"/>
  <c r="BW98" i="6"/>
  <c r="BR98" i="6"/>
  <c r="BQ98" i="6"/>
  <c r="BP98" i="6"/>
  <c r="BO98" i="6"/>
  <c r="BJ98" i="6"/>
  <c r="BI98" i="6"/>
  <c r="BH98" i="6"/>
  <c r="BG98" i="6"/>
  <c r="BB98" i="6"/>
  <c r="BA98" i="6"/>
  <c r="AZ98" i="6"/>
  <c r="AY98" i="6"/>
  <c r="BZ97" i="6"/>
  <c r="BY97" i="6"/>
  <c r="BX97" i="6"/>
  <c r="BW97" i="6"/>
  <c r="BR97" i="6"/>
  <c r="BQ97" i="6"/>
  <c r="BP97" i="6"/>
  <c r="BO97" i="6"/>
  <c r="BJ97" i="6"/>
  <c r="BI97" i="6"/>
  <c r="BH97" i="6"/>
  <c r="BG97" i="6"/>
  <c r="BB97" i="6"/>
  <c r="BA97" i="6"/>
  <c r="AZ97" i="6"/>
  <c r="AY97" i="6"/>
  <c r="BZ96" i="6"/>
  <c r="BY96" i="6"/>
  <c r="BX96" i="6"/>
  <c r="BW96" i="6"/>
  <c r="BR96" i="6"/>
  <c r="BQ96" i="6"/>
  <c r="BP96" i="6"/>
  <c r="BO96" i="6"/>
  <c r="BJ96" i="6"/>
  <c r="BI96" i="6"/>
  <c r="BH96" i="6"/>
  <c r="BG96" i="6"/>
  <c r="BB96" i="6"/>
  <c r="BA96" i="6"/>
  <c r="AZ96" i="6"/>
  <c r="AY96" i="6"/>
  <c r="BZ95" i="6"/>
  <c r="BY95" i="6"/>
  <c r="BX95" i="6"/>
  <c r="BW95" i="6"/>
  <c r="BR95" i="6"/>
  <c r="BQ95" i="6"/>
  <c r="BP95" i="6"/>
  <c r="BO95" i="6"/>
  <c r="BJ95" i="6"/>
  <c r="BI95" i="6"/>
  <c r="BH95" i="6"/>
  <c r="BG95" i="6"/>
  <c r="BB95" i="6"/>
  <c r="BA95" i="6"/>
  <c r="AZ95" i="6"/>
  <c r="AY95" i="6"/>
  <c r="BZ94" i="6"/>
  <c r="BY94" i="6"/>
  <c r="BX94" i="6"/>
  <c r="BW94" i="6"/>
  <c r="BR94" i="6"/>
  <c r="BQ94" i="6"/>
  <c r="BP94" i="6"/>
  <c r="BO94" i="6"/>
  <c r="BJ94" i="6"/>
  <c r="BI94" i="6"/>
  <c r="BH94" i="6"/>
  <c r="BG94" i="6"/>
  <c r="BB94" i="6"/>
  <c r="BA94" i="6"/>
  <c r="AZ94" i="6"/>
  <c r="AY94" i="6"/>
  <c r="BZ93" i="6"/>
  <c r="BY93" i="6"/>
  <c r="BX93" i="6"/>
  <c r="BW93" i="6"/>
  <c r="BR93" i="6"/>
  <c r="BQ93" i="6"/>
  <c r="BP93" i="6"/>
  <c r="BO93" i="6"/>
  <c r="BJ93" i="6"/>
  <c r="BI93" i="6"/>
  <c r="BH93" i="6"/>
  <c r="BG93" i="6"/>
  <c r="BB93" i="6"/>
  <c r="BA93" i="6"/>
  <c r="AZ93" i="6"/>
  <c r="AY93" i="6"/>
  <c r="BZ92" i="6"/>
  <c r="BY92" i="6"/>
  <c r="BX92" i="6"/>
  <c r="BW92" i="6"/>
  <c r="BR92" i="6"/>
  <c r="BQ92" i="6"/>
  <c r="BP92" i="6"/>
  <c r="BO92" i="6"/>
  <c r="BJ92" i="6"/>
  <c r="BI92" i="6"/>
  <c r="BH92" i="6"/>
  <c r="BG92" i="6"/>
  <c r="BB92" i="6"/>
  <c r="BA92" i="6"/>
  <c r="AZ92" i="6"/>
  <c r="AY92" i="6"/>
  <c r="BZ91" i="6"/>
  <c r="BY91" i="6"/>
  <c r="BX91" i="6"/>
  <c r="BW91" i="6"/>
  <c r="BR91" i="6"/>
  <c r="BQ91" i="6"/>
  <c r="BP91" i="6"/>
  <c r="BO91" i="6"/>
  <c r="BJ91" i="6"/>
  <c r="BI91" i="6"/>
  <c r="BH91" i="6"/>
  <c r="BG91" i="6"/>
  <c r="BB91" i="6"/>
  <c r="BA91" i="6"/>
  <c r="AZ91" i="6"/>
  <c r="AY91" i="6"/>
  <c r="BZ90" i="6"/>
  <c r="BY90" i="6"/>
  <c r="BX90" i="6"/>
  <c r="BW90" i="6"/>
  <c r="BR90" i="6"/>
  <c r="BQ90" i="6"/>
  <c r="BP90" i="6"/>
  <c r="BO90" i="6"/>
  <c r="BJ90" i="6"/>
  <c r="BI90" i="6"/>
  <c r="BH90" i="6"/>
  <c r="BG90" i="6"/>
  <c r="BB90" i="6"/>
  <c r="BA90" i="6"/>
  <c r="AZ90" i="6"/>
  <c r="AY90" i="6"/>
  <c r="BZ89" i="6"/>
  <c r="BY89" i="6"/>
  <c r="BX89" i="6"/>
  <c r="BW89" i="6"/>
  <c r="BR89" i="6"/>
  <c r="BQ89" i="6"/>
  <c r="BP89" i="6"/>
  <c r="BO89" i="6"/>
  <c r="BJ89" i="6"/>
  <c r="BI89" i="6"/>
  <c r="BH89" i="6"/>
  <c r="BG89" i="6"/>
  <c r="BB89" i="6"/>
  <c r="BA89" i="6"/>
  <c r="AZ89" i="6"/>
  <c r="AY89" i="6"/>
  <c r="BZ88" i="6"/>
  <c r="BY88" i="6"/>
  <c r="BX88" i="6"/>
  <c r="BW88" i="6"/>
  <c r="BR88" i="6"/>
  <c r="BQ88" i="6"/>
  <c r="BP88" i="6"/>
  <c r="BO88" i="6"/>
  <c r="BJ88" i="6"/>
  <c r="BI88" i="6"/>
  <c r="BH88" i="6"/>
  <c r="BG88" i="6"/>
  <c r="BB88" i="6"/>
  <c r="BA88" i="6"/>
  <c r="AZ88" i="6"/>
  <c r="AY88" i="6"/>
  <c r="BZ87" i="6"/>
  <c r="BY87" i="6"/>
  <c r="BX87" i="6"/>
  <c r="BW87" i="6"/>
  <c r="BR87" i="6"/>
  <c r="BQ87" i="6"/>
  <c r="BP87" i="6"/>
  <c r="BO87" i="6"/>
  <c r="BJ87" i="6"/>
  <c r="BI87" i="6"/>
  <c r="BH87" i="6"/>
  <c r="BG87" i="6"/>
  <c r="BB87" i="6"/>
  <c r="BA87" i="6"/>
  <c r="AZ87" i="6"/>
  <c r="AY87" i="6"/>
  <c r="BZ86" i="6"/>
  <c r="BY86" i="6"/>
  <c r="BX86" i="6"/>
  <c r="BW86" i="6"/>
  <c r="BR86" i="6"/>
  <c r="BQ86" i="6"/>
  <c r="BP86" i="6"/>
  <c r="BO86" i="6"/>
  <c r="BJ86" i="6"/>
  <c r="BI86" i="6"/>
  <c r="BH86" i="6"/>
  <c r="BG86" i="6"/>
  <c r="BB86" i="6"/>
  <c r="BA86" i="6"/>
  <c r="AZ86" i="6"/>
  <c r="AY86" i="6"/>
  <c r="BZ85" i="6"/>
  <c r="BY85" i="6"/>
  <c r="BX85" i="6"/>
  <c r="BW85" i="6"/>
  <c r="BR85" i="6"/>
  <c r="BQ85" i="6"/>
  <c r="BP85" i="6"/>
  <c r="BO85" i="6"/>
  <c r="BJ85" i="6"/>
  <c r="BI85" i="6"/>
  <c r="BH85" i="6"/>
  <c r="BG85" i="6"/>
  <c r="BB85" i="6"/>
  <c r="BA85" i="6"/>
  <c r="AZ85" i="6"/>
  <c r="AY85" i="6"/>
  <c r="BZ84" i="6"/>
  <c r="BY84" i="6"/>
  <c r="BX84" i="6"/>
  <c r="BW84" i="6"/>
  <c r="BR84" i="6"/>
  <c r="BQ84" i="6"/>
  <c r="BP84" i="6"/>
  <c r="BO84" i="6"/>
  <c r="BJ84" i="6"/>
  <c r="BI84" i="6"/>
  <c r="BH84" i="6"/>
  <c r="BG84" i="6"/>
  <c r="BB84" i="6"/>
  <c r="BA84" i="6"/>
  <c r="AZ84" i="6"/>
  <c r="AY84" i="6"/>
  <c r="BZ83" i="6"/>
  <c r="BY83" i="6"/>
  <c r="BX83" i="6"/>
  <c r="BW83" i="6"/>
  <c r="BR83" i="6"/>
  <c r="BQ83" i="6"/>
  <c r="BP83" i="6"/>
  <c r="BO83" i="6"/>
  <c r="BJ83" i="6"/>
  <c r="BI83" i="6"/>
  <c r="BH83" i="6"/>
  <c r="BG83" i="6"/>
  <c r="BB83" i="6"/>
  <c r="BA83" i="6"/>
  <c r="AZ83" i="6"/>
  <c r="AY83" i="6"/>
  <c r="BZ82" i="6"/>
  <c r="BY82" i="6"/>
  <c r="BX82" i="6"/>
  <c r="BW82" i="6"/>
  <c r="BR82" i="6"/>
  <c r="BQ82" i="6"/>
  <c r="BP82" i="6"/>
  <c r="BO82" i="6"/>
  <c r="BJ82" i="6"/>
  <c r="BI82" i="6"/>
  <c r="BH82" i="6"/>
  <c r="BG82" i="6"/>
  <c r="BB82" i="6"/>
  <c r="BA82" i="6"/>
  <c r="AZ82" i="6"/>
  <c r="AY82" i="6"/>
  <c r="BZ81" i="6"/>
  <c r="BY81" i="6"/>
  <c r="BX81" i="6"/>
  <c r="BW81" i="6"/>
  <c r="BR81" i="6"/>
  <c r="BQ81" i="6"/>
  <c r="BP81" i="6"/>
  <c r="BO81" i="6"/>
  <c r="BJ81" i="6"/>
  <c r="BI81" i="6"/>
  <c r="BH81" i="6"/>
  <c r="BG81" i="6"/>
  <c r="BB81" i="6"/>
  <c r="BA81" i="6"/>
  <c r="AZ81" i="6"/>
  <c r="AY81" i="6"/>
  <c r="BZ80" i="6"/>
  <c r="BY80" i="6"/>
  <c r="BX80" i="6"/>
  <c r="BW80" i="6"/>
  <c r="BR80" i="6"/>
  <c r="BQ80" i="6"/>
  <c r="BP80" i="6"/>
  <c r="BO80" i="6"/>
  <c r="BJ80" i="6"/>
  <c r="BI80" i="6"/>
  <c r="BH80" i="6"/>
  <c r="BG80" i="6"/>
  <c r="BB80" i="6"/>
  <c r="BA80" i="6"/>
  <c r="AZ80" i="6"/>
  <c r="AY80" i="6"/>
  <c r="BZ79" i="6"/>
  <c r="BY79" i="6"/>
  <c r="BX79" i="6"/>
  <c r="BW79" i="6"/>
  <c r="BR79" i="6"/>
  <c r="BQ79" i="6"/>
  <c r="BP79" i="6"/>
  <c r="BO79" i="6"/>
  <c r="BJ79" i="6"/>
  <c r="BI79" i="6"/>
  <c r="BH79" i="6"/>
  <c r="BG79" i="6"/>
  <c r="BB79" i="6"/>
  <c r="BA79" i="6"/>
  <c r="AZ79" i="6"/>
  <c r="AY79" i="6"/>
  <c r="BZ78" i="6"/>
  <c r="BY78" i="6"/>
  <c r="BX78" i="6"/>
  <c r="BW78" i="6"/>
  <c r="BR78" i="6"/>
  <c r="BQ78" i="6"/>
  <c r="BP78" i="6"/>
  <c r="BO78" i="6"/>
  <c r="BJ78" i="6"/>
  <c r="BI78" i="6"/>
  <c r="BH78" i="6"/>
  <c r="BG78" i="6"/>
  <c r="BB78" i="6"/>
  <c r="BA78" i="6"/>
  <c r="AZ78" i="6"/>
  <c r="AY78" i="6"/>
  <c r="BZ77" i="6"/>
  <c r="BY77" i="6"/>
  <c r="BX77" i="6"/>
  <c r="BW77" i="6"/>
  <c r="BR77" i="6"/>
  <c r="BQ77" i="6"/>
  <c r="BP77" i="6"/>
  <c r="BO77" i="6"/>
  <c r="BJ77" i="6"/>
  <c r="BI77" i="6"/>
  <c r="BH77" i="6"/>
  <c r="BG77" i="6"/>
  <c r="BB77" i="6"/>
  <c r="BA77" i="6"/>
  <c r="AZ77" i="6"/>
  <c r="AY77" i="6"/>
  <c r="BZ76" i="6"/>
  <c r="BY76" i="6"/>
  <c r="BX76" i="6"/>
  <c r="BW76" i="6"/>
  <c r="BR76" i="6"/>
  <c r="BQ76" i="6"/>
  <c r="BP76" i="6"/>
  <c r="BO76" i="6"/>
  <c r="BJ76" i="6"/>
  <c r="BI76" i="6"/>
  <c r="BH76" i="6"/>
  <c r="BG76" i="6"/>
  <c r="BB76" i="6"/>
  <c r="BA76" i="6"/>
  <c r="AZ76" i="6"/>
  <c r="AY76" i="6"/>
  <c r="BZ75" i="6"/>
  <c r="BY75" i="6"/>
  <c r="BX75" i="6"/>
  <c r="BW75" i="6"/>
  <c r="BR75" i="6"/>
  <c r="BQ75" i="6"/>
  <c r="BP75" i="6"/>
  <c r="BO75" i="6"/>
  <c r="BJ75" i="6"/>
  <c r="BI75" i="6"/>
  <c r="BH75" i="6"/>
  <c r="BG75" i="6"/>
  <c r="BB75" i="6"/>
  <c r="BA75" i="6"/>
  <c r="AZ75" i="6"/>
  <c r="AY75" i="6"/>
  <c r="BZ74" i="6"/>
  <c r="BY74" i="6"/>
  <c r="BX74" i="6"/>
  <c r="BW74" i="6"/>
  <c r="BR74" i="6"/>
  <c r="BQ74" i="6"/>
  <c r="BP74" i="6"/>
  <c r="BO74" i="6"/>
  <c r="BJ74" i="6"/>
  <c r="BI74" i="6"/>
  <c r="BH74" i="6"/>
  <c r="BG74" i="6"/>
  <c r="BB74" i="6"/>
  <c r="BA74" i="6"/>
  <c r="AZ74" i="6"/>
  <c r="AY74" i="6"/>
  <c r="BZ73" i="6"/>
  <c r="BY73" i="6"/>
  <c r="BX73" i="6"/>
  <c r="BW73" i="6"/>
  <c r="BR73" i="6"/>
  <c r="BQ73" i="6"/>
  <c r="BP73" i="6"/>
  <c r="BO73" i="6"/>
  <c r="BJ73" i="6"/>
  <c r="BI73" i="6"/>
  <c r="BH73" i="6"/>
  <c r="BG73" i="6"/>
  <c r="BB73" i="6"/>
  <c r="BA73" i="6"/>
  <c r="AZ73" i="6"/>
  <c r="AY73" i="6"/>
  <c r="BZ72" i="6"/>
  <c r="BY72" i="6"/>
  <c r="BX72" i="6"/>
  <c r="BW72" i="6"/>
  <c r="BR72" i="6"/>
  <c r="BQ72" i="6"/>
  <c r="BP72" i="6"/>
  <c r="BO72" i="6"/>
  <c r="BJ72" i="6"/>
  <c r="BI72" i="6"/>
  <c r="BH72" i="6"/>
  <c r="BG72" i="6"/>
  <c r="BB72" i="6"/>
  <c r="BA72" i="6"/>
  <c r="AZ72" i="6"/>
  <c r="AY72" i="6"/>
  <c r="BZ71" i="6"/>
  <c r="BY71" i="6"/>
  <c r="BX71" i="6"/>
  <c r="BW71" i="6"/>
  <c r="BR71" i="6"/>
  <c r="BQ71" i="6"/>
  <c r="BP71" i="6"/>
  <c r="BO71" i="6"/>
  <c r="BJ71" i="6"/>
  <c r="BI71" i="6"/>
  <c r="BH71" i="6"/>
  <c r="BG71" i="6"/>
  <c r="BB71" i="6"/>
  <c r="BA71" i="6"/>
  <c r="AZ71" i="6"/>
  <c r="AY71" i="6"/>
  <c r="BZ70" i="6"/>
  <c r="BY70" i="6"/>
  <c r="BX70" i="6"/>
  <c r="BW70" i="6"/>
  <c r="BR70" i="6"/>
  <c r="BQ70" i="6"/>
  <c r="BP70" i="6"/>
  <c r="BO70" i="6"/>
  <c r="BJ70" i="6"/>
  <c r="BI70" i="6"/>
  <c r="BH70" i="6"/>
  <c r="BG70" i="6"/>
  <c r="BB70" i="6"/>
  <c r="BA70" i="6"/>
  <c r="AZ70" i="6"/>
  <c r="AY70" i="6"/>
  <c r="BZ69" i="6"/>
  <c r="BY69" i="6"/>
  <c r="BX69" i="6"/>
  <c r="BW69" i="6"/>
  <c r="BR69" i="6"/>
  <c r="BQ69" i="6"/>
  <c r="BP69" i="6"/>
  <c r="BO69" i="6"/>
  <c r="BJ69" i="6"/>
  <c r="BI69" i="6"/>
  <c r="BH69" i="6"/>
  <c r="BG69" i="6"/>
  <c r="BB69" i="6"/>
  <c r="BA69" i="6"/>
  <c r="AZ69" i="6"/>
  <c r="AY69" i="6"/>
  <c r="BZ68" i="6"/>
  <c r="BY68" i="6"/>
  <c r="BX68" i="6"/>
  <c r="BW68" i="6"/>
  <c r="BR68" i="6"/>
  <c r="BQ68" i="6"/>
  <c r="BP68" i="6"/>
  <c r="BO68" i="6"/>
  <c r="BJ68" i="6"/>
  <c r="BI68" i="6"/>
  <c r="BH68" i="6"/>
  <c r="BG68" i="6"/>
  <c r="BB68" i="6"/>
  <c r="BA68" i="6"/>
  <c r="AZ68" i="6"/>
  <c r="AY68" i="6"/>
  <c r="BZ67" i="6"/>
  <c r="BY67" i="6"/>
  <c r="BX67" i="6"/>
  <c r="BW67" i="6"/>
  <c r="BR67" i="6"/>
  <c r="BQ67" i="6"/>
  <c r="BP67" i="6"/>
  <c r="BO67" i="6"/>
  <c r="BJ67" i="6"/>
  <c r="BI67" i="6"/>
  <c r="BH67" i="6"/>
  <c r="BG67" i="6"/>
  <c r="BB67" i="6"/>
  <c r="BA67" i="6"/>
  <c r="AZ67" i="6"/>
  <c r="AY67" i="6"/>
  <c r="BZ66" i="6"/>
  <c r="BY66" i="6"/>
  <c r="BX66" i="6"/>
  <c r="BW66" i="6"/>
  <c r="BR66" i="6"/>
  <c r="BQ66" i="6"/>
  <c r="BP66" i="6"/>
  <c r="BO66" i="6"/>
  <c r="BJ66" i="6"/>
  <c r="BI66" i="6"/>
  <c r="BH66" i="6"/>
  <c r="BG66" i="6"/>
  <c r="BB66" i="6"/>
  <c r="BA66" i="6"/>
  <c r="AZ66" i="6"/>
  <c r="AY66" i="6"/>
  <c r="BZ65" i="6"/>
  <c r="BY65" i="6"/>
  <c r="BX65" i="6"/>
  <c r="BW65" i="6"/>
  <c r="BR65" i="6"/>
  <c r="BQ65" i="6"/>
  <c r="BP65" i="6"/>
  <c r="BO65" i="6"/>
  <c r="BJ65" i="6"/>
  <c r="BI65" i="6"/>
  <c r="BH65" i="6"/>
  <c r="BG65" i="6"/>
  <c r="BB65" i="6"/>
  <c r="BA65" i="6"/>
  <c r="AZ65" i="6"/>
  <c r="AY65" i="6"/>
  <c r="BZ64" i="6"/>
  <c r="BY64" i="6"/>
  <c r="BX64" i="6"/>
  <c r="BW64" i="6"/>
  <c r="BR64" i="6"/>
  <c r="BQ64" i="6"/>
  <c r="BP64" i="6"/>
  <c r="BO64" i="6"/>
  <c r="BJ64" i="6"/>
  <c r="BI64" i="6"/>
  <c r="BH64" i="6"/>
  <c r="BG64" i="6"/>
  <c r="BB64" i="6"/>
  <c r="BA64" i="6"/>
  <c r="AZ64" i="6"/>
  <c r="AY64" i="6"/>
  <c r="BZ63" i="6"/>
  <c r="BY63" i="6"/>
  <c r="BX63" i="6"/>
  <c r="BW63" i="6"/>
  <c r="BR63" i="6"/>
  <c r="BQ63" i="6"/>
  <c r="BP63" i="6"/>
  <c r="BO63" i="6"/>
  <c r="BJ63" i="6"/>
  <c r="BI63" i="6"/>
  <c r="BH63" i="6"/>
  <c r="BG63" i="6"/>
  <c r="BB63" i="6"/>
  <c r="BA63" i="6"/>
  <c r="AZ63" i="6"/>
  <c r="AY63" i="6"/>
  <c r="BZ62" i="6"/>
  <c r="BY62" i="6"/>
  <c r="BX62" i="6"/>
  <c r="BW62" i="6"/>
  <c r="BR62" i="6"/>
  <c r="BQ62" i="6"/>
  <c r="BP62" i="6"/>
  <c r="BO62" i="6"/>
  <c r="BJ62" i="6"/>
  <c r="BI62" i="6"/>
  <c r="BH62" i="6"/>
  <c r="BG62" i="6"/>
  <c r="BB62" i="6"/>
  <c r="BA62" i="6"/>
  <c r="AZ62" i="6"/>
  <c r="AY62" i="6"/>
  <c r="BZ61" i="6"/>
  <c r="BY61" i="6"/>
  <c r="BX61" i="6"/>
  <c r="BW61" i="6"/>
  <c r="BR61" i="6"/>
  <c r="BQ61" i="6"/>
  <c r="BP61" i="6"/>
  <c r="BO61" i="6"/>
  <c r="BJ61" i="6"/>
  <c r="BI61" i="6"/>
  <c r="BH61" i="6"/>
  <c r="BG61" i="6"/>
  <c r="BB61" i="6"/>
  <c r="BA61" i="6"/>
  <c r="AZ61" i="6"/>
  <c r="AY61" i="6"/>
  <c r="BZ60" i="6"/>
  <c r="BY60" i="6"/>
  <c r="BX60" i="6"/>
  <c r="BW60" i="6"/>
  <c r="BR60" i="6"/>
  <c r="BQ60" i="6"/>
  <c r="BP60" i="6"/>
  <c r="BO60" i="6"/>
  <c r="BJ60" i="6"/>
  <c r="BI60" i="6"/>
  <c r="BH60" i="6"/>
  <c r="BG60" i="6"/>
  <c r="BB60" i="6"/>
  <c r="BA60" i="6"/>
  <c r="AZ60" i="6"/>
  <c r="AY60" i="6"/>
  <c r="BZ59" i="6"/>
  <c r="BY59" i="6"/>
  <c r="BX59" i="6"/>
  <c r="BW59" i="6"/>
  <c r="BR59" i="6"/>
  <c r="BQ59" i="6"/>
  <c r="BP59" i="6"/>
  <c r="BO59" i="6"/>
  <c r="BJ59" i="6"/>
  <c r="BI59" i="6"/>
  <c r="BH59" i="6"/>
  <c r="BG59" i="6"/>
  <c r="BB59" i="6"/>
  <c r="BA59" i="6"/>
  <c r="AZ59" i="6"/>
  <c r="AY59" i="6"/>
  <c r="BZ58" i="6"/>
  <c r="BY58" i="6"/>
  <c r="BX58" i="6"/>
  <c r="BW58" i="6"/>
  <c r="BR58" i="6"/>
  <c r="BQ58" i="6"/>
  <c r="BP58" i="6"/>
  <c r="BO58" i="6"/>
  <c r="BJ58" i="6"/>
  <c r="BI58" i="6"/>
  <c r="BH58" i="6"/>
  <c r="BG58" i="6"/>
  <c r="BB58" i="6"/>
  <c r="BA58" i="6"/>
  <c r="AZ58" i="6"/>
  <c r="AY58" i="6"/>
  <c r="BZ57" i="6"/>
  <c r="BY57" i="6"/>
  <c r="BX57" i="6"/>
  <c r="BW57" i="6"/>
  <c r="BR57" i="6"/>
  <c r="BQ57" i="6"/>
  <c r="BP57" i="6"/>
  <c r="BO57" i="6"/>
  <c r="BJ57" i="6"/>
  <c r="BI57" i="6"/>
  <c r="BH57" i="6"/>
  <c r="BG57" i="6"/>
  <c r="BB57" i="6"/>
  <c r="BA57" i="6"/>
  <c r="AZ57" i="6"/>
  <c r="AY57" i="6"/>
  <c r="BZ56" i="6"/>
  <c r="BY56" i="6"/>
  <c r="BX56" i="6"/>
  <c r="BW56" i="6"/>
  <c r="BR56" i="6"/>
  <c r="BQ56" i="6"/>
  <c r="BP56" i="6"/>
  <c r="BO56" i="6"/>
  <c r="BJ56" i="6"/>
  <c r="BI56" i="6"/>
  <c r="BH56" i="6"/>
  <c r="BG56" i="6"/>
  <c r="BB56" i="6"/>
  <c r="BA56" i="6"/>
  <c r="AZ56" i="6"/>
  <c r="AY56" i="6"/>
  <c r="BZ55" i="6"/>
  <c r="BY55" i="6"/>
  <c r="BX55" i="6"/>
  <c r="BW55" i="6"/>
  <c r="BR55" i="6"/>
  <c r="BQ55" i="6"/>
  <c r="BP55" i="6"/>
  <c r="BO55" i="6"/>
  <c r="BJ55" i="6"/>
  <c r="BI55" i="6"/>
  <c r="BH55" i="6"/>
  <c r="BG55" i="6"/>
  <c r="BB55" i="6"/>
  <c r="BA55" i="6"/>
  <c r="AZ55" i="6"/>
  <c r="AY55" i="6"/>
  <c r="BZ54" i="6"/>
  <c r="BY54" i="6"/>
  <c r="BX54" i="6"/>
  <c r="BW54" i="6"/>
  <c r="BR54" i="6"/>
  <c r="BQ54" i="6"/>
  <c r="BP54" i="6"/>
  <c r="BO54" i="6"/>
  <c r="BJ54" i="6"/>
  <c r="BI54" i="6"/>
  <c r="BH54" i="6"/>
  <c r="BG54" i="6"/>
  <c r="BB54" i="6"/>
  <c r="BA54" i="6"/>
  <c r="AZ54" i="6"/>
  <c r="AY54" i="6"/>
  <c r="BZ53" i="6"/>
  <c r="BY53" i="6"/>
  <c r="BX53" i="6"/>
  <c r="BW53" i="6"/>
  <c r="BR53" i="6"/>
  <c r="BQ53" i="6"/>
  <c r="BP53" i="6"/>
  <c r="BO53" i="6"/>
  <c r="BJ53" i="6"/>
  <c r="BI53" i="6"/>
  <c r="BH53" i="6"/>
  <c r="BG53" i="6"/>
  <c r="BB53" i="6"/>
  <c r="BA53" i="6"/>
  <c r="AZ53" i="6"/>
  <c r="AY53" i="6"/>
  <c r="BZ52" i="6"/>
  <c r="BY52" i="6"/>
  <c r="BX52" i="6"/>
  <c r="BW52" i="6"/>
  <c r="BR52" i="6"/>
  <c r="BQ52" i="6"/>
  <c r="BP52" i="6"/>
  <c r="BO52" i="6"/>
  <c r="BJ52" i="6"/>
  <c r="BI52" i="6"/>
  <c r="BH52" i="6"/>
  <c r="BG52" i="6"/>
  <c r="BB52" i="6"/>
  <c r="BA52" i="6"/>
  <c r="AZ52" i="6"/>
  <c r="AY52" i="6"/>
  <c r="BZ51" i="6"/>
  <c r="BY51" i="6"/>
  <c r="BX51" i="6"/>
  <c r="BW51" i="6"/>
  <c r="BR51" i="6"/>
  <c r="BQ51" i="6"/>
  <c r="BP51" i="6"/>
  <c r="BO51" i="6"/>
  <c r="BJ51" i="6"/>
  <c r="BI51" i="6"/>
  <c r="BH51" i="6"/>
  <c r="BG51" i="6"/>
  <c r="BB51" i="6"/>
  <c r="BA51" i="6"/>
  <c r="AZ51" i="6"/>
  <c r="AY51" i="6"/>
  <c r="BZ50" i="6"/>
  <c r="BY50" i="6"/>
  <c r="BX50" i="6"/>
  <c r="BW50" i="6"/>
  <c r="BR50" i="6"/>
  <c r="BQ50" i="6"/>
  <c r="BP50" i="6"/>
  <c r="BO50" i="6"/>
  <c r="BJ50" i="6"/>
  <c r="BI50" i="6"/>
  <c r="BH50" i="6"/>
  <c r="BG50" i="6"/>
  <c r="BB50" i="6"/>
  <c r="BA50" i="6"/>
  <c r="AZ50" i="6"/>
  <c r="AY50" i="6"/>
  <c r="BZ49" i="6"/>
  <c r="BY49" i="6"/>
  <c r="BX49" i="6"/>
  <c r="BW49" i="6"/>
  <c r="BR49" i="6"/>
  <c r="BQ49" i="6"/>
  <c r="BP49" i="6"/>
  <c r="BO49" i="6"/>
  <c r="BJ49" i="6"/>
  <c r="BI49" i="6"/>
  <c r="BH49" i="6"/>
  <c r="BG49" i="6"/>
  <c r="BB49" i="6"/>
  <c r="BA49" i="6"/>
  <c r="AZ49" i="6"/>
  <c r="AY49" i="6"/>
  <c r="BZ48" i="6"/>
  <c r="BY48" i="6"/>
  <c r="BX48" i="6"/>
  <c r="BW48" i="6"/>
  <c r="BR48" i="6"/>
  <c r="BQ48" i="6"/>
  <c r="BP48" i="6"/>
  <c r="BO48" i="6"/>
  <c r="BJ48" i="6"/>
  <c r="BI48" i="6"/>
  <c r="BH48" i="6"/>
  <c r="BG48" i="6"/>
  <c r="BB48" i="6"/>
  <c r="BA48" i="6"/>
  <c r="AZ48" i="6"/>
  <c r="AY48" i="6"/>
  <c r="BZ47" i="6"/>
  <c r="BY47" i="6"/>
  <c r="BX47" i="6"/>
  <c r="BW47" i="6"/>
  <c r="BR47" i="6"/>
  <c r="BQ47" i="6"/>
  <c r="BP47" i="6"/>
  <c r="BO47" i="6"/>
  <c r="BJ47" i="6"/>
  <c r="BI47" i="6"/>
  <c r="BH47" i="6"/>
  <c r="BG47" i="6"/>
  <c r="BB47" i="6"/>
  <c r="BA47" i="6"/>
  <c r="AZ47" i="6"/>
  <c r="AY47" i="6"/>
  <c r="BZ46" i="6"/>
  <c r="BY46" i="6"/>
  <c r="BX46" i="6"/>
  <c r="BW46" i="6"/>
  <c r="BR46" i="6"/>
  <c r="BQ46" i="6"/>
  <c r="BP46" i="6"/>
  <c r="BO46" i="6"/>
  <c r="BJ46" i="6"/>
  <c r="BI46" i="6"/>
  <c r="BH46" i="6"/>
  <c r="BG46" i="6"/>
  <c r="BB46" i="6"/>
  <c r="BA46" i="6"/>
  <c r="AZ46" i="6"/>
  <c r="AY46" i="6"/>
  <c r="BZ45" i="6"/>
  <c r="BY45" i="6"/>
  <c r="BX45" i="6"/>
  <c r="BW45" i="6"/>
  <c r="BR45" i="6"/>
  <c r="BQ45" i="6"/>
  <c r="BP45" i="6"/>
  <c r="BO45" i="6"/>
  <c r="BJ45" i="6"/>
  <c r="BI45" i="6"/>
  <c r="BH45" i="6"/>
  <c r="BG45" i="6"/>
  <c r="BB45" i="6"/>
  <c r="BA45" i="6"/>
  <c r="AZ45" i="6"/>
  <c r="AY45" i="6"/>
  <c r="BZ44" i="6"/>
  <c r="BY44" i="6"/>
  <c r="BX44" i="6"/>
  <c r="BW44" i="6"/>
  <c r="BR44" i="6"/>
  <c r="BQ44" i="6"/>
  <c r="BP44" i="6"/>
  <c r="BO44" i="6"/>
  <c r="BJ44" i="6"/>
  <c r="BI44" i="6"/>
  <c r="BH44" i="6"/>
  <c r="BG44" i="6"/>
  <c r="BB44" i="6"/>
  <c r="BA44" i="6"/>
  <c r="AZ44" i="6"/>
  <c r="AY44" i="6"/>
  <c r="BZ43" i="6"/>
  <c r="BY43" i="6"/>
  <c r="BX43" i="6"/>
  <c r="BW43" i="6"/>
  <c r="BR43" i="6"/>
  <c r="BQ43" i="6"/>
  <c r="BP43" i="6"/>
  <c r="BO43" i="6"/>
  <c r="BJ43" i="6"/>
  <c r="BI43" i="6"/>
  <c r="BH43" i="6"/>
  <c r="BG43" i="6"/>
  <c r="BB43" i="6"/>
  <c r="BA43" i="6"/>
  <c r="AZ43" i="6"/>
  <c r="AY43" i="6"/>
  <c r="BZ42" i="6"/>
  <c r="BY42" i="6"/>
  <c r="BX42" i="6"/>
  <c r="BW42" i="6"/>
  <c r="BR42" i="6"/>
  <c r="BQ42" i="6"/>
  <c r="BP42" i="6"/>
  <c r="BO42" i="6"/>
  <c r="BJ42" i="6"/>
  <c r="BI42" i="6"/>
  <c r="BH42" i="6"/>
  <c r="BG42" i="6"/>
  <c r="BB42" i="6"/>
  <c r="BA42" i="6"/>
  <c r="AZ42" i="6"/>
  <c r="AY42" i="6"/>
  <c r="BZ41" i="6"/>
  <c r="BY41" i="6"/>
  <c r="BX41" i="6"/>
  <c r="BW41" i="6"/>
  <c r="BR41" i="6"/>
  <c r="BQ41" i="6"/>
  <c r="BP41" i="6"/>
  <c r="BO41" i="6"/>
  <c r="BJ41" i="6"/>
  <c r="BI41" i="6"/>
  <c r="BH41" i="6"/>
  <c r="BG41" i="6"/>
  <c r="BB41" i="6"/>
  <c r="BA41" i="6"/>
  <c r="AZ41" i="6"/>
  <c r="AY41" i="6"/>
  <c r="BZ40" i="6"/>
  <c r="BY40" i="6"/>
  <c r="BX40" i="6"/>
  <c r="BW40" i="6"/>
  <c r="BR40" i="6"/>
  <c r="BQ40" i="6"/>
  <c r="BP40" i="6"/>
  <c r="BO40" i="6"/>
  <c r="BJ40" i="6"/>
  <c r="BI40" i="6"/>
  <c r="BH40" i="6"/>
  <c r="BG40" i="6"/>
  <c r="BB40" i="6"/>
  <c r="BA40" i="6"/>
  <c r="AZ40" i="6"/>
  <c r="AY40" i="6"/>
  <c r="BZ39" i="6"/>
  <c r="BY39" i="6"/>
  <c r="BX39" i="6"/>
  <c r="BW39" i="6"/>
  <c r="BR39" i="6"/>
  <c r="BQ39" i="6"/>
  <c r="BP39" i="6"/>
  <c r="BO39" i="6"/>
  <c r="BJ39" i="6"/>
  <c r="BI39" i="6"/>
  <c r="BH39" i="6"/>
  <c r="BG39" i="6"/>
  <c r="BB39" i="6"/>
  <c r="BA39" i="6"/>
  <c r="AZ39" i="6"/>
  <c r="AY39" i="6"/>
  <c r="BZ38" i="6"/>
  <c r="BY38" i="6"/>
  <c r="BX38" i="6"/>
  <c r="BW38" i="6"/>
  <c r="BR38" i="6"/>
  <c r="BQ38" i="6"/>
  <c r="BP38" i="6"/>
  <c r="BO38" i="6"/>
  <c r="BJ38" i="6"/>
  <c r="BI38" i="6"/>
  <c r="BH38" i="6"/>
  <c r="BG38" i="6"/>
  <c r="BB38" i="6"/>
  <c r="BA38" i="6"/>
  <c r="AZ38" i="6"/>
  <c r="AY38" i="6"/>
  <c r="BZ37" i="6"/>
  <c r="BY37" i="6"/>
  <c r="BX37" i="6"/>
  <c r="BW37" i="6"/>
  <c r="BR37" i="6"/>
  <c r="BQ37" i="6"/>
  <c r="BP37" i="6"/>
  <c r="BO37" i="6"/>
  <c r="BJ37" i="6"/>
  <c r="BI37" i="6"/>
  <c r="BH37" i="6"/>
  <c r="BG37" i="6"/>
  <c r="BB37" i="6"/>
  <c r="BA37" i="6"/>
  <c r="AZ37" i="6"/>
  <c r="AY37" i="6"/>
  <c r="BZ36" i="6"/>
  <c r="BY36" i="6"/>
  <c r="BX36" i="6"/>
  <c r="BW36" i="6"/>
  <c r="BR36" i="6"/>
  <c r="BQ36" i="6"/>
  <c r="BP36" i="6"/>
  <c r="BO36" i="6"/>
  <c r="BJ36" i="6"/>
  <c r="BI36" i="6"/>
  <c r="BH36" i="6"/>
  <c r="BG36" i="6"/>
  <c r="BB36" i="6"/>
  <c r="BA36" i="6"/>
  <c r="AZ36" i="6"/>
  <c r="AY36" i="6"/>
  <c r="BZ35" i="6"/>
  <c r="BY35" i="6"/>
  <c r="BX35" i="6"/>
  <c r="BW35" i="6"/>
  <c r="BR35" i="6"/>
  <c r="BQ35" i="6"/>
  <c r="BP35" i="6"/>
  <c r="BO35" i="6"/>
  <c r="BJ35" i="6"/>
  <c r="BI35" i="6"/>
  <c r="BH35" i="6"/>
  <c r="BG35" i="6"/>
  <c r="BB35" i="6"/>
  <c r="BA35" i="6"/>
  <c r="AZ35" i="6"/>
  <c r="AY35" i="6"/>
  <c r="BZ34" i="6"/>
  <c r="BY34" i="6"/>
  <c r="BX34" i="6"/>
  <c r="BW34" i="6"/>
  <c r="BR34" i="6"/>
  <c r="BQ34" i="6"/>
  <c r="BP34" i="6"/>
  <c r="BO34" i="6"/>
  <c r="BJ34" i="6"/>
  <c r="BI34" i="6"/>
  <c r="BH34" i="6"/>
  <c r="BG34" i="6"/>
  <c r="BB34" i="6"/>
  <c r="BA34" i="6"/>
  <c r="AZ34" i="6"/>
  <c r="AY34" i="6"/>
  <c r="BZ33" i="6"/>
  <c r="BY33" i="6"/>
  <c r="BX33" i="6"/>
  <c r="BW33" i="6"/>
  <c r="BR33" i="6"/>
  <c r="BQ33" i="6"/>
  <c r="BP33" i="6"/>
  <c r="BO33" i="6"/>
  <c r="BJ33" i="6"/>
  <c r="BI33" i="6"/>
  <c r="BH33" i="6"/>
  <c r="BG33" i="6"/>
  <c r="BB33" i="6"/>
  <c r="BA33" i="6"/>
  <c r="AZ33" i="6"/>
  <c r="AY33" i="6"/>
  <c r="BZ32" i="6"/>
  <c r="BY32" i="6"/>
  <c r="BX32" i="6"/>
  <c r="BW32" i="6"/>
  <c r="BR32" i="6"/>
  <c r="BQ32" i="6"/>
  <c r="BP32" i="6"/>
  <c r="BO32" i="6"/>
  <c r="BJ32" i="6"/>
  <c r="BI32" i="6"/>
  <c r="BH32" i="6"/>
  <c r="BG32" i="6"/>
  <c r="BB32" i="6"/>
  <c r="BA32" i="6"/>
  <c r="AZ32" i="6"/>
  <c r="AY32" i="6"/>
  <c r="BZ31" i="6"/>
  <c r="BY31" i="6"/>
  <c r="BX31" i="6"/>
  <c r="BW31" i="6"/>
  <c r="BR31" i="6"/>
  <c r="BQ31" i="6"/>
  <c r="BP31" i="6"/>
  <c r="BO31" i="6"/>
  <c r="BJ31" i="6"/>
  <c r="BI31" i="6"/>
  <c r="BH31" i="6"/>
  <c r="BG31" i="6"/>
  <c r="BB31" i="6"/>
  <c r="BA31" i="6"/>
  <c r="AZ31" i="6"/>
  <c r="AY31" i="6"/>
  <c r="BZ30" i="6"/>
  <c r="BY30" i="6"/>
  <c r="BX30" i="6"/>
  <c r="BW30" i="6"/>
  <c r="BR30" i="6"/>
  <c r="BQ30" i="6"/>
  <c r="BP30" i="6"/>
  <c r="BO30" i="6"/>
  <c r="BJ30" i="6"/>
  <c r="BI30" i="6"/>
  <c r="BH30" i="6"/>
  <c r="BG30" i="6"/>
  <c r="BB30" i="6"/>
  <c r="BA30" i="6"/>
  <c r="AZ30" i="6"/>
  <c r="AY30" i="6"/>
  <c r="BZ29" i="6"/>
  <c r="BY29" i="6"/>
  <c r="BX29" i="6"/>
  <c r="BW29" i="6"/>
  <c r="BR29" i="6"/>
  <c r="BQ29" i="6"/>
  <c r="BP29" i="6"/>
  <c r="BO29" i="6"/>
  <c r="BJ29" i="6"/>
  <c r="BI29" i="6"/>
  <c r="BH29" i="6"/>
  <c r="BG29" i="6"/>
  <c r="BB29" i="6"/>
  <c r="BA29" i="6"/>
  <c r="AZ29" i="6"/>
  <c r="AY29" i="6"/>
  <c r="BZ28" i="6"/>
  <c r="BY28" i="6"/>
  <c r="BX28" i="6"/>
  <c r="BW28" i="6"/>
  <c r="BR28" i="6"/>
  <c r="BQ28" i="6"/>
  <c r="BP28" i="6"/>
  <c r="BO28" i="6"/>
  <c r="BJ28" i="6"/>
  <c r="BI28" i="6"/>
  <c r="BH28" i="6"/>
  <c r="BG28" i="6"/>
  <c r="BB28" i="6"/>
  <c r="BA28" i="6"/>
  <c r="AZ28" i="6"/>
  <c r="AY28" i="6"/>
  <c r="BZ27" i="6"/>
  <c r="BY27" i="6"/>
  <c r="BX27" i="6"/>
  <c r="BW27" i="6"/>
  <c r="BR27" i="6"/>
  <c r="BQ27" i="6"/>
  <c r="BP27" i="6"/>
  <c r="BO27" i="6"/>
  <c r="BJ27" i="6"/>
  <c r="BI27" i="6"/>
  <c r="BH27" i="6"/>
  <c r="BG27" i="6"/>
  <c r="BB27" i="6"/>
  <c r="BA27" i="6"/>
  <c r="AZ27" i="6"/>
  <c r="AY27" i="6"/>
  <c r="BZ26" i="6"/>
  <c r="BY26" i="6"/>
  <c r="BX26" i="6"/>
  <c r="BW26" i="6"/>
  <c r="BR26" i="6"/>
  <c r="BQ26" i="6"/>
  <c r="BP26" i="6"/>
  <c r="BO26" i="6"/>
  <c r="BJ26" i="6"/>
  <c r="BI26" i="6"/>
  <c r="BH26" i="6"/>
  <c r="BG26" i="6"/>
  <c r="BB26" i="6"/>
  <c r="BA26" i="6"/>
  <c r="AZ26" i="6"/>
  <c r="AY26" i="6"/>
  <c r="BZ25" i="6"/>
  <c r="BY25" i="6"/>
  <c r="BX25" i="6"/>
  <c r="BW25" i="6"/>
  <c r="BR25" i="6"/>
  <c r="BQ25" i="6"/>
  <c r="BP25" i="6"/>
  <c r="BO25" i="6"/>
  <c r="BJ25" i="6"/>
  <c r="BI25" i="6"/>
  <c r="BH25" i="6"/>
  <c r="BG25" i="6"/>
  <c r="BB25" i="6"/>
  <c r="BA25" i="6"/>
  <c r="AZ25" i="6"/>
  <c r="AY25" i="6"/>
  <c r="BZ24" i="6"/>
  <c r="BY24" i="6"/>
  <c r="BX24" i="6"/>
  <c r="BW24" i="6"/>
  <c r="BR24" i="6"/>
  <c r="BQ24" i="6"/>
  <c r="BP24" i="6"/>
  <c r="BO24" i="6"/>
  <c r="BJ24" i="6"/>
  <c r="BI24" i="6"/>
  <c r="BH24" i="6"/>
  <c r="BG24" i="6"/>
  <c r="BB24" i="6"/>
  <c r="BA24" i="6"/>
  <c r="AZ24" i="6"/>
  <c r="AY24" i="6"/>
  <c r="BZ23" i="6"/>
  <c r="BY23" i="6"/>
  <c r="BX23" i="6"/>
  <c r="BW23" i="6"/>
  <c r="BR23" i="6"/>
  <c r="BQ23" i="6"/>
  <c r="BP23" i="6"/>
  <c r="BO23" i="6"/>
  <c r="BJ23" i="6"/>
  <c r="BI23" i="6"/>
  <c r="BH23" i="6"/>
  <c r="BG23" i="6"/>
  <c r="BB23" i="6"/>
  <c r="BA23" i="6"/>
  <c r="AZ23" i="6"/>
  <c r="AY23" i="6"/>
  <c r="BZ22" i="6"/>
  <c r="BY22" i="6"/>
  <c r="BX22" i="6"/>
  <c r="BW22" i="6"/>
  <c r="BR22" i="6"/>
  <c r="BQ22" i="6"/>
  <c r="BP22" i="6"/>
  <c r="BO22" i="6"/>
  <c r="BJ22" i="6"/>
  <c r="BI22" i="6"/>
  <c r="BH22" i="6"/>
  <c r="BG22" i="6"/>
  <c r="BB22" i="6"/>
  <c r="BA22" i="6"/>
  <c r="AZ22" i="6"/>
  <c r="AY22" i="6"/>
  <c r="BZ21" i="6"/>
  <c r="BY21" i="6"/>
  <c r="BX21" i="6"/>
  <c r="BW21" i="6"/>
  <c r="BR21" i="6"/>
  <c r="BQ21" i="6"/>
  <c r="BP21" i="6"/>
  <c r="BO21" i="6"/>
  <c r="BJ21" i="6"/>
  <c r="BI21" i="6"/>
  <c r="BH21" i="6"/>
  <c r="BG21" i="6"/>
  <c r="BB21" i="6"/>
  <c r="BA21" i="6"/>
  <c r="AZ21" i="6"/>
  <c r="AY21" i="6"/>
  <c r="BZ20" i="6"/>
  <c r="BY20" i="6"/>
  <c r="BX20" i="6"/>
  <c r="BW20" i="6"/>
  <c r="BR20" i="6"/>
  <c r="BQ20" i="6"/>
  <c r="BP20" i="6"/>
  <c r="BO20" i="6"/>
  <c r="BJ20" i="6"/>
  <c r="BI20" i="6"/>
  <c r="BH20" i="6"/>
  <c r="BG20" i="6"/>
  <c r="BB20" i="6"/>
  <c r="BA20" i="6"/>
  <c r="AZ20" i="6"/>
  <c r="AY20" i="6"/>
  <c r="BZ19" i="6"/>
  <c r="BY19" i="6"/>
  <c r="BX19" i="6"/>
  <c r="BW19" i="6"/>
  <c r="BR19" i="6"/>
  <c r="BQ19" i="6"/>
  <c r="BP19" i="6"/>
  <c r="BO19" i="6"/>
  <c r="BJ19" i="6"/>
  <c r="BI19" i="6"/>
  <c r="BH19" i="6"/>
  <c r="BG19" i="6"/>
  <c r="BB19" i="6"/>
  <c r="BA19" i="6"/>
  <c r="AZ19" i="6"/>
  <c r="AY19" i="6"/>
  <c r="BZ18" i="6"/>
  <c r="BY18" i="6"/>
  <c r="BX18" i="6"/>
  <c r="BW18" i="6"/>
  <c r="BR18" i="6"/>
  <c r="BQ18" i="6"/>
  <c r="BP18" i="6"/>
  <c r="BO18" i="6"/>
  <c r="BJ18" i="6"/>
  <c r="BI18" i="6"/>
  <c r="BH18" i="6"/>
  <c r="BG18" i="6"/>
  <c r="BB18" i="6"/>
  <c r="BA18" i="6"/>
  <c r="AZ18" i="6"/>
  <c r="AY18" i="6"/>
  <c r="BZ17" i="6"/>
  <c r="BY17" i="6"/>
  <c r="BX17" i="6"/>
  <c r="BW17" i="6"/>
  <c r="BR17" i="6"/>
  <c r="BQ17" i="6"/>
  <c r="BP17" i="6"/>
  <c r="BO17" i="6"/>
  <c r="BJ17" i="6"/>
  <c r="BI17" i="6"/>
  <c r="BH17" i="6"/>
  <c r="BG17" i="6"/>
  <c r="BB17" i="6"/>
  <c r="BA17" i="6"/>
  <c r="AZ17" i="6"/>
  <c r="AY17" i="6"/>
  <c r="BZ16" i="6"/>
  <c r="BY16" i="6"/>
  <c r="BX16" i="6"/>
  <c r="BW16" i="6"/>
  <c r="BR16" i="6"/>
  <c r="BQ16" i="6"/>
  <c r="BP16" i="6"/>
  <c r="BO16" i="6"/>
  <c r="BJ16" i="6"/>
  <c r="BI16" i="6"/>
  <c r="BH16" i="6"/>
  <c r="BG16" i="6"/>
  <c r="BB16" i="6"/>
  <c r="BA16" i="6"/>
  <c r="AZ16" i="6"/>
  <c r="AY16" i="6"/>
  <c r="BZ15" i="6"/>
  <c r="BY15" i="6"/>
  <c r="BX15" i="6"/>
  <c r="BW15" i="6"/>
  <c r="BR15" i="6"/>
  <c r="BQ15" i="6"/>
  <c r="BP15" i="6"/>
  <c r="BO15" i="6"/>
  <c r="BJ15" i="6"/>
  <c r="BI15" i="6"/>
  <c r="BH15" i="6"/>
  <c r="BG15" i="6"/>
  <c r="BB15" i="6"/>
  <c r="BA15" i="6"/>
  <c r="AZ15" i="6"/>
  <c r="AY15" i="6"/>
  <c r="BZ14" i="6"/>
  <c r="BY14" i="6"/>
  <c r="BX14" i="6"/>
  <c r="BW14" i="6"/>
  <c r="BR14" i="6"/>
  <c r="BQ14" i="6"/>
  <c r="BP14" i="6"/>
  <c r="BO14" i="6"/>
  <c r="BJ14" i="6"/>
  <c r="BI14" i="6"/>
  <c r="BH14" i="6"/>
  <c r="BG14" i="6"/>
  <c r="BB14" i="6"/>
  <c r="BA14" i="6"/>
  <c r="AZ14" i="6"/>
  <c r="AY14" i="6"/>
  <c r="BZ13" i="6"/>
  <c r="BY13" i="6"/>
  <c r="BX13" i="6"/>
  <c r="BW13" i="6"/>
  <c r="BR13" i="6"/>
  <c r="BQ13" i="6"/>
  <c r="BP13" i="6"/>
  <c r="BO13" i="6"/>
  <c r="BJ13" i="6"/>
  <c r="BI13" i="6"/>
  <c r="BH13" i="6"/>
  <c r="BG13" i="6"/>
  <c r="BB13" i="6"/>
  <c r="BA13" i="6"/>
  <c r="AZ13" i="6"/>
  <c r="AY13" i="6"/>
  <c r="BZ12" i="6"/>
  <c r="BY12" i="6"/>
  <c r="BX12" i="6"/>
  <c r="BW12" i="6"/>
  <c r="BR12" i="6"/>
  <c r="BQ12" i="6"/>
  <c r="BP12" i="6"/>
  <c r="BO12" i="6"/>
  <c r="BJ12" i="6"/>
  <c r="BI12" i="6"/>
  <c r="BH12" i="6"/>
  <c r="BG12" i="6"/>
  <c r="BB12" i="6"/>
  <c r="BA12" i="6"/>
  <c r="AZ12" i="6"/>
  <c r="AY12" i="6"/>
  <c r="BZ11" i="6"/>
  <c r="BY11" i="6"/>
  <c r="BX11" i="6"/>
  <c r="BW11" i="6"/>
  <c r="BR11" i="6"/>
  <c r="BQ11" i="6"/>
  <c r="BP11" i="6"/>
  <c r="BO11" i="6"/>
  <c r="BJ11" i="6"/>
  <c r="BI11" i="6"/>
  <c r="BH11" i="6"/>
  <c r="BG11" i="6"/>
  <c r="BB11" i="6"/>
  <c r="BA11" i="6"/>
  <c r="AZ11" i="6"/>
  <c r="AY11" i="6"/>
  <c r="BZ10" i="6"/>
  <c r="BY10" i="6"/>
  <c r="BX10" i="6"/>
  <c r="BW10" i="6"/>
  <c r="BR10" i="6"/>
  <c r="BQ10" i="6"/>
  <c r="BP10" i="6"/>
  <c r="BO10" i="6"/>
  <c r="BJ10" i="6"/>
  <c r="BI10" i="6"/>
  <c r="BH10" i="6"/>
  <c r="BG10" i="6"/>
  <c r="BB10" i="6"/>
  <c r="BA10" i="6"/>
  <c r="AZ10" i="6"/>
  <c r="AY10" i="6"/>
  <c r="BZ9" i="6"/>
  <c r="BY9" i="6"/>
  <c r="BX9" i="6"/>
  <c r="BW9" i="6"/>
  <c r="BR9" i="6"/>
  <c r="BQ9" i="6"/>
  <c r="BP9" i="6"/>
  <c r="BO9" i="6"/>
  <c r="BJ9" i="6"/>
  <c r="BI9" i="6"/>
  <c r="BH9" i="6"/>
  <c r="BG9" i="6"/>
  <c r="BB9" i="6"/>
  <c r="BA9" i="6"/>
  <c r="AZ9" i="6"/>
  <c r="AY9" i="6"/>
  <c r="BZ8" i="6"/>
  <c r="BY8" i="6"/>
  <c r="BX8" i="6"/>
  <c r="BW8" i="6"/>
  <c r="BR8" i="6"/>
  <c r="BQ8" i="6"/>
  <c r="BP8" i="6"/>
  <c r="BO8" i="6"/>
  <c r="BJ8" i="6"/>
  <c r="BI8" i="6"/>
  <c r="BH8" i="6"/>
  <c r="BG8" i="6"/>
  <c r="BB8" i="6"/>
  <c r="BA8" i="6"/>
  <c r="AZ8" i="6"/>
  <c r="AY8" i="6"/>
  <c r="BZ7" i="6"/>
  <c r="BY7" i="6"/>
  <c r="BX7" i="6"/>
  <c r="BW7" i="6"/>
  <c r="BR7" i="6"/>
  <c r="BQ7" i="6"/>
  <c r="BP7" i="6"/>
  <c r="BO7" i="6"/>
  <c r="BJ7" i="6"/>
  <c r="BI7" i="6"/>
  <c r="BH7" i="6"/>
  <c r="BG7" i="6"/>
  <c r="BB7" i="6"/>
  <c r="BA7" i="6"/>
  <c r="AZ7" i="6"/>
  <c r="AY7" i="6"/>
  <c r="BZ6" i="6"/>
  <c r="BY6" i="6"/>
  <c r="BX6" i="6"/>
  <c r="BW6" i="6"/>
  <c r="BR6" i="6"/>
  <c r="BQ6" i="6"/>
  <c r="BP6" i="6"/>
  <c r="BO6" i="6"/>
  <c r="BJ6" i="6"/>
  <c r="BI6" i="6"/>
  <c r="BH6" i="6"/>
  <c r="BG6" i="6"/>
  <c r="BB6" i="6"/>
  <c r="BA6" i="6"/>
  <c r="AZ6" i="6"/>
  <c r="AY6" i="6"/>
  <c r="BZ5" i="6"/>
  <c r="BY5" i="6"/>
  <c r="BX5" i="6"/>
  <c r="BW5" i="6"/>
  <c r="BR5" i="6"/>
  <c r="BQ5" i="6"/>
  <c r="BP5" i="6"/>
  <c r="BO5" i="6"/>
  <c r="BJ5" i="6"/>
  <c r="BI5" i="6"/>
  <c r="BH5" i="6"/>
  <c r="BG5" i="6"/>
  <c r="BB5" i="6"/>
  <c r="BA5" i="6"/>
  <c r="AZ5" i="6"/>
  <c r="AY5" i="6"/>
  <c r="BZ4" i="6"/>
  <c r="BY4" i="6"/>
  <c r="BX4" i="6"/>
  <c r="BW4" i="6"/>
  <c r="BR4" i="6"/>
  <c r="BQ4" i="6"/>
  <c r="BP4" i="6"/>
  <c r="BO4" i="6"/>
  <c r="BJ4" i="6"/>
  <c r="BI4" i="6"/>
  <c r="BH4" i="6"/>
  <c r="BG4" i="6"/>
  <c r="BB4" i="6"/>
  <c r="BA4" i="6"/>
  <c r="AZ4" i="6"/>
  <c r="AY4" i="6"/>
  <c r="L1802" i="4"/>
  <c r="L1803" i="4"/>
  <c r="L1804" i="4"/>
  <c r="L1805" i="4"/>
  <c r="L1806" i="4"/>
  <c r="L1807" i="4"/>
  <c r="L1808" i="4"/>
  <c r="L1809" i="4"/>
  <c r="L1810" i="4"/>
  <c r="L1811" i="4"/>
  <c r="L1812" i="4"/>
  <c r="L1813" i="4"/>
  <c r="L1814" i="4"/>
  <c r="L1815" i="4"/>
  <c r="L1816" i="4"/>
  <c r="L1817" i="4"/>
  <c r="L1818" i="4"/>
  <c r="L1819" i="4"/>
  <c r="L1820" i="4"/>
  <c r="L1821" i="4"/>
  <c r="L1822" i="4"/>
  <c r="L1823" i="4"/>
  <c r="L1824" i="4"/>
  <c r="L1825" i="4"/>
  <c r="L1826" i="4"/>
  <c r="L1827" i="4"/>
  <c r="L1828" i="4"/>
  <c r="L1829" i="4"/>
  <c r="L1830" i="4"/>
  <c r="L1831" i="4"/>
  <c r="L1832" i="4"/>
  <c r="L1833" i="4"/>
  <c r="L1834" i="4"/>
  <c r="L1835" i="4"/>
  <c r="L1836" i="4"/>
  <c r="L1837" i="4"/>
  <c r="L1838" i="4"/>
  <c r="L1839" i="4"/>
  <c r="L1840" i="4"/>
  <c r="L1841" i="4"/>
  <c r="L1842" i="4"/>
  <c r="L1843" i="4"/>
  <c r="L1844" i="4"/>
  <c r="L1845" i="4"/>
  <c r="L1846" i="4"/>
  <c r="L1847" i="4"/>
  <c r="L1848" i="4"/>
  <c r="L1849" i="4"/>
  <c r="L1850" i="4"/>
  <c r="L1851" i="4"/>
  <c r="L1852" i="4"/>
  <c r="L1853" i="4"/>
  <c r="L1854" i="4"/>
  <c r="L1855" i="4"/>
  <c r="L1856" i="4"/>
  <c r="L1857" i="4"/>
  <c r="L1858" i="4"/>
  <c r="L1859" i="4"/>
  <c r="L1860" i="4"/>
  <c r="L1861" i="4"/>
  <c r="L1862" i="4"/>
  <c r="L1863" i="4"/>
  <c r="L1864" i="4"/>
  <c r="L1865" i="4"/>
  <c r="L1866" i="4"/>
  <c r="L1867" i="4"/>
  <c r="L1868" i="4"/>
  <c r="L1869" i="4"/>
  <c r="L1870" i="4"/>
  <c r="L1871" i="4"/>
  <c r="L1872" i="4"/>
  <c r="L1873" i="4"/>
  <c r="L1874" i="4"/>
  <c r="L1875" i="4"/>
  <c r="L1876" i="4"/>
  <c r="L1877" i="4"/>
  <c r="L1878" i="4"/>
  <c r="L1879" i="4"/>
  <c r="L1880" i="4"/>
  <c r="L1881" i="4"/>
  <c r="L1882" i="4"/>
  <c r="L1883" i="4"/>
  <c r="L1884" i="4"/>
  <c r="L1885" i="4"/>
  <c r="L1886" i="4"/>
  <c r="L1887" i="4"/>
  <c r="L1888" i="4"/>
  <c r="L1889" i="4"/>
  <c r="L1890" i="4"/>
  <c r="L1891" i="4"/>
  <c r="L1892" i="4"/>
  <c r="L1893" i="4"/>
  <c r="L1894" i="4"/>
  <c r="L1895" i="4"/>
  <c r="L1896" i="4"/>
  <c r="L1897" i="4"/>
  <c r="L1898" i="4"/>
  <c r="L1899" i="4"/>
  <c r="L1900" i="4"/>
  <c r="L1901" i="4"/>
  <c r="K1802" i="4"/>
  <c r="K1803" i="4"/>
  <c r="K1804" i="4"/>
  <c r="K1805" i="4"/>
  <c r="K1806" i="4"/>
  <c r="K1807" i="4"/>
  <c r="K1808" i="4"/>
  <c r="K1809" i="4"/>
  <c r="K1810" i="4"/>
  <c r="K1811" i="4"/>
  <c r="K1812" i="4"/>
  <c r="K1813" i="4"/>
  <c r="K1814" i="4"/>
  <c r="K1815" i="4"/>
  <c r="K1816" i="4"/>
  <c r="K1817" i="4"/>
  <c r="K1818" i="4"/>
  <c r="K1819" i="4"/>
  <c r="K1820" i="4"/>
  <c r="K1821" i="4"/>
  <c r="K1822" i="4"/>
  <c r="K1823" i="4"/>
  <c r="K1824" i="4"/>
  <c r="K1825" i="4"/>
  <c r="K1826" i="4"/>
  <c r="K1827" i="4"/>
  <c r="K1828" i="4"/>
  <c r="K1829" i="4"/>
  <c r="K1830" i="4"/>
  <c r="K1831" i="4"/>
  <c r="K1832" i="4"/>
  <c r="K1833" i="4"/>
  <c r="K1834" i="4"/>
  <c r="K1835" i="4"/>
  <c r="K1836" i="4"/>
  <c r="K1837" i="4"/>
  <c r="K1838" i="4"/>
  <c r="K1839" i="4"/>
  <c r="K1840" i="4"/>
  <c r="K1841" i="4"/>
  <c r="K1842" i="4"/>
  <c r="K1843" i="4"/>
  <c r="K1844" i="4"/>
  <c r="K1845" i="4"/>
  <c r="K1846" i="4"/>
  <c r="K1847" i="4"/>
  <c r="K1848" i="4"/>
  <c r="K1849" i="4"/>
  <c r="K1850" i="4"/>
  <c r="K1851" i="4"/>
  <c r="K1852" i="4"/>
  <c r="K1853" i="4"/>
  <c r="K1854" i="4"/>
  <c r="K1855" i="4"/>
  <c r="K1856" i="4"/>
  <c r="K1857" i="4"/>
  <c r="K1858" i="4"/>
  <c r="K1859" i="4"/>
  <c r="K1860" i="4"/>
  <c r="K1861" i="4"/>
  <c r="K1862" i="4"/>
  <c r="K1863" i="4"/>
  <c r="K1864" i="4"/>
  <c r="K1865" i="4"/>
  <c r="K1866" i="4"/>
  <c r="K1867" i="4"/>
  <c r="K1868" i="4"/>
  <c r="K1869" i="4"/>
  <c r="K1870" i="4"/>
  <c r="K1871" i="4"/>
  <c r="K1872" i="4"/>
  <c r="K1873" i="4"/>
  <c r="K1874" i="4"/>
  <c r="K1875" i="4"/>
  <c r="K1876" i="4"/>
  <c r="K1877" i="4"/>
  <c r="K1878" i="4"/>
  <c r="K1879" i="4"/>
  <c r="K1880" i="4"/>
  <c r="K1881" i="4"/>
  <c r="K1882" i="4"/>
  <c r="K1883" i="4"/>
  <c r="K1884" i="4"/>
  <c r="K1885" i="4"/>
  <c r="K1886" i="4"/>
  <c r="K1887" i="4"/>
  <c r="K1888" i="4"/>
  <c r="K1889" i="4"/>
  <c r="K1890" i="4"/>
  <c r="K1891" i="4"/>
  <c r="K1892" i="4"/>
  <c r="K1893" i="4"/>
  <c r="K1894" i="4"/>
  <c r="K1895" i="4"/>
  <c r="K1896" i="4"/>
  <c r="K1897" i="4"/>
  <c r="K1898" i="4"/>
  <c r="K1899" i="4"/>
  <c r="K1900" i="4"/>
  <c r="K1901" i="4"/>
  <c r="J1802" i="4"/>
  <c r="J1803" i="4"/>
  <c r="M1803" i="4" s="1"/>
  <c r="J1804" i="4"/>
  <c r="J1805" i="4"/>
  <c r="J1806" i="4"/>
  <c r="J1807" i="4"/>
  <c r="J1808" i="4"/>
  <c r="J1809" i="4"/>
  <c r="J1810" i="4"/>
  <c r="J1811" i="4"/>
  <c r="M1811" i="4" s="1"/>
  <c r="J1812" i="4"/>
  <c r="J1813" i="4"/>
  <c r="J1814" i="4"/>
  <c r="J1815" i="4"/>
  <c r="J1816" i="4"/>
  <c r="J1817" i="4"/>
  <c r="J1818" i="4"/>
  <c r="J1819" i="4"/>
  <c r="M1819" i="4" s="1"/>
  <c r="J1820" i="4"/>
  <c r="J1821" i="4"/>
  <c r="J1822" i="4"/>
  <c r="J1823" i="4"/>
  <c r="J1824" i="4"/>
  <c r="J1825" i="4"/>
  <c r="J1826" i="4"/>
  <c r="J1827" i="4"/>
  <c r="M1827" i="4" s="1"/>
  <c r="J1828" i="4"/>
  <c r="J1829" i="4"/>
  <c r="J1830" i="4"/>
  <c r="J1831" i="4"/>
  <c r="J1832" i="4"/>
  <c r="J1833" i="4"/>
  <c r="J1834" i="4"/>
  <c r="J1835" i="4"/>
  <c r="M1835" i="4" s="1"/>
  <c r="J1836" i="4"/>
  <c r="J1837" i="4"/>
  <c r="J1838" i="4"/>
  <c r="J1839" i="4"/>
  <c r="J1840" i="4"/>
  <c r="J1841" i="4"/>
  <c r="J1842" i="4"/>
  <c r="J1843" i="4"/>
  <c r="M1843" i="4" s="1"/>
  <c r="J1844" i="4"/>
  <c r="J1845" i="4"/>
  <c r="J1846" i="4"/>
  <c r="J1847" i="4"/>
  <c r="J1848" i="4"/>
  <c r="J1849" i="4"/>
  <c r="J1850" i="4"/>
  <c r="J1851" i="4"/>
  <c r="M1851" i="4" s="1"/>
  <c r="J1852" i="4"/>
  <c r="J1853" i="4"/>
  <c r="J1854" i="4"/>
  <c r="J1855" i="4"/>
  <c r="J1856" i="4"/>
  <c r="J1857" i="4"/>
  <c r="J1858" i="4"/>
  <c r="J1859" i="4"/>
  <c r="M1859" i="4" s="1"/>
  <c r="J1860" i="4"/>
  <c r="J1861" i="4"/>
  <c r="J1862" i="4"/>
  <c r="J1863" i="4"/>
  <c r="J1864" i="4"/>
  <c r="J1865" i="4"/>
  <c r="J1866" i="4"/>
  <c r="J1867" i="4"/>
  <c r="M1867" i="4" s="1"/>
  <c r="J1868" i="4"/>
  <c r="J1869" i="4"/>
  <c r="J1870" i="4"/>
  <c r="J1871" i="4"/>
  <c r="J1872" i="4"/>
  <c r="J1873" i="4"/>
  <c r="J1874" i="4"/>
  <c r="J1875" i="4"/>
  <c r="M1875" i="4" s="1"/>
  <c r="J1876" i="4"/>
  <c r="J1877" i="4"/>
  <c r="J1878" i="4"/>
  <c r="J1879" i="4"/>
  <c r="J1880" i="4"/>
  <c r="J1881" i="4"/>
  <c r="J1882" i="4"/>
  <c r="J1883" i="4"/>
  <c r="M1883" i="4" s="1"/>
  <c r="J1884" i="4"/>
  <c r="M1884" i="4" s="1"/>
  <c r="J1885" i="4"/>
  <c r="J1886" i="4"/>
  <c r="J1887" i="4"/>
  <c r="J1888" i="4"/>
  <c r="J1889" i="4"/>
  <c r="J1890" i="4"/>
  <c r="J1891" i="4"/>
  <c r="M1891" i="4" s="1"/>
  <c r="J1892" i="4"/>
  <c r="J1893" i="4"/>
  <c r="J1894" i="4"/>
  <c r="J1895" i="4"/>
  <c r="J1896" i="4"/>
  <c r="J1897" i="4"/>
  <c r="J1898" i="4"/>
  <c r="J1899" i="4"/>
  <c r="M1899" i="4" s="1"/>
  <c r="J1900" i="4"/>
  <c r="J1901" i="4"/>
  <c r="AR105" i="6"/>
  <c r="I1803" i="4"/>
  <c r="I1804" i="4"/>
  <c r="I1805" i="4"/>
  <c r="I1806" i="4"/>
  <c r="I1807" i="4"/>
  <c r="I1808" i="4"/>
  <c r="I1809" i="4"/>
  <c r="I1810" i="4"/>
  <c r="I1811" i="4"/>
  <c r="I1812" i="4"/>
  <c r="I1813" i="4"/>
  <c r="I1814" i="4"/>
  <c r="I1815" i="4"/>
  <c r="I1816" i="4"/>
  <c r="I1817" i="4"/>
  <c r="I1818" i="4"/>
  <c r="I1819" i="4"/>
  <c r="I1820" i="4"/>
  <c r="I1821" i="4"/>
  <c r="I1822" i="4"/>
  <c r="I1823" i="4"/>
  <c r="I1824" i="4"/>
  <c r="I1825" i="4"/>
  <c r="I1826" i="4"/>
  <c r="I1827" i="4"/>
  <c r="I1828" i="4"/>
  <c r="I1829" i="4"/>
  <c r="I1830" i="4"/>
  <c r="I1831" i="4"/>
  <c r="I1832" i="4"/>
  <c r="I1833" i="4"/>
  <c r="I1834" i="4"/>
  <c r="I1835" i="4"/>
  <c r="I1836" i="4"/>
  <c r="I1837" i="4"/>
  <c r="I1838" i="4"/>
  <c r="I1839" i="4"/>
  <c r="I1840" i="4"/>
  <c r="I1841" i="4"/>
  <c r="I1842" i="4"/>
  <c r="I1843" i="4"/>
  <c r="I1844" i="4"/>
  <c r="I1845" i="4"/>
  <c r="I1846" i="4"/>
  <c r="I1847" i="4"/>
  <c r="I1848" i="4"/>
  <c r="I1849" i="4"/>
  <c r="I1850" i="4"/>
  <c r="I1851" i="4"/>
  <c r="I1852" i="4"/>
  <c r="I1853" i="4"/>
  <c r="I1854" i="4"/>
  <c r="I1855" i="4"/>
  <c r="I1856" i="4"/>
  <c r="I1857" i="4"/>
  <c r="I1858" i="4"/>
  <c r="I1859" i="4"/>
  <c r="I1860" i="4"/>
  <c r="I1861" i="4"/>
  <c r="I1862" i="4"/>
  <c r="I1863" i="4"/>
  <c r="I1864" i="4"/>
  <c r="I1865" i="4"/>
  <c r="I1866" i="4"/>
  <c r="I1867" i="4"/>
  <c r="I1868" i="4"/>
  <c r="I1869" i="4"/>
  <c r="I1870" i="4"/>
  <c r="I1871" i="4"/>
  <c r="I1872" i="4"/>
  <c r="I1873" i="4"/>
  <c r="I1874" i="4"/>
  <c r="I1875" i="4"/>
  <c r="I1876" i="4"/>
  <c r="I1877" i="4"/>
  <c r="I1878" i="4"/>
  <c r="I1879" i="4"/>
  <c r="I1880" i="4"/>
  <c r="I1881" i="4"/>
  <c r="I1882" i="4"/>
  <c r="I1883" i="4"/>
  <c r="I1884" i="4"/>
  <c r="I1885" i="4"/>
  <c r="I1886" i="4"/>
  <c r="I1887" i="4"/>
  <c r="I1888" i="4"/>
  <c r="I1889" i="4"/>
  <c r="I1890" i="4"/>
  <c r="I1891" i="4"/>
  <c r="I1892" i="4"/>
  <c r="I1893" i="4"/>
  <c r="I1894" i="4"/>
  <c r="I1895" i="4"/>
  <c r="I1896" i="4"/>
  <c r="I1897" i="4"/>
  <c r="I1898" i="4"/>
  <c r="I1899" i="4"/>
  <c r="I1900" i="4"/>
  <c r="I1901" i="4"/>
  <c r="I1802" i="4"/>
  <c r="H1803" i="4"/>
  <c r="H1804" i="4"/>
  <c r="H1805" i="4"/>
  <c r="H1806" i="4"/>
  <c r="H1807" i="4"/>
  <c r="H1808" i="4"/>
  <c r="H1809" i="4"/>
  <c r="H1810" i="4"/>
  <c r="H1811" i="4"/>
  <c r="H1812" i="4"/>
  <c r="H1813" i="4"/>
  <c r="H1814" i="4"/>
  <c r="H1815" i="4"/>
  <c r="H1816" i="4"/>
  <c r="H1817" i="4"/>
  <c r="H1818" i="4"/>
  <c r="H1819" i="4"/>
  <c r="H1820" i="4"/>
  <c r="H1821" i="4"/>
  <c r="H1822" i="4"/>
  <c r="H1823" i="4"/>
  <c r="H1824" i="4"/>
  <c r="H1825" i="4"/>
  <c r="H1826" i="4"/>
  <c r="H1827" i="4"/>
  <c r="H1828" i="4"/>
  <c r="H1829" i="4"/>
  <c r="H1830" i="4"/>
  <c r="H1831" i="4"/>
  <c r="H1832" i="4"/>
  <c r="H1833" i="4"/>
  <c r="H1834" i="4"/>
  <c r="H1835" i="4"/>
  <c r="H1836" i="4"/>
  <c r="H1837" i="4"/>
  <c r="H1838" i="4"/>
  <c r="H1839" i="4"/>
  <c r="H1840" i="4"/>
  <c r="H1841" i="4"/>
  <c r="H1842" i="4"/>
  <c r="H1843" i="4"/>
  <c r="H1844" i="4"/>
  <c r="H1845" i="4"/>
  <c r="H1846" i="4"/>
  <c r="H1847" i="4"/>
  <c r="H1848" i="4"/>
  <c r="H1849" i="4"/>
  <c r="H1850" i="4"/>
  <c r="H1851" i="4"/>
  <c r="H1852" i="4"/>
  <c r="H1853" i="4"/>
  <c r="H1854" i="4"/>
  <c r="H1855" i="4"/>
  <c r="H1856" i="4"/>
  <c r="H1857" i="4"/>
  <c r="H1858" i="4"/>
  <c r="H1859" i="4"/>
  <c r="H1860" i="4"/>
  <c r="H1861" i="4"/>
  <c r="H1862" i="4"/>
  <c r="H1863" i="4"/>
  <c r="H1864" i="4"/>
  <c r="H1865" i="4"/>
  <c r="H1866" i="4"/>
  <c r="H1867" i="4"/>
  <c r="H1868" i="4"/>
  <c r="H1869" i="4"/>
  <c r="H1870" i="4"/>
  <c r="H1871" i="4"/>
  <c r="H1872" i="4"/>
  <c r="H1873" i="4"/>
  <c r="H1874" i="4"/>
  <c r="H1875" i="4"/>
  <c r="H1876" i="4"/>
  <c r="H1877" i="4"/>
  <c r="H1878" i="4"/>
  <c r="H1879" i="4"/>
  <c r="H1880" i="4"/>
  <c r="H1881" i="4"/>
  <c r="H1882" i="4"/>
  <c r="H1883" i="4"/>
  <c r="H1884" i="4"/>
  <c r="H1885" i="4"/>
  <c r="H1886" i="4"/>
  <c r="H1887" i="4"/>
  <c r="H1888" i="4"/>
  <c r="H1889" i="4"/>
  <c r="H1890" i="4"/>
  <c r="H1891" i="4"/>
  <c r="H1892" i="4"/>
  <c r="H1893" i="4"/>
  <c r="H1894" i="4"/>
  <c r="H1895" i="4"/>
  <c r="H1896" i="4"/>
  <c r="H1897" i="4"/>
  <c r="H1898" i="4"/>
  <c r="H1899" i="4"/>
  <c r="H1900" i="4"/>
  <c r="H1901" i="4"/>
  <c r="H1802" i="4"/>
  <c r="G1803" i="4"/>
  <c r="G1804" i="4"/>
  <c r="G1805" i="4"/>
  <c r="G1806" i="4"/>
  <c r="G1807" i="4"/>
  <c r="G1808" i="4"/>
  <c r="G1809" i="4"/>
  <c r="G1810" i="4"/>
  <c r="G1811" i="4"/>
  <c r="G1812" i="4"/>
  <c r="G1813" i="4"/>
  <c r="G1814" i="4"/>
  <c r="G1815" i="4"/>
  <c r="G1816" i="4"/>
  <c r="G1817" i="4"/>
  <c r="G1818" i="4"/>
  <c r="G1819" i="4"/>
  <c r="G1820" i="4"/>
  <c r="G1821" i="4"/>
  <c r="G1822" i="4"/>
  <c r="G1823" i="4"/>
  <c r="G1824" i="4"/>
  <c r="G1825" i="4"/>
  <c r="G1826" i="4"/>
  <c r="G1827" i="4"/>
  <c r="G1828" i="4"/>
  <c r="G1829" i="4"/>
  <c r="G1830" i="4"/>
  <c r="G1831" i="4"/>
  <c r="G1832" i="4"/>
  <c r="G1833" i="4"/>
  <c r="G1834" i="4"/>
  <c r="G1835" i="4"/>
  <c r="G1836" i="4"/>
  <c r="G1837" i="4"/>
  <c r="G1838" i="4"/>
  <c r="G1839" i="4"/>
  <c r="G1840" i="4"/>
  <c r="G1841" i="4"/>
  <c r="G1842" i="4"/>
  <c r="G1843" i="4"/>
  <c r="G1844" i="4"/>
  <c r="G1845" i="4"/>
  <c r="G1846" i="4"/>
  <c r="G1847" i="4"/>
  <c r="G1848" i="4"/>
  <c r="G1849" i="4"/>
  <c r="G1850" i="4"/>
  <c r="G1851" i="4"/>
  <c r="G1852" i="4"/>
  <c r="G1853" i="4"/>
  <c r="G1854" i="4"/>
  <c r="G1855" i="4"/>
  <c r="G1856" i="4"/>
  <c r="G1857" i="4"/>
  <c r="G1858" i="4"/>
  <c r="G1859" i="4"/>
  <c r="G1860" i="4"/>
  <c r="G1861" i="4"/>
  <c r="G1862" i="4"/>
  <c r="G1863" i="4"/>
  <c r="G1864" i="4"/>
  <c r="G1865" i="4"/>
  <c r="G1866" i="4"/>
  <c r="G1867" i="4"/>
  <c r="G1868" i="4"/>
  <c r="G1869" i="4"/>
  <c r="G1870" i="4"/>
  <c r="G1871" i="4"/>
  <c r="G1872" i="4"/>
  <c r="G1873" i="4"/>
  <c r="G1874" i="4"/>
  <c r="G1875" i="4"/>
  <c r="G1876" i="4"/>
  <c r="G1877" i="4"/>
  <c r="G1878" i="4"/>
  <c r="G1879" i="4"/>
  <c r="G1880" i="4"/>
  <c r="G1881" i="4"/>
  <c r="G1882" i="4"/>
  <c r="G1883" i="4"/>
  <c r="G1884" i="4"/>
  <c r="G1885" i="4"/>
  <c r="G1886" i="4"/>
  <c r="G1887" i="4"/>
  <c r="G1888" i="4"/>
  <c r="G1889" i="4"/>
  <c r="G1890" i="4"/>
  <c r="G1891" i="4"/>
  <c r="G1892" i="4"/>
  <c r="G1893" i="4"/>
  <c r="G1894" i="4"/>
  <c r="G1895" i="4"/>
  <c r="G1896" i="4"/>
  <c r="G1897" i="4"/>
  <c r="G1898" i="4"/>
  <c r="G1899" i="4"/>
  <c r="G1900" i="4"/>
  <c r="G1901" i="4"/>
  <c r="G1802" i="4"/>
  <c r="L1702" i="4"/>
  <c r="L1703" i="4"/>
  <c r="L1704" i="4"/>
  <c r="L1705" i="4"/>
  <c r="L1706" i="4"/>
  <c r="L1707" i="4"/>
  <c r="L1708" i="4"/>
  <c r="L1709" i="4"/>
  <c r="L1710" i="4"/>
  <c r="L1711" i="4"/>
  <c r="L1712" i="4"/>
  <c r="L1713" i="4"/>
  <c r="L1714" i="4"/>
  <c r="L1715" i="4"/>
  <c r="L1716" i="4"/>
  <c r="L1717" i="4"/>
  <c r="L1718" i="4"/>
  <c r="L1719" i="4"/>
  <c r="L1720" i="4"/>
  <c r="L1721" i="4"/>
  <c r="L1722" i="4"/>
  <c r="L1723" i="4"/>
  <c r="L1724" i="4"/>
  <c r="L1725" i="4"/>
  <c r="L1726" i="4"/>
  <c r="L1727" i="4"/>
  <c r="L1728" i="4"/>
  <c r="L1729" i="4"/>
  <c r="L1730" i="4"/>
  <c r="L1731" i="4"/>
  <c r="L1732" i="4"/>
  <c r="L1733" i="4"/>
  <c r="L1734" i="4"/>
  <c r="L1735" i="4"/>
  <c r="L1736" i="4"/>
  <c r="L1737" i="4"/>
  <c r="L1738" i="4"/>
  <c r="L1739" i="4"/>
  <c r="L1740" i="4"/>
  <c r="L1741" i="4"/>
  <c r="L1742" i="4"/>
  <c r="L1743" i="4"/>
  <c r="L1744" i="4"/>
  <c r="L1745" i="4"/>
  <c r="L1746" i="4"/>
  <c r="L1747" i="4"/>
  <c r="L1748" i="4"/>
  <c r="L1749" i="4"/>
  <c r="L1750" i="4"/>
  <c r="L1751" i="4"/>
  <c r="L1752" i="4"/>
  <c r="L1753" i="4"/>
  <c r="L1754" i="4"/>
  <c r="L1755" i="4"/>
  <c r="L1756" i="4"/>
  <c r="L1757" i="4"/>
  <c r="L1758" i="4"/>
  <c r="L1759" i="4"/>
  <c r="L1760" i="4"/>
  <c r="L1761" i="4"/>
  <c r="L1762" i="4"/>
  <c r="L1763" i="4"/>
  <c r="L1764" i="4"/>
  <c r="L1765" i="4"/>
  <c r="L1766" i="4"/>
  <c r="L1767" i="4"/>
  <c r="L1768" i="4"/>
  <c r="L1769" i="4"/>
  <c r="L1770" i="4"/>
  <c r="L1771" i="4"/>
  <c r="L1772" i="4"/>
  <c r="L1773" i="4"/>
  <c r="L1774" i="4"/>
  <c r="L1775" i="4"/>
  <c r="L1776" i="4"/>
  <c r="L1777" i="4"/>
  <c r="L1778" i="4"/>
  <c r="L1779" i="4"/>
  <c r="L1780" i="4"/>
  <c r="L1781" i="4"/>
  <c r="L1782" i="4"/>
  <c r="L1783" i="4"/>
  <c r="L1784" i="4"/>
  <c r="L1785" i="4"/>
  <c r="L1786" i="4"/>
  <c r="L1787" i="4"/>
  <c r="L1788" i="4"/>
  <c r="L1789" i="4"/>
  <c r="L1790" i="4"/>
  <c r="L1791" i="4"/>
  <c r="L1792" i="4"/>
  <c r="L1793" i="4"/>
  <c r="L1794" i="4"/>
  <c r="L1795" i="4"/>
  <c r="L1796" i="4"/>
  <c r="L1797" i="4"/>
  <c r="L1798" i="4"/>
  <c r="L1799" i="4"/>
  <c r="L1800" i="4"/>
  <c r="L1801" i="4"/>
  <c r="K1702" i="4"/>
  <c r="K1703" i="4"/>
  <c r="K1704" i="4"/>
  <c r="K1705" i="4"/>
  <c r="K1706" i="4"/>
  <c r="K1707" i="4"/>
  <c r="K1708" i="4"/>
  <c r="K1709" i="4"/>
  <c r="K1710" i="4"/>
  <c r="K1711" i="4"/>
  <c r="K1712" i="4"/>
  <c r="K1713" i="4"/>
  <c r="K1714" i="4"/>
  <c r="K1715" i="4"/>
  <c r="K1716" i="4"/>
  <c r="K1717" i="4"/>
  <c r="K1718" i="4"/>
  <c r="K1719" i="4"/>
  <c r="K1720" i="4"/>
  <c r="K1721" i="4"/>
  <c r="K1722" i="4"/>
  <c r="K1723" i="4"/>
  <c r="K1724" i="4"/>
  <c r="K1725" i="4"/>
  <c r="K1726" i="4"/>
  <c r="K1727" i="4"/>
  <c r="K1728" i="4"/>
  <c r="K1729" i="4"/>
  <c r="K1730" i="4"/>
  <c r="K1731" i="4"/>
  <c r="K1732" i="4"/>
  <c r="K1733" i="4"/>
  <c r="K1734" i="4"/>
  <c r="K1735" i="4"/>
  <c r="K1736" i="4"/>
  <c r="K1737" i="4"/>
  <c r="K1738" i="4"/>
  <c r="K1739" i="4"/>
  <c r="K1740" i="4"/>
  <c r="K1741" i="4"/>
  <c r="K1742" i="4"/>
  <c r="K1743" i="4"/>
  <c r="K1744" i="4"/>
  <c r="K1745" i="4"/>
  <c r="K1746" i="4"/>
  <c r="K1747" i="4"/>
  <c r="K1748" i="4"/>
  <c r="K1749" i="4"/>
  <c r="K1750" i="4"/>
  <c r="K1751" i="4"/>
  <c r="K1752" i="4"/>
  <c r="K1753" i="4"/>
  <c r="K1754" i="4"/>
  <c r="K1755" i="4"/>
  <c r="K1756" i="4"/>
  <c r="K1757" i="4"/>
  <c r="K1758" i="4"/>
  <c r="K1759" i="4"/>
  <c r="K1760" i="4"/>
  <c r="K1761" i="4"/>
  <c r="K1762" i="4"/>
  <c r="K1763" i="4"/>
  <c r="K1764" i="4"/>
  <c r="K1765" i="4"/>
  <c r="K1766" i="4"/>
  <c r="K1767" i="4"/>
  <c r="K1768" i="4"/>
  <c r="K1769" i="4"/>
  <c r="K1770" i="4"/>
  <c r="K1771" i="4"/>
  <c r="K1772" i="4"/>
  <c r="K1773" i="4"/>
  <c r="K1774" i="4"/>
  <c r="K1775" i="4"/>
  <c r="K1776" i="4"/>
  <c r="K1777" i="4"/>
  <c r="K1778" i="4"/>
  <c r="K1779" i="4"/>
  <c r="K1780" i="4"/>
  <c r="K1781" i="4"/>
  <c r="K1782" i="4"/>
  <c r="K1783" i="4"/>
  <c r="K1784" i="4"/>
  <c r="K1785" i="4"/>
  <c r="K1786" i="4"/>
  <c r="K1787" i="4"/>
  <c r="K1788" i="4"/>
  <c r="K1789" i="4"/>
  <c r="K1790" i="4"/>
  <c r="K1791" i="4"/>
  <c r="K1792" i="4"/>
  <c r="K1793" i="4"/>
  <c r="K1794" i="4"/>
  <c r="K1795" i="4"/>
  <c r="K1796" i="4"/>
  <c r="K1797" i="4"/>
  <c r="K1798" i="4"/>
  <c r="K1799" i="4"/>
  <c r="K1800" i="4"/>
  <c r="K1801" i="4"/>
  <c r="J1702" i="4"/>
  <c r="M1702" i="4" s="1"/>
  <c r="J1703" i="4"/>
  <c r="J1704" i="4"/>
  <c r="J1705" i="4"/>
  <c r="J1706" i="4"/>
  <c r="J1707" i="4"/>
  <c r="J1708" i="4"/>
  <c r="J1709" i="4"/>
  <c r="J1710" i="4"/>
  <c r="M1710" i="4" s="1"/>
  <c r="J1711" i="4"/>
  <c r="J1712" i="4"/>
  <c r="J1713" i="4"/>
  <c r="J1714" i="4"/>
  <c r="J1715" i="4"/>
  <c r="J1716" i="4"/>
  <c r="J1717" i="4"/>
  <c r="J1718" i="4"/>
  <c r="M1718" i="4" s="1"/>
  <c r="J1719" i="4"/>
  <c r="J1720" i="4"/>
  <c r="J1721" i="4"/>
  <c r="J1722" i="4"/>
  <c r="J1723" i="4"/>
  <c r="J1724" i="4"/>
  <c r="J1725" i="4"/>
  <c r="J1726" i="4"/>
  <c r="M1726" i="4" s="1"/>
  <c r="J1727" i="4"/>
  <c r="J1728" i="4"/>
  <c r="J1729" i="4"/>
  <c r="J1730" i="4"/>
  <c r="J1731" i="4"/>
  <c r="J1732" i="4"/>
  <c r="J1733" i="4"/>
  <c r="J1734" i="4"/>
  <c r="M1734" i="4" s="1"/>
  <c r="J1735" i="4"/>
  <c r="J1736" i="4"/>
  <c r="J1737" i="4"/>
  <c r="J1738" i="4"/>
  <c r="J1739" i="4"/>
  <c r="J1740" i="4"/>
  <c r="J1741" i="4"/>
  <c r="J1742" i="4"/>
  <c r="M1742" i="4" s="1"/>
  <c r="J1743" i="4"/>
  <c r="J1744" i="4"/>
  <c r="J1745" i="4"/>
  <c r="J1746" i="4"/>
  <c r="J1747" i="4"/>
  <c r="J1748" i="4"/>
  <c r="J1749" i="4"/>
  <c r="J1750" i="4"/>
  <c r="M1750" i="4" s="1"/>
  <c r="J1751" i="4"/>
  <c r="J1752" i="4"/>
  <c r="J1753" i="4"/>
  <c r="J1754" i="4"/>
  <c r="J1755" i="4"/>
  <c r="J1756" i="4"/>
  <c r="J1757" i="4"/>
  <c r="J1758" i="4"/>
  <c r="M1758" i="4" s="1"/>
  <c r="J1759" i="4"/>
  <c r="J1760" i="4"/>
  <c r="J1761" i="4"/>
  <c r="J1762" i="4"/>
  <c r="J1763" i="4"/>
  <c r="J1764" i="4"/>
  <c r="J1765" i="4"/>
  <c r="J1766" i="4"/>
  <c r="M1766" i="4" s="1"/>
  <c r="J1767" i="4"/>
  <c r="J1768" i="4"/>
  <c r="J1769" i="4"/>
  <c r="J1770" i="4"/>
  <c r="J1771" i="4"/>
  <c r="J1772" i="4"/>
  <c r="J1773" i="4"/>
  <c r="J1774" i="4"/>
  <c r="M1774" i="4" s="1"/>
  <c r="J1775" i="4"/>
  <c r="J1776" i="4"/>
  <c r="J1777" i="4"/>
  <c r="J1778" i="4"/>
  <c r="J1779" i="4"/>
  <c r="J1780" i="4"/>
  <c r="J1781" i="4"/>
  <c r="J1782" i="4"/>
  <c r="M1782" i="4" s="1"/>
  <c r="J1783" i="4"/>
  <c r="J1784" i="4"/>
  <c r="J1785" i="4"/>
  <c r="J1786" i="4"/>
  <c r="J1787" i="4"/>
  <c r="J1788" i="4"/>
  <c r="J1789" i="4"/>
  <c r="J1790" i="4"/>
  <c r="M1790" i="4" s="1"/>
  <c r="J1791" i="4"/>
  <c r="J1792" i="4"/>
  <c r="J1793" i="4"/>
  <c r="J1794" i="4"/>
  <c r="J1795" i="4"/>
  <c r="J1796" i="4"/>
  <c r="J1797" i="4"/>
  <c r="J1798" i="4"/>
  <c r="M1798" i="4" s="1"/>
  <c r="J1799" i="4"/>
  <c r="J1800" i="4"/>
  <c r="J1801" i="4"/>
  <c r="I1703" i="4"/>
  <c r="I1704" i="4"/>
  <c r="I1705" i="4"/>
  <c r="I1706" i="4"/>
  <c r="I1707" i="4"/>
  <c r="I1708" i="4"/>
  <c r="I1709" i="4"/>
  <c r="I1710" i="4"/>
  <c r="I1711" i="4"/>
  <c r="I1712" i="4"/>
  <c r="I1713" i="4"/>
  <c r="I1714" i="4"/>
  <c r="I1715" i="4"/>
  <c r="I1716" i="4"/>
  <c r="I1717" i="4"/>
  <c r="I1718" i="4"/>
  <c r="I1719" i="4"/>
  <c r="I1720" i="4"/>
  <c r="I1721" i="4"/>
  <c r="I1722" i="4"/>
  <c r="I1723" i="4"/>
  <c r="I1724" i="4"/>
  <c r="I1725" i="4"/>
  <c r="I1726" i="4"/>
  <c r="I1727" i="4"/>
  <c r="I1728" i="4"/>
  <c r="I1729" i="4"/>
  <c r="I1730" i="4"/>
  <c r="I1731" i="4"/>
  <c r="I1732" i="4"/>
  <c r="I1733" i="4"/>
  <c r="I1734" i="4"/>
  <c r="I1735" i="4"/>
  <c r="I1736" i="4"/>
  <c r="I1737" i="4"/>
  <c r="I1738" i="4"/>
  <c r="I1739" i="4"/>
  <c r="I1740" i="4"/>
  <c r="I1741" i="4"/>
  <c r="I1742" i="4"/>
  <c r="I1743" i="4"/>
  <c r="I1744" i="4"/>
  <c r="I1745" i="4"/>
  <c r="I1746" i="4"/>
  <c r="I1747" i="4"/>
  <c r="I1748" i="4"/>
  <c r="I1749" i="4"/>
  <c r="I1750" i="4"/>
  <c r="I1751" i="4"/>
  <c r="I1752" i="4"/>
  <c r="I1753" i="4"/>
  <c r="I1754" i="4"/>
  <c r="I1755" i="4"/>
  <c r="I1756" i="4"/>
  <c r="I1757" i="4"/>
  <c r="I1758" i="4"/>
  <c r="I1759" i="4"/>
  <c r="I1760" i="4"/>
  <c r="I1761" i="4"/>
  <c r="I1762" i="4"/>
  <c r="I1763" i="4"/>
  <c r="I1764" i="4"/>
  <c r="I1765" i="4"/>
  <c r="I1766" i="4"/>
  <c r="I1767" i="4"/>
  <c r="I1768" i="4"/>
  <c r="I1769" i="4"/>
  <c r="I1770" i="4"/>
  <c r="I1771" i="4"/>
  <c r="I1772" i="4"/>
  <c r="I1773" i="4"/>
  <c r="I1774" i="4"/>
  <c r="I1775" i="4"/>
  <c r="I1776" i="4"/>
  <c r="I1777" i="4"/>
  <c r="I1778" i="4"/>
  <c r="I1779" i="4"/>
  <c r="I1780" i="4"/>
  <c r="I1781" i="4"/>
  <c r="I1782" i="4"/>
  <c r="I1783" i="4"/>
  <c r="I1784" i="4"/>
  <c r="I1785" i="4"/>
  <c r="I1786" i="4"/>
  <c r="I1787" i="4"/>
  <c r="I1788" i="4"/>
  <c r="I1789" i="4"/>
  <c r="I1790" i="4"/>
  <c r="I1791" i="4"/>
  <c r="I1792" i="4"/>
  <c r="I1793" i="4"/>
  <c r="I1794" i="4"/>
  <c r="I1795" i="4"/>
  <c r="I1796" i="4"/>
  <c r="I1797" i="4"/>
  <c r="I1798" i="4"/>
  <c r="I1799" i="4"/>
  <c r="I1800" i="4"/>
  <c r="I1801" i="4"/>
  <c r="I1702" i="4"/>
  <c r="H1703" i="4"/>
  <c r="H1704" i="4"/>
  <c r="H1705" i="4"/>
  <c r="H1706" i="4"/>
  <c r="H1707" i="4"/>
  <c r="H1708" i="4"/>
  <c r="H1709" i="4"/>
  <c r="H1710" i="4"/>
  <c r="H1711" i="4"/>
  <c r="H1712" i="4"/>
  <c r="H1713" i="4"/>
  <c r="H1714" i="4"/>
  <c r="H1715" i="4"/>
  <c r="H1716" i="4"/>
  <c r="H1717" i="4"/>
  <c r="H1718" i="4"/>
  <c r="H1719" i="4"/>
  <c r="H1720" i="4"/>
  <c r="H1721" i="4"/>
  <c r="H1722" i="4"/>
  <c r="H1723" i="4"/>
  <c r="H1724" i="4"/>
  <c r="H1725" i="4"/>
  <c r="H1726" i="4"/>
  <c r="H1727" i="4"/>
  <c r="H1728" i="4"/>
  <c r="H1729" i="4"/>
  <c r="H1730" i="4"/>
  <c r="H1731" i="4"/>
  <c r="H1732" i="4"/>
  <c r="H1733" i="4"/>
  <c r="H1734" i="4"/>
  <c r="H1735" i="4"/>
  <c r="H1736" i="4"/>
  <c r="H1737" i="4"/>
  <c r="H1738" i="4"/>
  <c r="H1739" i="4"/>
  <c r="H1740" i="4"/>
  <c r="H1741" i="4"/>
  <c r="H1742" i="4"/>
  <c r="H1743" i="4"/>
  <c r="H1744" i="4"/>
  <c r="H1745" i="4"/>
  <c r="H1746" i="4"/>
  <c r="H1747" i="4"/>
  <c r="H1748" i="4"/>
  <c r="H1749" i="4"/>
  <c r="H1750" i="4"/>
  <c r="H1751" i="4"/>
  <c r="H1752" i="4"/>
  <c r="H1753" i="4"/>
  <c r="H1754" i="4"/>
  <c r="H1755" i="4"/>
  <c r="H1756" i="4"/>
  <c r="H1757" i="4"/>
  <c r="H1758" i="4"/>
  <c r="H1759" i="4"/>
  <c r="H1760" i="4"/>
  <c r="H1761" i="4"/>
  <c r="H1762" i="4"/>
  <c r="H1763" i="4"/>
  <c r="H1764" i="4"/>
  <c r="H1765" i="4"/>
  <c r="H1766" i="4"/>
  <c r="H1767" i="4"/>
  <c r="H1768" i="4"/>
  <c r="H1769" i="4"/>
  <c r="H1770" i="4"/>
  <c r="H1771" i="4"/>
  <c r="H1772" i="4"/>
  <c r="H1773" i="4"/>
  <c r="H1774" i="4"/>
  <c r="H1775" i="4"/>
  <c r="H1776" i="4"/>
  <c r="H1777" i="4"/>
  <c r="H1778" i="4"/>
  <c r="H1779" i="4"/>
  <c r="H1780" i="4"/>
  <c r="H1781" i="4"/>
  <c r="H1782" i="4"/>
  <c r="H1783" i="4"/>
  <c r="H1784" i="4"/>
  <c r="H1785" i="4"/>
  <c r="H1786" i="4"/>
  <c r="H1787" i="4"/>
  <c r="H1788" i="4"/>
  <c r="H1789" i="4"/>
  <c r="H1790" i="4"/>
  <c r="H1791" i="4"/>
  <c r="H1792" i="4"/>
  <c r="H1793" i="4"/>
  <c r="H1794" i="4"/>
  <c r="H1795" i="4"/>
  <c r="H1796" i="4"/>
  <c r="H1797" i="4"/>
  <c r="H1798" i="4"/>
  <c r="H1799" i="4"/>
  <c r="H1800" i="4"/>
  <c r="H1801" i="4"/>
  <c r="H1702" i="4"/>
  <c r="G1703" i="4"/>
  <c r="G1704" i="4"/>
  <c r="G1705" i="4"/>
  <c r="G1706" i="4"/>
  <c r="G1707" i="4"/>
  <c r="G1708" i="4"/>
  <c r="G1709" i="4"/>
  <c r="G1710" i="4"/>
  <c r="G1711" i="4"/>
  <c r="G1712" i="4"/>
  <c r="G1713" i="4"/>
  <c r="G1714" i="4"/>
  <c r="G1715" i="4"/>
  <c r="G1716" i="4"/>
  <c r="G1717" i="4"/>
  <c r="G1718" i="4"/>
  <c r="G1719" i="4"/>
  <c r="G1720" i="4"/>
  <c r="G1721" i="4"/>
  <c r="G1722" i="4"/>
  <c r="G1723" i="4"/>
  <c r="G1724" i="4"/>
  <c r="G1725" i="4"/>
  <c r="G1726" i="4"/>
  <c r="G1727" i="4"/>
  <c r="G1728" i="4"/>
  <c r="G1729" i="4"/>
  <c r="G1730" i="4"/>
  <c r="G1731" i="4"/>
  <c r="G1732" i="4"/>
  <c r="G1733" i="4"/>
  <c r="G1734" i="4"/>
  <c r="G1735" i="4"/>
  <c r="G1736" i="4"/>
  <c r="G1737" i="4"/>
  <c r="G1738" i="4"/>
  <c r="G1739" i="4"/>
  <c r="G1740" i="4"/>
  <c r="G1741" i="4"/>
  <c r="G1742" i="4"/>
  <c r="G1743" i="4"/>
  <c r="G1744" i="4"/>
  <c r="G1745" i="4"/>
  <c r="G1746" i="4"/>
  <c r="G1747" i="4"/>
  <c r="G1748" i="4"/>
  <c r="G1749" i="4"/>
  <c r="G1750" i="4"/>
  <c r="G1751" i="4"/>
  <c r="G1752" i="4"/>
  <c r="G1753" i="4"/>
  <c r="G1754" i="4"/>
  <c r="G1755" i="4"/>
  <c r="G1756" i="4"/>
  <c r="G1757" i="4"/>
  <c r="G1758" i="4"/>
  <c r="G1759" i="4"/>
  <c r="G1760" i="4"/>
  <c r="G1761" i="4"/>
  <c r="G1762" i="4"/>
  <c r="G1763" i="4"/>
  <c r="G1764" i="4"/>
  <c r="G1765" i="4"/>
  <c r="G1766" i="4"/>
  <c r="G1767" i="4"/>
  <c r="G1768" i="4"/>
  <c r="G1769" i="4"/>
  <c r="G1770" i="4"/>
  <c r="G1771" i="4"/>
  <c r="G1772" i="4"/>
  <c r="G1773" i="4"/>
  <c r="G1774" i="4"/>
  <c r="G1775" i="4"/>
  <c r="G1776" i="4"/>
  <c r="G1777" i="4"/>
  <c r="G1778" i="4"/>
  <c r="G1779" i="4"/>
  <c r="G1780" i="4"/>
  <c r="G1781" i="4"/>
  <c r="G1782" i="4"/>
  <c r="G1783" i="4"/>
  <c r="G1784" i="4"/>
  <c r="G1785" i="4"/>
  <c r="G1786" i="4"/>
  <c r="G1787" i="4"/>
  <c r="G1788" i="4"/>
  <c r="G1789" i="4"/>
  <c r="G1790" i="4"/>
  <c r="G1791" i="4"/>
  <c r="G1792" i="4"/>
  <c r="G1793" i="4"/>
  <c r="G1794" i="4"/>
  <c r="G1795" i="4"/>
  <c r="G1796" i="4"/>
  <c r="G1797" i="4"/>
  <c r="G1798" i="4"/>
  <c r="G1799" i="4"/>
  <c r="G1800" i="4"/>
  <c r="G1801" i="4"/>
  <c r="G1702" i="4"/>
  <c r="L1602" i="4"/>
  <c r="L1603" i="4"/>
  <c r="L1604" i="4"/>
  <c r="L1605" i="4"/>
  <c r="L1606" i="4"/>
  <c r="L1607" i="4"/>
  <c r="L1608" i="4"/>
  <c r="L1609" i="4"/>
  <c r="L1610" i="4"/>
  <c r="L1611" i="4"/>
  <c r="L1612" i="4"/>
  <c r="L1613" i="4"/>
  <c r="L1614" i="4"/>
  <c r="L1615" i="4"/>
  <c r="L1616" i="4"/>
  <c r="L1617" i="4"/>
  <c r="L1618" i="4"/>
  <c r="L1619" i="4"/>
  <c r="L1620" i="4"/>
  <c r="L1621" i="4"/>
  <c r="L1622" i="4"/>
  <c r="L1623" i="4"/>
  <c r="L1624" i="4"/>
  <c r="L1625" i="4"/>
  <c r="L1626" i="4"/>
  <c r="L1627" i="4"/>
  <c r="L1628" i="4"/>
  <c r="L1629" i="4"/>
  <c r="L1630" i="4"/>
  <c r="L1631" i="4"/>
  <c r="L1632" i="4"/>
  <c r="L1633" i="4"/>
  <c r="L1634" i="4"/>
  <c r="L1635" i="4"/>
  <c r="L1636" i="4"/>
  <c r="L1637" i="4"/>
  <c r="L1638" i="4"/>
  <c r="L1639" i="4"/>
  <c r="L1640" i="4"/>
  <c r="L1641" i="4"/>
  <c r="L1642" i="4"/>
  <c r="L1643" i="4"/>
  <c r="L1644" i="4"/>
  <c r="L1645" i="4"/>
  <c r="L1646" i="4"/>
  <c r="L1647" i="4"/>
  <c r="L1648" i="4"/>
  <c r="L1649" i="4"/>
  <c r="L1650" i="4"/>
  <c r="L1651" i="4"/>
  <c r="L1652" i="4"/>
  <c r="L1653" i="4"/>
  <c r="L1654" i="4"/>
  <c r="L1655" i="4"/>
  <c r="L1656" i="4"/>
  <c r="L1657" i="4"/>
  <c r="L1658" i="4"/>
  <c r="L1659" i="4"/>
  <c r="L1660" i="4"/>
  <c r="L1661" i="4"/>
  <c r="L1662" i="4"/>
  <c r="L1663" i="4"/>
  <c r="L1664" i="4"/>
  <c r="L1665" i="4"/>
  <c r="L1666" i="4"/>
  <c r="L1667" i="4"/>
  <c r="L1668" i="4"/>
  <c r="L1669" i="4"/>
  <c r="L1670" i="4"/>
  <c r="L1671" i="4"/>
  <c r="L1672" i="4"/>
  <c r="L1673" i="4"/>
  <c r="L1674" i="4"/>
  <c r="L1675" i="4"/>
  <c r="L1676" i="4"/>
  <c r="L1677" i="4"/>
  <c r="L1678" i="4"/>
  <c r="L1679" i="4"/>
  <c r="L1680" i="4"/>
  <c r="L1681" i="4"/>
  <c r="L1682" i="4"/>
  <c r="L1683" i="4"/>
  <c r="L1684" i="4"/>
  <c r="L1685" i="4"/>
  <c r="L1686" i="4"/>
  <c r="L1687" i="4"/>
  <c r="L1688" i="4"/>
  <c r="L1689" i="4"/>
  <c r="L1690" i="4"/>
  <c r="L1691" i="4"/>
  <c r="L1692" i="4"/>
  <c r="L1693" i="4"/>
  <c r="L1694" i="4"/>
  <c r="L1695" i="4"/>
  <c r="L1696" i="4"/>
  <c r="L1697" i="4"/>
  <c r="L1698" i="4"/>
  <c r="L1699" i="4"/>
  <c r="L1700" i="4"/>
  <c r="L1701" i="4"/>
  <c r="K1602" i="4"/>
  <c r="K1603" i="4"/>
  <c r="K1604" i="4"/>
  <c r="K1605" i="4"/>
  <c r="K1606" i="4"/>
  <c r="K1607" i="4"/>
  <c r="K1608" i="4"/>
  <c r="K1609" i="4"/>
  <c r="K1610" i="4"/>
  <c r="K1611" i="4"/>
  <c r="K1612" i="4"/>
  <c r="K1613" i="4"/>
  <c r="K1614" i="4"/>
  <c r="K1615" i="4"/>
  <c r="K1616" i="4"/>
  <c r="K1617" i="4"/>
  <c r="K1618" i="4"/>
  <c r="K1619" i="4"/>
  <c r="K1620" i="4"/>
  <c r="K1621" i="4"/>
  <c r="K1622" i="4"/>
  <c r="K1623" i="4"/>
  <c r="K1624" i="4"/>
  <c r="K1625" i="4"/>
  <c r="K1626" i="4"/>
  <c r="K1627" i="4"/>
  <c r="K1628" i="4"/>
  <c r="K1629" i="4"/>
  <c r="K1630" i="4"/>
  <c r="K1631" i="4"/>
  <c r="K1632" i="4"/>
  <c r="K1633" i="4"/>
  <c r="K1634" i="4"/>
  <c r="K1635" i="4"/>
  <c r="K1636" i="4"/>
  <c r="K1637" i="4"/>
  <c r="K1638" i="4"/>
  <c r="K1639" i="4"/>
  <c r="K1640" i="4"/>
  <c r="K1641" i="4"/>
  <c r="K1642" i="4"/>
  <c r="K1643" i="4"/>
  <c r="K1644" i="4"/>
  <c r="K1645" i="4"/>
  <c r="K1646" i="4"/>
  <c r="K1647" i="4"/>
  <c r="K1648" i="4"/>
  <c r="K1649" i="4"/>
  <c r="K1650" i="4"/>
  <c r="K1651" i="4"/>
  <c r="K1652" i="4"/>
  <c r="K1653" i="4"/>
  <c r="K1654" i="4"/>
  <c r="K1655" i="4"/>
  <c r="K1656" i="4"/>
  <c r="K1657" i="4"/>
  <c r="K1658" i="4"/>
  <c r="K1659" i="4"/>
  <c r="K1660" i="4"/>
  <c r="K1661" i="4"/>
  <c r="K1662" i="4"/>
  <c r="K1663" i="4"/>
  <c r="K1664" i="4"/>
  <c r="K1665" i="4"/>
  <c r="K1666" i="4"/>
  <c r="K1667" i="4"/>
  <c r="K1668" i="4"/>
  <c r="K1669" i="4"/>
  <c r="K1670" i="4"/>
  <c r="K1671" i="4"/>
  <c r="K1672" i="4"/>
  <c r="K1673" i="4"/>
  <c r="K1674" i="4"/>
  <c r="K1675" i="4"/>
  <c r="K1676" i="4"/>
  <c r="K1677" i="4"/>
  <c r="K1678" i="4"/>
  <c r="K1679" i="4"/>
  <c r="K1680" i="4"/>
  <c r="K1681" i="4"/>
  <c r="K1682" i="4"/>
  <c r="K1683" i="4"/>
  <c r="K1684" i="4"/>
  <c r="K1685" i="4"/>
  <c r="K1686" i="4"/>
  <c r="K1687" i="4"/>
  <c r="K1688" i="4"/>
  <c r="K1689" i="4"/>
  <c r="K1690" i="4"/>
  <c r="K1691" i="4"/>
  <c r="K1692" i="4"/>
  <c r="K1693" i="4"/>
  <c r="K1694" i="4"/>
  <c r="K1695" i="4"/>
  <c r="K1696" i="4"/>
  <c r="K1697" i="4"/>
  <c r="K1698" i="4"/>
  <c r="K1699" i="4"/>
  <c r="K1700" i="4"/>
  <c r="K1701" i="4"/>
  <c r="J1602" i="4"/>
  <c r="J1603" i="4"/>
  <c r="J1604" i="4"/>
  <c r="J1605" i="4"/>
  <c r="J1606" i="4"/>
  <c r="J1607" i="4"/>
  <c r="M1607" i="4" s="1"/>
  <c r="J1608" i="4"/>
  <c r="M1608" i="4" s="1"/>
  <c r="J1609" i="4"/>
  <c r="J1610" i="4"/>
  <c r="J1611" i="4"/>
  <c r="J1612" i="4"/>
  <c r="J1613" i="4"/>
  <c r="J1614" i="4"/>
  <c r="J1615" i="4"/>
  <c r="M1615" i="4" s="1"/>
  <c r="J1616" i="4"/>
  <c r="J1617" i="4"/>
  <c r="J1618" i="4"/>
  <c r="J1619" i="4"/>
  <c r="J1620" i="4"/>
  <c r="J1621" i="4"/>
  <c r="J1622" i="4"/>
  <c r="J1623" i="4"/>
  <c r="M1623" i="4" s="1"/>
  <c r="J1624" i="4"/>
  <c r="M1624" i="4" s="1"/>
  <c r="J1625" i="4"/>
  <c r="J1626" i="4"/>
  <c r="J1627" i="4"/>
  <c r="J1628" i="4"/>
  <c r="J1629" i="4"/>
  <c r="J1630" i="4"/>
  <c r="J1631" i="4"/>
  <c r="M1631" i="4" s="1"/>
  <c r="J1632" i="4"/>
  <c r="J1633" i="4"/>
  <c r="J1634" i="4"/>
  <c r="J1635" i="4"/>
  <c r="J1636" i="4"/>
  <c r="J1637" i="4"/>
  <c r="J1638" i="4"/>
  <c r="J1639" i="4"/>
  <c r="M1639" i="4" s="1"/>
  <c r="J1640" i="4"/>
  <c r="M1640" i="4" s="1"/>
  <c r="J1641" i="4"/>
  <c r="J1642" i="4"/>
  <c r="J1643" i="4"/>
  <c r="J1644" i="4"/>
  <c r="J1645" i="4"/>
  <c r="J1646" i="4"/>
  <c r="J1647" i="4"/>
  <c r="M1647" i="4" s="1"/>
  <c r="J1648" i="4"/>
  <c r="J1649" i="4"/>
  <c r="J1650" i="4"/>
  <c r="J1651" i="4"/>
  <c r="J1652" i="4"/>
  <c r="J1653" i="4"/>
  <c r="J1654" i="4"/>
  <c r="J1655" i="4"/>
  <c r="M1655" i="4" s="1"/>
  <c r="J1656" i="4"/>
  <c r="M1656" i="4" s="1"/>
  <c r="J1657" i="4"/>
  <c r="J1658" i="4"/>
  <c r="J1659" i="4"/>
  <c r="J1660" i="4"/>
  <c r="J1661" i="4"/>
  <c r="J1662" i="4"/>
  <c r="J1663" i="4"/>
  <c r="M1663" i="4" s="1"/>
  <c r="J1664" i="4"/>
  <c r="J1665" i="4"/>
  <c r="J1666" i="4"/>
  <c r="J1667" i="4"/>
  <c r="J1668" i="4"/>
  <c r="J1669" i="4"/>
  <c r="J1670" i="4"/>
  <c r="J1671" i="4"/>
  <c r="M1671" i="4" s="1"/>
  <c r="J1672" i="4"/>
  <c r="M1672" i="4" s="1"/>
  <c r="J1673" i="4"/>
  <c r="J1674" i="4"/>
  <c r="J1675" i="4"/>
  <c r="J1676" i="4"/>
  <c r="J1677" i="4"/>
  <c r="J1678" i="4"/>
  <c r="J1679" i="4"/>
  <c r="M1679" i="4" s="1"/>
  <c r="J1680" i="4"/>
  <c r="J1681" i="4"/>
  <c r="J1682" i="4"/>
  <c r="J1683" i="4"/>
  <c r="J1684" i="4"/>
  <c r="J1685" i="4"/>
  <c r="J1686" i="4"/>
  <c r="J1687" i="4"/>
  <c r="M1687" i="4" s="1"/>
  <c r="J1688" i="4"/>
  <c r="J1689" i="4"/>
  <c r="J1690" i="4"/>
  <c r="J1691" i="4"/>
  <c r="J1692" i="4"/>
  <c r="J1693" i="4"/>
  <c r="J1694" i="4"/>
  <c r="J1695" i="4"/>
  <c r="M1695" i="4" s="1"/>
  <c r="J1696" i="4"/>
  <c r="J1697" i="4"/>
  <c r="J1698" i="4"/>
  <c r="J1699" i="4"/>
  <c r="J1700" i="4"/>
  <c r="J1701" i="4"/>
  <c r="I1603" i="4"/>
  <c r="I1604" i="4"/>
  <c r="I1605" i="4"/>
  <c r="I1606" i="4"/>
  <c r="I1607" i="4"/>
  <c r="I1608" i="4"/>
  <c r="I1609" i="4"/>
  <c r="I1610" i="4"/>
  <c r="I1611" i="4"/>
  <c r="I1612" i="4"/>
  <c r="I1613" i="4"/>
  <c r="I1614" i="4"/>
  <c r="I1615" i="4"/>
  <c r="I1616" i="4"/>
  <c r="I1617" i="4"/>
  <c r="I1618" i="4"/>
  <c r="I1619" i="4"/>
  <c r="I1620" i="4"/>
  <c r="I1621" i="4"/>
  <c r="I1622" i="4"/>
  <c r="I1623" i="4"/>
  <c r="I1624" i="4"/>
  <c r="I1625" i="4"/>
  <c r="I1626" i="4"/>
  <c r="I1627" i="4"/>
  <c r="I1628" i="4"/>
  <c r="I1629" i="4"/>
  <c r="I1630" i="4"/>
  <c r="I1631" i="4"/>
  <c r="I1632" i="4"/>
  <c r="I1633" i="4"/>
  <c r="I1634" i="4"/>
  <c r="I1635" i="4"/>
  <c r="I1636" i="4"/>
  <c r="I1637" i="4"/>
  <c r="I1638" i="4"/>
  <c r="I1639" i="4"/>
  <c r="I1640" i="4"/>
  <c r="I1641" i="4"/>
  <c r="I1642" i="4"/>
  <c r="I1643" i="4"/>
  <c r="I1644" i="4"/>
  <c r="I1645" i="4"/>
  <c r="I1646" i="4"/>
  <c r="I1647" i="4"/>
  <c r="I1648" i="4"/>
  <c r="I1649" i="4"/>
  <c r="I1650" i="4"/>
  <c r="I1651" i="4"/>
  <c r="I1652" i="4"/>
  <c r="I1653" i="4"/>
  <c r="I1654" i="4"/>
  <c r="I1655" i="4"/>
  <c r="I1656" i="4"/>
  <c r="I1657" i="4"/>
  <c r="I1658" i="4"/>
  <c r="I1659" i="4"/>
  <c r="I1660" i="4"/>
  <c r="I1661" i="4"/>
  <c r="I1662" i="4"/>
  <c r="I1663" i="4"/>
  <c r="I1664" i="4"/>
  <c r="I1665" i="4"/>
  <c r="I1666" i="4"/>
  <c r="I1667" i="4"/>
  <c r="I1668" i="4"/>
  <c r="I1669" i="4"/>
  <c r="I1670" i="4"/>
  <c r="I1671" i="4"/>
  <c r="I1672" i="4"/>
  <c r="I1673" i="4"/>
  <c r="I1674" i="4"/>
  <c r="I1675" i="4"/>
  <c r="I1676" i="4"/>
  <c r="I1677" i="4"/>
  <c r="I1678" i="4"/>
  <c r="I1679" i="4"/>
  <c r="I1680" i="4"/>
  <c r="I1681" i="4"/>
  <c r="I1682" i="4"/>
  <c r="I1683" i="4"/>
  <c r="I1684" i="4"/>
  <c r="I1685" i="4"/>
  <c r="I1686" i="4"/>
  <c r="I1687" i="4"/>
  <c r="I1688" i="4"/>
  <c r="I1689" i="4"/>
  <c r="I1690" i="4"/>
  <c r="I1691" i="4"/>
  <c r="I1692" i="4"/>
  <c r="I1693" i="4"/>
  <c r="I1694" i="4"/>
  <c r="I1695" i="4"/>
  <c r="I1696" i="4"/>
  <c r="I1697" i="4"/>
  <c r="I1698" i="4"/>
  <c r="I1699" i="4"/>
  <c r="I1700" i="4"/>
  <c r="I1701" i="4"/>
  <c r="I1602" i="4"/>
  <c r="H1603" i="4"/>
  <c r="H1604" i="4"/>
  <c r="H1605" i="4"/>
  <c r="H1606" i="4"/>
  <c r="H1607" i="4"/>
  <c r="H1608" i="4"/>
  <c r="H1609" i="4"/>
  <c r="H1610" i="4"/>
  <c r="H1611" i="4"/>
  <c r="H1612" i="4"/>
  <c r="H1613" i="4"/>
  <c r="H1614" i="4"/>
  <c r="H1615" i="4"/>
  <c r="H1616" i="4"/>
  <c r="H1617" i="4"/>
  <c r="H1618" i="4"/>
  <c r="H1619" i="4"/>
  <c r="H1620" i="4"/>
  <c r="H1621" i="4"/>
  <c r="H1622" i="4"/>
  <c r="H1623" i="4"/>
  <c r="H1624" i="4"/>
  <c r="H1625" i="4"/>
  <c r="H1626" i="4"/>
  <c r="H1627" i="4"/>
  <c r="H1628" i="4"/>
  <c r="H1629" i="4"/>
  <c r="H1630" i="4"/>
  <c r="H1631" i="4"/>
  <c r="H1632" i="4"/>
  <c r="H1633" i="4"/>
  <c r="H1634" i="4"/>
  <c r="H1635" i="4"/>
  <c r="H1636" i="4"/>
  <c r="H1637" i="4"/>
  <c r="H1638" i="4"/>
  <c r="H1639" i="4"/>
  <c r="H1640" i="4"/>
  <c r="H1641" i="4"/>
  <c r="H1642" i="4"/>
  <c r="H1643" i="4"/>
  <c r="H1644" i="4"/>
  <c r="H1645" i="4"/>
  <c r="H1646" i="4"/>
  <c r="H1647" i="4"/>
  <c r="H1648" i="4"/>
  <c r="H1649" i="4"/>
  <c r="H1650" i="4"/>
  <c r="H1651" i="4"/>
  <c r="H1652" i="4"/>
  <c r="H1653" i="4"/>
  <c r="H1654" i="4"/>
  <c r="H1655" i="4"/>
  <c r="H1656" i="4"/>
  <c r="H1657" i="4"/>
  <c r="H1658" i="4"/>
  <c r="H1659" i="4"/>
  <c r="H1660" i="4"/>
  <c r="H1661" i="4"/>
  <c r="H1662" i="4"/>
  <c r="H1663" i="4"/>
  <c r="H1664" i="4"/>
  <c r="H1665" i="4"/>
  <c r="H1666" i="4"/>
  <c r="H1667" i="4"/>
  <c r="H1668" i="4"/>
  <c r="H1669" i="4"/>
  <c r="H1670" i="4"/>
  <c r="H1671" i="4"/>
  <c r="H1672" i="4"/>
  <c r="H1673" i="4"/>
  <c r="H1674" i="4"/>
  <c r="H1675" i="4"/>
  <c r="H1676" i="4"/>
  <c r="H1677" i="4"/>
  <c r="H1678" i="4"/>
  <c r="H1679" i="4"/>
  <c r="H1680" i="4"/>
  <c r="H1681" i="4"/>
  <c r="H1682" i="4"/>
  <c r="H1683" i="4"/>
  <c r="H1684" i="4"/>
  <c r="H1685" i="4"/>
  <c r="H1686" i="4"/>
  <c r="H1687" i="4"/>
  <c r="H1688" i="4"/>
  <c r="H1689" i="4"/>
  <c r="H1690" i="4"/>
  <c r="H1691" i="4"/>
  <c r="H1692" i="4"/>
  <c r="H1693" i="4"/>
  <c r="H1694" i="4"/>
  <c r="H1695" i="4"/>
  <c r="H1696" i="4"/>
  <c r="H1697" i="4"/>
  <c r="H1698" i="4"/>
  <c r="H1699" i="4"/>
  <c r="H1700" i="4"/>
  <c r="H1701" i="4"/>
  <c r="H1602" i="4"/>
  <c r="G1603" i="4"/>
  <c r="G1604" i="4"/>
  <c r="G1605" i="4"/>
  <c r="G1606" i="4"/>
  <c r="G1607" i="4"/>
  <c r="G1608" i="4"/>
  <c r="G1609" i="4"/>
  <c r="G1610" i="4"/>
  <c r="G1611" i="4"/>
  <c r="G1612" i="4"/>
  <c r="G1613" i="4"/>
  <c r="G1614" i="4"/>
  <c r="G1615" i="4"/>
  <c r="G1616" i="4"/>
  <c r="G1617" i="4"/>
  <c r="G1618" i="4"/>
  <c r="G1619" i="4"/>
  <c r="G1620" i="4"/>
  <c r="G1621" i="4"/>
  <c r="G1622" i="4"/>
  <c r="G1623" i="4"/>
  <c r="G1624" i="4"/>
  <c r="G1625" i="4"/>
  <c r="G1626" i="4"/>
  <c r="G1627" i="4"/>
  <c r="G1628" i="4"/>
  <c r="G1629" i="4"/>
  <c r="G1630" i="4"/>
  <c r="G1631" i="4"/>
  <c r="G1632" i="4"/>
  <c r="G1633" i="4"/>
  <c r="G1634" i="4"/>
  <c r="G1635" i="4"/>
  <c r="G1636" i="4"/>
  <c r="G1637" i="4"/>
  <c r="G1638" i="4"/>
  <c r="G1639" i="4"/>
  <c r="G1640" i="4"/>
  <c r="G1641" i="4"/>
  <c r="G1642" i="4"/>
  <c r="G1643" i="4"/>
  <c r="G1644" i="4"/>
  <c r="G1645" i="4"/>
  <c r="G1646" i="4"/>
  <c r="G1647" i="4"/>
  <c r="G1648" i="4"/>
  <c r="G1649" i="4"/>
  <c r="G1650" i="4"/>
  <c r="G1651" i="4"/>
  <c r="G1652" i="4"/>
  <c r="G1653" i="4"/>
  <c r="G1654" i="4"/>
  <c r="G1655" i="4"/>
  <c r="G1656" i="4"/>
  <c r="G1657" i="4"/>
  <c r="G1658" i="4"/>
  <c r="G1659" i="4"/>
  <c r="G1660" i="4"/>
  <c r="G1661" i="4"/>
  <c r="G1662" i="4"/>
  <c r="G1663" i="4"/>
  <c r="G1664" i="4"/>
  <c r="G1665" i="4"/>
  <c r="G1666" i="4"/>
  <c r="G1667" i="4"/>
  <c r="G1668" i="4"/>
  <c r="G1669" i="4"/>
  <c r="G1670" i="4"/>
  <c r="G1671" i="4"/>
  <c r="G1672" i="4"/>
  <c r="G1673" i="4"/>
  <c r="G1674" i="4"/>
  <c r="G1675" i="4"/>
  <c r="G1676" i="4"/>
  <c r="G1677" i="4"/>
  <c r="G1678" i="4"/>
  <c r="G1679" i="4"/>
  <c r="G1680" i="4"/>
  <c r="G1681" i="4"/>
  <c r="G1682" i="4"/>
  <c r="G1683" i="4"/>
  <c r="G1684" i="4"/>
  <c r="G1685" i="4"/>
  <c r="G1686" i="4"/>
  <c r="G1687" i="4"/>
  <c r="G1688" i="4"/>
  <c r="G1689" i="4"/>
  <c r="G1690" i="4"/>
  <c r="G1691" i="4"/>
  <c r="G1692" i="4"/>
  <c r="G1693" i="4"/>
  <c r="G1694" i="4"/>
  <c r="G1695" i="4"/>
  <c r="G1696" i="4"/>
  <c r="G1697" i="4"/>
  <c r="G1698" i="4"/>
  <c r="G1699" i="4"/>
  <c r="G1700" i="4"/>
  <c r="G1701" i="4"/>
  <c r="G1602" i="4"/>
  <c r="M1578" i="4"/>
  <c r="L1502" i="4"/>
  <c r="L1503" i="4"/>
  <c r="L1504" i="4"/>
  <c r="L1505" i="4"/>
  <c r="L1506" i="4"/>
  <c r="L1507" i="4"/>
  <c r="L1508" i="4"/>
  <c r="L1509" i="4"/>
  <c r="L1510" i="4"/>
  <c r="L1511" i="4"/>
  <c r="L1512" i="4"/>
  <c r="L1513" i="4"/>
  <c r="L1514" i="4"/>
  <c r="L1515" i="4"/>
  <c r="L1516" i="4"/>
  <c r="L1517" i="4"/>
  <c r="L1518" i="4"/>
  <c r="L1519" i="4"/>
  <c r="L1520" i="4"/>
  <c r="L1521" i="4"/>
  <c r="L1522" i="4"/>
  <c r="L1523" i="4"/>
  <c r="L1524" i="4"/>
  <c r="L1525" i="4"/>
  <c r="L1526" i="4"/>
  <c r="L1527" i="4"/>
  <c r="L1528" i="4"/>
  <c r="L1529" i="4"/>
  <c r="L1530" i="4"/>
  <c r="L1531" i="4"/>
  <c r="L1532" i="4"/>
  <c r="L1533" i="4"/>
  <c r="L1534" i="4"/>
  <c r="L1535" i="4"/>
  <c r="L1536" i="4"/>
  <c r="L1537" i="4"/>
  <c r="L1538" i="4"/>
  <c r="L1539" i="4"/>
  <c r="L1540" i="4"/>
  <c r="L1541" i="4"/>
  <c r="L1542" i="4"/>
  <c r="L1543" i="4"/>
  <c r="L1544" i="4"/>
  <c r="L1545" i="4"/>
  <c r="L1546" i="4"/>
  <c r="L1547" i="4"/>
  <c r="L1548" i="4"/>
  <c r="L1549" i="4"/>
  <c r="L1550" i="4"/>
  <c r="L1551" i="4"/>
  <c r="L1552" i="4"/>
  <c r="L1553" i="4"/>
  <c r="L1554" i="4"/>
  <c r="L1555" i="4"/>
  <c r="L1556" i="4"/>
  <c r="L1557" i="4"/>
  <c r="L1558" i="4"/>
  <c r="L1559" i="4"/>
  <c r="L1560" i="4"/>
  <c r="L1561" i="4"/>
  <c r="L1562" i="4"/>
  <c r="L1563" i="4"/>
  <c r="L1564" i="4"/>
  <c r="L1565" i="4"/>
  <c r="L1566" i="4"/>
  <c r="L1567" i="4"/>
  <c r="L1568" i="4"/>
  <c r="L1569" i="4"/>
  <c r="L1570" i="4"/>
  <c r="L1571" i="4"/>
  <c r="L1572" i="4"/>
  <c r="L1573" i="4"/>
  <c r="L1574" i="4"/>
  <c r="L1575" i="4"/>
  <c r="L1576" i="4"/>
  <c r="L1577" i="4"/>
  <c r="L1578" i="4"/>
  <c r="L1579" i="4"/>
  <c r="L1580" i="4"/>
  <c r="L1581" i="4"/>
  <c r="L1582" i="4"/>
  <c r="L1583" i="4"/>
  <c r="L1584" i="4"/>
  <c r="L1585" i="4"/>
  <c r="L1586" i="4"/>
  <c r="L1587" i="4"/>
  <c r="L1588" i="4"/>
  <c r="L1589" i="4"/>
  <c r="L1590" i="4"/>
  <c r="L1591" i="4"/>
  <c r="L1592" i="4"/>
  <c r="L1593" i="4"/>
  <c r="L1594" i="4"/>
  <c r="L1595" i="4"/>
  <c r="L1596" i="4"/>
  <c r="L1597" i="4"/>
  <c r="L1598" i="4"/>
  <c r="L1599" i="4"/>
  <c r="L1600" i="4"/>
  <c r="L1601" i="4"/>
  <c r="K1502" i="4"/>
  <c r="K1503" i="4"/>
  <c r="K1504" i="4"/>
  <c r="K1505" i="4"/>
  <c r="K1506" i="4"/>
  <c r="M1506" i="4" s="1"/>
  <c r="K1507" i="4"/>
  <c r="K1508" i="4"/>
  <c r="K1509" i="4"/>
  <c r="K1510" i="4"/>
  <c r="K1511" i="4"/>
  <c r="K1512" i="4"/>
  <c r="K1513" i="4"/>
  <c r="K1514" i="4"/>
  <c r="K1515" i="4"/>
  <c r="K1516" i="4"/>
  <c r="K1517" i="4"/>
  <c r="K1518" i="4"/>
  <c r="K1519" i="4"/>
  <c r="K1520" i="4"/>
  <c r="K1521" i="4"/>
  <c r="K1522" i="4"/>
  <c r="M1522" i="4" s="1"/>
  <c r="K1523" i="4"/>
  <c r="K1524" i="4"/>
  <c r="K1525" i="4"/>
  <c r="K1526" i="4"/>
  <c r="K1527" i="4"/>
  <c r="K1528" i="4"/>
  <c r="K1529" i="4"/>
  <c r="K1530" i="4"/>
  <c r="K1531" i="4"/>
  <c r="K1532" i="4"/>
  <c r="K1533" i="4"/>
  <c r="K1534" i="4"/>
  <c r="K1535" i="4"/>
  <c r="K1536" i="4"/>
  <c r="K1537" i="4"/>
  <c r="K1538" i="4"/>
  <c r="M1538" i="4" s="1"/>
  <c r="K1539" i="4"/>
  <c r="K1540" i="4"/>
  <c r="K1541" i="4"/>
  <c r="K1542" i="4"/>
  <c r="K1543" i="4"/>
  <c r="K1544" i="4"/>
  <c r="K1545" i="4"/>
  <c r="K1546" i="4"/>
  <c r="K1547" i="4"/>
  <c r="K1548" i="4"/>
  <c r="K1549" i="4"/>
  <c r="K1550" i="4"/>
  <c r="K1551" i="4"/>
  <c r="K1552" i="4"/>
  <c r="K1553" i="4"/>
  <c r="K1554" i="4"/>
  <c r="M1554" i="4" s="1"/>
  <c r="K1555" i="4"/>
  <c r="K1556" i="4"/>
  <c r="K1557" i="4"/>
  <c r="K1558" i="4"/>
  <c r="K1559" i="4"/>
  <c r="K1560" i="4"/>
  <c r="K1561" i="4"/>
  <c r="K1562" i="4"/>
  <c r="K1563" i="4"/>
  <c r="K1564" i="4"/>
  <c r="K1565" i="4"/>
  <c r="K1566" i="4"/>
  <c r="K1567" i="4"/>
  <c r="K1568" i="4"/>
  <c r="K1569" i="4"/>
  <c r="K1570" i="4"/>
  <c r="M1570" i="4" s="1"/>
  <c r="K1571" i="4"/>
  <c r="K1572" i="4"/>
  <c r="K1573" i="4"/>
  <c r="K1574" i="4"/>
  <c r="K1575" i="4"/>
  <c r="K1576" i="4"/>
  <c r="K1577" i="4"/>
  <c r="K1578" i="4"/>
  <c r="K1579" i="4"/>
  <c r="K1580" i="4"/>
  <c r="K1581" i="4"/>
  <c r="K1582" i="4"/>
  <c r="K1583" i="4"/>
  <c r="K1584" i="4"/>
  <c r="K1585" i="4"/>
  <c r="K1586" i="4"/>
  <c r="M1586" i="4" s="1"/>
  <c r="K1587" i="4"/>
  <c r="K1588" i="4"/>
  <c r="K1589" i="4"/>
  <c r="K1590" i="4"/>
  <c r="K1591" i="4"/>
  <c r="K1592" i="4"/>
  <c r="K1593" i="4"/>
  <c r="K1594" i="4"/>
  <c r="K1595" i="4"/>
  <c r="K1596" i="4"/>
  <c r="K1597" i="4"/>
  <c r="K1598" i="4"/>
  <c r="K1599" i="4"/>
  <c r="K1600" i="4"/>
  <c r="K1601" i="4"/>
  <c r="J1502" i="4"/>
  <c r="J1503" i="4"/>
  <c r="J1504" i="4"/>
  <c r="J1505" i="4"/>
  <c r="J1506" i="4"/>
  <c r="J1507" i="4"/>
  <c r="J1508" i="4"/>
  <c r="J1509" i="4"/>
  <c r="J1510" i="4"/>
  <c r="J1511" i="4"/>
  <c r="J1512" i="4"/>
  <c r="J1513" i="4"/>
  <c r="J1514" i="4"/>
  <c r="J1515" i="4"/>
  <c r="J1516" i="4"/>
  <c r="J1517" i="4"/>
  <c r="J1518" i="4"/>
  <c r="J1519" i="4"/>
  <c r="J1520" i="4"/>
  <c r="J1521" i="4"/>
  <c r="J1522" i="4"/>
  <c r="J1523" i="4"/>
  <c r="J1524" i="4"/>
  <c r="J1525" i="4"/>
  <c r="J1526" i="4"/>
  <c r="J1527" i="4"/>
  <c r="J1528" i="4"/>
  <c r="J1529" i="4"/>
  <c r="J1530" i="4"/>
  <c r="J1531" i="4"/>
  <c r="J1532" i="4"/>
  <c r="J1533" i="4"/>
  <c r="J1534" i="4"/>
  <c r="J1535" i="4"/>
  <c r="J1536" i="4"/>
  <c r="J1537" i="4"/>
  <c r="J1538" i="4"/>
  <c r="J1539" i="4"/>
  <c r="J1540" i="4"/>
  <c r="J1541" i="4"/>
  <c r="J1542" i="4"/>
  <c r="J1543" i="4"/>
  <c r="J1544" i="4"/>
  <c r="J1545" i="4"/>
  <c r="J1546" i="4"/>
  <c r="J1547" i="4"/>
  <c r="J1548" i="4"/>
  <c r="J1549" i="4"/>
  <c r="J1550" i="4"/>
  <c r="J1551" i="4"/>
  <c r="J1552" i="4"/>
  <c r="J1553" i="4"/>
  <c r="J1554" i="4"/>
  <c r="J1555" i="4"/>
  <c r="J1556" i="4"/>
  <c r="J1557" i="4"/>
  <c r="J1558" i="4"/>
  <c r="J1559" i="4"/>
  <c r="J1560" i="4"/>
  <c r="J1561" i="4"/>
  <c r="J1562" i="4"/>
  <c r="J1563" i="4"/>
  <c r="J1564" i="4"/>
  <c r="J1565" i="4"/>
  <c r="J1566" i="4"/>
  <c r="J1567" i="4"/>
  <c r="J1568" i="4"/>
  <c r="J1569" i="4"/>
  <c r="J1570" i="4"/>
  <c r="J1571" i="4"/>
  <c r="J1572" i="4"/>
  <c r="J1573" i="4"/>
  <c r="J1574" i="4"/>
  <c r="J1575" i="4"/>
  <c r="J1576" i="4"/>
  <c r="J1577" i="4"/>
  <c r="J1578" i="4"/>
  <c r="J1579" i="4"/>
  <c r="J1580" i="4"/>
  <c r="J1581" i="4"/>
  <c r="J1582" i="4"/>
  <c r="J1583" i="4"/>
  <c r="J1584" i="4"/>
  <c r="J1585" i="4"/>
  <c r="J1586" i="4"/>
  <c r="J1587" i="4"/>
  <c r="J1588" i="4"/>
  <c r="J1589" i="4"/>
  <c r="J1590" i="4"/>
  <c r="J1591" i="4"/>
  <c r="J1592" i="4"/>
  <c r="J1593" i="4"/>
  <c r="J1594" i="4"/>
  <c r="J1595" i="4"/>
  <c r="J1596" i="4"/>
  <c r="J1597" i="4"/>
  <c r="J1598" i="4"/>
  <c r="J1599" i="4"/>
  <c r="J1600" i="4"/>
  <c r="J1601" i="4"/>
  <c r="I1503" i="4"/>
  <c r="I1504" i="4"/>
  <c r="I1505" i="4"/>
  <c r="I1506" i="4"/>
  <c r="I1507" i="4"/>
  <c r="I1508" i="4"/>
  <c r="I1509" i="4"/>
  <c r="I1510" i="4"/>
  <c r="I1511" i="4"/>
  <c r="I1512" i="4"/>
  <c r="I1513" i="4"/>
  <c r="I1514" i="4"/>
  <c r="I1515" i="4"/>
  <c r="I1516" i="4"/>
  <c r="I1517" i="4"/>
  <c r="I1518" i="4"/>
  <c r="I1519" i="4"/>
  <c r="I1520" i="4"/>
  <c r="I1521" i="4"/>
  <c r="I1522" i="4"/>
  <c r="I1523" i="4"/>
  <c r="I1524" i="4"/>
  <c r="I1525" i="4"/>
  <c r="I1526" i="4"/>
  <c r="I1527" i="4"/>
  <c r="I1528" i="4"/>
  <c r="I1529" i="4"/>
  <c r="I1530" i="4"/>
  <c r="I1531" i="4"/>
  <c r="I1532" i="4"/>
  <c r="I1533" i="4"/>
  <c r="I1534" i="4"/>
  <c r="I1535" i="4"/>
  <c r="I1536" i="4"/>
  <c r="I1537" i="4"/>
  <c r="I1538" i="4"/>
  <c r="I1539" i="4"/>
  <c r="I1540" i="4"/>
  <c r="I1541" i="4"/>
  <c r="I1542" i="4"/>
  <c r="I1543" i="4"/>
  <c r="I1544" i="4"/>
  <c r="I1545" i="4"/>
  <c r="I1546" i="4"/>
  <c r="I1547" i="4"/>
  <c r="I1548" i="4"/>
  <c r="I1549" i="4"/>
  <c r="I1550" i="4"/>
  <c r="I1551" i="4"/>
  <c r="I1552" i="4"/>
  <c r="I1553" i="4"/>
  <c r="I1554" i="4"/>
  <c r="I1555" i="4"/>
  <c r="I1556" i="4"/>
  <c r="I1557" i="4"/>
  <c r="I1558" i="4"/>
  <c r="I1559" i="4"/>
  <c r="I1560" i="4"/>
  <c r="I1561" i="4"/>
  <c r="I1562" i="4"/>
  <c r="I1563" i="4"/>
  <c r="I1564" i="4"/>
  <c r="I1565" i="4"/>
  <c r="I1566" i="4"/>
  <c r="I1567" i="4"/>
  <c r="I1568" i="4"/>
  <c r="I1569" i="4"/>
  <c r="I1570" i="4"/>
  <c r="I1571" i="4"/>
  <c r="I1572" i="4"/>
  <c r="I1573" i="4"/>
  <c r="I1574" i="4"/>
  <c r="I1575" i="4"/>
  <c r="I1576" i="4"/>
  <c r="I1577" i="4"/>
  <c r="I1578" i="4"/>
  <c r="I1579" i="4"/>
  <c r="I1580" i="4"/>
  <c r="I1581" i="4"/>
  <c r="I1582" i="4"/>
  <c r="I1583" i="4"/>
  <c r="I1584" i="4"/>
  <c r="I1585" i="4"/>
  <c r="I1586" i="4"/>
  <c r="I1587" i="4"/>
  <c r="I1588" i="4"/>
  <c r="I1589" i="4"/>
  <c r="I1590" i="4"/>
  <c r="I1591" i="4"/>
  <c r="I1592" i="4"/>
  <c r="I1593" i="4"/>
  <c r="I1594" i="4"/>
  <c r="I1595" i="4"/>
  <c r="I1596" i="4"/>
  <c r="I1597" i="4"/>
  <c r="I1598" i="4"/>
  <c r="I1599" i="4"/>
  <c r="I1600" i="4"/>
  <c r="I1601" i="4"/>
  <c r="I1502" i="4"/>
  <c r="H1503" i="4"/>
  <c r="H1504" i="4"/>
  <c r="H1505" i="4"/>
  <c r="H1506" i="4"/>
  <c r="H1507" i="4"/>
  <c r="H1508" i="4"/>
  <c r="H1509" i="4"/>
  <c r="H1510" i="4"/>
  <c r="H1511" i="4"/>
  <c r="H1512" i="4"/>
  <c r="H1513" i="4"/>
  <c r="H1514" i="4"/>
  <c r="H1515" i="4"/>
  <c r="H1516" i="4"/>
  <c r="H1517" i="4"/>
  <c r="H1518" i="4"/>
  <c r="H1519" i="4"/>
  <c r="H1520" i="4"/>
  <c r="H1521" i="4"/>
  <c r="H1522" i="4"/>
  <c r="H1523" i="4"/>
  <c r="H1524" i="4"/>
  <c r="H1525" i="4"/>
  <c r="H1526" i="4"/>
  <c r="H1527" i="4"/>
  <c r="H1528" i="4"/>
  <c r="H1529" i="4"/>
  <c r="H1530" i="4"/>
  <c r="H1531" i="4"/>
  <c r="H1532" i="4"/>
  <c r="H1533" i="4"/>
  <c r="H1534" i="4"/>
  <c r="H1535" i="4"/>
  <c r="H1536" i="4"/>
  <c r="H1537" i="4"/>
  <c r="H1538" i="4"/>
  <c r="H1539" i="4"/>
  <c r="H1540" i="4"/>
  <c r="H1541" i="4"/>
  <c r="H1542" i="4"/>
  <c r="H1543" i="4"/>
  <c r="H1544" i="4"/>
  <c r="H1545" i="4"/>
  <c r="H1546" i="4"/>
  <c r="H1547" i="4"/>
  <c r="H1548" i="4"/>
  <c r="H1549" i="4"/>
  <c r="H1550" i="4"/>
  <c r="H1551" i="4"/>
  <c r="H1552" i="4"/>
  <c r="H1553" i="4"/>
  <c r="H1554" i="4"/>
  <c r="H1555" i="4"/>
  <c r="H1556" i="4"/>
  <c r="H1557" i="4"/>
  <c r="H1558" i="4"/>
  <c r="H1559" i="4"/>
  <c r="H1560" i="4"/>
  <c r="H1561" i="4"/>
  <c r="H1562" i="4"/>
  <c r="H1563" i="4"/>
  <c r="H1564" i="4"/>
  <c r="H1565" i="4"/>
  <c r="H1566" i="4"/>
  <c r="H1567" i="4"/>
  <c r="H1568" i="4"/>
  <c r="H1569" i="4"/>
  <c r="H1570" i="4"/>
  <c r="H1571" i="4"/>
  <c r="H1572" i="4"/>
  <c r="H1573" i="4"/>
  <c r="H1574" i="4"/>
  <c r="H1575" i="4"/>
  <c r="H1576" i="4"/>
  <c r="H1577" i="4"/>
  <c r="H1578" i="4"/>
  <c r="H1579" i="4"/>
  <c r="H1580" i="4"/>
  <c r="H1581" i="4"/>
  <c r="H1582" i="4"/>
  <c r="H1583" i="4"/>
  <c r="H1584" i="4"/>
  <c r="H1585" i="4"/>
  <c r="H1586" i="4"/>
  <c r="H1587" i="4"/>
  <c r="H1588" i="4"/>
  <c r="H1589" i="4"/>
  <c r="H1590" i="4"/>
  <c r="H1591" i="4"/>
  <c r="H1592" i="4"/>
  <c r="H1593" i="4"/>
  <c r="H1594" i="4"/>
  <c r="H1595" i="4"/>
  <c r="H1596" i="4"/>
  <c r="H1597" i="4"/>
  <c r="H1598" i="4"/>
  <c r="H1599" i="4"/>
  <c r="H1600" i="4"/>
  <c r="H1601" i="4"/>
  <c r="H1502" i="4"/>
  <c r="G1503" i="4"/>
  <c r="G1504" i="4"/>
  <c r="G1505" i="4"/>
  <c r="G1506" i="4"/>
  <c r="G1507" i="4"/>
  <c r="G1508" i="4"/>
  <c r="G1509" i="4"/>
  <c r="G1510" i="4"/>
  <c r="G1511" i="4"/>
  <c r="G1512" i="4"/>
  <c r="G1513" i="4"/>
  <c r="G1514" i="4"/>
  <c r="G1515" i="4"/>
  <c r="G1516" i="4"/>
  <c r="G1517" i="4"/>
  <c r="G1518" i="4"/>
  <c r="G1519" i="4"/>
  <c r="G1520" i="4"/>
  <c r="G1521" i="4"/>
  <c r="G1522" i="4"/>
  <c r="G1523" i="4"/>
  <c r="G1524" i="4"/>
  <c r="G1525" i="4"/>
  <c r="G1526" i="4"/>
  <c r="G1527" i="4"/>
  <c r="G1528" i="4"/>
  <c r="G1529" i="4"/>
  <c r="G1530" i="4"/>
  <c r="G1531" i="4"/>
  <c r="G1532" i="4"/>
  <c r="G1533" i="4"/>
  <c r="G1534" i="4"/>
  <c r="G1535" i="4"/>
  <c r="G1536" i="4"/>
  <c r="G1537" i="4"/>
  <c r="G1538" i="4"/>
  <c r="G1539" i="4"/>
  <c r="G1540" i="4"/>
  <c r="G1541" i="4"/>
  <c r="G1542" i="4"/>
  <c r="G1543" i="4"/>
  <c r="G1544" i="4"/>
  <c r="G1545" i="4"/>
  <c r="G1546" i="4"/>
  <c r="G1547" i="4"/>
  <c r="G1548" i="4"/>
  <c r="G1549" i="4"/>
  <c r="G1550" i="4"/>
  <c r="G1551" i="4"/>
  <c r="G1552" i="4"/>
  <c r="G1553" i="4"/>
  <c r="G1554" i="4"/>
  <c r="G1555" i="4"/>
  <c r="G1556" i="4"/>
  <c r="G1557" i="4"/>
  <c r="G1558" i="4"/>
  <c r="G1559" i="4"/>
  <c r="G1560" i="4"/>
  <c r="G1561" i="4"/>
  <c r="G1562" i="4"/>
  <c r="G1563" i="4"/>
  <c r="G1564" i="4"/>
  <c r="G1565" i="4"/>
  <c r="G1566" i="4"/>
  <c r="G1567" i="4"/>
  <c r="G1568" i="4"/>
  <c r="G1569" i="4"/>
  <c r="G1570" i="4"/>
  <c r="G1571" i="4"/>
  <c r="G1572" i="4"/>
  <c r="G1573" i="4"/>
  <c r="G1574" i="4"/>
  <c r="G1575" i="4"/>
  <c r="G1576" i="4"/>
  <c r="G1577" i="4"/>
  <c r="G1578" i="4"/>
  <c r="G1579" i="4"/>
  <c r="G1580" i="4"/>
  <c r="G1581" i="4"/>
  <c r="G1582" i="4"/>
  <c r="G1583" i="4"/>
  <c r="G1584" i="4"/>
  <c r="G1585" i="4"/>
  <c r="G1586" i="4"/>
  <c r="G1587" i="4"/>
  <c r="G1588" i="4"/>
  <c r="G1589" i="4"/>
  <c r="G1590" i="4"/>
  <c r="G1591" i="4"/>
  <c r="G1592" i="4"/>
  <c r="G1593" i="4"/>
  <c r="G1594" i="4"/>
  <c r="G1595" i="4"/>
  <c r="G1596" i="4"/>
  <c r="G1597" i="4"/>
  <c r="G1598" i="4"/>
  <c r="G1599" i="4"/>
  <c r="G1600" i="4"/>
  <c r="G1601" i="4"/>
  <c r="G1502" i="4"/>
  <c r="L1402" i="4"/>
  <c r="L1403" i="4"/>
  <c r="L1404" i="4"/>
  <c r="L1405" i="4"/>
  <c r="L1406" i="4"/>
  <c r="L1407" i="4"/>
  <c r="L1408" i="4"/>
  <c r="L1409" i="4"/>
  <c r="L1410" i="4"/>
  <c r="L1411" i="4"/>
  <c r="L1412" i="4"/>
  <c r="L1413" i="4"/>
  <c r="L1414" i="4"/>
  <c r="L1415" i="4"/>
  <c r="L1416" i="4"/>
  <c r="L1417" i="4"/>
  <c r="L1418" i="4"/>
  <c r="L1419" i="4"/>
  <c r="L1420" i="4"/>
  <c r="L1421" i="4"/>
  <c r="L1422" i="4"/>
  <c r="L1423" i="4"/>
  <c r="L1424" i="4"/>
  <c r="L1425" i="4"/>
  <c r="L1426" i="4"/>
  <c r="L1427" i="4"/>
  <c r="L1428" i="4"/>
  <c r="L1429" i="4"/>
  <c r="L1430" i="4"/>
  <c r="L1431" i="4"/>
  <c r="L1432" i="4"/>
  <c r="L1433" i="4"/>
  <c r="L1434" i="4"/>
  <c r="L1435" i="4"/>
  <c r="L1436" i="4"/>
  <c r="L1437" i="4"/>
  <c r="L1438" i="4"/>
  <c r="L1439" i="4"/>
  <c r="L1440" i="4"/>
  <c r="L1441" i="4"/>
  <c r="L1442" i="4"/>
  <c r="L1443" i="4"/>
  <c r="L1444" i="4"/>
  <c r="L1445" i="4"/>
  <c r="L1446" i="4"/>
  <c r="L1447" i="4"/>
  <c r="L1448" i="4"/>
  <c r="L1449" i="4"/>
  <c r="L1450" i="4"/>
  <c r="L1451" i="4"/>
  <c r="L1452" i="4"/>
  <c r="L1453" i="4"/>
  <c r="L1454" i="4"/>
  <c r="L1455" i="4"/>
  <c r="L1456" i="4"/>
  <c r="L1457" i="4"/>
  <c r="L1458" i="4"/>
  <c r="L1459" i="4"/>
  <c r="L1460" i="4"/>
  <c r="L1461" i="4"/>
  <c r="L1462" i="4"/>
  <c r="L1463" i="4"/>
  <c r="L1464" i="4"/>
  <c r="L1465" i="4"/>
  <c r="L1466" i="4"/>
  <c r="L1467" i="4"/>
  <c r="L1468" i="4"/>
  <c r="L1469" i="4"/>
  <c r="L1470" i="4"/>
  <c r="L1471" i="4"/>
  <c r="L1472" i="4"/>
  <c r="L1473" i="4"/>
  <c r="L1474" i="4"/>
  <c r="L1475" i="4"/>
  <c r="L1476" i="4"/>
  <c r="L1477" i="4"/>
  <c r="L1478" i="4"/>
  <c r="L1479" i="4"/>
  <c r="L1480" i="4"/>
  <c r="L1481" i="4"/>
  <c r="L1482" i="4"/>
  <c r="L1483" i="4"/>
  <c r="L1484" i="4"/>
  <c r="L1485" i="4"/>
  <c r="L1486" i="4"/>
  <c r="L1487" i="4"/>
  <c r="L1488" i="4"/>
  <c r="L1489" i="4"/>
  <c r="L1490" i="4"/>
  <c r="L1491" i="4"/>
  <c r="L1492" i="4"/>
  <c r="L1493" i="4"/>
  <c r="L1494" i="4"/>
  <c r="L1495" i="4"/>
  <c r="L1496" i="4"/>
  <c r="L1497" i="4"/>
  <c r="L1498" i="4"/>
  <c r="L1499" i="4"/>
  <c r="L1500" i="4"/>
  <c r="L1501" i="4"/>
  <c r="K1402" i="4"/>
  <c r="K1403" i="4"/>
  <c r="K1404" i="4"/>
  <c r="K1405" i="4"/>
  <c r="K1406" i="4"/>
  <c r="K1407" i="4"/>
  <c r="K1408" i="4"/>
  <c r="M1408" i="4" s="1"/>
  <c r="K1409" i="4"/>
  <c r="K1410" i="4"/>
  <c r="K1411" i="4"/>
  <c r="K1412" i="4"/>
  <c r="K1413" i="4"/>
  <c r="K1414" i="4"/>
  <c r="K1415" i="4"/>
  <c r="K1416" i="4"/>
  <c r="M1416" i="4" s="1"/>
  <c r="K1417" i="4"/>
  <c r="K1418" i="4"/>
  <c r="K1419" i="4"/>
  <c r="M1419" i="4" s="1"/>
  <c r="K1420" i="4"/>
  <c r="K1421" i="4"/>
  <c r="K1422" i="4"/>
  <c r="K1423" i="4"/>
  <c r="K1424" i="4"/>
  <c r="K1425" i="4"/>
  <c r="K1426" i="4"/>
  <c r="K1427" i="4"/>
  <c r="K1428" i="4"/>
  <c r="K1429" i="4"/>
  <c r="K1430" i="4"/>
  <c r="K1431" i="4"/>
  <c r="K1432" i="4"/>
  <c r="M1432" i="4" s="1"/>
  <c r="K1433" i="4"/>
  <c r="K1434" i="4"/>
  <c r="K1435" i="4"/>
  <c r="K1436" i="4"/>
  <c r="K1437" i="4"/>
  <c r="K1438" i="4"/>
  <c r="K1439" i="4"/>
  <c r="K1440" i="4"/>
  <c r="M1440" i="4" s="1"/>
  <c r="K1441" i="4"/>
  <c r="K1442" i="4"/>
  <c r="K1443" i="4"/>
  <c r="K1444" i="4"/>
  <c r="K1445" i="4"/>
  <c r="K1446" i="4"/>
  <c r="K1447" i="4"/>
  <c r="K1448" i="4"/>
  <c r="M1448" i="4" s="1"/>
  <c r="K1449" i="4"/>
  <c r="K1450" i="4"/>
  <c r="K1451" i="4"/>
  <c r="K1452" i="4"/>
  <c r="K1453" i="4"/>
  <c r="K1454" i="4"/>
  <c r="K1455" i="4"/>
  <c r="K1456" i="4"/>
  <c r="K1457" i="4"/>
  <c r="K1458" i="4"/>
  <c r="K1459" i="4"/>
  <c r="K1460" i="4"/>
  <c r="K1461" i="4"/>
  <c r="K1462" i="4"/>
  <c r="K1463" i="4"/>
  <c r="K1464" i="4"/>
  <c r="M1464" i="4" s="1"/>
  <c r="K1465" i="4"/>
  <c r="K1466" i="4"/>
  <c r="K1467" i="4"/>
  <c r="K1468" i="4"/>
  <c r="K1469" i="4"/>
  <c r="K1470" i="4"/>
  <c r="K1471" i="4"/>
  <c r="K1472" i="4"/>
  <c r="M1472" i="4" s="1"/>
  <c r="K1473" i="4"/>
  <c r="K1474" i="4"/>
  <c r="K1475" i="4"/>
  <c r="K1476" i="4"/>
  <c r="K1477" i="4"/>
  <c r="K1478" i="4"/>
  <c r="K1479" i="4"/>
  <c r="K1480" i="4"/>
  <c r="M1480" i="4" s="1"/>
  <c r="K1481" i="4"/>
  <c r="K1482" i="4"/>
  <c r="K1483" i="4"/>
  <c r="K1484" i="4"/>
  <c r="K1485" i="4"/>
  <c r="K1486" i="4"/>
  <c r="K1487" i="4"/>
  <c r="K1488" i="4"/>
  <c r="K1489" i="4"/>
  <c r="K1490" i="4"/>
  <c r="K1491" i="4"/>
  <c r="K1492" i="4"/>
  <c r="K1493" i="4"/>
  <c r="K1494" i="4"/>
  <c r="K1495" i="4"/>
  <c r="K1496" i="4"/>
  <c r="M1496" i="4" s="1"/>
  <c r="K1497" i="4"/>
  <c r="K1498" i="4"/>
  <c r="K1499" i="4"/>
  <c r="K1500" i="4"/>
  <c r="K1501" i="4"/>
  <c r="J1402" i="4"/>
  <c r="J1403" i="4"/>
  <c r="J1404" i="4"/>
  <c r="M1404" i="4" s="1"/>
  <c r="J1405" i="4"/>
  <c r="J1406" i="4"/>
  <c r="J1407" i="4"/>
  <c r="J1408" i="4"/>
  <c r="J1409" i="4"/>
  <c r="J1410" i="4"/>
  <c r="J1411" i="4"/>
  <c r="J1412" i="4"/>
  <c r="M1412" i="4" s="1"/>
  <c r="J1413" i="4"/>
  <c r="J1414" i="4"/>
  <c r="J1415" i="4"/>
  <c r="J1416" i="4"/>
  <c r="J1417" i="4"/>
  <c r="J1418" i="4"/>
  <c r="J1419" i="4"/>
  <c r="J1420" i="4"/>
  <c r="M1420" i="4" s="1"/>
  <c r="J1421" i="4"/>
  <c r="J1422" i="4"/>
  <c r="J1423" i="4"/>
  <c r="J1424" i="4"/>
  <c r="J1425" i="4"/>
  <c r="J1426" i="4"/>
  <c r="J1427" i="4"/>
  <c r="J1428" i="4"/>
  <c r="M1428" i="4" s="1"/>
  <c r="J1429" i="4"/>
  <c r="J1430" i="4"/>
  <c r="J1431" i="4"/>
  <c r="J1432" i="4"/>
  <c r="J1433" i="4"/>
  <c r="J1434" i="4"/>
  <c r="J1435" i="4"/>
  <c r="J1436" i="4"/>
  <c r="M1436" i="4" s="1"/>
  <c r="J1437" i="4"/>
  <c r="J1438" i="4"/>
  <c r="J1439" i="4"/>
  <c r="J1440" i="4"/>
  <c r="J1441" i="4"/>
  <c r="J1442" i="4"/>
  <c r="J1443" i="4"/>
  <c r="J1444" i="4"/>
  <c r="M1444" i="4" s="1"/>
  <c r="J1445" i="4"/>
  <c r="J1446" i="4"/>
  <c r="J1447" i="4"/>
  <c r="J1448" i="4"/>
  <c r="J1449" i="4"/>
  <c r="J1450" i="4"/>
  <c r="J1451" i="4"/>
  <c r="J1452" i="4"/>
  <c r="M1452" i="4" s="1"/>
  <c r="J1453" i="4"/>
  <c r="J1454" i="4"/>
  <c r="J1455" i="4"/>
  <c r="J1456" i="4"/>
  <c r="J1457" i="4"/>
  <c r="J1458" i="4"/>
  <c r="J1459" i="4"/>
  <c r="J1460" i="4"/>
  <c r="M1460" i="4" s="1"/>
  <c r="J1461" i="4"/>
  <c r="J1462" i="4"/>
  <c r="J1463" i="4"/>
  <c r="J1464" i="4"/>
  <c r="J1465" i="4"/>
  <c r="J1466" i="4"/>
  <c r="J1467" i="4"/>
  <c r="J1468" i="4"/>
  <c r="M1468" i="4" s="1"/>
  <c r="J1469" i="4"/>
  <c r="J1470" i="4"/>
  <c r="J1471" i="4"/>
  <c r="J1472" i="4"/>
  <c r="J1473" i="4"/>
  <c r="J1474" i="4"/>
  <c r="J1475" i="4"/>
  <c r="J1476" i="4"/>
  <c r="M1476" i="4" s="1"/>
  <c r="J1477" i="4"/>
  <c r="J1478" i="4"/>
  <c r="J1479" i="4"/>
  <c r="J1480" i="4"/>
  <c r="J1481" i="4"/>
  <c r="J1482" i="4"/>
  <c r="J1483" i="4"/>
  <c r="J1484" i="4"/>
  <c r="M1484" i="4" s="1"/>
  <c r="J1485" i="4"/>
  <c r="J1486" i="4"/>
  <c r="J1487" i="4"/>
  <c r="J1488" i="4"/>
  <c r="J1489" i="4"/>
  <c r="J1490" i="4"/>
  <c r="J1491" i="4"/>
  <c r="J1492" i="4"/>
  <c r="M1492" i="4" s="1"/>
  <c r="J1493" i="4"/>
  <c r="J1494" i="4"/>
  <c r="J1495" i="4"/>
  <c r="J1496" i="4"/>
  <c r="J1497" i="4"/>
  <c r="J1498" i="4"/>
  <c r="J1499" i="4"/>
  <c r="J1500" i="4"/>
  <c r="M1500" i="4" s="1"/>
  <c r="J1501" i="4"/>
  <c r="I1403" i="4"/>
  <c r="I1404" i="4"/>
  <c r="I1405" i="4"/>
  <c r="I1406" i="4"/>
  <c r="I1407" i="4"/>
  <c r="I1408" i="4"/>
  <c r="I1409" i="4"/>
  <c r="I1410" i="4"/>
  <c r="I1411" i="4"/>
  <c r="I1412" i="4"/>
  <c r="I1413" i="4"/>
  <c r="I1414" i="4"/>
  <c r="I1415" i="4"/>
  <c r="I1416" i="4"/>
  <c r="I1417" i="4"/>
  <c r="I1418" i="4"/>
  <c r="I1419" i="4"/>
  <c r="I1420" i="4"/>
  <c r="I1421" i="4"/>
  <c r="I1422" i="4"/>
  <c r="I1423" i="4"/>
  <c r="I1424" i="4"/>
  <c r="I1425" i="4"/>
  <c r="I1426" i="4"/>
  <c r="I1427" i="4"/>
  <c r="I1428" i="4"/>
  <c r="I1429" i="4"/>
  <c r="I1430" i="4"/>
  <c r="I1431" i="4"/>
  <c r="I1432" i="4"/>
  <c r="I1433" i="4"/>
  <c r="I1434" i="4"/>
  <c r="I1435" i="4"/>
  <c r="I1436" i="4"/>
  <c r="I1437" i="4"/>
  <c r="I1438" i="4"/>
  <c r="I1439" i="4"/>
  <c r="I1440" i="4"/>
  <c r="I1441" i="4"/>
  <c r="I1442" i="4"/>
  <c r="I1443" i="4"/>
  <c r="I1444" i="4"/>
  <c r="I1445" i="4"/>
  <c r="I1446" i="4"/>
  <c r="I1447" i="4"/>
  <c r="I1448" i="4"/>
  <c r="I1449" i="4"/>
  <c r="I1450" i="4"/>
  <c r="I1451" i="4"/>
  <c r="I1452" i="4"/>
  <c r="I1453" i="4"/>
  <c r="I1454" i="4"/>
  <c r="I1455" i="4"/>
  <c r="I1456" i="4"/>
  <c r="I1457" i="4"/>
  <c r="I1458" i="4"/>
  <c r="I1459" i="4"/>
  <c r="I1460" i="4"/>
  <c r="I1461" i="4"/>
  <c r="I1462" i="4"/>
  <c r="I1463" i="4"/>
  <c r="I1464" i="4"/>
  <c r="I1465" i="4"/>
  <c r="I1466" i="4"/>
  <c r="I1467" i="4"/>
  <c r="I1468" i="4"/>
  <c r="I1469" i="4"/>
  <c r="I1470" i="4"/>
  <c r="I1471" i="4"/>
  <c r="I1472" i="4"/>
  <c r="I1473" i="4"/>
  <c r="I1474" i="4"/>
  <c r="I1475" i="4"/>
  <c r="I1476" i="4"/>
  <c r="I1477" i="4"/>
  <c r="I1478" i="4"/>
  <c r="I1479" i="4"/>
  <c r="I1480" i="4"/>
  <c r="I1481" i="4"/>
  <c r="I1482" i="4"/>
  <c r="I1483" i="4"/>
  <c r="I1484" i="4"/>
  <c r="I1485" i="4"/>
  <c r="I1486" i="4"/>
  <c r="I1487" i="4"/>
  <c r="I1488" i="4"/>
  <c r="I1489" i="4"/>
  <c r="I1490" i="4"/>
  <c r="I1491" i="4"/>
  <c r="I1492" i="4"/>
  <c r="I1493" i="4"/>
  <c r="I1494" i="4"/>
  <c r="I1495" i="4"/>
  <c r="I1496" i="4"/>
  <c r="I1497" i="4"/>
  <c r="I1498" i="4"/>
  <c r="I1499" i="4"/>
  <c r="I1500" i="4"/>
  <c r="I1501" i="4"/>
  <c r="I1402" i="4"/>
  <c r="H1403" i="4"/>
  <c r="H1404" i="4"/>
  <c r="H1405" i="4"/>
  <c r="H1406" i="4"/>
  <c r="H1407" i="4"/>
  <c r="H1408" i="4"/>
  <c r="H1409" i="4"/>
  <c r="H1410" i="4"/>
  <c r="H1411" i="4"/>
  <c r="H1412" i="4"/>
  <c r="H1413" i="4"/>
  <c r="H1414" i="4"/>
  <c r="H1415" i="4"/>
  <c r="H1416" i="4"/>
  <c r="H1417" i="4"/>
  <c r="H1418" i="4"/>
  <c r="H1419" i="4"/>
  <c r="H1420" i="4"/>
  <c r="H1421" i="4"/>
  <c r="H1422" i="4"/>
  <c r="H1423" i="4"/>
  <c r="H1424" i="4"/>
  <c r="H1425" i="4"/>
  <c r="H1426" i="4"/>
  <c r="H1427" i="4"/>
  <c r="H1428" i="4"/>
  <c r="H1429" i="4"/>
  <c r="H1430" i="4"/>
  <c r="H1431" i="4"/>
  <c r="H1432" i="4"/>
  <c r="H1433" i="4"/>
  <c r="H1434" i="4"/>
  <c r="H1435" i="4"/>
  <c r="H1436" i="4"/>
  <c r="H1437" i="4"/>
  <c r="H1438" i="4"/>
  <c r="H1439" i="4"/>
  <c r="H1440" i="4"/>
  <c r="H1441" i="4"/>
  <c r="H1442" i="4"/>
  <c r="H1443" i="4"/>
  <c r="H1444" i="4"/>
  <c r="H1445" i="4"/>
  <c r="H1446" i="4"/>
  <c r="H1447" i="4"/>
  <c r="H1448" i="4"/>
  <c r="H1449" i="4"/>
  <c r="H1450" i="4"/>
  <c r="H1451" i="4"/>
  <c r="H1452" i="4"/>
  <c r="H1453" i="4"/>
  <c r="H1454" i="4"/>
  <c r="H1455" i="4"/>
  <c r="H1456" i="4"/>
  <c r="H1457" i="4"/>
  <c r="H1458" i="4"/>
  <c r="H1459" i="4"/>
  <c r="H1460" i="4"/>
  <c r="H1461" i="4"/>
  <c r="H1462" i="4"/>
  <c r="H1463" i="4"/>
  <c r="H1464" i="4"/>
  <c r="H1465" i="4"/>
  <c r="H1466" i="4"/>
  <c r="H1467" i="4"/>
  <c r="H1468" i="4"/>
  <c r="H1469" i="4"/>
  <c r="H1470" i="4"/>
  <c r="H1471" i="4"/>
  <c r="H1472" i="4"/>
  <c r="H1473" i="4"/>
  <c r="H1474" i="4"/>
  <c r="H1475" i="4"/>
  <c r="H1476" i="4"/>
  <c r="H1477" i="4"/>
  <c r="H1478" i="4"/>
  <c r="H1479" i="4"/>
  <c r="H1480" i="4"/>
  <c r="H1481" i="4"/>
  <c r="H1482" i="4"/>
  <c r="H1483" i="4"/>
  <c r="H1484" i="4"/>
  <c r="H1485" i="4"/>
  <c r="H1486" i="4"/>
  <c r="H1487" i="4"/>
  <c r="H1488" i="4"/>
  <c r="H1489" i="4"/>
  <c r="H1490" i="4"/>
  <c r="H1491" i="4"/>
  <c r="H1492" i="4"/>
  <c r="H1493" i="4"/>
  <c r="H1494" i="4"/>
  <c r="H1495" i="4"/>
  <c r="H1496" i="4"/>
  <c r="H1497" i="4"/>
  <c r="H1498" i="4"/>
  <c r="H1499" i="4"/>
  <c r="H1500" i="4"/>
  <c r="H1501" i="4"/>
  <c r="H1402" i="4"/>
  <c r="G1403" i="4"/>
  <c r="G1404" i="4"/>
  <c r="G1405" i="4"/>
  <c r="G1406" i="4"/>
  <c r="G1407" i="4"/>
  <c r="G1408" i="4"/>
  <c r="G1409" i="4"/>
  <c r="G1410" i="4"/>
  <c r="G1411" i="4"/>
  <c r="G1412" i="4"/>
  <c r="G1413" i="4"/>
  <c r="G1414" i="4"/>
  <c r="G1415" i="4"/>
  <c r="G1416" i="4"/>
  <c r="G1417" i="4"/>
  <c r="G1418" i="4"/>
  <c r="G1419" i="4"/>
  <c r="G1420" i="4"/>
  <c r="G1421" i="4"/>
  <c r="G1422" i="4"/>
  <c r="G1423" i="4"/>
  <c r="G1424" i="4"/>
  <c r="G1425" i="4"/>
  <c r="G1426" i="4"/>
  <c r="G1427" i="4"/>
  <c r="G1428" i="4"/>
  <c r="G1429" i="4"/>
  <c r="G1430" i="4"/>
  <c r="G1431" i="4"/>
  <c r="G1432" i="4"/>
  <c r="G1433" i="4"/>
  <c r="G1434" i="4"/>
  <c r="G1435" i="4"/>
  <c r="G1436" i="4"/>
  <c r="G1437" i="4"/>
  <c r="G1438" i="4"/>
  <c r="G1439" i="4"/>
  <c r="G1440" i="4"/>
  <c r="G1441" i="4"/>
  <c r="G1442" i="4"/>
  <c r="G1443" i="4"/>
  <c r="G1444" i="4"/>
  <c r="G1445" i="4"/>
  <c r="G1446" i="4"/>
  <c r="G1447" i="4"/>
  <c r="G1448" i="4"/>
  <c r="G1449" i="4"/>
  <c r="G1450" i="4"/>
  <c r="G1451" i="4"/>
  <c r="G1452" i="4"/>
  <c r="G1453" i="4"/>
  <c r="G1454" i="4"/>
  <c r="G1455" i="4"/>
  <c r="G1456" i="4"/>
  <c r="G1457" i="4"/>
  <c r="G1458" i="4"/>
  <c r="G1459" i="4"/>
  <c r="G1460" i="4"/>
  <c r="G1461" i="4"/>
  <c r="G1462" i="4"/>
  <c r="G1463" i="4"/>
  <c r="G1464" i="4"/>
  <c r="G1465" i="4"/>
  <c r="G1466" i="4"/>
  <c r="G1467" i="4"/>
  <c r="G1468" i="4"/>
  <c r="G1469" i="4"/>
  <c r="G1470" i="4"/>
  <c r="G1471" i="4"/>
  <c r="G1472" i="4"/>
  <c r="G1473" i="4"/>
  <c r="G1474" i="4"/>
  <c r="G1475" i="4"/>
  <c r="G1476" i="4"/>
  <c r="G1477" i="4"/>
  <c r="G1478" i="4"/>
  <c r="G1479" i="4"/>
  <c r="G1480" i="4"/>
  <c r="G1481" i="4"/>
  <c r="G1482" i="4"/>
  <c r="G1483" i="4"/>
  <c r="G1484" i="4"/>
  <c r="G1485" i="4"/>
  <c r="G1486" i="4"/>
  <c r="G1487" i="4"/>
  <c r="G1488" i="4"/>
  <c r="G1489" i="4"/>
  <c r="G1490" i="4"/>
  <c r="G1491" i="4"/>
  <c r="G1492" i="4"/>
  <c r="G1493" i="4"/>
  <c r="G1494" i="4"/>
  <c r="G1495" i="4"/>
  <c r="G1496" i="4"/>
  <c r="G1497" i="4"/>
  <c r="G1498" i="4"/>
  <c r="G1499" i="4"/>
  <c r="G1500" i="4"/>
  <c r="G1501" i="4"/>
  <c r="G1402" i="4"/>
  <c r="AT109" i="6"/>
  <c r="AT110" i="6"/>
  <c r="AT111" i="6"/>
  <c r="AT112" i="6"/>
  <c r="AT113" i="6"/>
  <c r="AT114" i="6"/>
  <c r="AT115" i="6"/>
  <c r="AT116" i="6"/>
  <c r="AT117" i="6"/>
  <c r="AT118" i="6"/>
  <c r="AT119" i="6"/>
  <c r="AT120" i="6"/>
  <c r="AT121" i="6"/>
  <c r="AT122" i="6"/>
  <c r="AT123" i="6"/>
  <c r="AT124" i="6"/>
  <c r="AT125" i="6"/>
  <c r="AT126" i="6"/>
  <c r="AT127" i="6"/>
  <c r="AT128" i="6"/>
  <c r="AT129" i="6"/>
  <c r="AT130" i="6"/>
  <c r="AT131" i="6"/>
  <c r="AT132" i="6"/>
  <c r="AT133" i="6"/>
  <c r="AT134" i="6"/>
  <c r="AT135" i="6"/>
  <c r="AT136" i="6"/>
  <c r="AT137" i="6"/>
  <c r="AT138" i="6"/>
  <c r="AT139" i="6"/>
  <c r="AT140" i="6"/>
  <c r="AT141" i="6"/>
  <c r="AT142" i="6"/>
  <c r="AT143" i="6"/>
  <c r="AT144" i="6"/>
  <c r="AT145" i="6"/>
  <c r="AT146" i="6"/>
  <c r="AT147" i="6"/>
  <c r="AT148" i="6"/>
  <c r="AT149" i="6"/>
  <c r="AT150" i="6"/>
  <c r="AT151" i="6"/>
  <c r="AT152" i="6"/>
  <c r="AT153" i="6"/>
  <c r="AT154" i="6"/>
  <c r="AT155" i="6"/>
  <c r="AT156" i="6"/>
  <c r="AT157" i="6"/>
  <c r="AT158" i="6"/>
  <c r="AT159" i="6"/>
  <c r="AT160" i="6"/>
  <c r="AT161" i="6"/>
  <c r="AT162" i="6"/>
  <c r="AT163" i="6"/>
  <c r="AT164" i="6"/>
  <c r="AT165" i="6"/>
  <c r="AT166" i="6"/>
  <c r="AT167" i="6"/>
  <c r="AT168" i="6"/>
  <c r="AT169" i="6"/>
  <c r="AT170" i="6"/>
  <c r="AS109" i="6"/>
  <c r="AS110" i="6"/>
  <c r="AS111" i="6"/>
  <c r="AS112" i="6"/>
  <c r="AS113" i="6"/>
  <c r="AS114" i="6"/>
  <c r="AS115" i="6"/>
  <c r="AS116" i="6"/>
  <c r="AS117" i="6"/>
  <c r="AS118" i="6"/>
  <c r="AS119" i="6"/>
  <c r="AS120" i="6"/>
  <c r="AS121" i="6"/>
  <c r="AS122" i="6"/>
  <c r="AS123" i="6"/>
  <c r="AS124" i="6"/>
  <c r="AS125" i="6"/>
  <c r="AS126" i="6"/>
  <c r="AS127" i="6"/>
  <c r="AS128" i="6"/>
  <c r="AS129" i="6"/>
  <c r="AS130" i="6"/>
  <c r="AS131" i="6"/>
  <c r="AS132" i="6"/>
  <c r="AS133" i="6"/>
  <c r="AS134" i="6"/>
  <c r="AS135" i="6"/>
  <c r="AS136" i="6"/>
  <c r="AS137" i="6"/>
  <c r="AS138" i="6"/>
  <c r="AS139" i="6"/>
  <c r="AS140" i="6"/>
  <c r="AS141" i="6"/>
  <c r="AS142" i="6"/>
  <c r="AS143" i="6"/>
  <c r="AS144" i="6"/>
  <c r="AS145" i="6"/>
  <c r="AS146" i="6"/>
  <c r="AS147" i="6"/>
  <c r="AS148" i="6"/>
  <c r="AS149" i="6"/>
  <c r="AS150" i="6"/>
  <c r="AS151" i="6"/>
  <c r="AS152" i="6"/>
  <c r="AS153" i="6"/>
  <c r="AS154" i="6"/>
  <c r="AS155" i="6"/>
  <c r="AS156" i="6"/>
  <c r="AS157" i="6"/>
  <c r="AS158" i="6"/>
  <c r="AS159" i="6"/>
  <c r="AS160" i="6"/>
  <c r="AS161" i="6"/>
  <c r="AS162" i="6"/>
  <c r="AS163" i="6"/>
  <c r="AS164" i="6"/>
  <c r="AS165" i="6"/>
  <c r="AS166" i="6"/>
  <c r="AS167" i="6"/>
  <c r="AS168" i="6"/>
  <c r="AS169" i="6"/>
  <c r="AS170" i="6"/>
  <c r="AR109" i="6"/>
  <c r="AR110" i="6"/>
  <c r="AR111" i="6"/>
  <c r="AR112" i="6"/>
  <c r="AR113" i="6"/>
  <c r="AR114" i="6"/>
  <c r="AR115" i="6"/>
  <c r="AR116" i="6"/>
  <c r="AR117" i="6"/>
  <c r="AR118" i="6"/>
  <c r="AR119" i="6"/>
  <c r="AR120" i="6"/>
  <c r="AR121" i="6"/>
  <c r="AR122" i="6"/>
  <c r="AR123" i="6"/>
  <c r="AR124" i="6"/>
  <c r="AR125" i="6"/>
  <c r="AR126" i="6"/>
  <c r="AR127" i="6"/>
  <c r="AR128" i="6"/>
  <c r="AR129" i="6"/>
  <c r="AR130" i="6"/>
  <c r="AR131" i="6"/>
  <c r="AR132" i="6"/>
  <c r="AR133" i="6"/>
  <c r="AR134" i="6"/>
  <c r="AR135" i="6"/>
  <c r="AR136" i="6"/>
  <c r="AR137" i="6"/>
  <c r="AR138" i="6"/>
  <c r="AR139" i="6"/>
  <c r="AR140" i="6"/>
  <c r="AR141" i="6"/>
  <c r="AR142" i="6"/>
  <c r="AR143" i="6"/>
  <c r="AR144" i="6"/>
  <c r="AR145" i="6"/>
  <c r="AR146" i="6"/>
  <c r="AR147" i="6"/>
  <c r="AR148" i="6"/>
  <c r="AR149" i="6"/>
  <c r="AR150" i="6"/>
  <c r="AR151" i="6"/>
  <c r="AR152" i="6"/>
  <c r="AR153" i="6"/>
  <c r="AR154" i="6"/>
  <c r="AR155" i="6"/>
  <c r="AR156" i="6"/>
  <c r="AR157" i="6"/>
  <c r="AR158" i="6"/>
  <c r="AR159" i="6"/>
  <c r="AR160" i="6"/>
  <c r="AR161" i="6"/>
  <c r="AR162" i="6"/>
  <c r="AR163" i="6"/>
  <c r="AR164" i="6"/>
  <c r="AR165" i="6"/>
  <c r="AR166" i="6"/>
  <c r="AR167" i="6"/>
  <c r="AR168" i="6"/>
  <c r="AR169" i="6"/>
  <c r="AR170" i="6"/>
  <c r="AQ109" i="6"/>
  <c r="AQ110" i="6"/>
  <c r="AQ111" i="6"/>
  <c r="AQ112" i="6"/>
  <c r="AQ113" i="6"/>
  <c r="AQ114" i="6"/>
  <c r="AQ115" i="6"/>
  <c r="AQ116" i="6"/>
  <c r="AQ117" i="6"/>
  <c r="AQ118" i="6"/>
  <c r="AQ119" i="6"/>
  <c r="AQ120" i="6"/>
  <c r="AQ121" i="6"/>
  <c r="AQ122" i="6"/>
  <c r="AQ123" i="6"/>
  <c r="AQ124" i="6"/>
  <c r="AQ125" i="6"/>
  <c r="AQ126" i="6"/>
  <c r="AQ127" i="6"/>
  <c r="AQ128" i="6"/>
  <c r="AQ129" i="6"/>
  <c r="AQ130" i="6"/>
  <c r="AQ131" i="6"/>
  <c r="AQ132" i="6"/>
  <c r="AQ133" i="6"/>
  <c r="AQ134" i="6"/>
  <c r="AQ135" i="6"/>
  <c r="AQ136" i="6"/>
  <c r="AQ137" i="6"/>
  <c r="AQ138" i="6"/>
  <c r="AQ139" i="6"/>
  <c r="AQ140" i="6"/>
  <c r="AQ141" i="6"/>
  <c r="AQ142" i="6"/>
  <c r="AQ143" i="6"/>
  <c r="AQ144" i="6"/>
  <c r="AQ145" i="6"/>
  <c r="AQ146" i="6"/>
  <c r="AQ147" i="6"/>
  <c r="AQ148" i="6"/>
  <c r="AQ149" i="6"/>
  <c r="AQ150" i="6"/>
  <c r="AQ151" i="6"/>
  <c r="AQ152" i="6"/>
  <c r="AQ153" i="6"/>
  <c r="AQ154" i="6"/>
  <c r="AQ155" i="6"/>
  <c r="AQ156" i="6"/>
  <c r="AQ157" i="6"/>
  <c r="AQ158" i="6"/>
  <c r="AQ159" i="6"/>
  <c r="AQ160" i="6"/>
  <c r="AQ161" i="6"/>
  <c r="AQ162" i="6"/>
  <c r="AQ163" i="6"/>
  <c r="AQ164" i="6"/>
  <c r="AQ165" i="6"/>
  <c r="AQ166" i="6"/>
  <c r="AQ167" i="6"/>
  <c r="AQ168" i="6"/>
  <c r="AQ169" i="6"/>
  <c r="AQ170" i="6"/>
  <c r="AP170" i="6"/>
  <c r="AO170" i="6"/>
  <c r="AN170" i="6"/>
  <c r="AM170" i="6"/>
  <c r="AL109" i="6"/>
  <c r="AL110" i="6"/>
  <c r="AL111" i="6"/>
  <c r="AL112" i="6"/>
  <c r="AL113" i="6"/>
  <c r="AL114" i="6"/>
  <c r="AL115" i="6"/>
  <c r="AL116" i="6"/>
  <c r="AL117" i="6"/>
  <c r="AL118" i="6"/>
  <c r="AL119" i="6"/>
  <c r="AL120" i="6"/>
  <c r="AL121" i="6"/>
  <c r="AL122" i="6"/>
  <c r="AL123" i="6"/>
  <c r="AL124" i="6"/>
  <c r="AL125" i="6"/>
  <c r="AL126" i="6"/>
  <c r="AL127" i="6"/>
  <c r="AL128" i="6"/>
  <c r="AL129" i="6"/>
  <c r="AL130" i="6"/>
  <c r="AL131" i="6"/>
  <c r="AL132" i="6"/>
  <c r="AL133" i="6"/>
  <c r="AL134" i="6"/>
  <c r="AL135" i="6"/>
  <c r="AL136" i="6"/>
  <c r="AL137" i="6"/>
  <c r="AL138" i="6"/>
  <c r="AL139" i="6"/>
  <c r="AL140" i="6"/>
  <c r="AL141" i="6"/>
  <c r="AL142" i="6"/>
  <c r="AL143" i="6"/>
  <c r="AL144" i="6"/>
  <c r="AL145" i="6"/>
  <c r="AL146" i="6"/>
  <c r="AL147" i="6"/>
  <c r="AL148" i="6"/>
  <c r="AL149" i="6"/>
  <c r="AL150" i="6"/>
  <c r="AL151" i="6"/>
  <c r="AL152" i="6"/>
  <c r="AL153" i="6"/>
  <c r="AL154" i="6"/>
  <c r="AL155" i="6"/>
  <c r="AL156" i="6"/>
  <c r="AL157" i="6"/>
  <c r="AL158" i="6"/>
  <c r="AL159" i="6"/>
  <c r="AL160" i="6"/>
  <c r="AL161" i="6"/>
  <c r="AL162" i="6"/>
  <c r="AL163" i="6"/>
  <c r="AL164" i="6"/>
  <c r="AL165" i="6"/>
  <c r="AL166" i="6"/>
  <c r="AL167" i="6"/>
  <c r="AL168" i="6"/>
  <c r="AL169" i="6"/>
  <c r="AL170" i="6"/>
  <c r="AK109" i="6"/>
  <c r="AK110" i="6"/>
  <c r="AK111" i="6"/>
  <c r="AK112" i="6"/>
  <c r="AK113" i="6"/>
  <c r="AK114" i="6"/>
  <c r="AK115" i="6"/>
  <c r="AK116" i="6"/>
  <c r="AK117" i="6"/>
  <c r="AK118" i="6"/>
  <c r="AK119" i="6"/>
  <c r="AK120" i="6"/>
  <c r="AK121" i="6"/>
  <c r="AK122" i="6"/>
  <c r="AK123" i="6"/>
  <c r="AK124" i="6"/>
  <c r="AK125" i="6"/>
  <c r="AK126" i="6"/>
  <c r="AK127" i="6"/>
  <c r="AK128" i="6"/>
  <c r="AK129" i="6"/>
  <c r="AK130" i="6"/>
  <c r="AK131" i="6"/>
  <c r="AK132" i="6"/>
  <c r="AK133" i="6"/>
  <c r="AK134" i="6"/>
  <c r="AK135" i="6"/>
  <c r="AK136" i="6"/>
  <c r="AK137" i="6"/>
  <c r="AK138" i="6"/>
  <c r="AK139" i="6"/>
  <c r="AK140" i="6"/>
  <c r="AK141" i="6"/>
  <c r="AK142" i="6"/>
  <c r="AK143" i="6"/>
  <c r="AK144" i="6"/>
  <c r="AK145" i="6"/>
  <c r="AK146" i="6"/>
  <c r="AK147" i="6"/>
  <c r="AK148" i="6"/>
  <c r="AK149" i="6"/>
  <c r="AK150" i="6"/>
  <c r="AK151" i="6"/>
  <c r="AK152" i="6"/>
  <c r="AK153" i="6"/>
  <c r="AK154" i="6"/>
  <c r="AK155" i="6"/>
  <c r="AK156" i="6"/>
  <c r="AK157" i="6"/>
  <c r="AK158" i="6"/>
  <c r="AK159" i="6"/>
  <c r="AK160" i="6"/>
  <c r="AK161" i="6"/>
  <c r="AK162" i="6"/>
  <c r="AK163" i="6"/>
  <c r="AK164" i="6"/>
  <c r="AK165" i="6"/>
  <c r="AK166" i="6"/>
  <c r="AK167" i="6"/>
  <c r="AK168" i="6"/>
  <c r="AK169" i="6"/>
  <c r="AK170" i="6"/>
  <c r="AJ109" i="6"/>
  <c r="AJ110" i="6"/>
  <c r="AJ111" i="6"/>
  <c r="AJ112" i="6"/>
  <c r="AJ113" i="6"/>
  <c r="AJ114" i="6"/>
  <c r="AJ115" i="6"/>
  <c r="AJ116" i="6"/>
  <c r="AJ117" i="6"/>
  <c r="AJ118" i="6"/>
  <c r="AJ119" i="6"/>
  <c r="AJ120" i="6"/>
  <c r="AJ121" i="6"/>
  <c r="AJ122" i="6"/>
  <c r="AJ123" i="6"/>
  <c r="AJ124" i="6"/>
  <c r="AJ125" i="6"/>
  <c r="AJ126" i="6"/>
  <c r="AJ127" i="6"/>
  <c r="AJ128" i="6"/>
  <c r="AJ129" i="6"/>
  <c r="AJ130" i="6"/>
  <c r="AJ131" i="6"/>
  <c r="AJ132" i="6"/>
  <c r="AJ133" i="6"/>
  <c r="AJ134" i="6"/>
  <c r="AJ135" i="6"/>
  <c r="AJ136" i="6"/>
  <c r="AJ137" i="6"/>
  <c r="AJ138" i="6"/>
  <c r="AJ139" i="6"/>
  <c r="AJ140" i="6"/>
  <c r="AJ141" i="6"/>
  <c r="AJ142" i="6"/>
  <c r="AJ143" i="6"/>
  <c r="AJ144" i="6"/>
  <c r="AJ145" i="6"/>
  <c r="AJ146" i="6"/>
  <c r="AJ147" i="6"/>
  <c r="AJ148" i="6"/>
  <c r="AJ149" i="6"/>
  <c r="AJ150" i="6"/>
  <c r="AJ151" i="6"/>
  <c r="AJ152" i="6"/>
  <c r="AJ153" i="6"/>
  <c r="AJ154" i="6"/>
  <c r="AJ155" i="6"/>
  <c r="AJ156" i="6"/>
  <c r="AJ157" i="6"/>
  <c r="AJ158" i="6"/>
  <c r="AJ159" i="6"/>
  <c r="AJ160" i="6"/>
  <c r="AJ161" i="6"/>
  <c r="AJ162" i="6"/>
  <c r="AJ163" i="6"/>
  <c r="AJ164" i="6"/>
  <c r="AJ165" i="6"/>
  <c r="AJ166" i="6"/>
  <c r="AJ167" i="6"/>
  <c r="AJ168" i="6"/>
  <c r="AJ169" i="6"/>
  <c r="AJ170" i="6"/>
  <c r="AI109" i="6"/>
  <c r="AI110" i="6"/>
  <c r="AI111" i="6"/>
  <c r="AI112" i="6"/>
  <c r="AI113" i="6"/>
  <c r="AI114" i="6"/>
  <c r="AI115" i="6"/>
  <c r="AI116" i="6"/>
  <c r="AI117" i="6"/>
  <c r="AI118" i="6"/>
  <c r="AI119" i="6"/>
  <c r="AI120" i="6"/>
  <c r="AI121" i="6"/>
  <c r="AI122" i="6"/>
  <c r="AI123" i="6"/>
  <c r="AI124" i="6"/>
  <c r="AI125" i="6"/>
  <c r="AI126" i="6"/>
  <c r="AI127" i="6"/>
  <c r="AI128" i="6"/>
  <c r="AI129" i="6"/>
  <c r="AI130" i="6"/>
  <c r="AI131" i="6"/>
  <c r="AI132" i="6"/>
  <c r="AI133" i="6"/>
  <c r="AI134" i="6"/>
  <c r="AI135" i="6"/>
  <c r="AI136" i="6"/>
  <c r="AI137" i="6"/>
  <c r="AI138" i="6"/>
  <c r="AI139" i="6"/>
  <c r="AI140" i="6"/>
  <c r="AI141" i="6"/>
  <c r="AI142" i="6"/>
  <c r="AI143" i="6"/>
  <c r="AI144" i="6"/>
  <c r="AI145" i="6"/>
  <c r="AI146" i="6"/>
  <c r="AI147" i="6"/>
  <c r="AI148" i="6"/>
  <c r="AI149" i="6"/>
  <c r="AI150" i="6"/>
  <c r="AI151" i="6"/>
  <c r="AI152" i="6"/>
  <c r="AI153" i="6"/>
  <c r="AI154" i="6"/>
  <c r="AI155" i="6"/>
  <c r="AI156" i="6"/>
  <c r="AI157" i="6"/>
  <c r="AI158" i="6"/>
  <c r="AI159" i="6"/>
  <c r="AI160" i="6"/>
  <c r="AI161" i="6"/>
  <c r="AI162" i="6"/>
  <c r="AI163" i="6"/>
  <c r="AI164" i="6"/>
  <c r="AI165" i="6"/>
  <c r="AI166" i="6"/>
  <c r="AI167" i="6"/>
  <c r="AI168" i="6"/>
  <c r="AI169" i="6"/>
  <c r="AI170" i="6"/>
  <c r="AH170" i="6"/>
  <c r="AG170" i="6"/>
  <c r="AF170" i="6"/>
  <c r="AE170" i="6"/>
  <c r="AD109" i="6"/>
  <c r="AD110" i="6"/>
  <c r="AD111" i="6"/>
  <c r="AD112" i="6"/>
  <c r="AD113" i="6"/>
  <c r="AD114" i="6"/>
  <c r="AD115" i="6"/>
  <c r="AD116" i="6"/>
  <c r="AD117" i="6"/>
  <c r="AD118" i="6"/>
  <c r="AD119" i="6"/>
  <c r="AD120" i="6"/>
  <c r="AD121" i="6"/>
  <c r="AD122" i="6"/>
  <c r="AD123" i="6"/>
  <c r="AD124" i="6"/>
  <c r="AD125" i="6"/>
  <c r="AD126" i="6"/>
  <c r="AD127" i="6"/>
  <c r="AD128" i="6"/>
  <c r="AD129" i="6"/>
  <c r="AD130" i="6"/>
  <c r="AD131" i="6"/>
  <c r="AD132" i="6"/>
  <c r="AD133" i="6"/>
  <c r="AD134" i="6"/>
  <c r="AD135" i="6"/>
  <c r="AD136" i="6"/>
  <c r="AD137" i="6"/>
  <c r="AD138" i="6"/>
  <c r="AD139" i="6"/>
  <c r="AD140" i="6"/>
  <c r="AD141" i="6"/>
  <c r="AD142" i="6"/>
  <c r="AD143" i="6"/>
  <c r="AD144" i="6"/>
  <c r="AD145" i="6"/>
  <c r="AD146" i="6"/>
  <c r="AD147" i="6"/>
  <c r="AD148" i="6"/>
  <c r="AD149" i="6"/>
  <c r="AD150" i="6"/>
  <c r="AD151" i="6"/>
  <c r="AD152" i="6"/>
  <c r="AD153" i="6"/>
  <c r="AD154" i="6"/>
  <c r="AD155" i="6"/>
  <c r="AD156" i="6"/>
  <c r="AD157" i="6"/>
  <c r="AD158" i="6"/>
  <c r="AD159" i="6"/>
  <c r="AD160" i="6"/>
  <c r="AD161" i="6"/>
  <c r="AD162" i="6"/>
  <c r="AD163" i="6"/>
  <c r="AD164" i="6"/>
  <c r="AD165" i="6"/>
  <c r="AD166" i="6"/>
  <c r="AD167" i="6"/>
  <c r="AD168" i="6"/>
  <c r="AD169" i="6"/>
  <c r="AD170" i="6"/>
  <c r="AC109" i="6"/>
  <c r="AC110" i="6"/>
  <c r="AC111" i="6"/>
  <c r="AC112" i="6"/>
  <c r="AC113" i="6"/>
  <c r="AC114" i="6"/>
  <c r="AC115" i="6"/>
  <c r="AC116" i="6"/>
  <c r="AC117" i="6"/>
  <c r="AC118" i="6"/>
  <c r="AC119" i="6"/>
  <c r="AC120" i="6"/>
  <c r="AC121" i="6"/>
  <c r="AC122" i="6"/>
  <c r="AC123" i="6"/>
  <c r="AC124" i="6"/>
  <c r="AC125" i="6"/>
  <c r="AC126" i="6"/>
  <c r="AC127" i="6"/>
  <c r="AC128" i="6"/>
  <c r="AC129" i="6"/>
  <c r="AC130" i="6"/>
  <c r="AC131" i="6"/>
  <c r="AC132" i="6"/>
  <c r="AC133" i="6"/>
  <c r="AC134" i="6"/>
  <c r="AC135" i="6"/>
  <c r="AC136" i="6"/>
  <c r="AC137" i="6"/>
  <c r="AC138" i="6"/>
  <c r="AC139" i="6"/>
  <c r="AC140" i="6"/>
  <c r="AC141" i="6"/>
  <c r="AC142" i="6"/>
  <c r="AC143" i="6"/>
  <c r="AC144" i="6"/>
  <c r="AC145" i="6"/>
  <c r="AC146" i="6"/>
  <c r="AC147" i="6"/>
  <c r="AC148" i="6"/>
  <c r="AC149" i="6"/>
  <c r="AC150" i="6"/>
  <c r="AC151" i="6"/>
  <c r="AC152" i="6"/>
  <c r="AC153" i="6"/>
  <c r="AC154" i="6"/>
  <c r="AC155" i="6"/>
  <c r="AC156" i="6"/>
  <c r="AC157" i="6"/>
  <c r="AC158" i="6"/>
  <c r="AC159" i="6"/>
  <c r="AC160" i="6"/>
  <c r="AC161" i="6"/>
  <c r="AC162" i="6"/>
  <c r="AC163" i="6"/>
  <c r="AC164" i="6"/>
  <c r="AC165" i="6"/>
  <c r="AC166" i="6"/>
  <c r="AC167" i="6"/>
  <c r="AC168" i="6"/>
  <c r="AC169" i="6"/>
  <c r="AC170" i="6"/>
  <c r="AB109" i="6"/>
  <c r="AB110" i="6"/>
  <c r="AB111" i="6"/>
  <c r="AB112" i="6"/>
  <c r="AB113" i="6"/>
  <c r="AB114" i="6"/>
  <c r="AB115" i="6"/>
  <c r="AB116" i="6"/>
  <c r="AB117" i="6"/>
  <c r="AB118" i="6"/>
  <c r="AB119" i="6"/>
  <c r="AB120" i="6"/>
  <c r="AB121" i="6"/>
  <c r="AB122" i="6"/>
  <c r="AB123" i="6"/>
  <c r="AB124" i="6"/>
  <c r="AB125" i="6"/>
  <c r="AB126" i="6"/>
  <c r="AB127" i="6"/>
  <c r="AB128" i="6"/>
  <c r="AB129" i="6"/>
  <c r="AB130" i="6"/>
  <c r="AB131" i="6"/>
  <c r="AB132" i="6"/>
  <c r="AB133" i="6"/>
  <c r="AB134" i="6"/>
  <c r="AB135" i="6"/>
  <c r="AB136" i="6"/>
  <c r="AB137" i="6"/>
  <c r="AB138" i="6"/>
  <c r="AB139" i="6"/>
  <c r="AB140" i="6"/>
  <c r="AB141" i="6"/>
  <c r="AB142" i="6"/>
  <c r="AB143" i="6"/>
  <c r="AB144" i="6"/>
  <c r="AB145" i="6"/>
  <c r="AB146" i="6"/>
  <c r="AB147" i="6"/>
  <c r="AB148" i="6"/>
  <c r="AB149" i="6"/>
  <c r="AB150" i="6"/>
  <c r="AB151" i="6"/>
  <c r="AB152" i="6"/>
  <c r="AB153" i="6"/>
  <c r="AB154" i="6"/>
  <c r="AB155" i="6"/>
  <c r="AB156" i="6"/>
  <c r="AB157" i="6"/>
  <c r="AB158" i="6"/>
  <c r="AB159" i="6"/>
  <c r="AB160" i="6"/>
  <c r="AB161" i="6"/>
  <c r="AB162" i="6"/>
  <c r="AB163" i="6"/>
  <c r="AB164" i="6"/>
  <c r="AB165" i="6"/>
  <c r="AB166" i="6"/>
  <c r="AB167" i="6"/>
  <c r="AB168" i="6"/>
  <c r="AB169" i="6"/>
  <c r="AB170" i="6"/>
  <c r="AA109" i="6"/>
  <c r="AA110" i="6"/>
  <c r="AA111" i="6"/>
  <c r="AA112" i="6"/>
  <c r="AA113" i="6"/>
  <c r="AA114" i="6"/>
  <c r="AA115" i="6"/>
  <c r="AA116" i="6"/>
  <c r="AA117" i="6"/>
  <c r="AA118" i="6"/>
  <c r="AA119" i="6"/>
  <c r="AA120" i="6"/>
  <c r="AA121" i="6"/>
  <c r="AA122" i="6"/>
  <c r="AA123" i="6"/>
  <c r="AA124" i="6"/>
  <c r="AA125" i="6"/>
  <c r="AA126" i="6"/>
  <c r="AA127" i="6"/>
  <c r="AA128" i="6"/>
  <c r="AA129" i="6"/>
  <c r="AA130" i="6"/>
  <c r="AA131" i="6"/>
  <c r="AA132" i="6"/>
  <c r="AA133" i="6"/>
  <c r="AA134" i="6"/>
  <c r="AA135" i="6"/>
  <c r="AA136" i="6"/>
  <c r="AA137" i="6"/>
  <c r="AA138" i="6"/>
  <c r="AA139" i="6"/>
  <c r="AA140" i="6"/>
  <c r="AA141" i="6"/>
  <c r="AA142" i="6"/>
  <c r="AA143" i="6"/>
  <c r="AA144" i="6"/>
  <c r="AA145" i="6"/>
  <c r="AA146" i="6"/>
  <c r="AA147" i="6"/>
  <c r="AA148" i="6"/>
  <c r="AA149" i="6"/>
  <c r="AA150" i="6"/>
  <c r="AA151" i="6"/>
  <c r="AA152" i="6"/>
  <c r="AA153" i="6"/>
  <c r="AA154" i="6"/>
  <c r="AA155" i="6"/>
  <c r="AA156" i="6"/>
  <c r="AA157" i="6"/>
  <c r="AA158" i="6"/>
  <c r="AA159" i="6"/>
  <c r="AA160" i="6"/>
  <c r="AA161" i="6"/>
  <c r="AA162" i="6"/>
  <c r="AA163" i="6"/>
  <c r="AA164" i="6"/>
  <c r="AA165" i="6"/>
  <c r="AA166" i="6"/>
  <c r="AA167" i="6"/>
  <c r="AA168" i="6"/>
  <c r="AA169" i="6"/>
  <c r="AA170" i="6"/>
  <c r="Z170" i="6"/>
  <c r="Y170" i="6"/>
  <c r="X170" i="6"/>
  <c r="W170" i="6"/>
  <c r="V109" i="6"/>
  <c r="V110" i="6"/>
  <c r="V111" i="6"/>
  <c r="V112" i="6"/>
  <c r="V113" i="6"/>
  <c r="V114" i="6"/>
  <c r="V115" i="6"/>
  <c r="V116" i="6"/>
  <c r="V117" i="6"/>
  <c r="V118" i="6"/>
  <c r="V119" i="6"/>
  <c r="V120" i="6"/>
  <c r="V121" i="6"/>
  <c r="V122" i="6"/>
  <c r="V123" i="6"/>
  <c r="V124" i="6"/>
  <c r="V125" i="6"/>
  <c r="V126" i="6"/>
  <c r="V127" i="6"/>
  <c r="V128" i="6"/>
  <c r="V129" i="6"/>
  <c r="V130" i="6"/>
  <c r="V131" i="6"/>
  <c r="V132" i="6"/>
  <c r="V133" i="6"/>
  <c r="V134" i="6"/>
  <c r="V135" i="6"/>
  <c r="V136" i="6"/>
  <c r="V137" i="6"/>
  <c r="V138" i="6"/>
  <c r="V139" i="6"/>
  <c r="V140" i="6"/>
  <c r="V141" i="6"/>
  <c r="V142" i="6"/>
  <c r="V143" i="6"/>
  <c r="V144" i="6"/>
  <c r="V145" i="6"/>
  <c r="V146" i="6"/>
  <c r="V147" i="6"/>
  <c r="V148" i="6"/>
  <c r="V149" i="6"/>
  <c r="V150" i="6"/>
  <c r="V151" i="6"/>
  <c r="V152" i="6"/>
  <c r="V153" i="6"/>
  <c r="V154" i="6"/>
  <c r="V155" i="6"/>
  <c r="V156" i="6"/>
  <c r="V157" i="6"/>
  <c r="V158" i="6"/>
  <c r="V159" i="6"/>
  <c r="V160" i="6"/>
  <c r="V161" i="6"/>
  <c r="V162" i="6"/>
  <c r="V163" i="6"/>
  <c r="V164" i="6"/>
  <c r="V165" i="6"/>
  <c r="V166" i="6"/>
  <c r="V167" i="6"/>
  <c r="V168" i="6"/>
  <c r="V169" i="6"/>
  <c r="V170" i="6"/>
  <c r="U109" i="6"/>
  <c r="U110" i="6"/>
  <c r="U111" i="6"/>
  <c r="U112" i="6"/>
  <c r="U113" i="6"/>
  <c r="U114" i="6"/>
  <c r="U115" i="6"/>
  <c r="U116" i="6"/>
  <c r="U117" i="6"/>
  <c r="U118" i="6"/>
  <c r="U119" i="6"/>
  <c r="U120" i="6"/>
  <c r="U121" i="6"/>
  <c r="U122" i="6"/>
  <c r="U123" i="6"/>
  <c r="U124" i="6"/>
  <c r="U125" i="6"/>
  <c r="U126" i="6"/>
  <c r="U127" i="6"/>
  <c r="U128" i="6"/>
  <c r="U129" i="6"/>
  <c r="U130" i="6"/>
  <c r="U131" i="6"/>
  <c r="U132" i="6"/>
  <c r="U133" i="6"/>
  <c r="U134" i="6"/>
  <c r="U135" i="6"/>
  <c r="U136" i="6"/>
  <c r="U137" i="6"/>
  <c r="U138" i="6"/>
  <c r="U139" i="6"/>
  <c r="U140" i="6"/>
  <c r="U141" i="6"/>
  <c r="U142" i="6"/>
  <c r="U143" i="6"/>
  <c r="U144" i="6"/>
  <c r="U145" i="6"/>
  <c r="U146" i="6"/>
  <c r="U147" i="6"/>
  <c r="U148" i="6"/>
  <c r="U149" i="6"/>
  <c r="U150" i="6"/>
  <c r="U151" i="6"/>
  <c r="U152" i="6"/>
  <c r="U153" i="6"/>
  <c r="U154" i="6"/>
  <c r="U155" i="6"/>
  <c r="U156" i="6"/>
  <c r="U157" i="6"/>
  <c r="U158" i="6"/>
  <c r="U159" i="6"/>
  <c r="U160" i="6"/>
  <c r="U161" i="6"/>
  <c r="U162" i="6"/>
  <c r="U163" i="6"/>
  <c r="U164" i="6"/>
  <c r="U165" i="6"/>
  <c r="U166" i="6"/>
  <c r="U167" i="6"/>
  <c r="U168" i="6"/>
  <c r="U169" i="6"/>
  <c r="U170" i="6"/>
  <c r="T109" i="6"/>
  <c r="T110" i="6"/>
  <c r="T111" i="6"/>
  <c r="T112" i="6"/>
  <c r="T113" i="6"/>
  <c r="T114" i="6"/>
  <c r="T115" i="6"/>
  <c r="T116" i="6"/>
  <c r="T117" i="6"/>
  <c r="T118" i="6"/>
  <c r="T119" i="6"/>
  <c r="T120" i="6"/>
  <c r="T121" i="6"/>
  <c r="T122" i="6"/>
  <c r="T123" i="6"/>
  <c r="T124" i="6"/>
  <c r="T125" i="6"/>
  <c r="T126" i="6"/>
  <c r="T127" i="6"/>
  <c r="T128" i="6"/>
  <c r="T129" i="6"/>
  <c r="T130" i="6"/>
  <c r="T131" i="6"/>
  <c r="T132" i="6"/>
  <c r="T133" i="6"/>
  <c r="T134" i="6"/>
  <c r="T135" i="6"/>
  <c r="T136" i="6"/>
  <c r="T137" i="6"/>
  <c r="T138" i="6"/>
  <c r="T139" i="6"/>
  <c r="T140" i="6"/>
  <c r="T141" i="6"/>
  <c r="T142" i="6"/>
  <c r="T143" i="6"/>
  <c r="T144" i="6"/>
  <c r="T145" i="6"/>
  <c r="T146" i="6"/>
  <c r="T147" i="6"/>
  <c r="T148" i="6"/>
  <c r="T149" i="6"/>
  <c r="T150" i="6"/>
  <c r="T151" i="6"/>
  <c r="T152" i="6"/>
  <c r="T153" i="6"/>
  <c r="T154" i="6"/>
  <c r="T155" i="6"/>
  <c r="T156" i="6"/>
  <c r="T157" i="6"/>
  <c r="T158" i="6"/>
  <c r="T159" i="6"/>
  <c r="T160" i="6"/>
  <c r="T161" i="6"/>
  <c r="T162" i="6"/>
  <c r="T163" i="6"/>
  <c r="T164" i="6"/>
  <c r="T165" i="6"/>
  <c r="T166" i="6"/>
  <c r="T167" i="6"/>
  <c r="T168" i="6"/>
  <c r="T169" i="6"/>
  <c r="T170" i="6"/>
  <c r="S109" i="6"/>
  <c r="S110" i="6"/>
  <c r="S111" i="6"/>
  <c r="S112" i="6"/>
  <c r="S113" i="6"/>
  <c r="S114" i="6"/>
  <c r="S115" i="6"/>
  <c r="S116" i="6"/>
  <c r="S117" i="6"/>
  <c r="S118" i="6"/>
  <c r="S119" i="6"/>
  <c r="S120" i="6"/>
  <c r="S121" i="6"/>
  <c r="S122" i="6"/>
  <c r="S123" i="6"/>
  <c r="S124" i="6"/>
  <c r="S125" i="6"/>
  <c r="S126" i="6"/>
  <c r="S127" i="6"/>
  <c r="S128" i="6"/>
  <c r="S129" i="6"/>
  <c r="S130" i="6"/>
  <c r="S131" i="6"/>
  <c r="S132" i="6"/>
  <c r="S133" i="6"/>
  <c r="S134" i="6"/>
  <c r="S135" i="6"/>
  <c r="S136" i="6"/>
  <c r="S137" i="6"/>
  <c r="S138" i="6"/>
  <c r="S139" i="6"/>
  <c r="S140" i="6"/>
  <c r="S141" i="6"/>
  <c r="S142" i="6"/>
  <c r="S143" i="6"/>
  <c r="S144" i="6"/>
  <c r="S145" i="6"/>
  <c r="S146" i="6"/>
  <c r="S147" i="6"/>
  <c r="S148" i="6"/>
  <c r="S149" i="6"/>
  <c r="S150" i="6"/>
  <c r="S151" i="6"/>
  <c r="S152" i="6"/>
  <c r="S153" i="6"/>
  <c r="S154" i="6"/>
  <c r="S155" i="6"/>
  <c r="S156" i="6"/>
  <c r="S157" i="6"/>
  <c r="S158" i="6"/>
  <c r="S159" i="6"/>
  <c r="S160" i="6"/>
  <c r="S161" i="6"/>
  <c r="S162" i="6"/>
  <c r="S163" i="6"/>
  <c r="S164" i="6"/>
  <c r="S165" i="6"/>
  <c r="S166" i="6"/>
  <c r="S167" i="6"/>
  <c r="S168" i="6"/>
  <c r="S169" i="6"/>
  <c r="S170" i="6"/>
  <c r="R170" i="6"/>
  <c r="Q170" i="6"/>
  <c r="P170" i="6"/>
  <c r="O170" i="6"/>
  <c r="N109" i="6"/>
  <c r="N110" i="6"/>
  <c r="N111" i="6"/>
  <c r="N112" i="6"/>
  <c r="N113" i="6"/>
  <c r="N114" i="6"/>
  <c r="N115" i="6"/>
  <c r="N116" i="6"/>
  <c r="N117" i="6"/>
  <c r="N118" i="6"/>
  <c r="N119" i="6"/>
  <c r="N120" i="6"/>
  <c r="N121" i="6"/>
  <c r="N122" i="6"/>
  <c r="N123" i="6"/>
  <c r="N124" i="6"/>
  <c r="N125" i="6"/>
  <c r="N126" i="6"/>
  <c r="N127" i="6"/>
  <c r="N128" i="6"/>
  <c r="N129" i="6"/>
  <c r="N130" i="6"/>
  <c r="N131" i="6"/>
  <c r="N132" i="6"/>
  <c r="N133" i="6"/>
  <c r="N134" i="6"/>
  <c r="N135" i="6"/>
  <c r="N136" i="6"/>
  <c r="N137" i="6"/>
  <c r="N138" i="6"/>
  <c r="N139" i="6"/>
  <c r="N140" i="6"/>
  <c r="N141" i="6"/>
  <c r="N142" i="6"/>
  <c r="N143" i="6"/>
  <c r="N144" i="6"/>
  <c r="N145" i="6"/>
  <c r="N146" i="6"/>
  <c r="N147" i="6"/>
  <c r="N148" i="6"/>
  <c r="N149" i="6"/>
  <c r="N150" i="6"/>
  <c r="N151" i="6"/>
  <c r="N152" i="6"/>
  <c r="N153" i="6"/>
  <c r="N154" i="6"/>
  <c r="N155" i="6"/>
  <c r="N156" i="6"/>
  <c r="N157" i="6"/>
  <c r="N158" i="6"/>
  <c r="N159" i="6"/>
  <c r="N160" i="6"/>
  <c r="N161" i="6"/>
  <c r="N162" i="6"/>
  <c r="N163" i="6"/>
  <c r="N164" i="6"/>
  <c r="N165" i="6"/>
  <c r="N166" i="6"/>
  <c r="N167" i="6"/>
  <c r="N168" i="6"/>
  <c r="N169" i="6"/>
  <c r="N170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L109" i="6"/>
  <c r="L110" i="6"/>
  <c r="L111" i="6"/>
  <c r="L112" i="6"/>
  <c r="L113" i="6"/>
  <c r="L114" i="6"/>
  <c r="L115" i="6"/>
  <c r="L116" i="6"/>
  <c r="L117" i="6"/>
  <c r="L118" i="6"/>
  <c r="L119" i="6"/>
  <c r="L120" i="6"/>
  <c r="L121" i="6"/>
  <c r="L122" i="6"/>
  <c r="L123" i="6"/>
  <c r="L124" i="6"/>
  <c r="L125" i="6"/>
  <c r="L126" i="6"/>
  <c r="L127" i="6"/>
  <c r="L128" i="6"/>
  <c r="L129" i="6"/>
  <c r="L130" i="6"/>
  <c r="L131" i="6"/>
  <c r="L132" i="6"/>
  <c r="L133" i="6"/>
  <c r="L134" i="6"/>
  <c r="L135" i="6"/>
  <c r="L136" i="6"/>
  <c r="L137" i="6"/>
  <c r="L138" i="6"/>
  <c r="L139" i="6"/>
  <c r="L140" i="6"/>
  <c r="L141" i="6"/>
  <c r="L142" i="6"/>
  <c r="L143" i="6"/>
  <c r="L144" i="6"/>
  <c r="L145" i="6"/>
  <c r="L146" i="6"/>
  <c r="L147" i="6"/>
  <c r="L148" i="6"/>
  <c r="L149" i="6"/>
  <c r="L150" i="6"/>
  <c r="L151" i="6"/>
  <c r="L152" i="6"/>
  <c r="L153" i="6"/>
  <c r="L154" i="6"/>
  <c r="L155" i="6"/>
  <c r="L156" i="6"/>
  <c r="L157" i="6"/>
  <c r="L158" i="6"/>
  <c r="L159" i="6"/>
  <c r="L160" i="6"/>
  <c r="L161" i="6"/>
  <c r="L162" i="6"/>
  <c r="L163" i="6"/>
  <c r="L164" i="6"/>
  <c r="L165" i="6"/>
  <c r="L166" i="6"/>
  <c r="L167" i="6"/>
  <c r="L168" i="6"/>
  <c r="L169" i="6"/>
  <c r="L170" i="6"/>
  <c r="K109" i="6"/>
  <c r="K110" i="6"/>
  <c r="K111" i="6"/>
  <c r="K112" i="6"/>
  <c r="K113" i="6"/>
  <c r="K114" i="6"/>
  <c r="K115" i="6"/>
  <c r="K116" i="6"/>
  <c r="K117" i="6"/>
  <c r="K118" i="6"/>
  <c r="K119" i="6"/>
  <c r="K120" i="6"/>
  <c r="K121" i="6"/>
  <c r="K122" i="6"/>
  <c r="K123" i="6"/>
  <c r="K124" i="6"/>
  <c r="K125" i="6"/>
  <c r="K126" i="6"/>
  <c r="K127" i="6"/>
  <c r="K128" i="6"/>
  <c r="K129" i="6"/>
  <c r="K130" i="6"/>
  <c r="K131" i="6"/>
  <c r="K132" i="6"/>
  <c r="K133" i="6"/>
  <c r="K134" i="6"/>
  <c r="K135" i="6"/>
  <c r="K136" i="6"/>
  <c r="K137" i="6"/>
  <c r="K138" i="6"/>
  <c r="K139" i="6"/>
  <c r="K140" i="6"/>
  <c r="K141" i="6"/>
  <c r="K142" i="6"/>
  <c r="K143" i="6"/>
  <c r="K144" i="6"/>
  <c r="K145" i="6"/>
  <c r="K146" i="6"/>
  <c r="K147" i="6"/>
  <c r="K148" i="6"/>
  <c r="K149" i="6"/>
  <c r="K150" i="6"/>
  <c r="K151" i="6"/>
  <c r="K152" i="6"/>
  <c r="K153" i="6"/>
  <c r="K154" i="6"/>
  <c r="K155" i="6"/>
  <c r="K156" i="6"/>
  <c r="K157" i="6"/>
  <c r="K158" i="6"/>
  <c r="K159" i="6"/>
  <c r="K160" i="6"/>
  <c r="K161" i="6"/>
  <c r="K162" i="6"/>
  <c r="K163" i="6"/>
  <c r="K164" i="6"/>
  <c r="K165" i="6"/>
  <c r="K166" i="6"/>
  <c r="K167" i="6"/>
  <c r="K168" i="6"/>
  <c r="K169" i="6"/>
  <c r="K170" i="6"/>
  <c r="J170" i="6"/>
  <c r="I170" i="6"/>
  <c r="H170" i="6"/>
  <c r="G170" i="6"/>
  <c r="AP104" i="6"/>
  <c r="AT104" i="6"/>
  <c r="AS104" i="6"/>
  <c r="AN104" i="6"/>
  <c r="AR104" i="6"/>
  <c r="AM104" i="6"/>
  <c r="AQ104" i="6"/>
  <c r="AH104" i="6"/>
  <c r="AL104" i="6"/>
  <c r="AK104" i="6"/>
  <c r="AF104" i="6"/>
  <c r="AJ104" i="6"/>
  <c r="AE104" i="6"/>
  <c r="AI104" i="6"/>
  <c r="Z104" i="6"/>
  <c r="AD104" i="6"/>
  <c r="AC104" i="6"/>
  <c r="X104" i="6"/>
  <c r="AB104" i="6"/>
  <c r="W104" i="6"/>
  <c r="AA104" i="6"/>
  <c r="R104" i="6"/>
  <c r="V104" i="6"/>
  <c r="U104" i="6"/>
  <c r="P104" i="6"/>
  <c r="T104" i="6"/>
  <c r="O104" i="6"/>
  <c r="S104" i="6"/>
  <c r="J104" i="6"/>
  <c r="N104" i="6"/>
  <c r="M104" i="6"/>
  <c r="H104" i="6"/>
  <c r="L104" i="6"/>
  <c r="G104" i="6"/>
  <c r="K104" i="6"/>
  <c r="AT103" i="6"/>
  <c r="AS103" i="6"/>
  <c r="AR103" i="6"/>
  <c r="AQ103" i="6"/>
  <c r="AL103" i="6"/>
  <c r="AK103" i="6"/>
  <c r="AJ103" i="6"/>
  <c r="AI103" i="6"/>
  <c r="AD103" i="6"/>
  <c r="AC103" i="6"/>
  <c r="AB103" i="6"/>
  <c r="AA103" i="6"/>
  <c r="V103" i="6"/>
  <c r="U103" i="6"/>
  <c r="T103" i="6"/>
  <c r="S103" i="6"/>
  <c r="N103" i="6"/>
  <c r="M103" i="6"/>
  <c r="L103" i="6"/>
  <c r="K103" i="6"/>
  <c r="AT102" i="6"/>
  <c r="AS102" i="6"/>
  <c r="AR102" i="6"/>
  <c r="AQ102" i="6"/>
  <c r="AL102" i="6"/>
  <c r="AK102" i="6"/>
  <c r="AJ102" i="6"/>
  <c r="AI102" i="6"/>
  <c r="AD102" i="6"/>
  <c r="AC102" i="6"/>
  <c r="AB102" i="6"/>
  <c r="AA102" i="6"/>
  <c r="V102" i="6"/>
  <c r="U102" i="6"/>
  <c r="T102" i="6"/>
  <c r="S102" i="6"/>
  <c r="N102" i="6"/>
  <c r="M102" i="6"/>
  <c r="L102" i="6"/>
  <c r="K102" i="6"/>
  <c r="AT101" i="6"/>
  <c r="AS101" i="6"/>
  <c r="AR101" i="6"/>
  <c r="AQ101" i="6"/>
  <c r="AL101" i="6"/>
  <c r="AK101" i="6"/>
  <c r="AJ101" i="6"/>
  <c r="AI101" i="6"/>
  <c r="AD101" i="6"/>
  <c r="AC101" i="6"/>
  <c r="AB101" i="6"/>
  <c r="AA101" i="6"/>
  <c r="V101" i="6"/>
  <c r="U101" i="6"/>
  <c r="T101" i="6"/>
  <c r="S101" i="6"/>
  <c r="N101" i="6"/>
  <c r="M101" i="6"/>
  <c r="L101" i="6"/>
  <c r="K101" i="6"/>
  <c r="AT100" i="6"/>
  <c r="AS100" i="6"/>
  <c r="AR100" i="6"/>
  <c r="AQ100" i="6"/>
  <c r="AL100" i="6"/>
  <c r="AK100" i="6"/>
  <c r="AJ100" i="6"/>
  <c r="AI100" i="6"/>
  <c r="AD100" i="6"/>
  <c r="AC100" i="6"/>
  <c r="AB100" i="6"/>
  <c r="AA100" i="6"/>
  <c r="V100" i="6"/>
  <c r="U100" i="6"/>
  <c r="T100" i="6"/>
  <c r="S100" i="6"/>
  <c r="N100" i="6"/>
  <c r="M100" i="6"/>
  <c r="L100" i="6"/>
  <c r="K100" i="6"/>
  <c r="AT99" i="6"/>
  <c r="AS99" i="6"/>
  <c r="AR99" i="6"/>
  <c r="AQ99" i="6"/>
  <c r="AL99" i="6"/>
  <c r="AK99" i="6"/>
  <c r="AJ99" i="6"/>
  <c r="AI99" i="6"/>
  <c r="AD99" i="6"/>
  <c r="AC99" i="6"/>
  <c r="AB99" i="6"/>
  <c r="AA99" i="6"/>
  <c r="V99" i="6"/>
  <c r="U99" i="6"/>
  <c r="T99" i="6"/>
  <c r="S99" i="6"/>
  <c r="N99" i="6"/>
  <c r="M99" i="6"/>
  <c r="L99" i="6"/>
  <c r="K99" i="6"/>
  <c r="AT98" i="6"/>
  <c r="AS98" i="6"/>
  <c r="AR98" i="6"/>
  <c r="AQ98" i="6"/>
  <c r="AL98" i="6"/>
  <c r="AK98" i="6"/>
  <c r="AJ98" i="6"/>
  <c r="AI98" i="6"/>
  <c r="AD98" i="6"/>
  <c r="AC98" i="6"/>
  <c r="AB98" i="6"/>
  <c r="AA98" i="6"/>
  <c r="V98" i="6"/>
  <c r="U98" i="6"/>
  <c r="T98" i="6"/>
  <c r="S98" i="6"/>
  <c r="N98" i="6"/>
  <c r="M98" i="6"/>
  <c r="L98" i="6"/>
  <c r="K98" i="6"/>
  <c r="AT97" i="6"/>
  <c r="AS97" i="6"/>
  <c r="AR97" i="6"/>
  <c r="AQ97" i="6"/>
  <c r="AL97" i="6"/>
  <c r="AK97" i="6"/>
  <c r="AJ97" i="6"/>
  <c r="AI97" i="6"/>
  <c r="AD97" i="6"/>
  <c r="AC97" i="6"/>
  <c r="AB97" i="6"/>
  <c r="AA97" i="6"/>
  <c r="V97" i="6"/>
  <c r="U97" i="6"/>
  <c r="T97" i="6"/>
  <c r="S97" i="6"/>
  <c r="N97" i="6"/>
  <c r="M97" i="6"/>
  <c r="L97" i="6"/>
  <c r="K97" i="6"/>
  <c r="AT96" i="6"/>
  <c r="AS96" i="6"/>
  <c r="AR96" i="6"/>
  <c r="AQ96" i="6"/>
  <c r="AL96" i="6"/>
  <c r="AK96" i="6"/>
  <c r="AJ96" i="6"/>
  <c r="AI96" i="6"/>
  <c r="AD96" i="6"/>
  <c r="AC96" i="6"/>
  <c r="AB96" i="6"/>
  <c r="AA96" i="6"/>
  <c r="V96" i="6"/>
  <c r="U96" i="6"/>
  <c r="T96" i="6"/>
  <c r="S96" i="6"/>
  <c r="N96" i="6"/>
  <c r="M96" i="6"/>
  <c r="L96" i="6"/>
  <c r="K96" i="6"/>
  <c r="AT95" i="6"/>
  <c r="AS95" i="6"/>
  <c r="AR95" i="6"/>
  <c r="AQ95" i="6"/>
  <c r="AL95" i="6"/>
  <c r="AK95" i="6"/>
  <c r="AJ95" i="6"/>
  <c r="AI95" i="6"/>
  <c r="AD95" i="6"/>
  <c r="AC95" i="6"/>
  <c r="AB95" i="6"/>
  <c r="AA95" i="6"/>
  <c r="V95" i="6"/>
  <c r="U95" i="6"/>
  <c r="T95" i="6"/>
  <c r="S95" i="6"/>
  <c r="N95" i="6"/>
  <c r="M95" i="6"/>
  <c r="L95" i="6"/>
  <c r="K95" i="6"/>
  <c r="AT94" i="6"/>
  <c r="AS94" i="6"/>
  <c r="AR94" i="6"/>
  <c r="AQ94" i="6"/>
  <c r="AL94" i="6"/>
  <c r="AK94" i="6"/>
  <c r="AJ94" i="6"/>
  <c r="AI94" i="6"/>
  <c r="AD94" i="6"/>
  <c r="AC94" i="6"/>
  <c r="AB94" i="6"/>
  <c r="AA94" i="6"/>
  <c r="V94" i="6"/>
  <c r="U94" i="6"/>
  <c r="T94" i="6"/>
  <c r="S94" i="6"/>
  <c r="N94" i="6"/>
  <c r="M94" i="6"/>
  <c r="L94" i="6"/>
  <c r="K94" i="6"/>
  <c r="AT93" i="6"/>
  <c r="AS93" i="6"/>
  <c r="AR93" i="6"/>
  <c r="AQ93" i="6"/>
  <c r="AL93" i="6"/>
  <c r="AK93" i="6"/>
  <c r="AJ93" i="6"/>
  <c r="AI93" i="6"/>
  <c r="AD93" i="6"/>
  <c r="AC93" i="6"/>
  <c r="AB93" i="6"/>
  <c r="AA93" i="6"/>
  <c r="V93" i="6"/>
  <c r="U93" i="6"/>
  <c r="T93" i="6"/>
  <c r="S93" i="6"/>
  <c r="N93" i="6"/>
  <c r="M93" i="6"/>
  <c r="L93" i="6"/>
  <c r="K93" i="6"/>
  <c r="AT92" i="6"/>
  <c r="AS92" i="6"/>
  <c r="AR92" i="6"/>
  <c r="AQ92" i="6"/>
  <c r="AL92" i="6"/>
  <c r="AK92" i="6"/>
  <c r="AJ92" i="6"/>
  <c r="AI92" i="6"/>
  <c r="AD92" i="6"/>
  <c r="AC92" i="6"/>
  <c r="AB92" i="6"/>
  <c r="AA92" i="6"/>
  <c r="V92" i="6"/>
  <c r="U92" i="6"/>
  <c r="T92" i="6"/>
  <c r="S92" i="6"/>
  <c r="N92" i="6"/>
  <c r="M92" i="6"/>
  <c r="L92" i="6"/>
  <c r="K92" i="6"/>
  <c r="AT91" i="6"/>
  <c r="AS91" i="6"/>
  <c r="AR91" i="6"/>
  <c r="AQ91" i="6"/>
  <c r="AL91" i="6"/>
  <c r="AK91" i="6"/>
  <c r="AJ91" i="6"/>
  <c r="AI91" i="6"/>
  <c r="AD91" i="6"/>
  <c r="AC91" i="6"/>
  <c r="AB91" i="6"/>
  <c r="AA91" i="6"/>
  <c r="V91" i="6"/>
  <c r="U91" i="6"/>
  <c r="T91" i="6"/>
  <c r="S91" i="6"/>
  <c r="N91" i="6"/>
  <c r="M91" i="6"/>
  <c r="L91" i="6"/>
  <c r="K91" i="6"/>
  <c r="AT90" i="6"/>
  <c r="AS90" i="6"/>
  <c r="AR90" i="6"/>
  <c r="AQ90" i="6"/>
  <c r="AL90" i="6"/>
  <c r="AK90" i="6"/>
  <c r="AJ90" i="6"/>
  <c r="AI90" i="6"/>
  <c r="AD90" i="6"/>
  <c r="AC90" i="6"/>
  <c r="AB90" i="6"/>
  <c r="AA90" i="6"/>
  <c r="V90" i="6"/>
  <c r="U90" i="6"/>
  <c r="T90" i="6"/>
  <c r="S90" i="6"/>
  <c r="N90" i="6"/>
  <c r="M90" i="6"/>
  <c r="L90" i="6"/>
  <c r="K90" i="6"/>
  <c r="AT89" i="6"/>
  <c r="AS89" i="6"/>
  <c r="AR89" i="6"/>
  <c r="AQ89" i="6"/>
  <c r="AL89" i="6"/>
  <c r="AK89" i="6"/>
  <c r="AJ89" i="6"/>
  <c r="AI89" i="6"/>
  <c r="AD89" i="6"/>
  <c r="AC89" i="6"/>
  <c r="AB89" i="6"/>
  <c r="AA89" i="6"/>
  <c r="V89" i="6"/>
  <c r="U89" i="6"/>
  <c r="T89" i="6"/>
  <c r="S89" i="6"/>
  <c r="N89" i="6"/>
  <c r="M89" i="6"/>
  <c r="L89" i="6"/>
  <c r="K89" i="6"/>
  <c r="AT88" i="6"/>
  <c r="AS88" i="6"/>
  <c r="AR88" i="6"/>
  <c r="AQ88" i="6"/>
  <c r="AL88" i="6"/>
  <c r="AK88" i="6"/>
  <c r="AJ88" i="6"/>
  <c r="AI88" i="6"/>
  <c r="AD88" i="6"/>
  <c r="AC88" i="6"/>
  <c r="AB88" i="6"/>
  <c r="AA88" i="6"/>
  <c r="V88" i="6"/>
  <c r="U88" i="6"/>
  <c r="T88" i="6"/>
  <c r="S88" i="6"/>
  <c r="N88" i="6"/>
  <c r="M88" i="6"/>
  <c r="L88" i="6"/>
  <c r="K88" i="6"/>
  <c r="AT87" i="6"/>
  <c r="AS87" i="6"/>
  <c r="AR87" i="6"/>
  <c r="AQ87" i="6"/>
  <c r="AL87" i="6"/>
  <c r="AK87" i="6"/>
  <c r="AJ87" i="6"/>
  <c r="AI87" i="6"/>
  <c r="AD87" i="6"/>
  <c r="AC87" i="6"/>
  <c r="AB87" i="6"/>
  <c r="AA87" i="6"/>
  <c r="V87" i="6"/>
  <c r="U87" i="6"/>
  <c r="T87" i="6"/>
  <c r="S87" i="6"/>
  <c r="N87" i="6"/>
  <c r="M87" i="6"/>
  <c r="L87" i="6"/>
  <c r="K87" i="6"/>
  <c r="AT86" i="6"/>
  <c r="AS86" i="6"/>
  <c r="AR86" i="6"/>
  <c r="AQ86" i="6"/>
  <c r="AL86" i="6"/>
  <c r="AK86" i="6"/>
  <c r="AJ86" i="6"/>
  <c r="AI86" i="6"/>
  <c r="AD86" i="6"/>
  <c r="AC86" i="6"/>
  <c r="AB86" i="6"/>
  <c r="AA86" i="6"/>
  <c r="V86" i="6"/>
  <c r="U86" i="6"/>
  <c r="T86" i="6"/>
  <c r="S86" i="6"/>
  <c r="N86" i="6"/>
  <c r="M86" i="6"/>
  <c r="L86" i="6"/>
  <c r="K86" i="6"/>
  <c r="AT85" i="6"/>
  <c r="AS85" i="6"/>
  <c r="AR85" i="6"/>
  <c r="AQ85" i="6"/>
  <c r="AL85" i="6"/>
  <c r="AK85" i="6"/>
  <c r="AI85" i="6"/>
  <c r="AD85" i="6"/>
  <c r="AC85" i="6"/>
  <c r="AA85" i="6"/>
  <c r="V85" i="6"/>
  <c r="U85" i="6"/>
  <c r="T85" i="6"/>
  <c r="S85" i="6"/>
  <c r="N85" i="6"/>
  <c r="M85" i="6"/>
  <c r="L85" i="6"/>
  <c r="K85" i="6"/>
  <c r="AT84" i="6"/>
  <c r="AS84" i="6"/>
  <c r="AR84" i="6"/>
  <c r="AQ84" i="6"/>
  <c r="AL84" i="6"/>
  <c r="AK84" i="6"/>
  <c r="AJ84" i="6"/>
  <c r="AI84" i="6"/>
  <c r="AD84" i="6"/>
  <c r="AC84" i="6"/>
  <c r="AB84" i="6"/>
  <c r="AA84" i="6"/>
  <c r="V84" i="6"/>
  <c r="U84" i="6"/>
  <c r="T84" i="6"/>
  <c r="S84" i="6"/>
  <c r="N84" i="6"/>
  <c r="M84" i="6"/>
  <c r="L84" i="6"/>
  <c r="K84" i="6"/>
  <c r="AT83" i="6"/>
  <c r="AS83" i="6"/>
  <c r="AR83" i="6"/>
  <c r="AQ83" i="6"/>
  <c r="AL83" i="6"/>
  <c r="AK83" i="6"/>
  <c r="AJ83" i="6"/>
  <c r="AI83" i="6"/>
  <c r="AD83" i="6"/>
  <c r="AC83" i="6"/>
  <c r="AB83" i="6"/>
  <c r="AA83" i="6"/>
  <c r="V83" i="6"/>
  <c r="U83" i="6"/>
  <c r="T83" i="6"/>
  <c r="S83" i="6"/>
  <c r="N83" i="6"/>
  <c r="M83" i="6"/>
  <c r="L83" i="6"/>
  <c r="K83" i="6"/>
  <c r="AT82" i="6"/>
  <c r="AS82" i="6"/>
  <c r="AR82" i="6"/>
  <c r="AQ82" i="6"/>
  <c r="AL82" i="6"/>
  <c r="AK82" i="6"/>
  <c r="AJ82" i="6"/>
  <c r="AI82" i="6"/>
  <c r="AD82" i="6"/>
  <c r="AC82" i="6"/>
  <c r="AB82" i="6"/>
  <c r="AA82" i="6"/>
  <c r="V82" i="6"/>
  <c r="U82" i="6"/>
  <c r="T82" i="6"/>
  <c r="S82" i="6"/>
  <c r="N82" i="6"/>
  <c r="M82" i="6"/>
  <c r="L82" i="6"/>
  <c r="K82" i="6"/>
  <c r="AT81" i="6"/>
  <c r="AS81" i="6"/>
  <c r="AR81" i="6"/>
  <c r="AQ81" i="6"/>
  <c r="AL81" i="6"/>
  <c r="AK81" i="6"/>
  <c r="AJ81" i="6"/>
  <c r="AI81" i="6"/>
  <c r="AD81" i="6"/>
  <c r="AC81" i="6"/>
  <c r="AB81" i="6"/>
  <c r="AA81" i="6"/>
  <c r="V81" i="6"/>
  <c r="U81" i="6"/>
  <c r="T81" i="6"/>
  <c r="S81" i="6"/>
  <c r="N81" i="6"/>
  <c r="M81" i="6"/>
  <c r="L81" i="6"/>
  <c r="K81" i="6"/>
  <c r="AT80" i="6"/>
  <c r="AS80" i="6"/>
  <c r="AR80" i="6"/>
  <c r="AQ80" i="6"/>
  <c r="AL80" i="6"/>
  <c r="AK80" i="6"/>
  <c r="AJ80" i="6"/>
  <c r="AI80" i="6"/>
  <c r="AD80" i="6"/>
  <c r="AC80" i="6"/>
  <c r="AB80" i="6"/>
  <c r="AA80" i="6"/>
  <c r="V80" i="6"/>
  <c r="U80" i="6"/>
  <c r="T80" i="6"/>
  <c r="S80" i="6"/>
  <c r="N80" i="6"/>
  <c r="M80" i="6"/>
  <c r="L80" i="6"/>
  <c r="K80" i="6"/>
  <c r="AT79" i="6"/>
  <c r="AS79" i="6"/>
  <c r="AR79" i="6"/>
  <c r="AQ79" i="6"/>
  <c r="AL79" i="6"/>
  <c r="AK79" i="6"/>
  <c r="AJ79" i="6"/>
  <c r="AI79" i="6"/>
  <c r="AD79" i="6"/>
  <c r="AC79" i="6"/>
  <c r="AB79" i="6"/>
  <c r="AA79" i="6"/>
  <c r="V79" i="6"/>
  <c r="U79" i="6"/>
  <c r="T79" i="6"/>
  <c r="S79" i="6"/>
  <c r="N79" i="6"/>
  <c r="M79" i="6"/>
  <c r="L79" i="6"/>
  <c r="K79" i="6"/>
  <c r="AT78" i="6"/>
  <c r="AS78" i="6"/>
  <c r="AR78" i="6"/>
  <c r="AQ78" i="6"/>
  <c r="AL78" i="6"/>
  <c r="AK78" i="6"/>
  <c r="AJ78" i="6"/>
  <c r="AI78" i="6"/>
  <c r="AD78" i="6"/>
  <c r="AC78" i="6"/>
  <c r="AB78" i="6"/>
  <c r="AA78" i="6"/>
  <c r="V78" i="6"/>
  <c r="U78" i="6"/>
  <c r="T78" i="6"/>
  <c r="S78" i="6"/>
  <c r="N78" i="6"/>
  <c r="M78" i="6"/>
  <c r="L78" i="6"/>
  <c r="K78" i="6"/>
  <c r="AT77" i="6"/>
  <c r="AS77" i="6"/>
  <c r="AR77" i="6"/>
  <c r="AQ77" i="6"/>
  <c r="AL77" i="6"/>
  <c r="AK77" i="6"/>
  <c r="AJ77" i="6"/>
  <c r="AI77" i="6"/>
  <c r="AD77" i="6"/>
  <c r="AC77" i="6"/>
  <c r="AB77" i="6"/>
  <c r="AA77" i="6"/>
  <c r="V77" i="6"/>
  <c r="U77" i="6"/>
  <c r="T77" i="6"/>
  <c r="S77" i="6"/>
  <c r="N77" i="6"/>
  <c r="M77" i="6"/>
  <c r="L77" i="6"/>
  <c r="K77" i="6"/>
  <c r="AT76" i="6"/>
  <c r="AS76" i="6"/>
  <c r="AR76" i="6"/>
  <c r="AQ76" i="6"/>
  <c r="AL76" i="6"/>
  <c r="AK76" i="6"/>
  <c r="AJ76" i="6"/>
  <c r="AI76" i="6"/>
  <c r="AD76" i="6"/>
  <c r="AC76" i="6"/>
  <c r="AB76" i="6"/>
  <c r="AA76" i="6"/>
  <c r="V76" i="6"/>
  <c r="U76" i="6"/>
  <c r="T76" i="6"/>
  <c r="S76" i="6"/>
  <c r="N76" i="6"/>
  <c r="M76" i="6"/>
  <c r="L76" i="6"/>
  <c r="K76" i="6"/>
  <c r="AT75" i="6"/>
  <c r="AS75" i="6"/>
  <c r="AR75" i="6"/>
  <c r="AQ75" i="6"/>
  <c r="AL75" i="6"/>
  <c r="AK75" i="6"/>
  <c r="AJ75" i="6"/>
  <c r="AI75" i="6"/>
  <c r="AD75" i="6"/>
  <c r="AC75" i="6"/>
  <c r="AB75" i="6"/>
  <c r="AA75" i="6"/>
  <c r="V75" i="6"/>
  <c r="U75" i="6"/>
  <c r="T75" i="6"/>
  <c r="S75" i="6"/>
  <c r="N75" i="6"/>
  <c r="M75" i="6"/>
  <c r="L75" i="6"/>
  <c r="K75" i="6"/>
  <c r="AT74" i="6"/>
  <c r="AS74" i="6"/>
  <c r="AR74" i="6"/>
  <c r="AQ74" i="6"/>
  <c r="AL74" i="6"/>
  <c r="AK74" i="6"/>
  <c r="AJ74" i="6"/>
  <c r="AI74" i="6"/>
  <c r="AD74" i="6"/>
  <c r="AC74" i="6"/>
  <c r="AB74" i="6"/>
  <c r="AA74" i="6"/>
  <c r="V74" i="6"/>
  <c r="U74" i="6"/>
  <c r="T74" i="6"/>
  <c r="S74" i="6"/>
  <c r="N74" i="6"/>
  <c r="M74" i="6"/>
  <c r="L74" i="6"/>
  <c r="K74" i="6"/>
  <c r="AT73" i="6"/>
  <c r="AS73" i="6"/>
  <c r="AR73" i="6"/>
  <c r="AQ73" i="6"/>
  <c r="AL73" i="6"/>
  <c r="AK73" i="6"/>
  <c r="AJ73" i="6"/>
  <c r="AI73" i="6"/>
  <c r="AD73" i="6"/>
  <c r="AC73" i="6"/>
  <c r="AB73" i="6"/>
  <c r="AA73" i="6"/>
  <c r="V73" i="6"/>
  <c r="U73" i="6"/>
  <c r="T73" i="6"/>
  <c r="S73" i="6"/>
  <c r="N73" i="6"/>
  <c r="M73" i="6"/>
  <c r="L73" i="6"/>
  <c r="K73" i="6"/>
  <c r="AT72" i="6"/>
  <c r="AS72" i="6"/>
  <c r="AR72" i="6"/>
  <c r="AQ72" i="6"/>
  <c r="AL72" i="6"/>
  <c r="AK72" i="6"/>
  <c r="AJ72" i="6"/>
  <c r="AI72" i="6"/>
  <c r="AD72" i="6"/>
  <c r="AC72" i="6"/>
  <c r="AB72" i="6"/>
  <c r="AA72" i="6"/>
  <c r="V72" i="6"/>
  <c r="U72" i="6"/>
  <c r="T72" i="6"/>
  <c r="S72" i="6"/>
  <c r="N72" i="6"/>
  <c r="M72" i="6"/>
  <c r="L72" i="6"/>
  <c r="K72" i="6"/>
  <c r="AT71" i="6"/>
  <c r="AS71" i="6"/>
  <c r="AR71" i="6"/>
  <c r="AQ71" i="6"/>
  <c r="AL71" i="6"/>
  <c r="AK71" i="6"/>
  <c r="AJ71" i="6"/>
  <c r="AI71" i="6"/>
  <c r="AD71" i="6"/>
  <c r="AC71" i="6"/>
  <c r="AB71" i="6"/>
  <c r="AA71" i="6"/>
  <c r="V71" i="6"/>
  <c r="U71" i="6"/>
  <c r="T71" i="6"/>
  <c r="S71" i="6"/>
  <c r="N71" i="6"/>
  <c r="M71" i="6"/>
  <c r="L71" i="6"/>
  <c r="K71" i="6"/>
  <c r="AT70" i="6"/>
  <c r="AS70" i="6"/>
  <c r="AR70" i="6"/>
  <c r="AQ70" i="6"/>
  <c r="AL70" i="6"/>
  <c r="AK70" i="6"/>
  <c r="AJ70" i="6"/>
  <c r="AI70" i="6"/>
  <c r="AD70" i="6"/>
  <c r="AC70" i="6"/>
  <c r="AB70" i="6"/>
  <c r="AA70" i="6"/>
  <c r="V70" i="6"/>
  <c r="U70" i="6"/>
  <c r="T70" i="6"/>
  <c r="S70" i="6"/>
  <c r="N70" i="6"/>
  <c r="M70" i="6"/>
  <c r="L70" i="6"/>
  <c r="K70" i="6"/>
  <c r="AT69" i="6"/>
  <c r="AS69" i="6"/>
  <c r="AR69" i="6"/>
  <c r="AQ69" i="6"/>
  <c r="AL69" i="6"/>
  <c r="AK69" i="6"/>
  <c r="AJ69" i="6"/>
  <c r="AI69" i="6"/>
  <c r="AD69" i="6"/>
  <c r="AC69" i="6"/>
  <c r="AB69" i="6"/>
  <c r="AA69" i="6"/>
  <c r="V69" i="6"/>
  <c r="U69" i="6"/>
  <c r="T69" i="6"/>
  <c r="S69" i="6"/>
  <c r="N69" i="6"/>
  <c r="M69" i="6"/>
  <c r="L69" i="6"/>
  <c r="K69" i="6"/>
  <c r="AT68" i="6"/>
  <c r="AS68" i="6"/>
  <c r="AR68" i="6"/>
  <c r="AQ68" i="6"/>
  <c r="AL68" i="6"/>
  <c r="AK68" i="6"/>
  <c r="AJ68" i="6"/>
  <c r="AI68" i="6"/>
  <c r="AD68" i="6"/>
  <c r="AC68" i="6"/>
  <c r="AB68" i="6"/>
  <c r="AA68" i="6"/>
  <c r="V68" i="6"/>
  <c r="U68" i="6"/>
  <c r="T68" i="6"/>
  <c r="S68" i="6"/>
  <c r="N68" i="6"/>
  <c r="M68" i="6"/>
  <c r="L68" i="6"/>
  <c r="K68" i="6"/>
  <c r="AT67" i="6"/>
  <c r="AS67" i="6"/>
  <c r="AR67" i="6"/>
  <c r="AQ67" i="6"/>
  <c r="AL67" i="6"/>
  <c r="AK67" i="6"/>
  <c r="AJ67" i="6"/>
  <c r="AI67" i="6"/>
  <c r="AD67" i="6"/>
  <c r="AC67" i="6"/>
  <c r="AB67" i="6"/>
  <c r="AA67" i="6"/>
  <c r="V67" i="6"/>
  <c r="U67" i="6"/>
  <c r="T67" i="6"/>
  <c r="S67" i="6"/>
  <c r="N67" i="6"/>
  <c r="M67" i="6"/>
  <c r="L67" i="6"/>
  <c r="K67" i="6"/>
  <c r="AT66" i="6"/>
  <c r="AS66" i="6"/>
  <c r="AR66" i="6"/>
  <c r="AQ66" i="6"/>
  <c r="AL66" i="6"/>
  <c r="AK66" i="6"/>
  <c r="AJ66" i="6"/>
  <c r="AI66" i="6"/>
  <c r="AD66" i="6"/>
  <c r="AC66" i="6"/>
  <c r="AB66" i="6"/>
  <c r="AA66" i="6"/>
  <c r="V66" i="6"/>
  <c r="U66" i="6"/>
  <c r="T66" i="6"/>
  <c r="S66" i="6"/>
  <c r="N66" i="6"/>
  <c r="M66" i="6"/>
  <c r="L66" i="6"/>
  <c r="K66" i="6"/>
  <c r="AT65" i="6"/>
  <c r="AS65" i="6"/>
  <c r="AR65" i="6"/>
  <c r="AQ65" i="6"/>
  <c r="AL65" i="6"/>
  <c r="AK65" i="6"/>
  <c r="AJ65" i="6"/>
  <c r="AI65" i="6"/>
  <c r="AD65" i="6"/>
  <c r="AC65" i="6"/>
  <c r="AB65" i="6"/>
  <c r="AA65" i="6"/>
  <c r="V65" i="6"/>
  <c r="U65" i="6"/>
  <c r="T65" i="6"/>
  <c r="S65" i="6"/>
  <c r="N65" i="6"/>
  <c r="M65" i="6"/>
  <c r="L65" i="6"/>
  <c r="K65" i="6"/>
  <c r="AT64" i="6"/>
  <c r="AS64" i="6"/>
  <c r="AR64" i="6"/>
  <c r="AQ64" i="6"/>
  <c r="AL64" i="6"/>
  <c r="AK64" i="6"/>
  <c r="AJ64" i="6"/>
  <c r="AI64" i="6"/>
  <c r="AD64" i="6"/>
  <c r="AC64" i="6"/>
  <c r="AB64" i="6"/>
  <c r="AA64" i="6"/>
  <c r="V64" i="6"/>
  <c r="U64" i="6"/>
  <c r="T64" i="6"/>
  <c r="S64" i="6"/>
  <c r="N64" i="6"/>
  <c r="M64" i="6"/>
  <c r="L64" i="6"/>
  <c r="K64" i="6"/>
  <c r="AT63" i="6"/>
  <c r="AS63" i="6"/>
  <c r="AR63" i="6"/>
  <c r="AQ63" i="6"/>
  <c r="AL63" i="6"/>
  <c r="AK63" i="6"/>
  <c r="AJ63" i="6"/>
  <c r="AI63" i="6"/>
  <c r="AD63" i="6"/>
  <c r="AC63" i="6"/>
  <c r="AB63" i="6"/>
  <c r="AA63" i="6"/>
  <c r="V63" i="6"/>
  <c r="U63" i="6"/>
  <c r="T63" i="6"/>
  <c r="S63" i="6"/>
  <c r="N63" i="6"/>
  <c r="M63" i="6"/>
  <c r="L63" i="6"/>
  <c r="K63" i="6"/>
  <c r="AT62" i="6"/>
  <c r="AS62" i="6"/>
  <c r="AR62" i="6"/>
  <c r="AQ62" i="6"/>
  <c r="AL62" i="6"/>
  <c r="AK62" i="6"/>
  <c r="AJ62" i="6"/>
  <c r="AI62" i="6"/>
  <c r="AD62" i="6"/>
  <c r="AC62" i="6"/>
  <c r="AB62" i="6"/>
  <c r="AA62" i="6"/>
  <c r="V62" i="6"/>
  <c r="U62" i="6"/>
  <c r="T62" i="6"/>
  <c r="S62" i="6"/>
  <c r="N62" i="6"/>
  <c r="M62" i="6"/>
  <c r="L62" i="6"/>
  <c r="K62" i="6"/>
  <c r="AT61" i="6"/>
  <c r="AS61" i="6"/>
  <c r="AR61" i="6"/>
  <c r="AQ61" i="6"/>
  <c r="AL61" i="6"/>
  <c r="AK61" i="6"/>
  <c r="AJ61" i="6"/>
  <c r="AI61" i="6"/>
  <c r="AD61" i="6"/>
  <c r="AC61" i="6"/>
  <c r="AB61" i="6"/>
  <c r="AA61" i="6"/>
  <c r="V61" i="6"/>
  <c r="U61" i="6"/>
  <c r="T61" i="6"/>
  <c r="S61" i="6"/>
  <c r="N61" i="6"/>
  <c r="M61" i="6"/>
  <c r="L61" i="6"/>
  <c r="K61" i="6"/>
  <c r="AT60" i="6"/>
  <c r="AS60" i="6"/>
  <c r="AR60" i="6"/>
  <c r="AQ60" i="6"/>
  <c r="AL60" i="6"/>
  <c r="AK60" i="6"/>
  <c r="AJ60" i="6"/>
  <c r="AI60" i="6"/>
  <c r="AD60" i="6"/>
  <c r="AC60" i="6"/>
  <c r="AB60" i="6"/>
  <c r="AA60" i="6"/>
  <c r="V60" i="6"/>
  <c r="U60" i="6"/>
  <c r="T60" i="6"/>
  <c r="S60" i="6"/>
  <c r="N60" i="6"/>
  <c r="M60" i="6"/>
  <c r="L60" i="6"/>
  <c r="K60" i="6"/>
  <c r="AT59" i="6"/>
  <c r="AS59" i="6"/>
  <c r="AR59" i="6"/>
  <c r="AQ59" i="6"/>
  <c r="AL59" i="6"/>
  <c r="AK59" i="6"/>
  <c r="AJ59" i="6"/>
  <c r="AI59" i="6"/>
  <c r="AD59" i="6"/>
  <c r="AC59" i="6"/>
  <c r="AB59" i="6"/>
  <c r="AA59" i="6"/>
  <c r="V59" i="6"/>
  <c r="U59" i="6"/>
  <c r="T59" i="6"/>
  <c r="S59" i="6"/>
  <c r="N59" i="6"/>
  <c r="M59" i="6"/>
  <c r="L59" i="6"/>
  <c r="K59" i="6"/>
  <c r="AT58" i="6"/>
  <c r="AS58" i="6"/>
  <c r="AR58" i="6"/>
  <c r="AQ58" i="6"/>
  <c r="AL58" i="6"/>
  <c r="AK58" i="6"/>
  <c r="AJ58" i="6"/>
  <c r="AI58" i="6"/>
  <c r="AD58" i="6"/>
  <c r="AC58" i="6"/>
  <c r="AB58" i="6"/>
  <c r="AA58" i="6"/>
  <c r="V58" i="6"/>
  <c r="U58" i="6"/>
  <c r="T58" i="6"/>
  <c r="S58" i="6"/>
  <c r="N58" i="6"/>
  <c r="M58" i="6"/>
  <c r="L58" i="6"/>
  <c r="K58" i="6"/>
  <c r="AT57" i="6"/>
  <c r="AS57" i="6"/>
  <c r="AR57" i="6"/>
  <c r="AQ57" i="6"/>
  <c r="AL57" i="6"/>
  <c r="AK57" i="6"/>
  <c r="AJ57" i="6"/>
  <c r="AI57" i="6"/>
  <c r="AD57" i="6"/>
  <c r="AC57" i="6"/>
  <c r="AB57" i="6"/>
  <c r="AA57" i="6"/>
  <c r="V57" i="6"/>
  <c r="U57" i="6"/>
  <c r="T57" i="6"/>
  <c r="S57" i="6"/>
  <c r="N57" i="6"/>
  <c r="M57" i="6"/>
  <c r="L57" i="6"/>
  <c r="K57" i="6"/>
  <c r="AT56" i="6"/>
  <c r="AS56" i="6"/>
  <c r="AR56" i="6"/>
  <c r="AQ56" i="6"/>
  <c r="AL56" i="6"/>
  <c r="AK56" i="6"/>
  <c r="AJ56" i="6"/>
  <c r="AI56" i="6"/>
  <c r="AD56" i="6"/>
  <c r="AC56" i="6"/>
  <c r="AB56" i="6"/>
  <c r="AA56" i="6"/>
  <c r="V56" i="6"/>
  <c r="U56" i="6"/>
  <c r="T56" i="6"/>
  <c r="S56" i="6"/>
  <c r="N56" i="6"/>
  <c r="M56" i="6"/>
  <c r="L56" i="6"/>
  <c r="K56" i="6"/>
  <c r="AT55" i="6"/>
  <c r="AS55" i="6"/>
  <c r="AR55" i="6"/>
  <c r="AQ55" i="6"/>
  <c r="AL55" i="6"/>
  <c r="AK55" i="6"/>
  <c r="AJ55" i="6"/>
  <c r="AI55" i="6"/>
  <c r="AD55" i="6"/>
  <c r="AC55" i="6"/>
  <c r="AB55" i="6"/>
  <c r="AA55" i="6"/>
  <c r="V55" i="6"/>
  <c r="U55" i="6"/>
  <c r="T55" i="6"/>
  <c r="S55" i="6"/>
  <c r="N55" i="6"/>
  <c r="M55" i="6"/>
  <c r="L55" i="6"/>
  <c r="K55" i="6"/>
  <c r="AT54" i="6"/>
  <c r="AS54" i="6"/>
  <c r="AR54" i="6"/>
  <c r="AQ54" i="6"/>
  <c r="AL54" i="6"/>
  <c r="AK54" i="6"/>
  <c r="AJ54" i="6"/>
  <c r="AI54" i="6"/>
  <c r="AD54" i="6"/>
  <c r="AC54" i="6"/>
  <c r="AB54" i="6"/>
  <c r="AA54" i="6"/>
  <c r="V54" i="6"/>
  <c r="U54" i="6"/>
  <c r="T54" i="6"/>
  <c r="S54" i="6"/>
  <c r="N54" i="6"/>
  <c r="M54" i="6"/>
  <c r="L54" i="6"/>
  <c r="K54" i="6"/>
  <c r="AT53" i="6"/>
  <c r="AS53" i="6"/>
  <c r="AR53" i="6"/>
  <c r="AQ53" i="6"/>
  <c r="AL53" i="6"/>
  <c r="AK53" i="6"/>
  <c r="AJ53" i="6"/>
  <c r="AI53" i="6"/>
  <c r="AD53" i="6"/>
  <c r="AC53" i="6"/>
  <c r="AB53" i="6"/>
  <c r="AA53" i="6"/>
  <c r="V53" i="6"/>
  <c r="U53" i="6"/>
  <c r="T53" i="6"/>
  <c r="S53" i="6"/>
  <c r="N53" i="6"/>
  <c r="M53" i="6"/>
  <c r="L53" i="6"/>
  <c r="K53" i="6"/>
  <c r="AT52" i="6"/>
  <c r="AS52" i="6"/>
  <c r="AR52" i="6"/>
  <c r="AQ52" i="6"/>
  <c r="AL52" i="6"/>
  <c r="AK52" i="6"/>
  <c r="AJ52" i="6"/>
  <c r="AI52" i="6"/>
  <c r="AD52" i="6"/>
  <c r="AC52" i="6"/>
  <c r="AB52" i="6"/>
  <c r="AA52" i="6"/>
  <c r="V52" i="6"/>
  <c r="U52" i="6"/>
  <c r="T52" i="6"/>
  <c r="S52" i="6"/>
  <c r="N52" i="6"/>
  <c r="M52" i="6"/>
  <c r="L52" i="6"/>
  <c r="K52" i="6"/>
  <c r="AT51" i="6"/>
  <c r="AS51" i="6"/>
  <c r="AR51" i="6"/>
  <c r="AQ51" i="6"/>
  <c r="AL51" i="6"/>
  <c r="AK51" i="6"/>
  <c r="AJ51" i="6"/>
  <c r="AI51" i="6"/>
  <c r="AD51" i="6"/>
  <c r="AC51" i="6"/>
  <c r="AB51" i="6"/>
  <c r="AA51" i="6"/>
  <c r="V51" i="6"/>
  <c r="U51" i="6"/>
  <c r="T51" i="6"/>
  <c r="S51" i="6"/>
  <c r="N51" i="6"/>
  <c r="M51" i="6"/>
  <c r="L51" i="6"/>
  <c r="K51" i="6"/>
  <c r="AT50" i="6"/>
  <c r="AS50" i="6"/>
  <c r="AR50" i="6"/>
  <c r="AQ50" i="6"/>
  <c r="AL50" i="6"/>
  <c r="AK50" i="6"/>
  <c r="AJ50" i="6"/>
  <c r="AI50" i="6"/>
  <c r="AD50" i="6"/>
  <c r="AC50" i="6"/>
  <c r="AB50" i="6"/>
  <c r="AA50" i="6"/>
  <c r="V50" i="6"/>
  <c r="U50" i="6"/>
  <c r="T50" i="6"/>
  <c r="S50" i="6"/>
  <c r="N50" i="6"/>
  <c r="M50" i="6"/>
  <c r="L50" i="6"/>
  <c r="K50" i="6"/>
  <c r="AT49" i="6"/>
  <c r="AS49" i="6"/>
  <c r="AR49" i="6"/>
  <c r="AQ49" i="6"/>
  <c r="AL49" i="6"/>
  <c r="AK49" i="6"/>
  <c r="AJ49" i="6"/>
  <c r="AI49" i="6"/>
  <c r="AD49" i="6"/>
  <c r="AC49" i="6"/>
  <c r="AB49" i="6"/>
  <c r="AA49" i="6"/>
  <c r="V49" i="6"/>
  <c r="U49" i="6"/>
  <c r="T49" i="6"/>
  <c r="S49" i="6"/>
  <c r="N49" i="6"/>
  <c r="M49" i="6"/>
  <c r="L49" i="6"/>
  <c r="K49" i="6"/>
  <c r="AT48" i="6"/>
  <c r="AS48" i="6"/>
  <c r="AR48" i="6"/>
  <c r="AQ48" i="6"/>
  <c r="AL48" i="6"/>
  <c r="AK48" i="6"/>
  <c r="AJ48" i="6"/>
  <c r="AI48" i="6"/>
  <c r="AD48" i="6"/>
  <c r="AC48" i="6"/>
  <c r="AB48" i="6"/>
  <c r="AA48" i="6"/>
  <c r="V48" i="6"/>
  <c r="U48" i="6"/>
  <c r="T48" i="6"/>
  <c r="S48" i="6"/>
  <c r="N48" i="6"/>
  <c r="M48" i="6"/>
  <c r="L48" i="6"/>
  <c r="K48" i="6"/>
  <c r="AT47" i="6"/>
  <c r="AS47" i="6"/>
  <c r="AR47" i="6"/>
  <c r="AQ47" i="6"/>
  <c r="AL47" i="6"/>
  <c r="AK47" i="6"/>
  <c r="AJ47" i="6"/>
  <c r="AI47" i="6"/>
  <c r="AD47" i="6"/>
  <c r="AC47" i="6"/>
  <c r="AB47" i="6"/>
  <c r="AA47" i="6"/>
  <c r="V47" i="6"/>
  <c r="U47" i="6"/>
  <c r="T47" i="6"/>
  <c r="S47" i="6"/>
  <c r="N47" i="6"/>
  <c r="M47" i="6"/>
  <c r="L47" i="6"/>
  <c r="K47" i="6"/>
  <c r="AT46" i="6"/>
  <c r="AS46" i="6"/>
  <c r="AR46" i="6"/>
  <c r="AQ46" i="6"/>
  <c r="AL46" i="6"/>
  <c r="AK46" i="6"/>
  <c r="AJ46" i="6"/>
  <c r="AI46" i="6"/>
  <c r="AD46" i="6"/>
  <c r="AC46" i="6"/>
  <c r="AB46" i="6"/>
  <c r="AA46" i="6"/>
  <c r="V46" i="6"/>
  <c r="U46" i="6"/>
  <c r="T46" i="6"/>
  <c r="S46" i="6"/>
  <c r="N46" i="6"/>
  <c r="M46" i="6"/>
  <c r="L46" i="6"/>
  <c r="K46" i="6"/>
  <c r="AT45" i="6"/>
  <c r="AS45" i="6"/>
  <c r="AR45" i="6"/>
  <c r="AQ45" i="6"/>
  <c r="AL45" i="6"/>
  <c r="AK45" i="6"/>
  <c r="AJ45" i="6"/>
  <c r="AI45" i="6"/>
  <c r="AD45" i="6"/>
  <c r="AC45" i="6"/>
  <c r="AB45" i="6"/>
  <c r="AA45" i="6"/>
  <c r="V45" i="6"/>
  <c r="U45" i="6"/>
  <c r="T45" i="6"/>
  <c r="S45" i="6"/>
  <c r="N45" i="6"/>
  <c r="M45" i="6"/>
  <c r="L45" i="6"/>
  <c r="K45" i="6"/>
  <c r="AT44" i="6"/>
  <c r="AS44" i="6"/>
  <c r="AR44" i="6"/>
  <c r="AQ44" i="6"/>
  <c r="AL44" i="6"/>
  <c r="AK44" i="6"/>
  <c r="AJ44" i="6"/>
  <c r="AI44" i="6"/>
  <c r="AD44" i="6"/>
  <c r="AC44" i="6"/>
  <c r="AB44" i="6"/>
  <c r="AA44" i="6"/>
  <c r="V44" i="6"/>
  <c r="U44" i="6"/>
  <c r="T44" i="6"/>
  <c r="S44" i="6"/>
  <c r="N44" i="6"/>
  <c r="M44" i="6"/>
  <c r="L44" i="6"/>
  <c r="K44" i="6"/>
  <c r="AT43" i="6"/>
  <c r="AS43" i="6"/>
  <c r="AR43" i="6"/>
  <c r="AQ43" i="6"/>
  <c r="AL43" i="6"/>
  <c r="AK43" i="6"/>
  <c r="AJ43" i="6"/>
  <c r="AI43" i="6"/>
  <c r="AD43" i="6"/>
  <c r="AC43" i="6"/>
  <c r="AB43" i="6"/>
  <c r="AA43" i="6"/>
  <c r="V43" i="6"/>
  <c r="U43" i="6"/>
  <c r="T43" i="6"/>
  <c r="S43" i="6"/>
  <c r="N43" i="6"/>
  <c r="M43" i="6"/>
  <c r="L43" i="6"/>
  <c r="K43" i="6"/>
  <c r="AT42" i="6"/>
  <c r="AS42" i="6"/>
  <c r="AR42" i="6"/>
  <c r="AQ42" i="6"/>
  <c r="AL42" i="6"/>
  <c r="AK42" i="6"/>
  <c r="AJ42" i="6"/>
  <c r="AI42" i="6"/>
  <c r="AD42" i="6"/>
  <c r="AC42" i="6"/>
  <c r="AB42" i="6"/>
  <c r="AA42" i="6"/>
  <c r="V42" i="6"/>
  <c r="U42" i="6"/>
  <c r="T42" i="6"/>
  <c r="S42" i="6"/>
  <c r="N42" i="6"/>
  <c r="M42" i="6"/>
  <c r="L42" i="6"/>
  <c r="K42" i="6"/>
  <c r="AT41" i="6"/>
  <c r="AS41" i="6"/>
  <c r="AR41" i="6"/>
  <c r="AQ41" i="6"/>
  <c r="AL41" i="6"/>
  <c r="AK41" i="6"/>
  <c r="AJ41" i="6"/>
  <c r="AI41" i="6"/>
  <c r="AD41" i="6"/>
  <c r="AC41" i="6"/>
  <c r="AB41" i="6"/>
  <c r="AA41" i="6"/>
  <c r="V41" i="6"/>
  <c r="U41" i="6"/>
  <c r="T41" i="6"/>
  <c r="S41" i="6"/>
  <c r="N41" i="6"/>
  <c r="M41" i="6"/>
  <c r="L41" i="6"/>
  <c r="K41" i="6"/>
  <c r="AT40" i="6"/>
  <c r="AS40" i="6"/>
  <c r="AR40" i="6"/>
  <c r="AQ40" i="6"/>
  <c r="AL40" i="6"/>
  <c r="AK40" i="6"/>
  <c r="AJ40" i="6"/>
  <c r="AI40" i="6"/>
  <c r="AD40" i="6"/>
  <c r="AC40" i="6"/>
  <c r="AB40" i="6"/>
  <c r="AA40" i="6"/>
  <c r="V40" i="6"/>
  <c r="U40" i="6"/>
  <c r="T40" i="6"/>
  <c r="S40" i="6"/>
  <c r="N40" i="6"/>
  <c r="M40" i="6"/>
  <c r="L40" i="6"/>
  <c r="K40" i="6"/>
  <c r="AT39" i="6"/>
  <c r="AS39" i="6"/>
  <c r="AR39" i="6"/>
  <c r="AQ39" i="6"/>
  <c r="AL39" i="6"/>
  <c r="AK39" i="6"/>
  <c r="AJ39" i="6"/>
  <c r="AI39" i="6"/>
  <c r="AD39" i="6"/>
  <c r="AC39" i="6"/>
  <c r="AB39" i="6"/>
  <c r="AA39" i="6"/>
  <c r="V39" i="6"/>
  <c r="U39" i="6"/>
  <c r="T39" i="6"/>
  <c r="S39" i="6"/>
  <c r="N39" i="6"/>
  <c r="M39" i="6"/>
  <c r="L39" i="6"/>
  <c r="K39" i="6"/>
  <c r="AT38" i="6"/>
  <c r="AS38" i="6"/>
  <c r="AR38" i="6"/>
  <c r="AQ38" i="6"/>
  <c r="AL38" i="6"/>
  <c r="AK38" i="6"/>
  <c r="AJ38" i="6"/>
  <c r="AI38" i="6"/>
  <c r="AD38" i="6"/>
  <c r="AC38" i="6"/>
  <c r="AB38" i="6"/>
  <c r="AA38" i="6"/>
  <c r="V38" i="6"/>
  <c r="U38" i="6"/>
  <c r="T38" i="6"/>
  <c r="S38" i="6"/>
  <c r="N38" i="6"/>
  <c r="M38" i="6"/>
  <c r="L38" i="6"/>
  <c r="K38" i="6"/>
  <c r="AT37" i="6"/>
  <c r="AS37" i="6"/>
  <c r="AR37" i="6"/>
  <c r="AQ37" i="6"/>
  <c r="AL37" i="6"/>
  <c r="AK37" i="6"/>
  <c r="AJ37" i="6"/>
  <c r="AI37" i="6"/>
  <c r="AD37" i="6"/>
  <c r="AC37" i="6"/>
  <c r="AB37" i="6"/>
  <c r="AA37" i="6"/>
  <c r="V37" i="6"/>
  <c r="U37" i="6"/>
  <c r="T37" i="6"/>
  <c r="S37" i="6"/>
  <c r="N37" i="6"/>
  <c r="M37" i="6"/>
  <c r="L37" i="6"/>
  <c r="K37" i="6"/>
  <c r="AT36" i="6"/>
  <c r="AS36" i="6"/>
  <c r="AR36" i="6"/>
  <c r="AQ36" i="6"/>
  <c r="AL36" i="6"/>
  <c r="AK36" i="6"/>
  <c r="AJ36" i="6"/>
  <c r="AI36" i="6"/>
  <c r="AD36" i="6"/>
  <c r="AC36" i="6"/>
  <c r="AB36" i="6"/>
  <c r="AA36" i="6"/>
  <c r="V36" i="6"/>
  <c r="U36" i="6"/>
  <c r="T36" i="6"/>
  <c r="S36" i="6"/>
  <c r="N36" i="6"/>
  <c r="M36" i="6"/>
  <c r="L36" i="6"/>
  <c r="K36" i="6"/>
  <c r="AT35" i="6"/>
  <c r="AS35" i="6"/>
  <c r="AR35" i="6"/>
  <c r="AQ35" i="6"/>
  <c r="AL35" i="6"/>
  <c r="AK35" i="6"/>
  <c r="AJ35" i="6"/>
  <c r="AI35" i="6"/>
  <c r="AD35" i="6"/>
  <c r="AC35" i="6"/>
  <c r="AB35" i="6"/>
  <c r="AA35" i="6"/>
  <c r="V35" i="6"/>
  <c r="U35" i="6"/>
  <c r="T35" i="6"/>
  <c r="S35" i="6"/>
  <c r="N35" i="6"/>
  <c r="M35" i="6"/>
  <c r="L35" i="6"/>
  <c r="K35" i="6"/>
  <c r="AT34" i="6"/>
  <c r="AS34" i="6"/>
  <c r="AR34" i="6"/>
  <c r="AQ34" i="6"/>
  <c r="AL34" i="6"/>
  <c r="AK34" i="6"/>
  <c r="AJ34" i="6"/>
  <c r="AI34" i="6"/>
  <c r="AD34" i="6"/>
  <c r="AC34" i="6"/>
  <c r="AB34" i="6"/>
  <c r="AA34" i="6"/>
  <c r="V34" i="6"/>
  <c r="U34" i="6"/>
  <c r="T34" i="6"/>
  <c r="S34" i="6"/>
  <c r="N34" i="6"/>
  <c r="M34" i="6"/>
  <c r="L34" i="6"/>
  <c r="K34" i="6"/>
  <c r="AT33" i="6"/>
  <c r="AS33" i="6"/>
  <c r="AR33" i="6"/>
  <c r="AQ33" i="6"/>
  <c r="AL33" i="6"/>
  <c r="AK33" i="6"/>
  <c r="AJ33" i="6"/>
  <c r="AI33" i="6"/>
  <c r="AD33" i="6"/>
  <c r="AC33" i="6"/>
  <c r="AB33" i="6"/>
  <c r="AA33" i="6"/>
  <c r="V33" i="6"/>
  <c r="U33" i="6"/>
  <c r="T33" i="6"/>
  <c r="S33" i="6"/>
  <c r="N33" i="6"/>
  <c r="M33" i="6"/>
  <c r="L33" i="6"/>
  <c r="K33" i="6"/>
  <c r="AT32" i="6"/>
  <c r="AS32" i="6"/>
  <c r="AR32" i="6"/>
  <c r="AQ32" i="6"/>
  <c r="AL32" i="6"/>
  <c r="AK32" i="6"/>
  <c r="AJ32" i="6"/>
  <c r="AI32" i="6"/>
  <c r="AD32" i="6"/>
  <c r="AC32" i="6"/>
  <c r="AB32" i="6"/>
  <c r="AA32" i="6"/>
  <c r="V32" i="6"/>
  <c r="U32" i="6"/>
  <c r="T32" i="6"/>
  <c r="S32" i="6"/>
  <c r="N32" i="6"/>
  <c r="M32" i="6"/>
  <c r="L32" i="6"/>
  <c r="K32" i="6"/>
  <c r="AT31" i="6"/>
  <c r="AS31" i="6"/>
  <c r="AR31" i="6"/>
  <c r="AQ31" i="6"/>
  <c r="AL31" i="6"/>
  <c r="AK31" i="6"/>
  <c r="AJ31" i="6"/>
  <c r="AI31" i="6"/>
  <c r="AD31" i="6"/>
  <c r="AC31" i="6"/>
  <c r="AB31" i="6"/>
  <c r="AA31" i="6"/>
  <c r="V31" i="6"/>
  <c r="U31" i="6"/>
  <c r="T31" i="6"/>
  <c r="S31" i="6"/>
  <c r="N31" i="6"/>
  <c r="M31" i="6"/>
  <c r="L31" i="6"/>
  <c r="K31" i="6"/>
  <c r="AT30" i="6"/>
  <c r="AS30" i="6"/>
  <c r="AR30" i="6"/>
  <c r="AQ30" i="6"/>
  <c r="AL30" i="6"/>
  <c r="AK30" i="6"/>
  <c r="AJ30" i="6"/>
  <c r="AI30" i="6"/>
  <c r="AD30" i="6"/>
  <c r="AC30" i="6"/>
  <c r="AB30" i="6"/>
  <c r="AA30" i="6"/>
  <c r="V30" i="6"/>
  <c r="U30" i="6"/>
  <c r="T30" i="6"/>
  <c r="S30" i="6"/>
  <c r="N30" i="6"/>
  <c r="M30" i="6"/>
  <c r="L30" i="6"/>
  <c r="K30" i="6"/>
  <c r="AT29" i="6"/>
  <c r="AS29" i="6"/>
  <c r="AR29" i="6"/>
  <c r="AQ29" i="6"/>
  <c r="AL29" i="6"/>
  <c r="AK29" i="6"/>
  <c r="AJ29" i="6"/>
  <c r="AI29" i="6"/>
  <c r="AD29" i="6"/>
  <c r="AC29" i="6"/>
  <c r="AB29" i="6"/>
  <c r="AA29" i="6"/>
  <c r="V29" i="6"/>
  <c r="U29" i="6"/>
  <c r="T29" i="6"/>
  <c r="S29" i="6"/>
  <c r="N29" i="6"/>
  <c r="M29" i="6"/>
  <c r="L29" i="6"/>
  <c r="K29" i="6"/>
  <c r="AT28" i="6"/>
  <c r="AS28" i="6"/>
  <c r="AR28" i="6"/>
  <c r="AQ28" i="6"/>
  <c r="AL28" i="6"/>
  <c r="AK28" i="6"/>
  <c r="AJ28" i="6"/>
  <c r="AI28" i="6"/>
  <c r="AD28" i="6"/>
  <c r="AC28" i="6"/>
  <c r="AB28" i="6"/>
  <c r="AA28" i="6"/>
  <c r="V28" i="6"/>
  <c r="U28" i="6"/>
  <c r="T28" i="6"/>
  <c r="S28" i="6"/>
  <c r="N28" i="6"/>
  <c r="M28" i="6"/>
  <c r="L28" i="6"/>
  <c r="K28" i="6"/>
  <c r="AT27" i="6"/>
  <c r="AS27" i="6"/>
  <c r="AR27" i="6"/>
  <c r="AQ27" i="6"/>
  <c r="AL27" i="6"/>
  <c r="AK27" i="6"/>
  <c r="AJ27" i="6"/>
  <c r="AI27" i="6"/>
  <c r="AD27" i="6"/>
  <c r="AC27" i="6"/>
  <c r="AB27" i="6"/>
  <c r="AA27" i="6"/>
  <c r="V27" i="6"/>
  <c r="U27" i="6"/>
  <c r="T27" i="6"/>
  <c r="S27" i="6"/>
  <c r="N27" i="6"/>
  <c r="M27" i="6"/>
  <c r="L27" i="6"/>
  <c r="K27" i="6"/>
  <c r="AT26" i="6"/>
  <c r="AS26" i="6"/>
  <c r="AR26" i="6"/>
  <c r="AQ26" i="6"/>
  <c r="AL26" i="6"/>
  <c r="AK26" i="6"/>
  <c r="AJ26" i="6"/>
  <c r="AI26" i="6"/>
  <c r="AD26" i="6"/>
  <c r="AC26" i="6"/>
  <c r="AB26" i="6"/>
  <c r="AA26" i="6"/>
  <c r="V26" i="6"/>
  <c r="U26" i="6"/>
  <c r="T26" i="6"/>
  <c r="S26" i="6"/>
  <c r="N26" i="6"/>
  <c r="M26" i="6"/>
  <c r="L26" i="6"/>
  <c r="K26" i="6"/>
  <c r="AT25" i="6"/>
  <c r="AS25" i="6"/>
  <c r="AR25" i="6"/>
  <c r="AQ25" i="6"/>
  <c r="AL25" i="6"/>
  <c r="AK25" i="6"/>
  <c r="AJ25" i="6"/>
  <c r="AI25" i="6"/>
  <c r="AD25" i="6"/>
  <c r="AC25" i="6"/>
  <c r="AB25" i="6"/>
  <c r="AA25" i="6"/>
  <c r="V25" i="6"/>
  <c r="U25" i="6"/>
  <c r="T25" i="6"/>
  <c r="S25" i="6"/>
  <c r="N25" i="6"/>
  <c r="M25" i="6"/>
  <c r="L25" i="6"/>
  <c r="K25" i="6"/>
  <c r="AT24" i="6"/>
  <c r="AS24" i="6"/>
  <c r="AR24" i="6"/>
  <c r="AQ24" i="6"/>
  <c r="AL24" i="6"/>
  <c r="AK24" i="6"/>
  <c r="AJ24" i="6"/>
  <c r="AI24" i="6"/>
  <c r="AD24" i="6"/>
  <c r="AC24" i="6"/>
  <c r="AB24" i="6"/>
  <c r="AA24" i="6"/>
  <c r="V24" i="6"/>
  <c r="U24" i="6"/>
  <c r="T24" i="6"/>
  <c r="S24" i="6"/>
  <c r="N24" i="6"/>
  <c r="M24" i="6"/>
  <c r="L24" i="6"/>
  <c r="K24" i="6"/>
  <c r="AT23" i="6"/>
  <c r="AS23" i="6"/>
  <c r="AR23" i="6"/>
  <c r="AQ23" i="6"/>
  <c r="AL23" i="6"/>
  <c r="AK23" i="6"/>
  <c r="AJ23" i="6"/>
  <c r="AI23" i="6"/>
  <c r="AD23" i="6"/>
  <c r="AC23" i="6"/>
  <c r="AB23" i="6"/>
  <c r="AA23" i="6"/>
  <c r="V23" i="6"/>
  <c r="U23" i="6"/>
  <c r="T23" i="6"/>
  <c r="S23" i="6"/>
  <c r="N23" i="6"/>
  <c r="M23" i="6"/>
  <c r="L23" i="6"/>
  <c r="K23" i="6"/>
  <c r="AT22" i="6"/>
  <c r="AS22" i="6"/>
  <c r="AR22" i="6"/>
  <c r="AQ22" i="6"/>
  <c r="AL22" i="6"/>
  <c r="AK22" i="6"/>
  <c r="AJ22" i="6"/>
  <c r="AI22" i="6"/>
  <c r="AD22" i="6"/>
  <c r="AC22" i="6"/>
  <c r="AB22" i="6"/>
  <c r="AA22" i="6"/>
  <c r="V22" i="6"/>
  <c r="U22" i="6"/>
  <c r="T22" i="6"/>
  <c r="S22" i="6"/>
  <c r="N22" i="6"/>
  <c r="M22" i="6"/>
  <c r="L22" i="6"/>
  <c r="K22" i="6"/>
  <c r="AT21" i="6"/>
  <c r="AS21" i="6"/>
  <c r="AR21" i="6"/>
  <c r="AQ21" i="6"/>
  <c r="AL21" i="6"/>
  <c r="AK21" i="6"/>
  <c r="AJ21" i="6"/>
  <c r="AI21" i="6"/>
  <c r="AD21" i="6"/>
  <c r="AC21" i="6"/>
  <c r="AB21" i="6"/>
  <c r="AA21" i="6"/>
  <c r="V21" i="6"/>
  <c r="U21" i="6"/>
  <c r="T21" i="6"/>
  <c r="S21" i="6"/>
  <c r="N21" i="6"/>
  <c r="M21" i="6"/>
  <c r="L21" i="6"/>
  <c r="K21" i="6"/>
  <c r="AT20" i="6"/>
  <c r="AS20" i="6"/>
  <c r="AR20" i="6"/>
  <c r="AQ20" i="6"/>
  <c r="AL20" i="6"/>
  <c r="AK20" i="6"/>
  <c r="AJ20" i="6"/>
  <c r="AI20" i="6"/>
  <c r="AD20" i="6"/>
  <c r="AC20" i="6"/>
  <c r="AB20" i="6"/>
  <c r="AA20" i="6"/>
  <c r="V20" i="6"/>
  <c r="U20" i="6"/>
  <c r="T20" i="6"/>
  <c r="S20" i="6"/>
  <c r="N20" i="6"/>
  <c r="M20" i="6"/>
  <c r="L20" i="6"/>
  <c r="K20" i="6"/>
  <c r="AT19" i="6"/>
  <c r="AS19" i="6"/>
  <c r="AR19" i="6"/>
  <c r="AQ19" i="6"/>
  <c r="AL19" i="6"/>
  <c r="AK19" i="6"/>
  <c r="AJ19" i="6"/>
  <c r="AI19" i="6"/>
  <c r="AD19" i="6"/>
  <c r="AC19" i="6"/>
  <c r="AB19" i="6"/>
  <c r="AA19" i="6"/>
  <c r="V19" i="6"/>
  <c r="U19" i="6"/>
  <c r="T19" i="6"/>
  <c r="S19" i="6"/>
  <c r="N19" i="6"/>
  <c r="M19" i="6"/>
  <c r="L19" i="6"/>
  <c r="K19" i="6"/>
  <c r="AT18" i="6"/>
  <c r="AS18" i="6"/>
  <c r="AR18" i="6"/>
  <c r="AQ18" i="6"/>
  <c r="AL18" i="6"/>
  <c r="AK18" i="6"/>
  <c r="AJ18" i="6"/>
  <c r="AI18" i="6"/>
  <c r="AD18" i="6"/>
  <c r="AC18" i="6"/>
  <c r="AB18" i="6"/>
  <c r="AA18" i="6"/>
  <c r="V18" i="6"/>
  <c r="U18" i="6"/>
  <c r="T18" i="6"/>
  <c r="S18" i="6"/>
  <c r="N18" i="6"/>
  <c r="M18" i="6"/>
  <c r="L18" i="6"/>
  <c r="K18" i="6"/>
  <c r="AT17" i="6"/>
  <c r="AS17" i="6"/>
  <c r="AR17" i="6"/>
  <c r="AQ17" i="6"/>
  <c r="AL17" i="6"/>
  <c r="AK17" i="6"/>
  <c r="AJ17" i="6"/>
  <c r="AI17" i="6"/>
  <c r="AD17" i="6"/>
  <c r="AC17" i="6"/>
  <c r="AB17" i="6"/>
  <c r="AA17" i="6"/>
  <c r="V17" i="6"/>
  <c r="U17" i="6"/>
  <c r="T17" i="6"/>
  <c r="S17" i="6"/>
  <c r="N17" i="6"/>
  <c r="M17" i="6"/>
  <c r="L17" i="6"/>
  <c r="K17" i="6"/>
  <c r="AT16" i="6"/>
  <c r="AS16" i="6"/>
  <c r="AR16" i="6"/>
  <c r="AQ16" i="6"/>
  <c r="AL16" i="6"/>
  <c r="AK16" i="6"/>
  <c r="AJ16" i="6"/>
  <c r="AI16" i="6"/>
  <c r="AD16" i="6"/>
  <c r="AC16" i="6"/>
  <c r="AB16" i="6"/>
  <c r="AA16" i="6"/>
  <c r="V16" i="6"/>
  <c r="U16" i="6"/>
  <c r="T16" i="6"/>
  <c r="S16" i="6"/>
  <c r="N16" i="6"/>
  <c r="M16" i="6"/>
  <c r="L16" i="6"/>
  <c r="K16" i="6"/>
  <c r="AT15" i="6"/>
  <c r="AS15" i="6"/>
  <c r="AR15" i="6"/>
  <c r="AQ15" i="6"/>
  <c r="AL15" i="6"/>
  <c r="AK15" i="6"/>
  <c r="AJ15" i="6"/>
  <c r="AI15" i="6"/>
  <c r="AD15" i="6"/>
  <c r="AC15" i="6"/>
  <c r="AB15" i="6"/>
  <c r="AA15" i="6"/>
  <c r="V15" i="6"/>
  <c r="U15" i="6"/>
  <c r="T15" i="6"/>
  <c r="S15" i="6"/>
  <c r="N15" i="6"/>
  <c r="M15" i="6"/>
  <c r="L15" i="6"/>
  <c r="K15" i="6"/>
  <c r="AT14" i="6"/>
  <c r="AS14" i="6"/>
  <c r="AR14" i="6"/>
  <c r="AQ14" i="6"/>
  <c r="AL14" i="6"/>
  <c r="AK14" i="6"/>
  <c r="AJ14" i="6"/>
  <c r="AI14" i="6"/>
  <c r="AD14" i="6"/>
  <c r="AC14" i="6"/>
  <c r="AB14" i="6"/>
  <c r="AA14" i="6"/>
  <c r="V14" i="6"/>
  <c r="U14" i="6"/>
  <c r="T14" i="6"/>
  <c r="S14" i="6"/>
  <c r="N14" i="6"/>
  <c r="M14" i="6"/>
  <c r="L14" i="6"/>
  <c r="K14" i="6"/>
  <c r="AT13" i="6"/>
  <c r="AS13" i="6"/>
  <c r="AR13" i="6"/>
  <c r="AQ13" i="6"/>
  <c r="AL13" i="6"/>
  <c r="AK13" i="6"/>
  <c r="AJ13" i="6"/>
  <c r="AI13" i="6"/>
  <c r="AD13" i="6"/>
  <c r="AC13" i="6"/>
  <c r="AB13" i="6"/>
  <c r="AA13" i="6"/>
  <c r="V13" i="6"/>
  <c r="U13" i="6"/>
  <c r="T13" i="6"/>
  <c r="S13" i="6"/>
  <c r="N13" i="6"/>
  <c r="M13" i="6"/>
  <c r="L13" i="6"/>
  <c r="K13" i="6"/>
  <c r="AT12" i="6"/>
  <c r="AS12" i="6"/>
  <c r="AR12" i="6"/>
  <c r="AQ12" i="6"/>
  <c r="AL12" i="6"/>
  <c r="AK12" i="6"/>
  <c r="AJ12" i="6"/>
  <c r="AI12" i="6"/>
  <c r="AD12" i="6"/>
  <c r="AC12" i="6"/>
  <c r="AB12" i="6"/>
  <c r="AA12" i="6"/>
  <c r="V12" i="6"/>
  <c r="U12" i="6"/>
  <c r="T12" i="6"/>
  <c r="S12" i="6"/>
  <c r="N12" i="6"/>
  <c r="M12" i="6"/>
  <c r="L12" i="6"/>
  <c r="K12" i="6"/>
  <c r="AT11" i="6"/>
  <c r="AS11" i="6"/>
  <c r="AR11" i="6"/>
  <c r="AQ11" i="6"/>
  <c r="AL11" i="6"/>
  <c r="AK11" i="6"/>
  <c r="AJ11" i="6"/>
  <c r="AI11" i="6"/>
  <c r="AD11" i="6"/>
  <c r="AC11" i="6"/>
  <c r="AB11" i="6"/>
  <c r="AA11" i="6"/>
  <c r="V11" i="6"/>
  <c r="U11" i="6"/>
  <c r="T11" i="6"/>
  <c r="S11" i="6"/>
  <c r="N11" i="6"/>
  <c r="M11" i="6"/>
  <c r="L11" i="6"/>
  <c r="K11" i="6"/>
  <c r="AT10" i="6"/>
  <c r="AS10" i="6"/>
  <c r="AR10" i="6"/>
  <c r="AQ10" i="6"/>
  <c r="AL10" i="6"/>
  <c r="AK10" i="6"/>
  <c r="AJ10" i="6"/>
  <c r="AI10" i="6"/>
  <c r="AD10" i="6"/>
  <c r="AC10" i="6"/>
  <c r="AB10" i="6"/>
  <c r="AA10" i="6"/>
  <c r="V10" i="6"/>
  <c r="U10" i="6"/>
  <c r="T10" i="6"/>
  <c r="S10" i="6"/>
  <c r="N10" i="6"/>
  <c r="M10" i="6"/>
  <c r="L10" i="6"/>
  <c r="K10" i="6"/>
  <c r="AT9" i="6"/>
  <c r="AS9" i="6"/>
  <c r="AR9" i="6"/>
  <c r="AQ9" i="6"/>
  <c r="AL9" i="6"/>
  <c r="AK9" i="6"/>
  <c r="AJ9" i="6"/>
  <c r="AI9" i="6"/>
  <c r="AD9" i="6"/>
  <c r="AC9" i="6"/>
  <c r="AB9" i="6"/>
  <c r="AA9" i="6"/>
  <c r="V9" i="6"/>
  <c r="U9" i="6"/>
  <c r="T9" i="6"/>
  <c r="S9" i="6"/>
  <c r="N9" i="6"/>
  <c r="M9" i="6"/>
  <c r="L9" i="6"/>
  <c r="K9" i="6"/>
  <c r="AT8" i="6"/>
  <c r="AS8" i="6"/>
  <c r="AR8" i="6"/>
  <c r="AQ8" i="6"/>
  <c r="AL8" i="6"/>
  <c r="AK8" i="6"/>
  <c r="AJ8" i="6"/>
  <c r="AI8" i="6"/>
  <c r="AD8" i="6"/>
  <c r="AC8" i="6"/>
  <c r="AB8" i="6"/>
  <c r="AA8" i="6"/>
  <c r="V8" i="6"/>
  <c r="U8" i="6"/>
  <c r="T8" i="6"/>
  <c r="S8" i="6"/>
  <c r="N8" i="6"/>
  <c r="M8" i="6"/>
  <c r="L8" i="6"/>
  <c r="K8" i="6"/>
  <c r="AT7" i="6"/>
  <c r="AS7" i="6"/>
  <c r="AR7" i="6"/>
  <c r="AQ7" i="6"/>
  <c r="AL7" i="6"/>
  <c r="AK7" i="6"/>
  <c r="AJ7" i="6"/>
  <c r="AI7" i="6"/>
  <c r="AD7" i="6"/>
  <c r="AC7" i="6"/>
  <c r="AB7" i="6"/>
  <c r="AA7" i="6"/>
  <c r="V7" i="6"/>
  <c r="U7" i="6"/>
  <c r="T7" i="6"/>
  <c r="S7" i="6"/>
  <c r="N7" i="6"/>
  <c r="M7" i="6"/>
  <c r="L7" i="6"/>
  <c r="K7" i="6"/>
  <c r="AT6" i="6"/>
  <c r="AS6" i="6"/>
  <c r="AR6" i="6"/>
  <c r="AQ6" i="6"/>
  <c r="AL6" i="6"/>
  <c r="AK6" i="6"/>
  <c r="AJ6" i="6"/>
  <c r="AI6" i="6"/>
  <c r="AD6" i="6"/>
  <c r="AC6" i="6"/>
  <c r="AB6" i="6"/>
  <c r="AA6" i="6"/>
  <c r="V6" i="6"/>
  <c r="U6" i="6"/>
  <c r="T6" i="6"/>
  <c r="S6" i="6"/>
  <c r="N6" i="6"/>
  <c r="M6" i="6"/>
  <c r="L6" i="6"/>
  <c r="K6" i="6"/>
  <c r="AT5" i="6"/>
  <c r="AS5" i="6"/>
  <c r="AR5" i="6"/>
  <c r="AQ5" i="6"/>
  <c r="AL5" i="6"/>
  <c r="AK5" i="6"/>
  <c r="AJ5" i="6"/>
  <c r="AI5" i="6"/>
  <c r="AD5" i="6"/>
  <c r="AC5" i="6"/>
  <c r="AB5" i="6"/>
  <c r="AA5" i="6"/>
  <c r="V5" i="6"/>
  <c r="U5" i="6"/>
  <c r="T5" i="6"/>
  <c r="S5" i="6"/>
  <c r="N5" i="6"/>
  <c r="M5" i="6"/>
  <c r="L5" i="6"/>
  <c r="K5" i="6"/>
  <c r="AT4" i="6"/>
  <c r="AS4" i="6"/>
  <c r="AR4" i="6"/>
  <c r="AQ4" i="6"/>
  <c r="AL4" i="6"/>
  <c r="AK4" i="6"/>
  <c r="AJ4" i="6"/>
  <c r="AI4" i="6"/>
  <c r="AD4" i="6"/>
  <c r="AC4" i="6"/>
  <c r="AB4" i="6"/>
  <c r="AA4" i="6"/>
  <c r="V4" i="6"/>
  <c r="U4" i="6"/>
  <c r="T4" i="6"/>
  <c r="S4" i="6"/>
  <c r="N4" i="6"/>
  <c r="M4" i="6"/>
  <c r="L4" i="6"/>
  <c r="K4" i="6"/>
  <c r="L1302" i="4"/>
  <c r="L1303" i="4"/>
  <c r="L1304" i="4"/>
  <c r="L1305" i="4"/>
  <c r="L1306" i="4"/>
  <c r="L1307" i="4"/>
  <c r="L1308" i="4"/>
  <c r="L1309" i="4"/>
  <c r="L1310" i="4"/>
  <c r="L1311" i="4"/>
  <c r="L1312" i="4"/>
  <c r="L1313" i="4"/>
  <c r="L1314" i="4"/>
  <c r="L1315" i="4"/>
  <c r="L1316" i="4"/>
  <c r="L1317" i="4"/>
  <c r="L1318" i="4"/>
  <c r="L1319" i="4"/>
  <c r="L1320" i="4"/>
  <c r="L1321" i="4"/>
  <c r="L1322" i="4"/>
  <c r="L1323" i="4"/>
  <c r="L1324" i="4"/>
  <c r="L1325" i="4"/>
  <c r="L1326" i="4"/>
  <c r="L1327" i="4"/>
  <c r="L1328" i="4"/>
  <c r="L1329" i="4"/>
  <c r="L1330" i="4"/>
  <c r="L1331" i="4"/>
  <c r="L1332" i="4"/>
  <c r="L1333" i="4"/>
  <c r="L1334" i="4"/>
  <c r="L1335" i="4"/>
  <c r="L1336" i="4"/>
  <c r="L1337" i="4"/>
  <c r="L1338" i="4"/>
  <c r="L1339" i="4"/>
  <c r="L1340" i="4"/>
  <c r="L1341" i="4"/>
  <c r="L1342" i="4"/>
  <c r="L1343" i="4"/>
  <c r="L1344" i="4"/>
  <c r="L1345" i="4"/>
  <c r="L1346" i="4"/>
  <c r="L1347" i="4"/>
  <c r="L1348" i="4"/>
  <c r="L1349" i="4"/>
  <c r="L1350" i="4"/>
  <c r="L1351" i="4"/>
  <c r="L1352" i="4"/>
  <c r="L1353" i="4"/>
  <c r="L1354" i="4"/>
  <c r="L1355" i="4"/>
  <c r="L1356" i="4"/>
  <c r="L1357" i="4"/>
  <c r="L1358" i="4"/>
  <c r="L1359" i="4"/>
  <c r="L1360" i="4"/>
  <c r="L1361" i="4"/>
  <c r="L1362" i="4"/>
  <c r="L1363" i="4"/>
  <c r="L1364" i="4"/>
  <c r="L1365" i="4"/>
  <c r="L1366" i="4"/>
  <c r="L1367" i="4"/>
  <c r="L1368" i="4"/>
  <c r="L1369" i="4"/>
  <c r="L1370" i="4"/>
  <c r="L1371" i="4"/>
  <c r="L1372" i="4"/>
  <c r="L1373" i="4"/>
  <c r="L1374" i="4"/>
  <c r="L1375" i="4"/>
  <c r="L1376" i="4"/>
  <c r="L1377" i="4"/>
  <c r="L1378" i="4"/>
  <c r="L1379" i="4"/>
  <c r="L1380" i="4"/>
  <c r="L1381" i="4"/>
  <c r="L1382" i="4"/>
  <c r="L1383" i="4"/>
  <c r="L1384" i="4"/>
  <c r="L1385" i="4"/>
  <c r="L1386" i="4"/>
  <c r="L1387" i="4"/>
  <c r="L1388" i="4"/>
  <c r="L1389" i="4"/>
  <c r="L1390" i="4"/>
  <c r="L1391" i="4"/>
  <c r="L1392" i="4"/>
  <c r="L1393" i="4"/>
  <c r="L1394" i="4"/>
  <c r="L1395" i="4"/>
  <c r="L1396" i="4"/>
  <c r="L1397" i="4"/>
  <c r="L1398" i="4"/>
  <c r="L1399" i="4"/>
  <c r="L1400" i="4"/>
  <c r="L1401" i="4"/>
  <c r="K1302" i="4"/>
  <c r="K1303" i="4"/>
  <c r="K1304" i="4"/>
  <c r="K1305" i="4"/>
  <c r="K1306" i="4"/>
  <c r="K1307" i="4"/>
  <c r="K1308" i="4"/>
  <c r="K1309" i="4"/>
  <c r="K1310" i="4"/>
  <c r="K1311" i="4"/>
  <c r="K1312" i="4"/>
  <c r="K1313" i="4"/>
  <c r="K1314" i="4"/>
  <c r="K1315" i="4"/>
  <c r="K1316" i="4"/>
  <c r="M1316" i="4" s="1"/>
  <c r="K1317" i="4"/>
  <c r="M1317" i="4" s="1"/>
  <c r="K1318" i="4"/>
  <c r="K1319" i="4"/>
  <c r="K1320" i="4"/>
  <c r="K1321" i="4"/>
  <c r="K1322" i="4"/>
  <c r="K1323" i="4"/>
  <c r="K1324" i="4"/>
  <c r="K1325" i="4"/>
  <c r="M1325" i="4" s="1"/>
  <c r="K1326" i="4"/>
  <c r="K1327" i="4"/>
  <c r="K1328" i="4"/>
  <c r="K1329" i="4"/>
  <c r="K1330" i="4"/>
  <c r="K1331" i="4"/>
  <c r="K1332" i="4"/>
  <c r="M1332" i="4" s="1"/>
  <c r="K1333" i="4"/>
  <c r="M1333" i="4" s="1"/>
  <c r="K1334" i="4"/>
  <c r="K1335" i="4"/>
  <c r="K1336" i="4"/>
  <c r="K1337" i="4"/>
  <c r="K1338" i="4"/>
  <c r="K1339" i="4"/>
  <c r="K1340" i="4"/>
  <c r="M1340" i="4" s="1"/>
  <c r="K1341" i="4"/>
  <c r="K1342" i="4"/>
  <c r="K1343" i="4"/>
  <c r="K1344" i="4"/>
  <c r="K1345" i="4"/>
  <c r="K1346" i="4"/>
  <c r="K1347" i="4"/>
  <c r="K1348" i="4"/>
  <c r="M1348" i="4" s="1"/>
  <c r="K1349" i="4"/>
  <c r="M1349" i="4" s="1"/>
  <c r="K1350" i="4"/>
  <c r="K1351" i="4"/>
  <c r="K1352" i="4"/>
  <c r="K1353" i="4"/>
  <c r="K1354" i="4"/>
  <c r="K1355" i="4"/>
  <c r="K1356" i="4"/>
  <c r="K1357" i="4"/>
  <c r="M1357" i="4" s="1"/>
  <c r="K1358" i="4"/>
  <c r="K1359" i="4"/>
  <c r="K1360" i="4"/>
  <c r="K1361" i="4"/>
  <c r="K1362" i="4"/>
  <c r="K1363" i="4"/>
  <c r="K1364" i="4"/>
  <c r="M1364" i="4" s="1"/>
  <c r="K1365" i="4"/>
  <c r="M1365" i="4" s="1"/>
  <c r="K1366" i="4"/>
  <c r="K1367" i="4"/>
  <c r="K1368" i="4"/>
  <c r="K1369" i="4"/>
  <c r="K1370" i="4"/>
  <c r="K1371" i="4"/>
  <c r="K1372" i="4"/>
  <c r="K1373" i="4"/>
  <c r="K1374" i="4"/>
  <c r="K1375" i="4"/>
  <c r="K1376" i="4"/>
  <c r="K1377" i="4"/>
  <c r="K1378" i="4"/>
  <c r="K1379" i="4"/>
  <c r="K1380" i="4"/>
  <c r="M1380" i="4" s="1"/>
  <c r="K1381" i="4"/>
  <c r="M1381" i="4" s="1"/>
  <c r="K1382" i="4"/>
  <c r="K1383" i="4"/>
  <c r="K1384" i="4"/>
  <c r="K1385" i="4"/>
  <c r="K1386" i="4"/>
  <c r="K1387" i="4"/>
  <c r="K1388" i="4"/>
  <c r="K1389" i="4"/>
  <c r="M1389" i="4" s="1"/>
  <c r="K1390" i="4"/>
  <c r="K1391" i="4"/>
  <c r="K1392" i="4"/>
  <c r="K1393" i="4"/>
  <c r="K1394" i="4"/>
  <c r="K1395" i="4"/>
  <c r="K1396" i="4"/>
  <c r="M1396" i="4" s="1"/>
  <c r="K1397" i="4"/>
  <c r="M1397" i="4" s="1"/>
  <c r="K1398" i="4"/>
  <c r="K1399" i="4"/>
  <c r="K1400" i="4"/>
  <c r="K1401" i="4"/>
  <c r="J1302" i="4"/>
  <c r="J1303" i="4"/>
  <c r="J1304" i="4"/>
  <c r="J1305" i="4"/>
  <c r="M1305" i="4" s="1"/>
  <c r="J1306" i="4"/>
  <c r="M1306" i="4" s="1"/>
  <c r="J1307" i="4"/>
  <c r="J1308" i="4"/>
  <c r="J1309" i="4"/>
  <c r="J1310" i="4"/>
  <c r="J1311" i="4"/>
  <c r="J1312" i="4"/>
  <c r="J1313" i="4"/>
  <c r="M1313" i="4" s="1"/>
  <c r="J1314" i="4"/>
  <c r="M1314" i="4" s="1"/>
  <c r="J1315" i="4"/>
  <c r="J1316" i="4"/>
  <c r="J1317" i="4"/>
  <c r="J1318" i="4"/>
  <c r="J1319" i="4"/>
  <c r="J1320" i="4"/>
  <c r="J1321" i="4"/>
  <c r="M1321" i="4" s="1"/>
  <c r="J1322" i="4"/>
  <c r="M1322" i="4" s="1"/>
  <c r="J1323" i="4"/>
  <c r="J1324" i="4"/>
  <c r="J1325" i="4"/>
  <c r="J1326" i="4"/>
  <c r="J1327" i="4"/>
  <c r="J1328" i="4"/>
  <c r="J1329" i="4"/>
  <c r="M1329" i="4" s="1"/>
  <c r="J1330" i="4"/>
  <c r="M1330" i="4" s="1"/>
  <c r="J1331" i="4"/>
  <c r="J1332" i="4"/>
  <c r="J1333" i="4"/>
  <c r="J1334" i="4"/>
  <c r="J1335" i="4"/>
  <c r="J1336" i="4"/>
  <c r="J1337" i="4"/>
  <c r="M1337" i="4" s="1"/>
  <c r="J1338" i="4"/>
  <c r="M1338" i="4" s="1"/>
  <c r="J1339" i="4"/>
  <c r="J1340" i="4"/>
  <c r="J1341" i="4"/>
  <c r="J1342" i="4"/>
  <c r="J1343" i="4"/>
  <c r="J1344" i="4"/>
  <c r="J1345" i="4"/>
  <c r="M1345" i="4" s="1"/>
  <c r="J1346" i="4"/>
  <c r="M1346" i="4" s="1"/>
  <c r="J1347" i="4"/>
  <c r="J1348" i="4"/>
  <c r="J1349" i="4"/>
  <c r="J1350" i="4"/>
  <c r="J1351" i="4"/>
  <c r="J1352" i="4"/>
  <c r="J1353" i="4"/>
  <c r="M1353" i="4" s="1"/>
  <c r="J1354" i="4"/>
  <c r="M1354" i="4" s="1"/>
  <c r="J1355" i="4"/>
  <c r="J1356" i="4"/>
  <c r="J1357" i="4"/>
  <c r="J1358" i="4"/>
  <c r="J1359" i="4"/>
  <c r="J1360" i="4"/>
  <c r="J1361" i="4"/>
  <c r="M1361" i="4" s="1"/>
  <c r="J1362" i="4"/>
  <c r="M1362" i="4" s="1"/>
  <c r="J1363" i="4"/>
  <c r="J1364" i="4"/>
  <c r="J1365" i="4"/>
  <c r="J1366" i="4"/>
  <c r="J1367" i="4"/>
  <c r="J1368" i="4"/>
  <c r="J1369" i="4"/>
  <c r="M1369" i="4" s="1"/>
  <c r="J1370" i="4"/>
  <c r="M1370" i="4" s="1"/>
  <c r="J1371" i="4"/>
  <c r="J1372" i="4"/>
  <c r="J1373" i="4"/>
  <c r="J1374" i="4"/>
  <c r="J1375" i="4"/>
  <c r="J1376" i="4"/>
  <c r="J1377" i="4"/>
  <c r="M1377" i="4" s="1"/>
  <c r="J1378" i="4"/>
  <c r="M1378" i="4" s="1"/>
  <c r="J1379" i="4"/>
  <c r="J1380" i="4"/>
  <c r="J1381" i="4"/>
  <c r="J1382" i="4"/>
  <c r="J1383" i="4"/>
  <c r="J1384" i="4"/>
  <c r="J1385" i="4"/>
  <c r="M1385" i="4" s="1"/>
  <c r="J1386" i="4"/>
  <c r="M1386" i="4" s="1"/>
  <c r="J1387" i="4"/>
  <c r="J1388" i="4"/>
  <c r="J1389" i="4"/>
  <c r="J1390" i="4"/>
  <c r="J1391" i="4"/>
  <c r="J1392" i="4"/>
  <c r="J1393" i="4"/>
  <c r="M1393" i="4" s="1"/>
  <c r="J1394" i="4"/>
  <c r="M1394" i="4" s="1"/>
  <c r="J1395" i="4"/>
  <c r="J1396" i="4"/>
  <c r="J1397" i="4"/>
  <c r="J1398" i="4"/>
  <c r="J1399" i="4"/>
  <c r="J1400" i="4"/>
  <c r="J1401" i="4"/>
  <c r="M1401" i="4" s="1"/>
  <c r="I1303" i="4"/>
  <c r="I1304" i="4"/>
  <c r="I1305" i="4"/>
  <c r="I1306" i="4"/>
  <c r="I1307" i="4"/>
  <c r="I1308" i="4"/>
  <c r="I1309" i="4"/>
  <c r="I1310" i="4"/>
  <c r="I1311" i="4"/>
  <c r="I1312" i="4"/>
  <c r="I1313" i="4"/>
  <c r="I1314" i="4"/>
  <c r="I1315" i="4"/>
  <c r="I1316" i="4"/>
  <c r="I1317" i="4"/>
  <c r="I1318" i="4"/>
  <c r="I1319" i="4"/>
  <c r="I1320" i="4"/>
  <c r="I1321" i="4"/>
  <c r="I1322" i="4"/>
  <c r="I1323" i="4"/>
  <c r="I1324" i="4"/>
  <c r="I1325" i="4"/>
  <c r="I1326" i="4"/>
  <c r="I1327" i="4"/>
  <c r="I1328" i="4"/>
  <c r="I1329" i="4"/>
  <c r="I1330" i="4"/>
  <c r="I1331" i="4"/>
  <c r="I1332" i="4"/>
  <c r="I1333" i="4"/>
  <c r="I1334" i="4"/>
  <c r="I1335" i="4"/>
  <c r="I1336" i="4"/>
  <c r="I1337" i="4"/>
  <c r="I1338" i="4"/>
  <c r="I1339" i="4"/>
  <c r="I1340" i="4"/>
  <c r="I1341" i="4"/>
  <c r="I1342" i="4"/>
  <c r="I1343" i="4"/>
  <c r="I1344" i="4"/>
  <c r="I1345" i="4"/>
  <c r="I1346" i="4"/>
  <c r="I1347" i="4"/>
  <c r="I1348" i="4"/>
  <c r="I1349" i="4"/>
  <c r="I1350" i="4"/>
  <c r="I1351" i="4"/>
  <c r="I1352" i="4"/>
  <c r="I1353" i="4"/>
  <c r="I1354" i="4"/>
  <c r="I1355" i="4"/>
  <c r="I1356" i="4"/>
  <c r="I1357" i="4"/>
  <c r="I1358" i="4"/>
  <c r="I1359" i="4"/>
  <c r="I1360" i="4"/>
  <c r="I1361" i="4"/>
  <c r="I1362" i="4"/>
  <c r="I1363" i="4"/>
  <c r="I1364" i="4"/>
  <c r="I1365" i="4"/>
  <c r="I1366" i="4"/>
  <c r="I1367" i="4"/>
  <c r="I1368" i="4"/>
  <c r="I1369" i="4"/>
  <c r="I1370" i="4"/>
  <c r="I1371" i="4"/>
  <c r="I1372" i="4"/>
  <c r="I1373" i="4"/>
  <c r="I1374" i="4"/>
  <c r="I1375" i="4"/>
  <c r="I1376" i="4"/>
  <c r="I1377" i="4"/>
  <c r="I1378" i="4"/>
  <c r="I1379" i="4"/>
  <c r="I1380" i="4"/>
  <c r="I1381" i="4"/>
  <c r="I1382" i="4"/>
  <c r="I1383" i="4"/>
  <c r="I1384" i="4"/>
  <c r="I1385" i="4"/>
  <c r="I1386" i="4"/>
  <c r="I1387" i="4"/>
  <c r="I1388" i="4"/>
  <c r="I1389" i="4"/>
  <c r="I1390" i="4"/>
  <c r="I1391" i="4"/>
  <c r="I1392" i="4"/>
  <c r="I1393" i="4"/>
  <c r="I1394" i="4"/>
  <c r="I1395" i="4"/>
  <c r="I1396" i="4"/>
  <c r="I1397" i="4"/>
  <c r="I1398" i="4"/>
  <c r="I1399" i="4"/>
  <c r="I1400" i="4"/>
  <c r="I1401" i="4"/>
  <c r="I1302" i="4"/>
  <c r="H1303" i="4"/>
  <c r="H1304" i="4"/>
  <c r="H1305" i="4"/>
  <c r="H1306" i="4"/>
  <c r="H1307" i="4"/>
  <c r="H1308" i="4"/>
  <c r="H1309" i="4"/>
  <c r="H1310" i="4"/>
  <c r="H1311" i="4"/>
  <c r="H1312" i="4"/>
  <c r="H1313" i="4"/>
  <c r="H1314" i="4"/>
  <c r="H1315" i="4"/>
  <c r="H1316" i="4"/>
  <c r="H1317" i="4"/>
  <c r="H1318" i="4"/>
  <c r="H1319" i="4"/>
  <c r="H1320" i="4"/>
  <c r="H1321" i="4"/>
  <c r="H1322" i="4"/>
  <c r="H1323" i="4"/>
  <c r="H1324" i="4"/>
  <c r="H1325" i="4"/>
  <c r="H1326" i="4"/>
  <c r="H1327" i="4"/>
  <c r="H1328" i="4"/>
  <c r="H1329" i="4"/>
  <c r="H1330" i="4"/>
  <c r="H1331" i="4"/>
  <c r="H1332" i="4"/>
  <c r="H1333" i="4"/>
  <c r="H1334" i="4"/>
  <c r="H1335" i="4"/>
  <c r="H1336" i="4"/>
  <c r="H1337" i="4"/>
  <c r="H1338" i="4"/>
  <c r="H1339" i="4"/>
  <c r="H1340" i="4"/>
  <c r="H1341" i="4"/>
  <c r="H1342" i="4"/>
  <c r="H1343" i="4"/>
  <c r="H1344" i="4"/>
  <c r="H1345" i="4"/>
  <c r="H1346" i="4"/>
  <c r="H1347" i="4"/>
  <c r="H1348" i="4"/>
  <c r="H1349" i="4"/>
  <c r="H1350" i="4"/>
  <c r="H1351" i="4"/>
  <c r="H1352" i="4"/>
  <c r="H1353" i="4"/>
  <c r="H1354" i="4"/>
  <c r="H1355" i="4"/>
  <c r="H1356" i="4"/>
  <c r="H1357" i="4"/>
  <c r="H1358" i="4"/>
  <c r="H1359" i="4"/>
  <c r="H1360" i="4"/>
  <c r="H1361" i="4"/>
  <c r="H1362" i="4"/>
  <c r="H1363" i="4"/>
  <c r="H1364" i="4"/>
  <c r="H1365" i="4"/>
  <c r="H1366" i="4"/>
  <c r="H1367" i="4"/>
  <c r="H1368" i="4"/>
  <c r="H1369" i="4"/>
  <c r="H1370" i="4"/>
  <c r="H1371" i="4"/>
  <c r="H1372" i="4"/>
  <c r="H1373" i="4"/>
  <c r="H1374" i="4"/>
  <c r="H1375" i="4"/>
  <c r="H1376" i="4"/>
  <c r="H1377" i="4"/>
  <c r="H1378" i="4"/>
  <c r="H1379" i="4"/>
  <c r="H1380" i="4"/>
  <c r="H1381" i="4"/>
  <c r="H1382" i="4"/>
  <c r="H1383" i="4"/>
  <c r="H1384" i="4"/>
  <c r="H1385" i="4"/>
  <c r="H1386" i="4"/>
  <c r="H1387" i="4"/>
  <c r="H1388" i="4"/>
  <c r="H1389" i="4"/>
  <c r="H1390" i="4"/>
  <c r="H1391" i="4"/>
  <c r="H1392" i="4"/>
  <c r="H1393" i="4"/>
  <c r="H1394" i="4"/>
  <c r="H1395" i="4"/>
  <c r="H1396" i="4"/>
  <c r="H1397" i="4"/>
  <c r="H1398" i="4"/>
  <c r="H1399" i="4"/>
  <c r="H1400" i="4"/>
  <c r="H1401" i="4"/>
  <c r="H1302" i="4"/>
  <c r="G1303" i="4"/>
  <c r="G1304" i="4"/>
  <c r="G1305" i="4"/>
  <c r="G1306" i="4"/>
  <c r="G1307" i="4"/>
  <c r="G1308" i="4"/>
  <c r="G1309" i="4"/>
  <c r="G1310" i="4"/>
  <c r="G1311" i="4"/>
  <c r="G1312" i="4"/>
  <c r="G1313" i="4"/>
  <c r="G1314" i="4"/>
  <c r="G1315" i="4"/>
  <c r="G1316" i="4"/>
  <c r="G1317" i="4"/>
  <c r="G1318" i="4"/>
  <c r="G1319" i="4"/>
  <c r="G1320" i="4"/>
  <c r="G1321" i="4"/>
  <c r="G1322" i="4"/>
  <c r="G1323" i="4"/>
  <c r="G1324" i="4"/>
  <c r="G1325" i="4"/>
  <c r="G1326" i="4"/>
  <c r="G1327" i="4"/>
  <c r="G1328" i="4"/>
  <c r="G1329" i="4"/>
  <c r="G1330" i="4"/>
  <c r="G1331" i="4"/>
  <c r="G1332" i="4"/>
  <c r="G1333" i="4"/>
  <c r="G1334" i="4"/>
  <c r="G1335" i="4"/>
  <c r="G1336" i="4"/>
  <c r="G1337" i="4"/>
  <c r="G1338" i="4"/>
  <c r="G1339" i="4"/>
  <c r="G1340" i="4"/>
  <c r="G1341" i="4"/>
  <c r="G1342" i="4"/>
  <c r="G1343" i="4"/>
  <c r="G1344" i="4"/>
  <c r="G1345" i="4"/>
  <c r="G1346" i="4"/>
  <c r="G1347" i="4"/>
  <c r="G1348" i="4"/>
  <c r="G1349" i="4"/>
  <c r="G1350" i="4"/>
  <c r="G1351" i="4"/>
  <c r="G1352" i="4"/>
  <c r="G1353" i="4"/>
  <c r="G1354" i="4"/>
  <c r="G1355" i="4"/>
  <c r="G1356" i="4"/>
  <c r="G1357" i="4"/>
  <c r="G1358" i="4"/>
  <c r="G1359" i="4"/>
  <c r="G1360" i="4"/>
  <c r="G1361" i="4"/>
  <c r="G1362" i="4"/>
  <c r="G1363" i="4"/>
  <c r="G1364" i="4"/>
  <c r="G1365" i="4"/>
  <c r="G1366" i="4"/>
  <c r="G1367" i="4"/>
  <c r="G1368" i="4"/>
  <c r="G1369" i="4"/>
  <c r="G1370" i="4"/>
  <c r="G1371" i="4"/>
  <c r="G1372" i="4"/>
  <c r="G1373" i="4"/>
  <c r="G1374" i="4"/>
  <c r="G1375" i="4"/>
  <c r="G1376" i="4"/>
  <c r="G1377" i="4"/>
  <c r="G1378" i="4"/>
  <c r="G1379" i="4"/>
  <c r="G1380" i="4"/>
  <c r="G1381" i="4"/>
  <c r="G1382" i="4"/>
  <c r="G1383" i="4"/>
  <c r="G1384" i="4"/>
  <c r="G1385" i="4"/>
  <c r="G1386" i="4"/>
  <c r="G1387" i="4"/>
  <c r="G1388" i="4"/>
  <c r="G1389" i="4"/>
  <c r="G1390" i="4"/>
  <c r="G1391" i="4"/>
  <c r="G1392" i="4"/>
  <c r="G1393" i="4"/>
  <c r="G1394" i="4"/>
  <c r="G1395" i="4"/>
  <c r="G1396" i="4"/>
  <c r="G1397" i="4"/>
  <c r="G1398" i="4"/>
  <c r="G1399" i="4"/>
  <c r="G1400" i="4"/>
  <c r="G1401" i="4"/>
  <c r="G1302" i="4"/>
  <c r="AX104" i="3"/>
  <c r="BB104" i="3"/>
  <c r="BA104" i="3"/>
  <c r="AV104" i="3"/>
  <c r="AZ104" i="3"/>
  <c r="AU104" i="3"/>
  <c r="AY104" i="3"/>
  <c r="BB103" i="3"/>
  <c r="BA103" i="3"/>
  <c r="AZ103" i="3"/>
  <c r="AY103" i="3"/>
  <c r="BB102" i="3"/>
  <c r="BA102" i="3"/>
  <c r="AZ102" i="3"/>
  <c r="AY102" i="3"/>
  <c r="BB101" i="3"/>
  <c r="BA101" i="3"/>
  <c r="AZ101" i="3"/>
  <c r="AY101" i="3"/>
  <c r="BB100" i="3"/>
  <c r="BA100" i="3"/>
  <c r="AZ100" i="3"/>
  <c r="AY100" i="3"/>
  <c r="BB99" i="3"/>
  <c r="BA99" i="3"/>
  <c r="AZ99" i="3"/>
  <c r="AY99" i="3"/>
  <c r="BB98" i="3"/>
  <c r="BA98" i="3"/>
  <c r="AZ98" i="3"/>
  <c r="AY98" i="3"/>
  <c r="BB97" i="3"/>
  <c r="BA97" i="3"/>
  <c r="AZ97" i="3"/>
  <c r="AY97" i="3"/>
  <c r="BB96" i="3"/>
  <c r="BA96" i="3"/>
  <c r="AZ96" i="3"/>
  <c r="AY96" i="3"/>
  <c r="BB95" i="3"/>
  <c r="BA95" i="3"/>
  <c r="AZ95" i="3"/>
  <c r="AY95" i="3"/>
  <c r="BB94" i="3"/>
  <c r="BA94" i="3"/>
  <c r="AZ94" i="3"/>
  <c r="AY94" i="3"/>
  <c r="BB93" i="3"/>
  <c r="BA93" i="3"/>
  <c r="AZ93" i="3"/>
  <c r="AY93" i="3"/>
  <c r="BB92" i="3"/>
  <c r="BA92" i="3"/>
  <c r="AZ92" i="3"/>
  <c r="AY92" i="3"/>
  <c r="BB91" i="3"/>
  <c r="BA91" i="3"/>
  <c r="AZ91" i="3"/>
  <c r="AY91" i="3"/>
  <c r="BB90" i="3"/>
  <c r="BA90" i="3"/>
  <c r="AZ90" i="3"/>
  <c r="AY90" i="3"/>
  <c r="BB89" i="3"/>
  <c r="BA89" i="3"/>
  <c r="AZ89" i="3"/>
  <c r="AY89" i="3"/>
  <c r="BB88" i="3"/>
  <c r="BA88" i="3"/>
  <c r="AZ88" i="3"/>
  <c r="AY88" i="3"/>
  <c r="BB87" i="3"/>
  <c r="BA87" i="3"/>
  <c r="AZ87" i="3"/>
  <c r="AY87" i="3"/>
  <c r="BB86" i="3"/>
  <c r="BA86" i="3"/>
  <c r="AZ86" i="3"/>
  <c r="AY86" i="3"/>
  <c r="BB85" i="3"/>
  <c r="BA85" i="3"/>
  <c r="AZ85" i="3"/>
  <c r="AY85" i="3"/>
  <c r="BB84" i="3"/>
  <c r="BA84" i="3"/>
  <c r="AZ84" i="3"/>
  <c r="AY84" i="3"/>
  <c r="BB83" i="3"/>
  <c r="BA83" i="3"/>
  <c r="AZ83" i="3"/>
  <c r="AY83" i="3"/>
  <c r="BB82" i="3"/>
  <c r="BA82" i="3"/>
  <c r="AZ82" i="3"/>
  <c r="AY82" i="3"/>
  <c r="BB81" i="3"/>
  <c r="BA81" i="3"/>
  <c r="AZ81" i="3"/>
  <c r="AY81" i="3"/>
  <c r="BB80" i="3"/>
  <c r="BA80" i="3"/>
  <c r="AZ80" i="3"/>
  <c r="AY80" i="3"/>
  <c r="BB79" i="3"/>
  <c r="BA79" i="3"/>
  <c r="AZ79" i="3"/>
  <c r="AY79" i="3"/>
  <c r="BB78" i="3"/>
  <c r="BA78" i="3"/>
  <c r="AZ78" i="3"/>
  <c r="AY78" i="3"/>
  <c r="BB77" i="3"/>
  <c r="BA77" i="3"/>
  <c r="AZ77" i="3"/>
  <c r="AY77" i="3"/>
  <c r="BB76" i="3"/>
  <c r="BA76" i="3"/>
  <c r="AZ76" i="3"/>
  <c r="AY76" i="3"/>
  <c r="BB75" i="3"/>
  <c r="BA75" i="3"/>
  <c r="AZ75" i="3"/>
  <c r="AY75" i="3"/>
  <c r="BB74" i="3"/>
  <c r="BA74" i="3"/>
  <c r="AZ74" i="3"/>
  <c r="AY74" i="3"/>
  <c r="BB73" i="3"/>
  <c r="BA73" i="3"/>
  <c r="AZ73" i="3"/>
  <c r="AY73" i="3"/>
  <c r="BB72" i="3"/>
  <c r="BA72" i="3"/>
  <c r="AZ72" i="3"/>
  <c r="AY72" i="3"/>
  <c r="BB71" i="3"/>
  <c r="BA71" i="3"/>
  <c r="AZ71" i="3"/>
  <c r="AY71" i="3"/>
  <c r="BB70" i="3"/>
  <c r="BA70" i="3"/>
  <c r="AZ70" i="3"/>
  <c r="AY70" i="3"/>
  <c r="BB69" i="3"/>
  <c r="BA69" i="3"/>
  <c r="AZ69" i="3"/>
  <c r="AY69" i="3"/>
  <c r="BB68" i="3"/>
  <c r="BA68" i="3"/>
  <c r="AZ68" i="3"/>
  <c r="AY68" i="3"/>
  <c r="BB67" i="3"/>
  <c r="BA67" i="3"/>
  <c r="AZ67" i="3"/>
  <c r="AY67" i="3"/>
  <c r="BB66" i="3"/>
  <c r="BA66" i="3"/>
  <c r="AZ66" i="3"/>
  <c r="AY66" i="3"/>
  <c r="BB65" i="3"/>
  <c r="BA65" i="3"/>
  <c r="AZ65" i="3"/>
  <c r="AY65" i="3"/>
  <c r="BB64" i="3"/>
  <c r="BA64" i="3"/>
  <c r="AZ64" i="3"/>
  <c r="AY64" i="3"/>
  <c r="BB63" i="3"/>
  <c r="BA63" i="3"/>
  <c r="AZ63" i="3"/>
  <c r="AY63" i="3"/>
  <c r="BB62" i="3"/>
  <c r="BA62" i="3"/>
  <c r="AZ62" i="3"/>
  <c r="AY62" i="3"/>
  <c r="BB61" i="3"/>
  <c r="BA61" i="3"/>
  <c r="AZ61" i="3"/>
  <c r="AY61" i="3"/>
  <c r="BB60" i="3"/>
  <c r="BA60" i="3"/>
  <c r="AZ60" i="3"/>
  <c r="AY60" i="3"/>
  <c r="BB59" i="3"/>
  <c r="BA59" i="3"/>
  <c r="AZ59" i="3"/>
  <c r="AY59" i="3"/>
  <c r="BB58" i="3"/>
  <c r="BA58" i="3"/>
  <c r="AZ58" i="3"/>
  <c r="AY58" i="3"/>
  <c r="BB57" i="3"/>
  <c r="BA57" i="3"/>
  <c r="AZ57" i="3"/>
  <c r="AY57" i="3"/>
  <c r="BB56" i="3"/>
  <c r="BA56" i="3"/>
  <c r="AZ56" i="3"/>
  <c r="AY56" i="3"/>
  <c r="BB55" i="3"/>
  <c r="BA55" i="3"/>
  <c r="AZ55" i="3"/>
  <c r="AY55" i="3"/>
  <c r="BB54" i="3"/>
  <c r="BA54" i="3"/>
  <c r="AZ54" i="3"/>
  <c r="AY54" i="3"/>
  <c r="BB53" i="3"/>
  <c r="BA53" i="3"/>
  <c r="AZ53" i="3"/>
  <c r="AY53" i="3"/>
  <c r="BB52" i="3"/>
  <c r="BA52" i="3"/>
  <c r="AZ52" i="3"/>
  <c r="AY52" i="3"/>
  <c r="BB51" i="3"/>
  <c r="BA51" i="3"/>
  <c r="AZ51" i="3"/>
  <c r="AY51" i="3"/>
  <c r="BB50" i="3"/>
  <c r="BA50" i="3"/>
  <c r="AZ50" i="3"/>
  <c r="AY50" i="3"/>
  <c r="BB49" i="3"/>
  <c r="BA49" i="3"/>
  <c r="AZ49" i="3"/>
  <c r="AY49" i="3"/>
  <c r="BB48" i="3"/>
  <c r="BA48" i="3"/>
  <c r="AZ48" i="3"/>
  <c r="AY48" i="3"/>
  <c r="BB47" i="3"/>
  <c r="BA47" i="3"/>
  <c r="AZ47" i="3"/>
  <c r="AY47" i="3"/>
  <c r="BB46" i="3"/>
  <c r="BA46" i="3"/>
  <c r="AZ46" i="3"/>
  <c r="AY46" i="3"/>
  <c r="BB45" i="3"/>
  <c r="BA45" i="3"/>
  <c r="AZ45" i="3"/>
  <c r="AY45" i="3"/>
  <c r="BB44" i="3"/>
  <c r="BA44" i="3"/>
  <c r="AZ44" i="3"/>
  <c r="AY44" i="3"/>
  <c r="BB43" i="3"/>
  <c r="BA43" i="3"/>
  <c r="AZ43" i="3"/>
  <c r="AY43" i="3"/>
  <c r="BB42" i="3"/>
  <c r="BA42" i="3"/>
  <c r="AZ42" i="3"/>
  <c r="AY42" i="3"/>
  <c r="BB41" i="3"/>
  <c r="BA41" i="3"/>
  <c r="AZ41" i="3"/>
  <c r="AY41" i="3"/>
  <c r="BB40" i="3"/>
  <c r="BA40" i="3"/>
  <c r="AZ40" i="3"/>
  <c r="AY40" i="3"/>
  <c r="BB39" i="3"/>
  <c r="BA39" i="3"/>
  <c r="AZ39" i="3"/>
  <c r="AY39" i="3"/>
  <c r="BB38" i="3"/>
  <c r="BA38" i="3"/>
  <c r="AZ38" i="3"/>
  <c r="AY38" i="3"/>
  <c r="BB37" i="3"/>
  <c r="BA37" i="3"/>
  <c r="AZ37" i="3"/>
  <c r="AY37" i="3"/>
  <c r="BB36" i="3"/>
  <c r="BA36" i="3"/>
  <c r="AZ36" i="3"/>
  <c r="AY36" i="3"/>
  <c r="BB35" i="3"/>
  <c r="BA35" i="3"/>
  <c r="AZ35" i="3"/>
  <c r="AY35" i="3"/>
  <c r="BB34" i="3"/>
  <c r="BA34" i="3"/>
  <c r="AZ34" i="3"/>
  <c r="AY34" i="3"/>
  <c r="BB33" i="3"/>
  <c r="BA33" i="3"/>
  <c r="AZ33" i="3"/>
  <c r="AY33" i="3"/>
  <c r="BB32" i="3"/>
  <c r="BA32" i="3"/>
  <c r="AZ32" i="3"/>
  <c r="AY32" i="3"/>
  <c r="BB31" i="3"/>
  <c r="BA31" i="3"/>
  <c r="AZ31" i="3"/>
  <c r="AY31" i="3"/>
  <c r="BB30" i="3"/>
  <c r="BA30" i="3"/>
  <c r="AZ30" i="3"/>
  <c r="AY30" i="3"/>
  <c r="BB29" i="3"/>
  <c r="BA29" i="3"/>
  <c r="AZ29" i="3"/>
  <c r="AY29" i="3"/>
  <c r="BB28" i="3"/>
  <c r="BA28" i="3"/>
  <c r="AZ28" i="3"/>
  <c r="AY28" i="3"/>
  <c r="BB27" i="3"/>
  <c r="BA27" i="3"/>
  <c r="AZ27" i="3"/>
  <c r="AY27" i="3"/>
  <c r="BB26" i="3"/>
  <c r="BA26" i="3"/>
  <c r="AZ26" i="3"/>
  <c r="AY26" i="3"/>
  <c r="BB25" i="3"/>
  <c r="BA25" i="3"/>
  <c r="AZ25" i="3"/>
  <c r="AY25" i="3"/>
  <c r="BB24" i="3"/>
  <c r="BA24" i="3"/>
  <c r="AZ24" i="3"/>
  <c r="AY24" i="3"/>
  <c r="BB23" i="3"/>
  <c r="BA23" i="3"/>
  <c r="AZ23" i="3"/>
  <c r="AY23" i="3"/>
  <c r="BB22" i="3"/>
  <c r="BA22" i="3"/>
  <c r="AZ22" i="3"/>
  <c r="AY22" i="3"/>
  <c r="BB21" i="3"/>
  <c r="BA21" i="3"/>
  <c r="AZ21" i="3"/>
  <c r="AY21" i="3"/>
  <c r="BB20" i="3"/>
  <c r="BA20" i="3"/>
  <c r="AZ20" i="3"/>
  <c r="AY20" i="3"/>
  <c r="BB19" i="3"/>
  <c r="BA19" i="3"/>
  <c r="AZ19" i="3"/>
  <c r="AY19" i="3"/>
  <c r="BB18" i="3"/>
  <c r="BA18" i="3"/>
  <c r="AZ18" i="3"/>
  <c r="AY18" i="3"/>
  <c r="BB17" i="3"/>
  <c r="BA17" i="3"/>
  <c r="AZ17" i="3"/>
  <c r="AY17" i="3"/>
  <c r="BB16" i="3"/>
  <c r="BA16" i="3"/>
  <c r="AZ16" i="3"/>
  <c r="AY16" i="3"/>
  <c r="BB15" i="3"/>
  <c r="BA15" i="3"/>
  <c r="AZ15" i="3"/>
  <c r="AY15" i="3"/>
  <c r="BB14" i="3"/>
  <c r="BA14" i="3"/>
  <c r="AZ14" i="3"/>
  <c r="AY14" i="3"/>
  <c r="BB13" i="3"/>
  <c r="BA13" i="3"/>
  <c r="AZ13" i="3"/>
  <c r="AY13" i="3"/>
  <c r="BB12" i="3"/>
  <c r="BA12" i="3"/>
  <c r="AZ12" i="3"/>
  <c r="AY12" i="3"/>
  <c r="BB11" i="3"/>
  <c r="BA11" i="3"/>
  <c r="AZ11" i="3"/>
  <c r="AY11" i="3"/>
  <c r="BB10" i="3"/>
  <c r="BA10" i="3"/>
  <c r="AZ10" i="3"/>
  <c r="AY10" i="3"/>
  <c r="BB9" i="3"/>
  <c r="BA9" i="3"/>
  <c r="AZ9" i="3"/>
  <c r="AY9" i="3"/>
  <c r="BB8" i="3"/>
  <c r="BA8" i="3"/>
  <c r="AZ8" i="3"/>
  <c r="AY8" i="3"/>
  <c r="BB7" i="3"/>
  <c r="BA7" i="3"/>
  <c r="AZ7" i="3"/>
  <c r="AY7" i="3"/>
  <c r="BB6" i="3"/>
  <c r="BA6" i="3"/>
  <c r="AZ6" i="3"/>
  <c r="AY6" i="3"/>
  <c r="BB5" i="3"/>
  <c r="BA5" i="3"/>
  <c r="AZ5" i="3"/>
  <c r="AY5" i="3"/>
  <c r="BB4" i="3"/>
  <c r="BA4" i="3"/>
  <c r="AZ4" i="3"/>
  <c r="AY4" i="3"/>
  <c r="G17" i="4"/>
  <c r="J17" i="4"/>
  <c r="L3" i="4"/>
  <c r="L4" i="4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66" i="4"/>
  <c r="L67" i="4"/>
  <c r="L68" i="4"/>
  <c r="L69" i="4"/>
  <c r="L70" i="4"/>
  <c r="L71" i="4"/>
  <c r="L72" i="4"/>
  <c r="L73" i="4"/>
  <c r="L74" i="4"/>
  <c r="L75" i="4"/>
  <c r="L76" i="4"/>
  <c r="L77" i="4"/>
  <c r="L78" i="4"/>
  <c r="L79" i="4"/>
  <c r="L80" i="4"/>
  <c r="L81" i="4"/>
  <c r="L82" i="4"/>
  <c r="L83" i="4"/>
  <c r="L84" i="4"/>
  <c r="L85" i="4"/>
  <c r="L86" i="4"/>
  <c r="L87" i="4"/>
  <c r="L88" i="4"/>
  <c r="L89" i="4"/>
  <c r="L90" i="4"/>
  <c r="L91" i="4"/>
  <c r="L92" i="4"/>
  <c r="L93" i="4"/>
  <c r="L94" i="4"/>
  <c r="L95" i="4"/>
  <c r="L96" i="4"/>
  <c r="L97" i="4"/>
  <c r="L98" i="4"/>
  <c r="L99" i="4"/>
  <c r="L100" i="4"/>
  <c r="L101" i="4"/>
  <c r="L102" i="4"/>
  <c r="L103" i="4"/>
  <c r="L104" i="4"/>
  <c r="L105" i="4"/>
  <c r="L106" i="4"/>
  <c r="L107" i="4"/>
  <c r="L108" i="4"/>
  <c r="L109" i="4"/>
  <c r="L110" i="4"/>
  <c r="L111" i="4"/>
  <c r="L112" i="4"/>
  <c r="L113" i="4"/>
  <c r="L114" i="4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30" i="4"/>
  <c r="L131" i="4"/>
  <c r="L132" i="4"/>
  <c r="L133" i="4"/>
  <c r="L134" i="4"/>
  <c r="L135" i="4"/>
  <c r="L136" i="4"/>
  <c r="L137" i="4"/>
  <c r="L138" i="4"/>
  <c r="L139" i="4"/>
  <c r="L140" i="4"/>
  <c r="L141" i="4"/>
  <c r="L142" i="4"/>
  <c r="L143" i="4"/>
  <c r="L144" i="4"/>
  <c r="L145" i="4"/>
  <c r="L146" i="4"/>
  <c r="L147" i="4"/>
  <c r="L148" i="4"/>
  <c r="L149" i="4"/>
  <c r="L150" i="4"/>
  <c r="L151" i="4"/>
  <c r="L152" i="4"/>
  <c r="L153" i="4"/>
  <c r="L154" i="4"/>
  <c r="L155" i="4"/>
  <c r="L156" i="4"/>
  <c r="L157" i="4"/>
  <c r="L158" i="4"/>
  <c r="L159" i="4"/>
  <c r="L160" i="4"/>
  <c r="L161" i="4"/>
  <c r="L162" i="4"/>
  <c r="L163" i="4"/>
  <c r="L164" i="4"/>
  <c r="L165" i="4"/>
  <c r="L166" i="4"/>
  <c r="L167" i="4"/>
  <c r="L168" i="4"/>
  <c r="L169" i="4"/>
  <c r="L170" i="4"/>
  <c r="L171" i="4"/>
  <c r="L172" i="4"/>
  <c r="L173" i="4"/>
  <c r="L174" i="4"/>
  <c r="L175" i="4"/>
  <c r="L176" i="4"/>
  <c r="L177" i="4"/>
  <c r="L178" i="4"/>
  <c r="L179" i="4"/>
  <c r="L180" i="4"/>
  <c r="L181" i="4"/>
  <c r="L182" i="4"/>
  <c r="L183" i="4"/>
  <c r="L184" i="4"/>
  <c r="L185" i="4"/>
  <c r="L186" i="4"/>
  <c r="L187" i="4"/>
  <c r="L188" i="4"/>
  <c r="L189" i="4"/>
  <c r="L190" i="4"/>
  <c r="L191" i="4"/>
  <c r="L192" i="4"/>
  <c r="L193" i="4"/>
  <c r="L194" i="4"/>
  <c r="L195" i="4"/>
  <c r="L196" i="4"/>
  <c r="L197" i="4"/>
  <c r="L198" i="4"/>
  <c r="L199" i="4"/>
  <c r="L200" i="4"/>
  <c r="L201" i="4"/>
  <c r="L202" i="4"/>
  <c r="L203" i="4"/>
  <c r="L204" i="4"/>
  <c r="L205" i="4"/>
  <c r="L206" i="4"/>
  <c r="L207" i="4"/>
  <c r="L208" i="4"/>
  <c r="L209" i="4"/>
  <c r="L210" i="4"/>
  <c r="L211" i="4"/>
  <c r="L212" i="4"/>
  <c r="L213" i="4"/>
  <c r="L214" i="4"/>
  <c r="L215" i="4"/>
  <c r="L216" i="4"/>
  <c r="L217" i="4"/>
  <c r="L218" i="4"/>
  <c r="L219" i="4"/>
  <c r="L220" i="4"/>
  <c r="L221" i="4"/>
  <c r="L222" i="4"/>
  <c r="L223" i="4"/>
  <c r="L224" i="4"/>
  <c r="L225" i="4"/>
  <c r="L226" i="4"/>
  <c r="L227" i="4"/>
  <c r="L228" i="4"/>
  <c r="L229" i="4"/>
  <c r="L230" i="4"/>
  <c r="L231" i="4"/>
  <c r="L232" i="4"/>
  <c r="L233" i="4"/>
  <c r="L234" i="4"/>
  <c r="L235" i="4"/>
  <c r="L236" i="4"/>
  <c r="L237" i="4"/>
  <c r="L238" i="4"/>
  <c r="L239" i="4"/>
  <c r="L240" i="4"/>
  <c r="L241" i="4"/>
  <c r="L242" i="4"/>
  <c r="L243" i="4"/>
  <c r="L244" i="4"/>
  <c r="L245" i="4"/>
  <c r="L246" i="4"/>
  <c r="L247" i="4"/>
  <c r="L248" i="4"/>
  <c r="L249" i="4"/>
  <c r="L250" i="4"/>
  <c r="L251" i="4"/>
  <c r="L252" i="4"/>
  <c r="L253" i="4"/>
  <c r="L254" i="4"/>
  <c r="L255" i="4"/>
  <c r="L256" i="4"/>
  <c r="L257" i="4"/>
  <c r="L258" i="4"/>
  <c r="L259" i="4"/>
  <c r="L260" i="4"/>
  <c r="L261" i="4"/>
  <c r="L262" i="4"/>
  <c r="L263" i="4"/>
  <c r="L264" i="4"/>
  <c r="L265" i="4"/>
  <c r="L266" i="4"/>
  <c r="L267" i="4"/>
  <c r="L268" i="4"/>
  <c r="L269" i="4"/>
  <c r="L270" i="4"/>
  <c r="L271" i="4"/>
  <c r="L272" i="4"/>
  <c r="L273" i="4"/>
  <c r="L274" i="4"/>
  <c r="L275" i="4"/>
  <c r="L276" i="4"/>
  <c r="L277" i="4"/>
  <c r="L278" i="4"/>
  <c r="L279" i="4"/>
  <c r="L280" i="4"/>
  <c r="L281" i="4"/>
  <c r="L282" i="4"/>
  <c r="L283" i="4"/>
  <c r="L284" i="4"/>
  <c r="L285" i="4"/>
  <c r="L286" i="4"/>
  <c r="L287" i="4"/>
  <c r="L288" i="4"/>
  <c r="L289" i="4"/>
  <c r="L290" i="4"/>
  <c r="L291" i="4"/>
  <c r="L292" i="4"/>
  <c r="L293" i="4"/>
  <c r="L294" i="4"/>
  <c r="L295" i="4"/>
  <c r="L296" i="4"/>
  <c r="L297" i="4"/>
  <c r="L298" i="4"/>
  <c r="L299" i="4"/>
  <c r="L300" i="4"/>
  <c r="L301" i="4"/>
  <c r="L302" i="4"/>
  <c r="L303" i="4"/>
  <c r="L304" i="4"/>
  <c r="L305" i="4"/>
  <c r="L306" i="4"/>
  <c r="L307" i="4"/>
  <c r="L308" i="4"/>
  <c r="L309" i="4"/>
  <c r="L310" i="4"/>
  <c r="L311" i="4"/>
  <c r="L312" i="4"/>
  <c r="L313" i="4"/>
  <c r="L314" i="4"/>
  <c r="L315" i="4"/>
  <c r="L316" i="4"/>
  <c r="L317" i="4"/>
  <c r="L318" i="4"/>
  <c r="L319" i="4"/>
  <c r="L320" i="4"/>
  <c r="L321" i="4"/>
  <c r="L322" i="4"/>
  <c r="L323" i="4"/>
  <c r="L324" i="4"/>
  <c r="L325" i="4"/>
  <c r="L326" i="4"/>
  <c r="L327" i="4"/>
  <c r="L328" i="4"/>
  <c r="L329" i="4"/>
  <c r="L330" i="4"/>
  <c r="L331" i="4"/>
  <c r="L332" i="4"/>
  <c r="L333" i="4"/>
  <c r="L334" i="4"/>
  <c r="L335" i="4"/>
  <c r="L336" i="4"/>
  <c r="L337" i="4"/>
  <c r="L338" i="4"/>
  <c r="L339" i="4"/>
  <c r="L340" i="4"/>
  <c r="L341" i="4"/>
  <c r="L342" i="4"/>
  <c r="L343" i="4"/>
  <c r="L344" i="4"/>
  <c r="L345" i="4"/>
  <c r="L346" i="4"/>
  <c r="L347" i="4"/>
  <c r="L348" i="4"/>
  <c r="L349" i="4"/>
  <c r="L350" i="4"/>
  <c r="L351" i="4"/>
  <c r="L352" i="4"/>
  <c r="L353" i="4"/>
  <c r="L354" i="4"/>
  <c r="L355" i="4"/>
  <c r="L356" i="4"/>
  <c r="L357" i="4"/>
  <c r="L358" i="4"/>
  <c r="L359" i="4"/>
  <c r="L360" i="4"/>
  <c r="L361" i="4"/>
  <c r="L362" i="4"/>
  <c r="L363" i="4"/>
  <c r="L364" i="4"/>
  <c r="L365" i="4"/>
  <c r="L366" i="4"/>
  <c r="L367" i="4"/>
  <c r="L368" i="4"/>
  <c r="L369" i="4"/>
  <c r="L370" i="4"/>
  <c r="L371" i="4"/>
  <c r="L372" i="4"/>
  <c r="L373" i="4"/>
  <c r="L374" i="4"/>
  <c r="L375" i="4"/>
  <c r="L376" i="4"/>
  <c r="L377" i="4"/>
  <c r="L378" i="4"/>
  <c r="L379" i="4"/>
  <c r="L380" i="4"/>
  <c r="L381" i="4"/>
  <c r="L382" i="4"/>
  <c r="L383" i="4"/>
  <c r="L384" i="4"/>
  <c r="L385" i="4"/>
  <c r="L386" i="4"/>
  <c r="L387" i="4"/>
  <c r="L388" i="4"/>
  <c r="L389" i="4"/>
  <c r="L390" i="4"/>
  <c r="L391" i="4"/>
  <c r="L392" i="4"/>
  <c r="L393" i="4"/>
  <c r="L394" i="4"/>
  <c r="L395" i="4"/>
  <c r="L396" i="4"/>
  <c r="L397" i="4"/>
  <c r="L398" i="4"/>
  <c r="L399" i="4"/>
  <c r="L400" i="4"/>
  <c r="L401" i="4"/>
  <c r="L402" i="4"/>
  <c r="L403" i="4"/>
  <c r="L404" i="4"/>
  <c r="L405" i="4"/>
  <c r="L406" i="4"/>
  <c r="L407" i="4"/>
  <c r="L408" i="4"/>
  <c r="L409" i="4"/>
  <c r="L410" i="4"/>
  <c r="L411" i="4"/>
  <c r="L412" i="4"/>
  <c r="L413" i="4"/>
  <c r="L414" i="4"/>
  <c r="L415" i="4"/>
  <c r="L416" i="4"/>
  <c r="L417" i="4"/>
  <c r="L418" i="4"/>
  <c r="L419" i="4"/>
  <c r="L420" i="4"/>
  <c r="L421" i="4"/>
  <c r="L422" i="4"/>
  <c r="L423" i="4"/>
  <c r="L424" i="4"/>
  <c r="L425" i="4"/>
  <c r="L426" i="4"/>
  <c r="L427" i="4"/>
  <c r="L428" i="4"/>
  <c r="L429" i="4"/>
  <c r="L430" i="4"/>
  <c r="L431" i="4"/>
  <c r="L432" i="4"/>
  <c r="L433" i="4"/>
  <c r="L434" i="4"/>
  <c r="L435" i="4"/>
  <c r="L436" i="4"/>
  <c r="L437" i="4"/>
  <c r="L438" i="4"/>
  <c r="L439" i="4"/>
  <c r="L440" i="4"/>
  <c r="L441" i="4"/>
  <c r="L442" i="4"/>
  <c r="L443" i="4"/>
  <c r="L444" i="4"/>
  <c r="L445" i="4"/>
  <c r="L446" i="4"/>
  <c r="L447" i="4"/>
  <c r="L448" i="4"/>
  <c r="L449" i="4"/>
  <c r="L450" i="4"/>
  <c r="L451" i="4"/>
  <c r="L452" i="4"/>
  <c r="L453" i="4"/>
  <c r="L454" i="4"/>
  <c r="L455" i="4"/>
  <c r="L456" i="4"/>
  <c r="L457" i="4"/>
  <c r="L458" i="4"/>
  <c r="L459" i="4"/>
  <c r="L460" i="4"/>
  <c r="L461" i="4"/>
  <c r="L462" i="4"/>
  <c r="L463" i="4"/>
  <c r="L464" i="4"/>
  <c r="L465" i="4"/>
  <c r="L466" i="4"/>
  <c r="L467" i="4"/>
  <c r="L468" i="4"/>
  <c r="L469" i="4"/>
  <c r="L470" i="4"/>
  <c r="L471" i="4"/>
  <c r="L472" i="4"/>
  <c r="L473" i="4"/>
  <c r="L474" i="4"/>
  <c r="L475" i="4"/>
  <c r="L476" i="4"/>
  <c r="L477" i="4"/>
  <c r="L478" i="4"/>
  <c r="L479" i="4"/>
  <c r="L480" i="4"/>
  <c r="L481" i="4"/>
  <c r="L482" i="4"/>
  <c r="L483" i="4"/>
  <c r="L484" i="4"/>
  <c r="L485" i="4"/>
  <c r="L486" i="4"/>
  <c r="L487" i="4"/>
  <c r="L488" i="4"/>
  <c r="L489" i="4"/>
  <c r="L490" i="4"/>
  <c r="L491" i="4"/>
  <c r="L492" i="4"/>
  <c r="L493" i="4"/>
  <c r="L494" i="4"/>
  <c r="L495" i="4"/>
  <c r="L496" i="4"/>
  <c r="L497" i="4"/>
  <c r="L498" i="4"/>
  <c r="L499" i="4"/>
  <c r="L500" i="4"/>
  <c r="L501" i="4"/>
  <c r="L502" i="4"/>
  <c r="L503" i="4"/>
  <c r="L504" i="4"/>
  <c r="L505" i="4"/>
  <c r="L506" i="4"/>
  <c r="L507" i="4"/>
  <c r="L508" i="4"/>
  <c r="L509" i="4"/>
  <c r="L510" i="4"/>
  <c r="L511" i="4"/>
  <c r="L512" i="4"/>
  <c r="L513" i="4"/>
  <c r="L514" i="4"/>
  <c r="L515" i="4"/>
  <c r="L516" i="4"/>
  <c r="L517" i="4"/>
  <c r="L518" i="4"/>
  <c r="L519" i="4"/>
  <c r="L520" i="4"/>
  <c r="L521" i="4"/>
  <c r="L522" i="4"/>
  <c r="L523" i="4"/>
  <c r="L524" i="4"/>
  <c r="L525" i="4"/>
  <c r="L526" i="4"/>
  <c r="L527" i="4"/>
  <c r="L528" i="4"/>
  <c r="L529" i="4"/>
  <c r="L530" i="4"/>
  <c r="L531" i="4"/>
  <c r="L532" i="4"/>
  <c r="L533" i="4"/>
  <c r="L534" i="4"/>
  <c r="L535" i="4"/>
  <c r="L536" i="4"/>
  <c r="L537" i="4"/>
  <c r="L538" i="4"/>
  <c r="L539" i="4"/>
  <c r="L540" i="4"/>
  <c r="L541" i="4"/>
  <c r="L542" i="4"/>
  <c r="L543" i="4"/>
  <c r="L544" i="4"/>
  <c r="L545" i="4"/>
  <c r="L546" i="4"/>
  <c r="L547" i="4"/>
  <c r="L548" i="4"/>
  <c r="L549" i="4"/>
  <c r="L550" i="4"/>
  <c r="L551" i="4"/>
  <c r="L552" i="4"/>
  <c r="L553" i="4"/>
  <c r="L554" i="4"/>
  <c r="L555" i="4"/>
  <c r="L556" i="4"/>
  <c r="L557" i="4"/>
  <c r="L558" i="4"/>
  <c r="L559" i="4"/>
  <c r="L560" i="4"/>
  <c r="L561" i="4"/>
  <c r="L562" i="4"/>
  <c r="L563" i="4"/>
  <c r="L564" i="4"/>
  <c r="L565" i="4"/>
  <c r="L566" i="4"/>
  <c r="L567" i="4"/>
  <c r="L568" i="4"/>
  <c r="L569" i="4"/>
  <c r="L570" i="4"/>
  <c r="L571" i="4"/>
  <c r="L572" i="4"/>
  <c r="L573" i="4"/>
  <c r="L574" i="4"/>
  <c r="L575" i="4"/>
  <c r="L576" i="4"/>
  <c r="L577" i="4"/>
  <c r="L578" i="4"/>
  <c r="L579" i="4"/>
  <c r="L580" i="4"/>
  <c r="L581" i="4"/>
  <c r="L582" i="4"/>
  <c r="L583" i="4"/>
  <c r="L584" i="4"/>
  <c r="L585" i="4"/>
  <c r="L586" i="4"/>
  <c r="L587" i="4"/>
  <c r="L588" i="4"/>
  <c r="L589" i="4"/>
  <c r="L590" i="4"/>
  <c r="L591" i="4"/>
  <c r="L592" i="4"/>
  <c r="L593" i="4"/>
  <c r="L594" i="4"/>
  <c r="L595" i="4"/>
  <c r="L596" i="4"/>
  <c r="L597" i="4"/>
  <c r="L598" i="4"/>
  <c r="L599" i="4"/>
  <c r="L600" i="4"/>
  <c r="L601" i="4"/>
  <c r="L602" i="4"/>
  <c r="L603" i="4"/>
  <c r="L604" i="4"/>
  <c r="L605" i="4"/>
  <c r="L606" i="4"/>
  <c r="L607" i="4"/>
  <c r="L608" i="4"/>
  <c r="L609" i="4"/>
  <c r="L610" i="4"/>
  <c r="L611" i="4"/>
  <c r="L612" i="4"/>
  <c r="L613" i="4"/>
  <c r="L614" i="4"/>
  <c r="L615" i="4"/>
  <c r="L616" i="4"/>
  <c r="L617" i="4"/>
  <c r="L618" i="4"/>
  <c r="L619" i="4"/>
  <c r="L620" i="4"/>
  <c r="L621" i="4"/>
  <c r="L622" i="4"/>
  <c r="L623" i="4"/>
  <c r="L624" i="4"/>
  <c r="L625" i="4"/>
  <c r="L626" i="4"/>
  <c r="L627" i="4"/>
  <c r="L628" i="4"/>
  <c r="L629" i="4"/>
  <c r="L630" i="4"/>
  <c r="L631" i="4"/>
  <c r="L632" i="4"/>
  <c r="L633" i="4"/>
  <c r="L634" i="4"/>
  <c r="L635" i="4"/>
  <c r="L636" i="4"/>
  <c r="L637" i="4"/>
  <c r="L638" i="4"/>
  <c r="L639" i="4"/>
  <c r="L640" i="4"/>
  <c r="L641" i="4"/>
  <c r="L642" i="4"/>
  <c r="L643" i="4"/>
  <c r="L644" i="4"/>
  <c r="L645" i="4"/>
  <c r="L646" i="4"/>
  <c r="L647" i="4"/>
  <c r="L648" i="4"/>
  <c r="L649" i="4"/>
  <c r="L650" i="4"/>
  <c r="L651" i="4"/>
  <c r="L652" i="4"/>
  <c r="L653" i="4"/>
  <c r="L654" i="4"/>
  <c r="L655" i="4"/>
  <c r="L656" i="4"/>
  <c r="L657" i="4"/>
  <c r="L658" i="4"/>
  <c r="L659" i="4"/>
  <c r="L660" i="4"/>
  <c r="L661" i="4"/>
  <c r="L662" i="4"/>
  <c r="L663" i="4"/>
  <c r="L664" i="4"/>
  <c r="L665" i="4"/>
  <c r="L666" i="4"/>
  <c r="L667" i="4"/>
  <c r="L668" i="4"/>
  <c r="L669" i="4"/>
  <c r="L670" i="4"/>
  <c r="L671" i="4"/>
  <c r="L672" i="4"/>
  <c r="L673" i="4"/>
  <c r="L674" i="4"/>
  <c r="L675" i="4"/>
  <c r="L676" i="4"/>
  <c r="L677" i="4"/>
  <c r="L678" i="4"/>
  <c r="L679" i="4"/>
  <c r="L680" i="4"/>
  <c r="L681" i="4"/>
  <c r="L682" i="4"/>
  <c r="L683" i="4"/>
  <c r="L684" i="4"/>
  <c r="L685" i="4"/>
  <c r="L686" i="4"/>
  <c r="L687" i="4"/>
  <c r="L688" i="4"/>
  <c r="L689" i="4"/>
  <c r="L690" i="4"/>
  <c r="L691" i="4"/>
  <c r="L692" i="4"/>
  <c r="L693" i="4"/>
  <c r="L694" i="4"/>
  <c r="L695" i="4"/>
  <c r="L696" i="4"/>
  <c r="L697" i="4"/>
  <c r="L698" i="4"/>
  <c r="L699" i="4"/>
  <c r="L700" i="4"/>
  <c r="L701" i="4"/>
  <c r="L702" i="4"/>
  <c r="L703" i="4"/>
  <c r="L704" i="4"/>
  <c r="L705" i="4"/>
  <c r="L706" i="4"/>
  <c r="L707" i="4"/>
  <c r="L708" i="4"/>
  <c r="L709" i="4"/>
  <c r="L710" i="4"/>
  <c r="L711" i="4"/>
  <c r="L712" i="4"/>
  <c r="L713" i="4"/>
  <c r="L714" i="4"/>
  <c r="L715" i="4"/>
  <c r="L716" i="4"/>
  <c r="L717" i="4"/>
  <c r="L718" i="4"/>
  <c r="L719" i="4"/>
  <c r="L720" i="4"/>
  <c r="L721" i="4"/>
  <c r="L722" i="4"/>
  <c r="L723" i="4"/>
  <c r="L724" i="4"/>
  <c r="L725" i="4"/>
  <c r="L726" i="4"/>
  <c r="L727" i="4"/>
  <c r="L728" i="4"/>
  <c r="L729" i="4"/>
  <c r="L730" i="4"/>
  <c r="L731" i="4"/>
  <c r="L732" i="4"/>
  <c r="L733" i="4"/>
  <c r="L734" i="4"/>
  <c r="L735" i="4"/>
  <c r="L736" i="4"/>
  <c r="L737" i="4"/>
  <c r="L738" i="4"/>
  <c r="L739" i="4"/>
  <c r="L740" i="4"/>
  <c r="L741" i="4"/>
  <c r="L742" i="4"/>
  <c r="L743" i="4"/>
  <c r="L744" i="4"/>
  <c r="L745" i="4"/>
  <c r="L746" i="4"/>
  <c r="L747" i="4"/>
  <c r="L748" i="4"/>
  <c r="L749" i="4"/>
  <c r="L750" i="4"/>
  <c r="L751" i="4"/>
  <c r="L752" i="4"/>
  <c r="L753" i="4"/>
  <c r="L754" i="4"/>
  <c r="L755" i="4"/>
  <c r="L756" i="4"/>
  <c r="L757" i="4"/>
  <c r="L758" i="4"/>
  <c r="L759" i="4"/>
  <c r="L760" i="4"/>
  <c r="L761" i="4"/>
  <c r="L762" i="4"/>
  <c r="L763" i="4"/>
  <c r="L764" i="4"/>
  <c r="L765" i="4"/>
  <c r="L766" i="4"/>
  <c r="L767" i="4"/>
  <c r="L768" i="4"/>
  <c r="L769" i="4"/>
  <c r="L770" i="4"/>
  <c r="L771" i="4"/>
  <c r="L772" i="4"/>
  <c r="L773" i="4"/>
  <c r="L774" i="4"/>
  <c r="L775" i="4"/>
  <c r="L776" i="4"/>
  <c r="L777" i="4"/>
  <c r="L778" i="4"/>
  <c r="L779" i="4"/>
  <c r="L780" i="4"/>
  <c r="L781" i="4"/>
  <c r="L782" i="4"/>
  <c r="L783" i="4"/>
  <c r="L784" i="4"/>
  <c r="L785" i="4"/>
  <c r="L786" i="4"/>
  <c r="L787" i="4"/>
  <c r="L788" i="4"/>
  <c r="L789" i="4"/>
  <c r="L790" i="4"/>
  <c r="L791" i="4"/>
  <c r="L792" i="4"/>
  <c r="L793" i="4"/>
  <c r="L794" i="4"/>
  <c r="L795" i="4"/>
  <c r="L796" i="4"/>
  <c r="L797" i="4"/>
  <c r="L798" i="4"/>
  <c r="L799" i="4"/>
  <c r="L800" i="4"/>
  <c r="L801" i="4"/>
  <c r="L802" i="4"/>
  <c r="L803" i="4"/>
  <c r="L804" i="4"/>
  <c r="L805" i="4"/>
  <c r="L806" i="4"/>
  <c r="L807" i="4"/>
  <c r="L808" i="4"/>
  <c r="L809" i="4"/>
  <c r="L810" i="4"/>
  <c r="L811" i="4"/>
  <c r="L812" i="4"/>
  <c r="L813" i="4"/>
  <c r="L814" i="4"/>
  <c r="L815" i="4"/>
  <c r="L816" i="4"/>
  <c r="L817" i="4"/>
  <c r="L818" i="4"/>
  <c r="L819" i="4"/>
  <c r="L820" i="4"/>
  <c r="L821" i="4"/>
  <c r="L822" i="4"/>
  <c r="L823" i="4"/>
  <c r="L824" i="4"/>
  <c r="L825" i="4"/>
  <c r="L826" i="4"/>
  <c r="L827" i="4"/>
  <c r="L828" i="4"/>
  <c r="L829" i="4"/>
  <c r="L830" i="4"/>
  <c r="L831" i="4"/>
  <c r="L832" i="4"/>
  <c r="L833" i="4"/>
  <c r="L834" i="4"/>
  <c r="L835" i="4"/>
  <c r="L836" i="4"/>
  <c r="L837" i="4"/>
  <c r="L838" i="4"/>
  <c r="L839" i="4"/>
  <c r="L840" i="4"/>
  <c r="L841" i="4"/>
  <c r="L842" i="4"/>
  <c r="L843" i="4"/>
  <c r="L844" i="4"/>
  <c r="L845" i="4"/>
  <c r="L846" i="4"/>
  <c r="L847" i="4"/>
  <c r="L848" i="4"/>
  <c r="L849" i="4"/>
  <c r="L850" i="4"/>
  <c r="L851" i="4"/>
  <c r="L852" i="4"/>
  <c r="L853" i="4"/>
  <c r="L854" i="4"/>
  <c r="L855" i="4"/>
  <c r="L856" i="4"/>
  <c r="L857" i="4"/>
  <c r="L858" i="4"/>
  <c r="L859" i="4"/>
  <c r="L860" i="4"/>
  <c r="L861" i="4"/>
  <c r="L862" i="4"/>
  <c r="L863" i="4"/>
  <c r="L864" i="4"/>
  <c r="L865" i="4"/>
  <c r="L866" i="4"/>
  <c r="L867" i="4"/>
  <c r="L868" i="4"/>
  <c r="L869" i="4"/>
  <c r="L870" i="4"/>
  <c r="L871" i="4"/>
  <c r="L872" i="4"/>
  <c r="L873" i="4"/>
  <c r="L874" i="4"/>
  <c r="L875" i="4"/>
  <c r="L876" i="4"/>
  <c r="L877" i="4"/>
  <c r="L878" i="4"/>
  <c r="L879" i="4"/>
  <c r="L880" i="4"/>
  <c r="L881" i="4"/>
  <c r="L882" i="4"/>
  <c r="L883" i="4"/>
  <c r="L884" i="4"/>
  <c r="L885" i="4"/>
  <c r="L886" i="4"/>
  <c r="L887" i="4"/>
  <c r="L888" i="4"/>
  <c r="L889" i="4"/>
  <c r="L890" i="4"/>
  <c r="L891" i="4"/>
  <c r="L892" i="4"/>
  <c r="L893" i="4"/>
  <c r="L894" i="4"/>
  <c r="L895" i="4"/>
  <c r="L896" i="4"/>
  <c r="L897" i="4"/>
  <c r="L898" i="4"/>
  <c r="L899" i="4"/>
  <c r="L900" i="4"/>
  <c r="L901" i="4"/>
  <c r="L902" i="4"/>
  <c r="L903" i="4"/>
  <c r="L904" i="4"/>
  <c r="L905" i="4"/>
  <c r="L906" i="4"/>
  <c r="L907" i="4"/>
  <c r="L908" i="4"/>
  <c r="L909" i="4"/>
  <c r="L910" i="4"/>
  <c r="L911" i="4"/>
  <c r="L912" i="4"/>
  <c r="L913" i="4"/>
  <c r="L914" i="4"/>
  <c r="L915" i="4"/>
  <c r="L916" i="4"/>
  <c r="L917" i="4"/>
  <c r="L918" i="4"/>
  <c r="L919" i="4"/>
  <c r="L920" i="4"/>
  <c r="L921" i="4"/>
  <c r="L922" i="4"/>
  <c r="L923" i="4"/>
  <c r="L924" i="4"/>
  <c r="L925" i="4"/>
  <c r="L926" i="4"/>
  <c r="L927" i="4"/>
  <c r="L928" i="4"/>
  <c r="L929" i="4"/>
  <c r="L930" i="4"/>
  <c r="L931" i="4"/>
  <c r="L932" i="4"/>
  <c r="L933" i="4"/>
  <c r="L934" i="4"/>
  <c r="L935" i="4"/>
  <c r="L936" i="4"/>
  <c r="L937" i="4"/>
  <c r="L938" i="4"/>
  <c r="L939" i="4"/>
  <c r="L940" i="4"/>
  <c r="L941" i="4"/>
  <c r="L942" i="4"/>
  <c r="L943" i="4"/>
  <c r="L944" i="4"/>
  <c r="L945" i="4"/>
  <c r="L946" i="4"/>
  <c r="L947" i="4"/>
  <c r="L948" i="4"/>
  <c r="L949" i="4"/>
  <c r="L950" i="4"/>
  <c r="L951" i="4"/>
  <c r="L952" i="4"/>
  <c r="L953" i="4"/>
  <c r="L954" i="4"/>
  <c r="L955" i="4"/>
  <c r="L956" i="4"/>
  <c r="L957" i="4"/>
  <c r="L958" i="4"/>
  <c r="L959" i="4"/>
  <c r="L960" i="4"/>
  <c r="L961" i="4"/>
  <c r="L962" i="4"/>
  <c r="L963" i="4"/>
  <c r="L964" i="4"/>
  <c r="L965" i="4"/>
  <c r="L966" i="4"/>
  <c r="L967" i="4"/>
  <c r="L968" i="4"/>
  <c r="L969" i="4"/>
  <c r="L970" i="4"/>
  <c r="L971" i="4"/>
  <c r="L972" i="4"/>
  <c r="L973" i="4"/>
  <c r="L974" i="4"/>
  <c r="L975" i="4"/>
  <c r="L976" i="4"/>
  <c r="L977" i="4"/>
  <c r="L978" i="4"/>
  <c r="L979" i="4"/>
  <c r="L980" i="4"/>
  <c r="L981" i="4"/>
  <c r="L982" i="4"/>
  <c r="L983" i="4"/>
  <c r="L984" i="4"/>
  <c r="L985" i="4"/>
  <c r="L986" i="4"/>
  <c r="L987" i="4"/>
  <c r="L988" i="4"/>
  <c r="L989" i="4"/>
  <c r="L990" i="4"/>
  <c r="L991" i="4"/>
  <c r="L992" i="4"/>
  <c r="L993" i="4"/>
  <c r="L994" i="4"/>
  <c r="L995" i="4"/>
  <c r="L996" i="4"/>
  <c r="L997" i="4"/>
  <c r="L998" i="4"/>
  <c r="L999" i="4"/>
  <c r="L1000" i="4"/>
  <c r="L1001" i="4"/>
  <c r="L1002" i="4"/>
  <c r="L1003" i="4"/>
  <c r="L1004" i="4"/>
  <c r="L1005" i="4"/>
  <c r="L1006" i="4"/>
  <c r="L1007" i="4"/>
  <c r="L1008" i="4"/>
  <c r="L1009" i="4"/>
  <c r="L1010" i="4"/>
  <c r="L1011" i="4"/>
  <c r="L1012" i="4"/>
  <c r="L1013" i="4"/>
  <c r="L1014" i="4"/>
  <c r="L1015" i="4"/>
  <c r="L1016" i="4"/>
  <c r="L1017" i="4"/>
  <c r="L1018" i="4"/>
  <c r="L1019" i="4"/>
  <c r="L1020" i="4"/>
  <c r="L1021" i="4"/>
  <c r="L1022" i="4"/>
  <c r="L1023" i="4"/>
  <c r="L1024" i="4"/>
  <c r="L1025" i="4"/>
  <c r="L1026" i="4"/>
  <c r="L1027" i="4"/>
  <c r="L1028" i="4"/>
  <c r="L1029" i="4"/>
  <c r="L1030" i="4"/>
  <c r="L1031" i="4"/>
  <c r="L1032" i="4"/>
  <c r="L1033" i="4"/>
  <c r="L1034" i="4"/>
  <c r="L1035" i="4"/>
  <c r="L1036" i="4"/>
  <c r="L1037" i="4"/>
  <c r="L1038" i="4"/>
  <c r="L1039" i="4"/>
  <c r="L1040" i="4"/>
  <c r="L1041" i="4"/>
  <c r="L1042" i="4"/>
  <c r="L1043" i="4"/>
  <c r="L1044" i="4"/>
  <c r="L1045" i="4"/>
  <c r="L1046" i="4"/>
  <c r="L1047" i="4"/>
  <c r="L1048" i="4"/>
  <c r="L1049" i="4"/>
  <c r="L1050" i="4"/>
  <c r="L1051" i="4"/>
  <c r="L1052" i="4"/>
  <c r="L1053" i="4"/>
  <c r="L1054" i="4"/>
  <c r="L1055" i="4"/>
  <c r="L1056" i="4"/>
  <c r="L1057" i="4"/>
  <c r="L1058" i="4"/>
  <c r="L1059" i="4"/>
  <c r="L1060" i="4"/>
  <c r="L1061" i="4"/>
  <c r="L1062" i="4"/>
  <c r="L1063" i="4"/>
  <c r="L1064" i="4"/>
  <c r="L1065" i="4"/>
  <c r="L1066" i="4"/>
  <c r="L1067" i="4"/>
  <c r="L1068" i="4"/>
  <c r="L1069" i="4"/>
  <c r="L1070" i="4"/>
  <c r="L1071" i="4"/>
  <c r="L1072" i="4"/>
  <c r="L1073" i="4"/>
  <c r="L1074" i="4"/>
  <c r="L1075" i="4"/>
  <c r="L1076" i="4"/>
  <c r="L1077" i="4"/>
  <c r="L1078" i="4"/>
  <c r="L1079" i="4"/>
  <c r="L1080" i="4"/>
  <c r="L1081" i="4"/>
  <c r="L1082" i="4"/>
  <c r="L1083" i="4"/>
  <c r="L1084" i="4"/>
  <c r="L1085" i="4"/>
  <c r="L1086" i="4"/>
  <c r="L1087" i="4"/>
  <c r="L1088" i="4"/>
  <c r="L1089" i="4"/>
  <c r="L1090" i="4"/>
  <c r="L1091" i="4"/>
  <c r="L1092" i="4"/>
  <c r="L1093" i="4"/>
  <c r="L1094" i="4"/>
  <c r="L1095" i="4"/>
  <c r="L1096" i="4"/>
  <c r="L1097" i="4"/>
  <c r="L1098" i="4"/>
  <c r="L1099" i="4"/>
  <c r="L1100" i="4"/>
  <c r="L1101" i="4"/>
  <c r="L1102" i="4"/>
  <c r="L1103" i="4"/>
  <c r="L1104" i="4"/>
  <c r="L1105" i="4"/>
  <c r="L1106" i="4"/>
  <c r="L1107" i="4"/>
  <c r="L1108" i="4"/>
  <c r="L1109" i="4"/>
  <c r="L1110" i="4"/>
  <c r="L1111" i="4"/>
  <c r="L1112" i="4"/>
  <c r="L1113" i="4"/>
  <c r="L1114" i="4"/>
  <c r="L1115" i="4"/>
  <c r="L1116" i="4"/>
  <c r="L1117" i="4"/>
  <c r="L1118" i="4"/>
  <c r="L1119" i="4"/>
  <c r="L1120" i="4"/>
  <c r="L1121" i="4"/>
  <c r="L1122" i="4"/>
  <c r="L1123" i="4"/>
  <c r="L1124" i="4"/>
  <c r="L1125" i="4"/>
  <c r="L1126" i="4"/>
  <c r="L1127" i="4"/>
  <c r="L1128" i="4"/>
  <c r="L1129" i="4"/>
  <c r="L1130" i="4"/>
  <c r="L1131" i="4"/>
  <c r="L1132" i="4"/>
  <c r="L1133" i="4"/>
  <c r="L1134" i="4"/>
  <c r="L1135" i="4"/>
  <c r="L1136" i="4"/>
  <c r="L1137" i="4"/>
  <c r="L1138" i="4"/>
  <c r="L1139" i="4"/>
  <c r="L1140" i="4"/>
  <c r="L1141" i="4"/>
  <c r="L1142" i="4"/>
  <c r="L1143" i="4"/>
  <c r="L1144" i="4"/>
  <c r="L1145" i="4"/>
  <c r="L1146" i="4"/>
  <c r="L1147" i="4"/>
  <c r="L1148" i="4"/>
  <c r="L1149" i="4"/>
  <c r="L1150" i="4"/>
  <c r="L1151" i="4"/>
  <c r="L1152" i="4"/>
  <c r="L1153" i="4"/>
  <c r="L1154" i="4"/>
  <c r="L1155" i="4"/>
  <c r="L1156" i="4"/>
  <c r="L1157" i="4"/>
  <c r="L1158" i="4"/>
  <c r="L1159" i="4"/>
  <c r="L1160" i="4"/>
  <c r="L1161" i="4"/>
  <c r="L1162" i="4"/>
  <c r="L1163" i="4"/>
  <c r="L1164" i="4"/>
  <c r="L1165" i="4"/>
  <c r="L1166" i="4"/>
  <c r="L1167" i="4"/>
  <c r="L1168" i="4"/>
  <c r="L1169" i="4"/>
  <c r="L1170" i="4"/>
  <c r="L1171" i="4"/>
  <c r="L1172" i="4"/>
  <c r="L1173" i="4"/>
  <c r="L1174" i="4"/>
  <c r="L1175" i="4"/>
  <c r="L1176" i="4"/>
  <c r="L1177" i="4"/>
  <c r="L1178" i="4"/>
  <c r="L1179" i="4"/>
  <c r="L1180" i="4"/>
  <c r="L1181" i="4"/>
  <c r="L1182" i="4"/>
  <c r="L1183" i="4"/>
  <c r="L1184" i="4"/>
  <c r="L1185" i="4"/>
  <c r="L1186" i="4"/>
  <c r="L1187" i="4"/>
  <c r="L1188" i="4"/>
  <c r="L1189" i="4"/>
  <c r="L1190" i="4"/>
  <c r="L1191" i="4"/>
  <c r="L1192" i="4"/>
  <c r="L1193" i="4"/>
  <c r="L1194" i="4"/>
  <c r="L1195" i="4"/>
  <c r="L1196" i="4"/>
  <c r="L1197" i="4"/>
  <c r="L1198" i="4"/>
  <c r="L1199" i="4"/>
  <c r="L1200" i="4"/>
  <c r="L1201" i="4"/>
  <c r="L1202" i="4"/>
  <c r="L1203" i="4"/>
  <c r="L1204" i="4"/>
  <c r="L1205" i="4"/>
  <c r="L1206" i="4"/>
  <c r="L1207" i="4"/>
  <c r="L1208" i="4"/>
  <c r="L1209" i="4"/>
  <c r="L1210" i="4"/>
  <c r="L1211" i="4"/>
  <c r="L1212" i="4"/>
  <c r="L1213" i="4"/>
  <c r="L1214" i="4"/>
  <c r="L1215" i="4"/>
  <c r="L1216" i="4"/>
  <c r="L1217" i="4"/>
  <c r="L1218" i="4"/>
  <c r="L1219" i="4"/>
  <c r="L1220" i="4"/>
  <c r="L1221" i="4"/>
  <c r="L1222" i="4"/>
  <c r="L1223" i="4"/>
  <c r="L1224" i="4"/>
  <c r="L1225" i="4"/>
  <c r="L1226" i="4"/>
  <c r="L1227" i="4"/>
  <c r="L1228" i="4"/>
  <c r="L1229" i="4"/>
  <c r="L1230" i="4"/>
  <c r="L1231" i="4"/>
  <c r="L1232" i="4"/>
  <c r="L1233" i="4"/>
  <c r="L1234" i="4"/>
  <c r="L1235" i="4"/>
  <c r="L1236" i="4"/>
  <c r="L1237" i="4"/>
  <c r="L1238" i="4"/>
  <c r="L1239" i="4"/>
  <c r="L1240" i="4"/>
  <c r="L1241" i="4"/>
  <c r="L1242" i="4"/>
  <c r="L1243" i="4"/>
  <c r="L1244" i="4"/>
  <c r="L1245" i="4"/>
  <c r="L1246" i="4"/>
  <c r="L1247" i="4"/>
  <c r="L1248" i="4"/>
  <c r="L1249" i="4"/>
  <c r="L1250" i="4"/>
  <c r="L1251" i="4"/>
  <c r="L1252" i="4"/>
  <c r="L1253" i="4"/>
  <c r="L1254" i="4"/>
  <c r="L1255" i="4"/>
  <c r="L1256" i="4"/>
  <c r="L1257" i="4"/>
  <c r="L1258" i="4"/>
  <c r="L1259" i="4"/>
  <c r="L1260" i="4"/>
  <c r="L1261" i="4"/>
  <c r="L1262" i="4"/>
  <c r="L1263" i="4"/>
  <c r="L1264" i="4"/>
  <c r="L1265" i="4"/>
  <c r="L1266" i="4"/>
  <c r="L1267" i="4"/>
  <c r="L1268" i="4"/>
  <c r="L1269" i="4"/>
  <c r="L1270" i="4"/>
  <c r="L1271" i="4"/>
  <c r="L1272" i="4"/>
  <c r="L1273" i="4"/>
  <c r="L1274" i="4"/>
  <c r="L1275" i="4"/>
  <c r="L1276" i="4"/>
  <c r="L1277" i="4"/>
  <c r="L1278" i="4"/>
  <c r="L1279" i="4"/>
  <c r="L1280" i="4"/>
  <c r="L1281" i="4"/>
  <c r="L1282" i="4"/>
  <c r="L1283" i="4"/>
  <c r="L1284" i="4"/>
  <c r="L1285" i="4"/>
  <c r="L1286" i="4"/>
  <c r="L1287" i="4"/>
  <c r="L1288" i="4"/>
  <c r="L1289" i="4"/>
  <c r="L1290" i="4"/>
  <c r="L1291" i="4"/>
  <c r="L1292" i="4"/>
  <c r="L1293" i="4"/>
  <c r="L1294" i="4"/>
  <c r="L1295" i="4"/>
  <c r="L1296" i="4"/>
  <c r="L1297" i="4"/>
  <c r="L1298" i="4"/>
  <c r="L1299" i="4"/>
  <c r="L1300" i="4"/>
  <c r="L1301" i="4"/>
  <c r="L2" i="4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K36" i="4"/>
  <c r="K37" i="4"/>
  <c r="K38" i="4"/>
  <c r="K39" i="4"/>
  <c r="K40" i="4"/>
  <c r="K41" i="4"/>
  <c r="K42" i="4"/>
  <c r="K43" i="4"/>
  <c r="M43" i="4" s="1"/>
  <c r="K44" i="4"/>
  <c r="K45" i="4"/>
  <c r="K46" i="4"/>
  <c r="K47" i="4"/>
  <c r="K48" i="4"/>
  <c r="K49" i="4"/>
  <c r="K50" i="4"/>
  <c r="K51" i="4"/>
  <c r="K52" i="4"/>
  <c r="K53" i="4"/>
  <c r="K54" i="4"/>
  <c r="K55" i="4"/>
  <c r="K56" i="4"/>
  <c r="K57" i="4"/>
  <c r="K58" i="4"/>
  <c r="K59" i="4"/>
  <c r="K60" i="4"/>
  <c r="K61" i="4"/>
  <c r="K62" i="4"/>
  <c r="K63" i="4"/>
  <c r="K64" i="4"/>
  <c r="K65" i="4"/>
  <c r="K66" i="4"/>
  <c r="K67" i="4"/>
  <c r="K68" i="4"/>
  <c r="K69" i="4"/>
  <c r="K70" i="4"/>
  <c r="K71" i="4"/>
  <c r="K72" i="4"/>
  <c r="K73" i="4"/>
  <c r="K74" i="4"/>
  <c r="K75" i="4"/>
  <c r="M75" i="4" s="1"/>
  <c r="K76" i="4"/>
  <c r="K77" i="4"/>
  <c r="K78" i="4"/>
  <c r="K79" i="4"/>
  <c r="K80" i="4"/>
  <c r="K81" i="4"/>
  <c r="K82" i="4"/>
  <c r="K83" i="4"/>
  <c r="K84" i="4"/>
  <c r="K85" i="4"/>
  <c r="K86" i="4"/>
  <c r="K87" i="4"/>
  <c r="K88" i="4"/>
  <c r="K89" i="4"/>
  <c r="K90" i="4"/>
  <c r="K91" i="4"/>
  <c r="K92" i="4"/>
  <c r="K93" i="4"/>
  <c r="K94" i="4"/>
  <c r="K95" i="4"/>
  <c r="K96" i="4"/>
  <c r="K97" i="4"/>
  <c r="K98" i="4"/>
  <c r="K99" i="4"/>
  <c r="K100" i="4"/>
  <c r="K101" i="4"/>
  <c r="K102" i="4"/>
  <c r="K103" i="4"/>
  <c r="K104" i="4"/>
  <c r="K105" i="4"/>
  <c r="K106" i="4"/>
  <c r="K107" i="4"/>
  <c r="M107" i="4" s="1"/>
  <c r="K108" i="4"/>
  <c r="K109" i="4"/>
  <c r="K110" i="4"/>
  <c r="K111" i="4"/>
  <c r="K112" i="4"/>
  <c r="K113" i="4"/>
  <c r="K114" i="4"/>
  <c r="K115" i="4"/>
  <c r="K116" i="4"/>
  <c r="K117" i="4"/>
  <c r="K118" i="4"/>
  <c r="K119" i="4"/>
  <c r="K120" i="4"/>
  <c r="K121" i="4"/>
  <c r="K122" i="4"/>
  <c r="K123" i="4"/>
  <c r="K124" i="4"/>
  <c r="K125" i="4"/>
  <c r="K126" i="4"/>
  <c r="K127" i="4"/>
  <c r="K128" i="4"/>
  <c r="K129" i="4"/>
  <c r="K130" i="4"/>
  <c r="K131" i="4"/>
  <c r="K132" i="4"/>
  <c r="K133" i="4"/>
  <c r="K134" i="4"/>
  <c r="K135" i="4"/>
  <c r="K136" i="4"/>
  <c r="K137" i="4"/>
  <c r="K138" i="4"/>
  <c r="K139" i="4"/>
  <c r="M139" i="4" s="1"/>
  <c r="K140" i="4"/>
  <c r="K141" i="4"/>
  <c r="K142" i="4"/>
  <c r="K143" i="4"/>
  <c r="K144" i="4"/>
  <c r="K145" i="4"/>
  <c r="K146" i="4"/>
  <c r="K147" i="4"/>
  <c r="K148" i="4"/>
  <c r="K149" i="4"/>
  <c r="K150" i="4"/>
  <c r="K151" i="4"/>
  <c r="K152" i="4"/>
  <c r="K153" i="4"/>
  <c r="K154" i="4"/>
  <c r="K155" i="4"/>
  <c r="K156" i="4"/>
  <c r="K157" i="4"/>
  <c r="K158" i="4"/>
  <c r="K159" i="4"/>
  <c r="K160" i="4"/>
  <c r="K161" i="4"/>
  <c r="K162" i="4"/>
  <c r="K163" i="4"/>
  <c r="K164" i="4"/>
  <c r="K165" i="4"/>
  <c r="K166" i="4"/>
  <c r="K167" i="4"/>
  <c r="K168" i="4"/>
  <c r="K169" i="4"/>
  <c r="K170" i="4"/>
  <c r="K171" i="4"/>
  <c r="M171" i="4" s="1"/>
  <c r="K172" i="4"/>
  <c r="K173" i="4"/>
  <c r="K174" i="4"/>
  <c r="K175" i="4"/>
  <c r="K176" i="4"/>
  <c r="K177" i="4"/>
  <c r="K178" i="4"/>
  <c r="K179" i="4"/>
  <c r="K180" i="4"/>
  <c r="K181" i="4"/>
  <c r="K182" i="4"/>
  <c r="K183" i="4"/>
  <c r="K184" i="4"/>
  <c r="K185" i="4"/>
  <c r="K186" i="4"/>
  <c r="K187" i="4"/>
  <c r="K188" i="4"/>
  <c r="K189" i="4"/>
  <c r="K190" i="4"/>
  <c r="K191" i="4"/>
  <c r="K192" i="4"/>
  <c r="K193" i="4"/>
  <c r="K194" i="4"/>
  <c r="K195" i="4"/>
  <c r="K196" i="4"/>
  <c r="K197" i="4"/>
  <c r="K198" i="4"/>
  <c r="K199" i="4"/>
  <c r="K200" i="4"/>
  <c r="K201" i="4"/>
  <c r="K202" i="4"/>
  <c r="K203" i="4"/>
  <c r="M203" i="4" s="1"/>
  <c r="K204" i="4"/>
  <c r="K205" i="4"/>
  <c r="K206" i="4"/>
  <c r="K207" i="4"/>
  <c r="K208" i="4"/>
  <c r="K209" i="4"/>
  <c r="K210" i="4"/>
  <c r="K211" i="4"/>
  <c r="K212" i="4"/>
  <c r="K213" i="4"/>
  <c r="K214" i="4"/>
  <c r="K215" i="4"/>
  <c r="K216" i="4"/>
  <c r="K217" i="4"/>
  <c r="K218" i="4"/>
  <c r="K219" i="4"/>
  <c r="K220" i="4"/>
  <c r="K221" i="4"/>
  <c r="K222" i="4"/>
  <c r="K223" i="4"/>
  <c r="K224" i="4"/>
  <c r="K225" i="4"/>
  <c r="K226" i="4"/>
  <c r="K227" i="4"/>
  <c r="K228" i="4"/>
  <c r="K229" i="4"/>
  <c r="K230" i="4"/>
  <c r="K231" i="4"/>
  <c r="K232" i="4"/>
  <c r="K233" i="4"/>
  <c r="K234" i="4"/>
  <c r="K235" i="4"/>
  <c r="M235" i="4" s="1"/>
  <c r="K236" i="4"/>
  <c r="K237" i="4"/>
  <c r="K238" i="4"/>
  <c r="K239" i="4"/>
  <c r="K240" i="4"/>
  <c r="K241" i="4"/>
  <c r="K242" i="4"/>
  <c r="K243" i="4"/>
  <c r="K244" i="4"/>
  <c r="K245" i="4"/>
  <c r="K246" i="4"/>
  <c r="K247" i="4"/>
  <c r="K248" i="4"/>
  <c r="K249" i="4"/>
  <c r="K250" i="4"/>
  <c r="K251" i="4"/>
  <c r="K252" i="4"/>
  <c r="K253" i="4"/>
  <c r="K254" i="4"/>
  <c r="K255" i="4"/>
  <c r="K256" i="4"/>
  <c r="K257" i="4"/>
  <c r="K258" i="4"/>
  <c r="K259" i="4"/>
  <c r="K260" i="4"/>
  <c r="K261" i="4"/>
  <c r="K262" i="4"/>
  <c r="K263" i="4"/>
  <c r="K264" i="4"/>
  <c r="K265" i="4"/>
  <c r="K266" i="4"/>
  <c r="K267" i="4"/>
  <c r="M267" i="4" s="1"/>
  <c r="K268" i="4"/>
  <c r="K269" i="4"/>
  <c r="K270" i="4"/>
  <c r="K271" i="4"/>
  <c r="K272" i="4"/>
  <c r="K273" i="4"/>
  <c r="K274" i="4"/>
  <c r="K275" i="4"/>
  <c r="K276" i="4"/>
  <c r="K277" i="4"/>
  <c r="K278" i="4"/>
  <c r="K279" i="4"/>
  <c r="K280" i="4"/>
  <c r="K281" i="4"/>
  <c r="K282" i="4"/>
  <c r="K283" i="4"/>
  <c r="K284" i="4"/>
  <c r="K285" i="4"/>
  <c r="K286" i="4"/>
  <c r="K287" i="4"/>
  <c r="K288" i="4"/>
  <c r="K289" i="4"/>
  <c r="K290" i="4"/>
  <c r="K291" i="4"/>
  <c r="M291" i="4" s="1"/>
  <c r="K292" i="4"/>
  <c r="K293" i="4"/>
  <c r="K294" i="4"/>
  <c r="K295" i="4"/>
  <c r="K296" i="4"/>
  <c r="K297" i="4"/>
  <c r="K298" i="4"/>
  <c r="K299" i="4"/>
  <c r="K300" i="4"/>
  <c r="K301" i="4"/>
  <c r="K302" i="4"/>
  <c r="K303" i="4"/>
  <c r="K304" i="4"/>
  <c r="K305" i="4"/>
  <c r="K306" i="4"/>
  <c r="K307" i="4"/>
  <c r="M307" i="4" s="1"/>
  <c r="K308" i="4"/>
  <c r="K309" i="4"/>
  <c r="K310" i="4"/>
  <c r="K311" i="4"/>
  <c r="K312" i="4"/>
  <c r="K313" i="4"/>
  <c r="K314" i="4"/>
  <c r="K315" i="4"/>
  <c r="K316" i="4"/>
  <c r="K317" i="4"/>
  <c r="K318" i="4"/>
  <c r="K319" i="4"/>
  <c r="K320" i="4"/>
  <c r="K321" i="4"/>
  <c r="K322" i="4"/>
  <c r="K323" i="4"/>
  <c r="M323" i="4" s="1"/>
  <c r="K324" i="4"/>
  <c r="K325" i="4"/>
  <c r="K326" i="4"/>
  <c r="K327" i="4"/>
  <c r="K328" i="4"/>
  <c r="K329" i="4"/>
  <c r="K330" i="4"/>
  <c r="K331" i="4"/>
  <c r="K332" i="4"/>
  <c r="K333" i="4"/>
  <c r="K334" i="4"/>
  <c r="K335" i="4"/>
  <c r="K336" i="4"/>
  <c r="K337" i="4"/>
  <c r="K338" i="4"/>
  <c r="K339" i="4"/>
  <c r="M339" i="4" s="1"/>
  <c r="K340" i="4"/>
  <c r="K341" i="4"/>
  <c r="K342" i="4"/>
  <c r="K343" i="4"/>
  <c r="K344" i="4"/>
  <c r="K345" i="4"/>
  <c r="K346" i="4"/>
  <c r="K347" i="4"/>
  <c r="K348" i="4"/>
  <c r="K349" i="4"/>
  <c r="K350" i="4"/>
  <c r="K351" i="4"/>
  <c r="K352" i="4"/>
  <c r="K353" i="4"/>
  <c r="K354" i="4"/>
  <c r="K355" i="4"/>
  <c r="K356" i="4"/>
  <c r="K357" i="4"/>
  <c r="K358" i="4"/>
  <c r="K359" i="4"/>
  <c r="K360" i="4"/>
  <c r="K361" i="4"/>
  <c r="K362" i="4"/>
  <c r="K363" i="4"/>
  <c r="K364" i="4"/>
  <c r="K365" i="4"/>
  <c r="K366" i="4"/>
  <c r="K367" i="4"/>
  <c r="K368" i="4"/>
  <c r="K369" i="4"/>
  <c r="K370" i="4"/>
  <c r="K371" i="4"/>
  <c r="M371" i="4" s="1"/>
  <c r="K372" i="4"/>
  <c r="K373" i="4"/>
  <c r="K374" i="4"/>
  <c r="K375" i="4"/>
  <c r="K376" i="4"/>
  <c r="K377" i="4"/>
  <c r="K378" i="4"/>
  <c r="K379" i="4"/>
  <c r="K380" i="4"/>
  <c r="K381" i="4"/>
  <c r="K382" i="4"/>
  <c r="K383" i="4"/>
  <c r="K384" i="4"/>
  <c r="K385" i="4"/>
  <c r="K386" i="4"/>
  <c r="K387" i="4"/>
  <c r="M387" i="4" s="1"/>
  <c r="K388" i="4"/>
  <c r="K389" i="4"/>
  <c r="K390" i="4"/>
  <c r="K391" i="4"/>
  <c r="K392" i="4"/>
  <c r="K393" i="4"/>
  <c r="K394" i="4"/>
  <c r="K395" i="4"/>
  <c r="K396" i="4"/>
  <c r="K397" i="4"/>
  <c r="K398" i="4"/>
  <c r="K399" i="4"/>
  <c r="K400" i="4"/>
  <c r="K401" i="4"/>
  <c r="K402" i="4"/>
  <c r="K403" i="4"/>
  <c r="M403" i="4" s="1"/>
  <c r="K404" i="4"/>
  <c r="K405" i="4"/>
  <c r="K406" i="4"/>
  <c r="K407" i="4"/>
  <c r="K408" i="4"/>
  <c r="K409" i="4"/>
  <c r="K410" i="4"/>
  <c r="K411" i="4"/>
  <c r="K412" i="4"/>
  <c r="K413" i="4"/>
  <c r="K414" i="4"/>
  <c r="K415" i="4"/>
  <c r="K416" i="4"/>
  <c r="K417" i="4"/>
  <c r="K418" i="4"/>
  <c r="K419" i="4"/>
  <c r="M419" i="4" s="1"/>
  <c r="K420" i="4"/>
  <c r="K421" i="4"/>
  <c r="K422" i="4"/>
  <c r="K423" i="4"/>
  <c r="K424" i="4"/>
  <c r="K425" i="4"/>
  <c r="K426" i="4"/>
  <c r="K427" i="4"/>
  <c r="K428" i="4"/>
  <c r="K429" i="4"/>
  <c r="K430" i="4"/>
  <c r="K431" i="4"/>
  <c r="K432" i="4"/>
  <c r="K433" i="4"/>
  <c r="K434" i="4"/>
  <c r="K435" i="4"/>
  <c r="K436" i="4"/>
  <c r="K437" i="4"/>
  <c r="K438" i="4"/>
  <c r="K439" i="4"/>
  <c r="K440" i="4"/>
  <c r="K441" i="4"/>
  <c r="K442" i="4"/>
  <c r="K443" i="4"/>
  <c r="K444" i="4"/>
  <c r="K445" i="4"/>
  <c r="K446" i="4"/>
  <c r="K447" i="4"/>
  <c r="K448" i="4"/>
  <c r="K449" i="4"/>
  <c r="K450" i="4"/>
  <c r="K451" i="4"/>
  <c r="K452" i="4"/>
  <c r="K453" i="4"/>
  <c r="K454" i="4"/>
  <c r="K455" i="4"/>
  <c r="K456" i="4"/>
  <c r="K457" i="4"/>
  <c r="K458" i="4"/>
  <c r="K459" i="4"/>
  <c r="K460" i="4"/>
  <c r="K461" i="4"/>
  <c r="K462" i="4"/>
  <c r="K463" i="4"/>
  <c r="K464" i="4"/>
  <c r="K465" i="4"/>
  <c r="K466" i="4"/>
  <c r="K467" i="4"/>
  <c r="M467" i="4" s="1"/>
  <c r="K468" i="4"/>
  <c r="K469" i="4"/>
  <c r="K470" i="4"/>
  <c r="K471" i="4"/>
  <c r="K472" i="4"/>
  <c r="K473" i="4"/>
  <c r="K474" i="4"/>
  <c r="K475" i="4"/>
  <c r="K476" i="4"/>
  <c r="K477" i="4"/>
  <c r="K478" i="4"/>
  <c r="K479" i="4"/>
  <c r="K480" i="4"/>
  <c r="K481" i="4"/>
  <c r="K482" i="4"/>
  <c r="K483" i="4"/>
  <c r="M483" i="4" s="1"/>
  <c r="K484" i="4"/>
  <c r="K485" i="4"/>
  <c r="K486" i="4"/>
  <c r="K487" i="4"/>
  <c r="K488" i="4"/>
  <c r="K489" i="4"/>
  <c r="K490" i="4"/>
  <c r="K491" i="4"/>
  <c r="K492" i="4"/>
  <c r="K493" i="4"/>
  <c r="K494" i="4"/>
  <c r="K495" i="4"/>
  <c r="K496" i="4"/>
  <c r="K497" i="4"/>
  <c r="K498" i="4"/>
  <c r="K499" i="4"/>
  <c r="K500" i="4"/>
  <c r="K501" i="4"/>
  <c r="K502" i="4"/>
  <c r="K503" i="4"/>
  <c r="K504" i="4"/>
  <c r="K505" i="4"/>
  <c r="K506" i="4"/>
  <c r="K507" i="4"/>
  <c r="K508" i="4"/>
  <c r="K509" i="4"/>
  <c r="K510" i="4"/>
  <c r="K511" i="4"/>
  <c r="K512" i="4"/>
  <c r="K513" i="4"/>
  <c r="K514" i="4"/>
  <c r="K515" i="4"/>
  <c r="K516" i="4"/>
  <c r="K517" i="4"/>
  <c r="K518" i="4"/>
  <c r="K519" i="4"/>
  <c r="K520" i="4"/>
  <c r="K521" i="4"/>
  <c r="K522" i="4"/>
  <c r="K523" i="4"/>
  <c r="K524" i="4"/>
  <c r="K525" i="4"/>
  <c r="K526" i="4"/>
  <c r="K527" i="4"/>
  <c r="K528" i="4"/>
  <c r="K529" i="4"/>
  <c r="K530" i="4"/>
  <c r="K531" i="4"/>
  <c r="M531" i="4" s="1"/>
  <c r="K532" i="4"/>
  <c r="K533" i="4"/>
  <c r="K534" i="4"/>
  <c r="K535" i="4"/>
  <c r="K536" i="4"/>
  <c r="K537" i="4"/>
  <c r="K538" i="4"/>
  <c r="K539" i="4"/>
  <c r="K540" i="4"/>
  <c r="K541" i="4"/>
  <c r="K542" i="4"/>
  <c r="K543" i="4"/>
  <c r="K544" i="4"/>
  <c r="K545" i="4"/>
  <c r="K546" i="4"/>
  <c r="K547" i="4"/>
  <c r="M547" i="4" s="1"/>
  <c r="K548" i="4"/>
  <c r="K549" i="4"/>
  <c r="K550" i="4"/>
  <c r="K551" i="4"/>
  <c r="K552" i="4"/>
  <c r="K553" i="4"/>
  <c r="K554" i="4"/>
  <c r="K555" i="4"/>
  <c r="K556" i="4"/>
  <c r="K557" i="4"/>
  <c r="K558" i="4"/>
  <c r="K559" i="4"/>
  <c r="K560" i="4"/>
  <c r="K561" i="4"/>
  <c r="K562" i="4"/>
  <c r="K563" i="4"/>
  <c r="M563" i="4" s="1"/>
  <c r="K564" i="4"/>
  <c r="K565" i="4"/>
  <c r="K566" i="4"/>
  <c r="K567" i="4"/>
  <c r="K568" i="4"/>
  <c r="K569" i="4"/>
  <c r="K570" i="4"/>
  <c r="K571" i="4"/>
  <c r="K572" i="4"/>
  <c r="K573" i="4"/>
  <c r="K574" i="4"/>
  <c r="K575" i="4"/>
  <c r="K576" i="4"/>
  <c r="K577" i="4"/>
  <c r="K578" i="4"/>
  <c r="K579" i="4"/>
  <c r="M579" i="4" s="1"/>
  <c r="K580" i="4"/>
  <c r="K581" i="4"/>
  <c r="K582" i="4"/>
  <c r="K583" i="4"/>
  <c r="K584" i="4"/>
  <c r="K585" i="4"/>
  <c r="K586" i="4"/>
  <c r="K587" i="4"/>
  <c r="K588" i="4"/>
  <c r="K589" i="4"/>
  <c r="K590" i="4"/>
  <c r="K591" i="4"/>
  <c r="K592" i="4"/>
  <c r="K593" i="4"/>
  <c r="K594" i="4"/>
  <c r="K595" i="4"/>
  <c r="M595" i="4" s="1"/>
  <c r="K596" i="4"/>
  <c r="K597" i="4"/>
  <c r="K598" i="4"/>
  <c r="K599" i="4"/>
  <c r="K600" i="4"/>
  <c r="K601" i="4"/>
  <c r="K602" i="4"/>
  <c r="K603" i="4"/>
  <c r="K604" i="4"/>
  <c r="K605" i="4"/>
  <c r="K606" i="4"/>
  <c r="K607" i="4"/>
  <c r="K608" i="4"/>
  <c r="K609" i="4"/>
  <c r="K610" i="4"/>
  <c r="K611" i="4"/>
  <c r="M611" i="4" s="1"/>
  <c r="K612" i="4"/>
  <c r="K613" i="4"/>
  <c r="K614" i="4"/>
  <c r="K615" i="4"/>
  <c r="K616" i="4"/>
  <c r="K617" i="4"/>
  <c r="K618" i="4"/>
  <c r="K619" i="4"/>
  <c r="K620" i="4"/>
  <c r="K621" i="4"/>
  <c r="K622" i="4"/>
  <c r="K623" i="4"/>
  <c r="K624" i="4"/>
  <c r="K625" i="4"/>
  <c r="K626" i="4"/>
  <c r="K627" i="4"/>
  <c r="M627" i="4" s="1"/>
  <c r="K628" i="4"/>
  <c r="K629" i="4"/>
  <c r="K630" i="4"/>
  <c r="K631" i="4"/>
  <c r="K632" i="4"/>
  <c r="K633" i="4"/>
  <c r="K634" i="4"/>
  <c r="K635" i="4"/>
  <c r="K636" i="4"/>
  <c r="K637" i="4"/>
  <c r="K638" i="4"/>
  <c r="K639" i="4"/>
  <c r="K640" i="4"/>
  <c r="K641" i="4"/>
  <c r="K642" i="4"/>
  <c r="K643" i="4"/>
  <c r="M643" i="4" s="1"/>
  <c r="K644" i="4"/>
  <c r="K645" i="4"/>
  <c r="K646" i="4"/>
  <c r="K647" i="4"/>
  <c r="K648" i="4"/>
  <c r="K649" i="4"/>
  <c r="K650" i="4"/>
  <c r="K651" i="4"/>
  <c r="K652" i="4"/>
  <c r="K653" i="4"/>
  <c r="K654" i="4"/>
  <c r="K655" i="4"/>
  <c r="K656" i="4"/>
  <c r="K657" i="4"/>
  <c r="K658" i="4"/>
  <c r="K659" i="4"/>
  <c r="M659" i="4" s="1"/>
  <c r="K660" i="4"/>
  <c r="K661" i="4"/>
  <c r="K662" i="4"/>
  <c r="K663" i="4"/>
  <c r="K664" i="4"/>
  <c r="K665" i="4"/>
  <c r="K666" i="4"/>
  <c r="K667" i="4"/>
  <c r="K668" i="4"/>
  <c r="K669" i="4"/>
  <c r="K670" i="4"/>
  <c r="K671" i="4"/>
  <c r="K672" i="4"/>
  <c r="K673" i="4"/>
  <c r="K674" i="4"/>
  <c r="K675" i="4"/>
  <c r="M675" i="4" s="1"/>
  <c r="K676" i="4"/>
  <c r="K677" i="4"/>
  <c r="K678" i="4"/>
  <c r="K679" i="4"/>
  <c r="K680" i="4"/>
  <c r="K681" i="4"/>
  <c r="K682" i="4"/>
  <c r="K683" i="4"/>
  <c r="K684" i="4"/>
  <c r="K685" i="4"/>
  <c r="K686" i="4"/>
  <c r="K687" i="4"/>
  <c r="K688" i="4"/>
  <c r="K689" i="4"/>
  <c r="K690" i="4"/>
  <c r="K691" i="4"/>
  <c r="M691" i="4" s="1"/>
  <c r="K692" i="4"/>
  <c r="K693" i="4"/>
  <c r="K694" i="4"/>
  <c r="K695" i="4"/>
  <c r="K696" i="4"/>
  <c r="K697" i="4"/>
  <c r="K698" i="4"/>
  <c r="K699" i="4"/>
  <c r="K700" i="4"/>
  <c r="K701" i="4"/>
  <c r="K702" i="4"/>
  <c r="K703" i="4"/>
  <c r="K704" i="4"/>
  <c r="K705" i="4"/>
  <c r="K706" i="4"/>
  <c r="K707" i="4"/>
  <c r="M707" i="4" s="1"/>
  <c r="K708" i="4"/>
  <c r="K709" i="4"/>
  <c r="K710" i="4"/>
  <c r="K711" i="4"/>
  <c r="K712" i="4"/>
  <c r="K713" i="4"/>
  <c r="K714" i="4"/>
  <c r="K715" i="4"/>
  <c r="K716" i="4"/>
  <c r="K717" i="4"/>
  <c r="K718" i="4"/>
  <c r="K719" i="4"/>
  <c r="K720" i="4"/>
  <c r="K721" i="4"/>
  <c r="K722" i="4"/>
  <c r="K723" i="4"/>
  <c r="M723" i="4" s="1"/>
  <c r="K724" i="4"/>
  <c r="K725" i="4"/>
  <c r="K726" i="4"/>
  <c r="K727" i="4"/>
  <c r="K728" i="4"/>
  <c r="K729" i="4"/>
  <c r="K730" i="4"/>
  <c r="K731" i="4"/>
  <c r="K732" i="4"/>
  <c r="K733" i="4"/>
  <c r="K734" i="4"/>
  <c r="K735" i="4"/>
  <c r="K736" i="4"/>
  <c r="K737" i="4"/>
  <c r="K738" i="4"/>
  <c r="K739" i="4"/>
  <c r="M739" i="4" s="1"/>
  <c r="K740" i="4"/>
  <c r="K741" i="4"/>
  <c r="K742" i="4"/>
  <c r="K743" i="4"/>
  <c r="K744" i="4"/>
  <c r="K745" i="4"/>
  <c r="K746" i="4"/>
  <c r="K747" i="4"/>
  <c r="K748" i="4"/>
  <c r="K749" i="4"/>
  <c r="K750" i="4"/>
  <c r="K751" i="4"/>
  <c r="K752" i="4"/>
  <c r="K753" i="4"/>
  <c r="K754" i="4"/>
  <c r="K755" i="4"/>
  <c r="M755" i="4" s="1"/>
  <c r="K756" i="4"/>
  <c r="K757" i="4"/>
  <c r="K758" i="4"/>
  <c r="K759" i="4"/>
  <c r="K760" i="4"/>
  <c r="K761" i="4"/>
  <c r="K762" i="4"/>
  <c r="K763" i="4"/>
  <c r="K764" i="4"/>
  <c r="K765" i="4"/>
  <c r="K766" i="4"/>
  <c r="K767" i="4"/>
  <c r="K768" i="4"/>
  <c r="K769" i="4"/>
  <c r="K770" i="4"/>
  <c r="K771" i="4"/>
  <c r="M771" i="4" s="1"/>
  <c r="K772" i="4"/>
  <c r="K773" i="4"/>
  <c r="K774" i="4"/>
  <c r="K775" i="4"/>
  <c r="K776" i="4"/>
  <c r="K777" i="4"/>
  <c r="K778" i="4"/>
  <c r="K779" i="4"/>
  <c r="K780" i="4"/>
  <c r="K781" i="4"/>
  <c r="K782" i="4"/>
  <c r="K783" i="4"/>
  <c r="K784" i="4"/>
  <c r="K785" i="4"/>
  <c r="K786" i="4"/>
  <c r="K787" i="4"/>
  <c r="M787" i="4" s="1"/>
  <c r="K788" i="4"/>
  <c r="K789" i="4"/>
  <c r="K790" i="4"/>
  <c r="K791" i="4"/>
  <c r="K792" i="4"/>
  <c r="K793" i="4"/>
  <c r="K794" i="4"/>
  <c r="K795" i="4"/>
  <c r="K796" i="4"/>
  <c r="K797" i="4"/>
  <c r="K798" i="4"/>
  <c r="K799" i="4"/>
  <c r="K800" i="4"/>
  <c r="K801" i="4"/>
  <c r="K802" i="4"/>
  <c r="K803" i="4"/>
  <c r="M803" i="4" s="1"/>
  <c r="K804" i="4"/>
  <c r="K805" i="4"/>
  <c r="K806" i="4"/>
  <c r="K807" i="4"/>
  <c r="K808" i="4"/>
  <c r="K809" i="4"/>
  <c r="K810" i="4"/>
  <c r="K811" i="4"/>
  <c r="K812" i="4"/>
  <c r="K813" i="4"/>
  <c r="K814" i="4"/>
  <c r="K815" i="4"/>
  <c r="K816" i="4"/>
  <c r="K817" i="4"/>
  <c r="K818" i="4"/>
  <c r="K819" i="4"/>
  <c r="M819" i="4" s="1"/>
  <c r="K820" i="4"/>
  <c r="K821" i="4"/>
  <c r="K822" i="4"/>
  <c r="K823" i="4"/>
  <c r="K824" i="4"/>
  <c r="K825" i="4"/>
  <c r="K826" i="4"/>
  <c r="K827" i="4"/>
  <c r="K828" i="4"/>
  <c r="K829" i="4"/>
  <c r="K830" i="4"/>
  <c r="K831" i="4"/>
  <c r="K832" i="4"/>
  <c r="K833" i="4"/>
  <c r="K834" i="4"/>
  <c r="K835" i="4"/>
  <c r="M835" i="4" s="1"/>
  <c r="K836" i="4"/>
  <c r="K837" i="4"/>
  <c r="K838" i="4"/>
  <c r="K839" i="4"/>
  <c r="K840" i="4"/>
  <c r="K841" i="4"/>
  <c r="K842" i="4"/>
  <c r="K843" i="4"/>
  <c r="M843" i="4" s="1"/>
  <c r="K844" i="4"/>
  <c r="K845" i="4"/>
  <c r="K846" i="4"/>
  <c r="K847" i="4"/>
  <c r="K848" i="4"/>
  <c r="K849" i="4"/>
  <c r="K850" i="4"/>
  <c r="K851" i="4"/>
  <c r="M851" i="4" s="1"/>
  <c r="K852" i="4"/>
  <c r="K853" i="4"/>
  <c r="K854" i="4"/>
  <c r="K855" i="4"/>
  <c r="K856" i="4"/>
  <c r="K857" i="4"/>
  <c r="K858" i="4"/>
  <c r="K859" i="4"/>
  <c r="M859" i="4" s="1"/>
  <c r="K860" i="4"/>
  <c r="K861" i="4"/>
  <c r="K862" i="4"/>
  <c r="K863" i="4"/>
  <c r="K864" i="4"/>
  <c r="K865" i="4"/>
  <c r="K866" i="4"/>
  <c r="K867" i="4"/>
  <c r="M867" i="4" s="1"/>
  <c r="K868" i="4"/>
  <c r="K869" i="4"/>
  <c r="K870" i="4"/>
  <c r="K871" i="4"/>
  <c r="K872" i="4"/>
  <c r="K873" i="4"/>
  <c r="K874" i="4"/>
  <c r="K875" i="4"/>
  <c r="M875" i="4" s="1"/>
  <c r="K876" i="4"/>
  <c r="K877" i="4"/>
  <c r="K878" i="4"/>
  <c r="K879" i="4"/>
  <c r="K880" i="4"/>
  <c r="K881" i="4"/>
  <c r="K882" i="4"/>
  <c r="K883" i="4"/>
  <c r="M883" i="4" s="1"/>
  <c r="K884" i="4"/>
  <c r="K885" i="4"/>
  <c r="K886" i="4"/>
  <c r="K887" i="4"/>
  <c r="K888" i="4"/>
  <c r="K889" i="4"/>
  <c r="K890" i="4"/>
  <c r="K891" i="4"/>
  <c r="M891" i="4" s="1"/>
  <c r="K892" i="4"/>
  <c r="K893" i="4"/>
  <c r="K894" i="4"/>
  <c r="K895" i="4"/>
  <c r="K896" i="4"/>
  <c r="K897" i="4"/>
  <c r="K898" i="4"/>
  <c r="K899" i="4"/>
  <c r="M899" i="4" s="1"/>
  <c r="K900" i="4"/>
  <c r="K901" i="4"/>
  <c r="K902" i="4"/>
  <c r="K903" i="4"/>
  <c r="K904" i="4"/>
  <c r="K905" i="4"/>
  <c r="K906" i="4"/>
  <c r="K907" i="4"/>
  <c r="M907" i="4" s="1"/>
  <c r="K908" i="4"/>
  <c r="K909" i="4"/>
  <c r="K910" i="4"/>
  <c r="K911" i="4"/>
  <c r="K912" i="4"/>
  <c r="K913" i="4"/>
  <c r="K914" i="4"/>
  <c r="K915" i="4"/>
  <c r="M915" i="4" s="1"/>
  <c r="K916" i="4"/>
  <c r="K917" i="4"/>
  <c r="K918" i="4"/>
  <c r="K919" i="4"/>
  <c r="K920" i="4"/>
  <c r="K921" i="4"/>
  <c r="K922" i="4"/>
  <c r="K923" i="4"/>
  <c r="M923" i="4" s="1"/>
  <c r="K924" i="4"/>
  <c r="K925" i="4"/>
  <c r="K926" i="4"/>
  <c r="K927" i="4"/>
  <c r="K928" i="4"/>
  <c r="K929" i="4"/>
  <c r="K930" i="4"/>
  <c r="K931" i="4"/>
  <c r="M931" i="4" s="1"/>
  <c r="K932" i="4"/>
  <c r="K933" i="4"/>
  <c r="K934" i="4"/>
  <c r="K935" i="4"/>
  <c r="K936" i="4"/>
  <c r="K937" i="4"/>
  <c r="K938" i="4"/>
  <c r="K939" i="4"/>
  <c r="M939" i="4" s="1"/>
  <c r="K940" i="4"/>
  <c r="K941" i="4"/>
  <c r="K942" i="4"/>
  <c r="K943" i="4"/>
  <c r="K944" i="4"/>
  <c r="K945" i="4"/>
  <c r="K946" i="4"/>
  <c r="K947" i="4"/>
  <c r="M947" i="4" s="1"/>
  <c r="K948" i="4"/>
  <c r="K949" i="4"/>
  <c r="K950" i="4"/>
  <c r="K951" i="4"/>
  <c r="K952" i="4"/>
  <c r="K953" i="4"/>
  <c r="K954" i="4"/>
  <c r="K955" i="4"/>
  <c r="M955" i="4" s="1"/>
  <c r="K956" i="4"/>
  <c r="K957" i="4"/>
  <c r="K958" i="4"/>
  <c r="K959" i="4"/>
  <c r="K960" i="4"/>
  <c r="K961" i="4"/>
  <c r="K962" i="4"/>
  <c r="K963" i="4"/>
  <c r="M963" i="4" s="1"/>
  <c r="K964" i="4"/>
  <c r="K965" i="4"/>
  <c r="K966" i="4"/>
  <c r="K967" i="4"/>
  <c r="K968" i="4"/>
  <c r="K969" i="4"/>
  <c r="K970" i="4"/>
  <c r="K971" i="4"/>
  <c r="M971" i="4" s="1"/>
  <c r="K972" i="4"/>
  <c r="K973" i="4"/>
  <c r="K974" i="4"/>
  <c r="K975" i="4"/>
  <c r="K976" i="4"/>
  <c r="K977" i="4"/>
  <c r="K978" i="4"/>
  <c r="K979" i="4"/>
  <c r="M979" i="4" s="1"/>
  <c r="K980" i="4"/>
  <c r="K981" i="4"/>
  <c r="K982" i="4"/>
  <c r="K983" i="4"/>
  <c r="K984" i="4"/>
  <c r="K985" i="4"/>
  <c r="K986" i="4"/>
  <c r="K987" i="4"/>
  <c r="M987" i="4" s="1"/>
  <c r="K988" i="4"/>
  <c r="K989" i="4"/>
  <c r="K990" i="4"/>
  <c r="K991" i="4"/>
  <c r="K992" i="4"/>
  <c r="K993" i="4"/>
  <c r="K994" i="4"/>
  <c r="K995" i="4"/>
  <c r="M995" i="4" s="1"/>
  <c r="K996" i="4"/>
  <c r="K997" i="4"/>
  <c r="K998" i="4"/>
  <c r="K999" i="4"/>
  <c r="K1000" i="4"/>
  <c r="K1001" i="4"/>
  <c r="K1002" i="4"/>
  <c r="K1003" i="4"/>
  <c r="M1003" i="4" s="1"/>
  <c r="K1004" i="4"/>
  <c r="K1005" i="4"/>
  <c r="K1006" i="4"/>
  <c r="K1007" i="4"/>
  <c r="K1008" i="4"/>
  <c r="K1009" i="4"/>
  <c r="K1010" i="4"/>
  <c r="K1011" i="4"/>
  <c r="M1011" i="4" s="1"/>
  <c r="K1012" i="4"/>
  <c r="K1013" i="4"/>
  <c r="K1014" i="4"/>
  <c r="K1015" i="4"/>
  <c r="K1016" i="4"/>
  <c r="K1017" i="4"/>
  <c r="K1018" i="4"/>
  <c r="K1019" i="4"/>
  <c r="M1019" i="4" s="1"/>
  <c r="K1020" i="4"/>
  <c r="K1021" i="4"/>
  <c r="K1022" i="4"/>
  <c r="K1023" i="4"/>
  <c r="K1024" i="4"/>
  <c r="K1025" i="4"/>
  <c r="K1026" i="4"/>
  <c r="K1027" i="4"/>
  <c r="M1027" i="4" s="1"/>
  <c r="K1028" i="4"/>
  <c r="K1029" i="4"/>
  <c r="K1030" i="4"/>
  <c r="K1031" i="4"/>
  <c r="K1032" i="4"/>
  <c r="K1033" i="4"/>
  <c r="K1034" i="4"/>
  <c r="K1035" i="4"/>
  <c r="M1035" i="4" s="1"/>
  <c r="K1036" i="4"/>
  <c r="K1037" i="4"/>
  <c r="K1038" i="4"/>
  <c r="K1039" i="4"/>
  <c r="K1040" i="4"/>
  <c r="K1041" i="4"/>
  <c r="K1042" i="4"/>
  <c r="K1043" i="4"/>
  <c r="M1043" i="4" s="1"/>
  <c r="K1044" i="4"/>
  <c r="K1045" i="4"/>
  <c r="K1046" i="4"/>
  <c r="K1047" i="4"/>
  <c r="K1048" i="4"/>
  <c r="K1049" i="4"/>
  <c r="K1050" i="4"/>
  <c r="K1051" i="4"/>
  <c r="M1051" i="4" s="1"/>
  <c r="K1052" i="4"/>
  <c r="K1053" i="4"/>
  <c r="K1054" i="4"/>
  <c r="K1055" i="4"/>
  <c r="K1056" i="4"/>
  <c r="K1057" i="4"/>
  <c r="K1058" i="4"/>
  <c r="K1059" i="4"/>
  <c r="M1059" i="4" s="1"/>
  <c r="K1060" i="4"/>
  <c r="K1061" i="4"/>
  <c r="K1062" i="4"/>
  <c r="K1063" i="4"/>
  <c r="K1064" i="4"/>
  <c r="K1065" i="4"/>
  <c r="K1066" i="4"/>
  <c r="K1067" i="4"/>
  <c r="M1067" i="4" s="1"/>
  <c r="K1068" i="4"/>
  <c r="K1069" i="4"/>
  <c r="K1070" i="4"/>
  <c r="K1071" i="4"/>
  <c r="K1072" i="4"/>
  <c r="K1073" i="4"/>
  <c r="K1074" i="4"/>
  <c r="K1075" i="4"/>
  <c r="M1075" i="4" s="1"/>
  <c r="K1076" i="4"/>
  <c r="K1077" i="4"/>
  <c r="K1078" i="4"/>
  <c r="K1079" i="4"/>
  <c r="K1080" i="4"/>
  <c r="K1081" i="4"/>
  <c r="K1082" i="4"/>
  <c r="K1083" i="4"/>
  <c r="M1083" i="4" s="1"/>
  <c r="K1084" i="4"/>
  <c r="K1085" i="4"/>
  <c r="K1086" i="4"/>
  <c r="K1087" i="4"/>
  <c r="K1088" i="4"/>
  <c r="K1089" i="4"/>
  <c r="K1090" i="4"/>
  <c r="K1091" i="4"/>
  <c r="M1091" i="4" s="1"/>
  <c r="K1092" i="4"/>
  <c r="K1093" i="4"/>
  <c r="K1094" i="4"/>
  <c r="K1095" i="4"/>
  <c r="K1096" i="4"/>
  <c r="K1097" i="4"/>
  <c r="K1098" i="4"/>
  <c r="K1099" i="4"/>
  <c r="M1099" i="4" s="1"/>
  <c r="K1100" i="4"/>
  <c r="K1101" i="4"/>
  <c r="K1102" i="4"/>
  <c r="K1103" i="4"/>
  <c r="K1104" i="4"/>
  <c r="K1105" i="4"/>
  <c r="K1106" i="4"/>
  <c r="K1107" i="4"/>
  <c r="M1107" i="4" s="1"/>
  <c r="K1108" i="4"/>
  <c r="K1109" i="4"/>
  <c r="K1110" i="4"/>
  <c r="K1111" i="4"/>
  <c r="K1112" i="4"/>
  <c r="K1113" i="4"/>
  <c r="K1114" i="4"/>
  <c r="K1115" i="4"/>
  <c r="M1115" i="4" s="1"/>
  <c r="K1116" i="4"/>
  <c r="K1117" i="4"/>
  <c r="K1118" i="4"/>
  <c r="K1119" i="4"/>
  <c r="K1120" i="4"/>
  <c r="K1121" i="4"/>
  <c r="K1122" i="4"/>
  <c r="K1123" i="4"/>
  <c r="M1123" i="4" s="1"/>
  <c r="K1124" i="4"/>
  <c r="K1125" i="4"/>
  <c r="K1126" i="4"/>
  <c r="K1127" i="4"/>
  <c r="K1128" i="4"/>
  <c r="K1129" i="4"/>
  <c r="K1130" i="4"/>
  <c r="K1131" i="4"/>
  <c r="M1131" i="4" s="1"/>
  <c r="K1132" i="4"/>
  <c r="K1133" i="4"/>
  <c r="K1134" i="4"/>
  <c r="K1135" i="4"/>
  <c r="K1136" i="4"/>
  <c r="K1137" i="4"/>
  <c r="K1138" i="4"/>
  <c r="K1139" i="4"/>
  <c r="M1139" i="4" s="1"/>
  <c r="K1140" i="4"/>
  <c r="K1141" i="4"/>
  <c r="K1142" i="4"/>
  <c r="K1143" i="4"/>
  <c r="K1144" i="4"/>
  <c r="K1145" i="4"/>
  <c r="K1146" i="4"/>
  <c r="K1147" i="4"/>
  <c r="M1147" i="4" s="1"/>
  <c r="K1148" i="4"/>
  <c r="K1149" i="4"/>
  <c r="K1150" i="4"/>
  <c r="K1151" i="4"/>
  <c r="K1152" i="4"/>
  <c r="K1153" i="4"/>
  <c r="K1154" i="4"/>
  <c r="K1155" i="4"/>
  <c r="M1155" i="4" s="1"/>
  <c r="K1156" i="4"/>
  <c r="K1157" i="4"/>
  <c r="K1158" i="4"/>
  <c r="K1159" i="4"/>
  <c r="K1160" i="4"/>
  <c r="K1161" i="4"/>
  <c r="K1162" i="4"/>
  <c r="K1163" i="4"/>
  <c r="M1163" i="4" s="1"/>
  <c r="K1164" i="4"/>
  <c r="K1165" i="4"/>
  <c r="K1166" i="4"/>
  <c r="K1167" i="4"/>
  <c r="K1168" i="4"/>
  <c r="K1169" i="4"/>
  <c r="K1170" i="4"/>
  <c r="K1171" i="4"/>
  <c r="M1171" i="4" s="1"/>
  <c r="K1172" i="4"/>
  <c r="K1173" i="4"/>
  <c r="K1174" i="4"/>
  <c r="K1175" i="4"/>
  <c r="K1176" i="4"/>
  <c r="K1177" i="4"/>
  <c r="K1178" i="4"/>
  <c r="K1179" i="4"/>
  <c r="M1179" i="4" s="1"/>
  <c r="K1180" i="4"/>
  <c r="K1181" i="4"/>
  <c r="K1182" i="4"/>
  <c r="K1183" i="4"/>
  <c r="K1184" i="4"/>
  <c r="K1185" i="4"/>
  <c r="K1186" i="4"/>
  <c r="K1187" i="4"/>
  <c r="M1187" i="4" s="1"/>
  <c r="K1188" i="4"/>
  <c r="K1189" i="4"/>
  <c r="K1190" i="4"/>
  <c r="K1191" i="4"/>
  <c r="K1192" i="4"/>
  <c r="K1193" i="4"/>
  <c r="K1194" i="4"/>
  <c r="K1195" i="4"/>
  <c r="M1195" i="4" s="1"/>
  <c r="K1196" i="4"/>
  <c r="K1197" i="4"/>
  <c r="K1198" i="4"/>
  <c r="K1199" i="4"/>
  <c r="K1200" i="4"/>
  <c r="K1201" i="4"/>
  <c r="K1202" i="4"/>
  <c r="K1203" i="4"/>
  <c r="M1203" i="4" s="1"/>
  <c r="K1204" i="4"/>
  <c r="K1205" i="4"/>
  <c r="K1206" i="4"/>
  <c r="K1207" i="4"/>
  <c r="K1208" i="4"/>
  <c r="K1209" i="4"/>
  <c r="K1210" i="4"/>
  <c r="K1211" i="4"/>
  <c r="M1211" i="4" s="1"/>
  <c r="K1212" i="4"/>
  <c r="K1213" i="4"/>
  <c r="K1214" i="4"/>
  <c r="K1215" i="4"/>
  <c r="K1216" i="4"/>
  <c r="K1217" i="4"/>
  <c r="K1218" i="4"/>
  <c r="K1219" i="4"/>
  <c r="M1219" i="4" s="1"/>
  <c r="K1220" i="4"/>
  <c r="K1221" i="4"/>
  <c r="K1222" i="4"/>
  <c r="K1223" i="4"/>
  <c r="K1224" i="4"/>
  <c r="K1225" i="4"/>
  <c r="K1226" i="4"/>
  <c r="K1227" i="4"/>
  <c r="M1227" i="4" s="1"/>
  <c r="K1228" i="4"/>
  <c r="K1229" i="4"/>
  <c r="K1230" i="4"/>
  <c r="K1231" i="4"/>
  <c r="K1232" i="4"/>
  <c r="K1233" i="4"/>
  <c r="K1234" i="4"/>
  <c r="K1235" i="4"/>
  <c r="M1235" i="4" s="1"/>
  <c r="K1236" i="4"/>
  <c r="K1237" i="4"/>
  <c r="K1238" i="4"/>
  <c r="K1239" i="4"/>
  <c r="K1240" i="4"/>
  <c r="K1241" i="4"/>
  <c r="K1242" i="4"/>
  <c r="K1243" i="4"/>
  <c r="M1243" i="4" s="1"/>
  <c r="K1244" i="4"/>
  <c r="K1245" i="4"/>
  <c r="K1246" i="4"/>
  <c r="K1247" i="4"/>
  <c r="K1248" i="4"/>
  <c r="K1249" i="4"/>
  <c r="K1250" i="4"/>
  <c r="K1251" i="4"/>
  <c r="M1251" i="4" s="1"/>
  <c r="K1252" i="4"/>
  <c r="K1253" i="4"/>
  <c r="K1254" i="4"/>
  <c r="K1255" i="4"/>
  <c r="K1256" i="4"/>
  <c r="K1257" i="4"/>
  <c r="K1258" i="4"/>
  <c r="K1259" i="4"/>
  <c r="M1259" i="4" s="1"/>
  <c r="K1260" i="4"/>
  <c r="K1261" i="4"/>
  <c r="K1262" i="4"/>
  <c r="K1263" i="4"/>
  <c r="K1264" i="4"/>
  <c r="K1265" i="4"/>
  <c r="K1266" i="4"/>
  <c r="K1267" i="4"/>
  <c r="M1267" i="4" s="1"/>
  <c r="K1268" i="4"/>
  <c r="K1269" i="4"/>
  <c r="K1270" i="4"/>
  <c r="K1271" i="4"/>
  <c r="K1272" i="4"/>
  <c r="K1273" i="4"/>
  <c r="K1274" i="4"/>
  <c r="K1275" i="4"/>
  <c r="M1275" i="4" s="1"/>
  <c r="K1276" i="4"/>
  <c r="K1277" i="4"/>
  <c r="K1278" i="4"/>
  <c r="K1279" i="4"/>
  <c r="K1280" i="4"/>
  <c r="K1281" i="4"/>
  <c r="K1282" i="4"/>
  <c r="K1283" i="4"/>
  <c r="M1283" i="4" s="1"/>
  <c r="K1284" i="4"/>
  <c r="K1285" i="4"/>
  <c r="K1286" i="4"/>
  <c r="K1287" i="4"/>
  <c r="K1288" i="4"/>
  <c r="K1289" i="4"/>
  <c r="K1290" i="4"/>
  <c r="K1291" i="4"/>
  <c r="M1291" i="4" s="1"/>
  <c r="K1292" i="4"/>
  <c r="K1293" i="4"/>
  <c r="K1294" i="4"/>
  <c r="K1295" i="4"/>
  <c r="K1296" i="4"/>
  <c r="K1297" i="4"/>
  <c r="K1298" i="4"/>
  <c r="K1299" i="4"/>
  <c r="M1299" i="4" s="1"/>
  <c r="K1300" i="4"/>
  <c r="K1301" i="4"/>
  <c r="K2" i="4"/>
  <c r="J3" i="4"/>
  <c r="M3" i="4" s="1"/>
  <c r="J4" i="4"/>
  <c r="M4" i="4" s="1"/>
  <c r="J5" i="4"/>
  <c r="J6" i="4"/>
  <c r="J7" i="4"/>
  <c r="J8" i="4"/>
  <c r="J9" i="4"/>
  <c r="J10" i="4"/>
  <c r="J11" i="4"/>
  <c r="M11" i="4" s="1"/>
  <c r="J12" i="4"/>
  <c r="J13" i="4"/>
  <c r="J14" i="4"/>
  <c r="J15" i="4"/>
  <c r="J16" i="4"/>
  <c r="J18" i="4"/>
  <c r="J19" i="4"/>
  <c r="M19" i="4" s="1"/>
  <c r="J20" i="4"/>
  <c r="J21" i="4"/>
  <c r="M21" i="4" s="1"/>
  <c r="J22" i="4"/>
  <c r="J23" i="4"/>
  <c r="J24" i="4"/>
  <c r="J25" i="4"/>
  <c r="J26" i="4"/>
  <c r="J27" i="4"/>
  <c r="M27" i="4" s="1"/>
  <c r="J28" i="4"/>
  <c r="J29" i="4"/>
  <c r="M29" i="4" s="1"/>
  <c r="J30" i="4"/>
  <c r="J31" i="4"/>
  <c r="J32" i="4"/>
  <c r="J33" i="4"/>
  <c r="J34" i="4"/>
  <c r="J35" i="4"/>
  <c r="M35" i="4" s="1"/>
  <c r="J36" i="4"/>
  <c r="J37" i="4"/>
  <c r="J38" i="4"/>
  <c r="J39" i="4"/>
  <c r="J40" i="4"/>
  <c r="J41" i="4"/>
  <c r="J42" i="4"/>
  <c r="J43" i="4"/>
  <c r="J44" i="4"/>
  <c r="J45" i="4"/>
  <c r="M45" i="4" s="1"/>
  <c r="J46" i="4"/>
  <c r="J47" i="4"/>
  <c r="J48" i="4"/>
  <c r="J49" i="4"/>
  <c r="J50" i="4"/>
  <c r="J51" i="4"/>
  <c r="M51" i="4" s="1"/>
  <c r="J52" i="4"/>
  <c r="J53" i="4"/>
  <c r="M53" i="4" s="1"/>
  <c r="J54" i="4"/>
  <c r="J55" i="4"/>
  <c r="J56" i="4"/>
  <c r="J57" i="4"/>
  <c r="J58" i="4"/>
  <c r="J59" i="4"/>
  <c r="M59" i="4" s="1"/>
  <c r="J60" i="4"/>
  <c r="J61" i="4"/>
  <c r="M61" i="4" s="1"/>
  <c r="J62" i="4"/>
  <c r="J63" i="4"/>
  <c r="J64" i="4"/>
  <c r="J65" i="4"/>
  <c r="J66" i="4"/>
  <c r="J67" i="4"/>
  <c r="M67" i="4" s="1"/>
  <c r="J68" i="4"/>
  <c r="J69" i="4"/>
  <c r="J70" i="4"/>
  <c r="J71" i="4"/>
  <c r="J72" i="4"/>
  <c r="J73" i="4"/>
  <c r="J74" i="4"/>
  <c r="J75" i="4"/>
  <c r="J76" i="4"/>
  <c r="J77" i="4"/>
  <c r="M77" i="4" s="1"/>
  <c r="J78" i="4"/>
  <c r="J79" i="4"/>
  <c r="J80" i="4"/>
  <c r="J81" i="4"/>
  <c r="J82" i="4"/>
  <c r="J83" i="4"/>
  <c r="M83" i="4" s="1"/>
  <c r="J84" i="4"/>
  <c r="J85" i="4"/>
  <c r="M85" i="4" s="1"/>
  <c r="J86" i="4"/>
  <c r="J87" i="4"/>
  <c r="J88" i="4"/>
  <c r="J89" i="4"/>
  <c r="J90" i="4"/>
  <c r="J91" i="4"/>
  <c r="M91" i="4" s="1"/>
  <c r="J92" i="4"/>
  <c r="J93" i="4"/>
  <c r="M93" i="4" s="1"/>
  <c r="J94" i="4"/>
  <c r="J95" i="4"/>
  <c r="J96" i="4"/>
  <c r="J97" i="4"/>
  <c r="J98" i="4"/>
  <c r="J99" i="4"/>
  <c r="M99" i="4" s="1"/>
  <c r="J100" i="4"/>
  <c r="J101" i="4"/>
  <c r="J102" i="4"/>
  <c r="J103" i="4"/>
  <c r="J104" i="4"/>
  <c r="J105" i="4"/>
  <c r="J106" i="4"/>
  <c r="J107" i="4"/>
  <c r="J108" i="4"/>
  <c r="J109" i="4"/>
  <c r="M109" i="4" s="1"/>
  <c r="J110" i="4"/>
  <c r="J111" i="4"/>
  <c r="J112" i="4"/>
  <c r="J113" i="4"/>
  <c r="J114" i="4"/>
  <c r="J115" i="4"/>
  <c r="M115" i="4" s="1"/>
  <c r="J116" i="4"/>
  <c r="J117" i="4"/>
  <c r="M117" i="4" s="1"/>
  <c r="J118" i="4"/>
  <c r="J119" i="4"/>
  <c r="J120" i="4"/>
  <c r="J121" i="4"/>
  <c r="J122" i="4"/>
  <c r="J123" i="4"/>
  <c r="M123" i="4" s="1"/>
  <c r="J124" i="4"/>
  <c r="J125" i="4"/>
  <c r="M125" i="4" s="1"/>
  <c r="J126" i="4"/>
  <c r="J127" i="4"/>
  <c r="J128" i="4"/>
  <c r="J129" i="4"/>
  <c r="J130" i="4"/>
  <c r="J131" i="4"/>
  <c r="M131" i="4" s="1"/>
  <c r="J132" i="4"/>
  <c r="J133" i="4"/>
  <c r="J134" i="4"/>
  <c r="J135" i="4"/>
  <c r="J136" i="4"/>
  <c r="J137" i="4"/>
  <c r="J138" i="4"/>
  <c r="J139" i="4"/>
  <c r="J140" i="4"/>
  <c r="J141" i="4"/>
  <c r="M141" i="4" s="1"/>
  <c r="J142" i="4"/>
  <c r="J143" i="4"/>
  <c r="J144" i="4"/>
  <c r="J145" i="4"/>
  <c r="J146" i="4"/>
  <c r="J147" i="4"/>
  <c r="M147" i="4" s="1"/>
  <c r="J148" i="4"/>
  <c r="J149" i="4"/>
  <c r="M149" i="4" s="1"/>
  <c r="J150" i="4"/>
  <c r="J151" i="4"/>
  <c r="J152" i="4"/>
  <c r="J153" i="4"/>
  <c r="J154" i="4"/>
  <c r="J155" i="4"/>
  <c r="M155" i="4" s="1"/>
  <c r="J156" i="4"/>
  <c r="J157" i="4"/>
  <c r="M157" i="4" s="1"/>
  <c r="J158" i="4"/>
  <c r="J159" i="4"/>
  <c r="J160" i="4"/>
  <c r="J161" i="4"/>
  <c r="J162" i="4"/>
  <c r="J163" i="4"/>
  <c r="M163" i="4" s="1"/>
  <c r="J164" i="4"/>
  <c r="J165" i="4"/>
  <c r="J166" i="4"/>
  <c r="J167" i="4"/>
  <c r="J168" i="4"/>
  <c r="J169" i="4"/>
  <c r="J170" i="4"/>
  <c r="J171" i="4"/>
  <c r="J172" i="4"/>
  <c r="J173" i="4"/>
  <c r="M173" i="4" s="1"/>
  <c r="J174" i="4"/>
  <c r="J175" i="4"/>
  <c r="J176" i="4"/>
  <c r="J177" i="4"/>
  <c r="J178" i="4"/>
  <c r="J179" i="4"/>
  <c r="M179" i="4" s="1"/>
  <c r="J180" i="4"/>
  <c r="J181" i="4"/>
  <c r="M181" i="4" s="1"/>
  <c r="J182" i="4"/>
  <c r="J183" i="4"/>
  <c r="J184" i="4"/>
  <c r="J185" i="4"/>
  <c r="J186" i="4"/>
  <c r="J187" i="4"/>
  <c r="M187" i="4" s="1"/>
  <c r="J188" i="4"/>
  <c r="J189" i="4"/>
  <c r="M189" i="4" s="1"/>
  <c r="J190" i="4"/>
  <c r="J191" i="4"/>
  <c r="J192" i="4"/>
  <c r="J193" i="4"/>
  <c r="J194" i="4"/>
  <c r="J195" i="4"/>
  <c r="M195" i="4" s="1"/>
  <c r="J196" i="4"/>
  <c r="J197" i="4"/>
  <c r="J198" i="4"/>
  <c r="J199" i="4"/>
  <c r="J200" i="4"/>
  <c r="J201" i="4"/>
  <c r="J202" i="4"/>
  <c r="J203" i="4"/>
  <c r="J204" i="4"/>
  <c r="J205" i="4"/>
  <c r="M205" i="4" s="1"/>
  <c r="J206" i="4"/>
  <c r="J207" i="4"/>
  <c r="J208" i="4"/>
  <c r="J209" i="4"/>
  <c r="J210" i="4"/>
  <c r="J211" i="4"/>
  <c r="M211" i="4" s="1"/>
  <c r="J212" i="4"/>
  <c r="J213" i="4"/>
  <c r="M213" i="4" s="1"/>
  <c r="J214" i="4"/>
  <c r="J215" i="4"/>
  <c r="J216" i="4"/>
  <c r="J217" i="4"/>
  <c r="J218" i="4"/>
  <c r="J219" i="4"/>
  <c r="M219" i="4" s="1"/>
  <c r="J220" i="4"/>
  <c r="J221" i="4"/>
  <c r="M221" i="4" s="1"/>
  <c r="J222" i="4"/>
  <c r="J223" i="4"/>
  <c r="J224" i="4"/>
  <c r="J225" i="4"/>
  <c r="J226" i="4"/>
  <c r="J227" i="4"/>
  <c r="M227" i="4" s="1"/>
  <c r="J228" i="4"/>
  <c r="J229" i="4"/>
  <c r="J230" i="4"/>
  <c r="J231" i="4"/>
  <c r="J232" i="4"/>
  <c r="J233" i="4"/>
  <c r="J234" i="4"/>
  <c r="J235" i="4"/>
  <c r="J236" i="4"/>
  <c r="J237" i="4"/>
  <c r="M237" i="4" s="1"/>
  <c r="J238" i="4"/>
  <c r="J239" i="4"/>
  <c r="J240" i="4"/>
  <c r="J241" i="4"/>
  <c r="J242" i="4"/>
  <c r="J243" i="4"/>
  <c r="M243" i="4" s="1"/>
  <c r="J244" i="4"/>
  <c r="J245" i="4"/>
  <c r="M245" i="4" s="1"/>
  <c r="J246" i="4"/>
  <c r="J247" i="4"/>
  <c r="J248" i="4"/>
  <c r="J249" i="4"/>
  <c r="J250" i="4"/>
  <c r="J251" i="4"/>
  <c r="M251" i="4" s="1"/>
  <c r="J252" i="4"/>
  <c r="J253" i="4"/>
  <c r="M253" i="4" s="1"/>
  <c r="J254" i="4"/>
  <c r="J255" i="4"/>
  <c r="J256" i="4"/>
  <c r="J257" i="4"/>
  <c r="J258" i="4"/>
  <c r="J259" i="4"/>
  <c r="M259" i="4" s="1"/>
  <c r="J260" i="4"/>
  <c r="J261" i="4"/>
  <c r="J262" i="4"/>
  <c r="J263" i="4"/>
  <c r="J264" i="4"/>
  <c r="J265" i="4"/>
  <c r="J266" i="4"/>
  <c r="J267" i="4"/>
  <c r="J268" i="4"/>
  <c r="J269" i="4"/>
  <c r="M269" i="4" s="1"/>
  <c r="J270" i="4"/>
  <c r="J271" i="4"/>
  <c r="J272" i="4"/>
  <c r="J273" i="4"/>
  <c r="J274" i="4"/>
  <c r="J275" i="4"/>
  <c r="M275" i="4" s="1"/>
  <c r="J276" i="4"/>
  <c r="J277" i="4"/>
  <c r="M277" i="4" s="1"/>
  <c r="J278" i="4"/>
  <c r="J279" i="4"/>
  <c r="J280" i="4"/>
  <c r="J281" i="4"/>
  <c r="J282" i="4"/>
  <c r="J283" i="4"/>
  <c r="M283" i="4" s="1"/>
  <c r="J284" i="4"/>
  <c r="J285" i="4"/>
  <c r="M285" i="4" s="1"/>
  <c r="J286" i="4"/>
  <c r="J287" i="4"/>
  <c r="J288" i="4"/>
  <c r="J289" i="4"/>
  <c r="J290" i="4"/>
  <c r="J291" i="4"/>
  <c r="J292" i="4"/>
  <c r="J293" i="4"/>
  <c r="M293" i="4" s="1"/>
  <c r="J294" i="4"/>
  <c r="J295" i="4"/>
  <c r="J296" i="4"/>
  <c r="J297" i="4"/>
  <c r="J298" i="4"/>
  <c r="J299" i="4"/>
  <c r="M299" i="4" s="1"/>
  <c r="J300" i="4"/>
  <c r="J301" i="4"/>
  <c r="M301" i="4" s="1"/>
  <c r="J302" i="4"/>
  <c r="J303" i="4"/>
  <c r="J304" i="4"/>
  <c r="J305" i="4"/>
  <c r="J306" i="4"/>
  <c r="J307" i="4"/>
  <c r="J308" i="4"/>
  <c r="J309" i="4"/>
  <c r="M309" i="4" s="1"/>
  <c r="J310" i="4"/>
  <c r="J311" i="4"/>
  <c r="J312" i="4"/>
  <c r="J313" i="4"/>
  <c r="J314" i="4"/>
  <c r="J315" i="4"/>
  <c r="M315" i="4" s="1"/>
  <c r="J316" i="4"/>
  <c r="J317" i="4"/>
  <c r="M317" i="4" s="1"/>
  <c r="J318" i="4"/>
  <c r="J319" i="4"/>
  <c r="J320" i="4"/>
  <c r="J321" i="4"/>
  <c r="J322" i="4"/>
  <c r="J323" i="4"/>
  <c r="J324" i="4"/>
  <c r="J325" i="4"/>
  <c r="M325" i="4" s="1"/>
  <c r="J326" i="4"/>
  <c r="J327" i="4"/>
  <c r="J328" i="4"/>
  <c r="J329" i="4"/>
  <c r="J330" i="4"/>
  <c r="J331" i="4"/>
  <c r="M331" i="4" s="1"/>
  <c r="J332" i="4"/>
  <c r="J333" i="4"/>
  <c r="M333" i="4" s="1"/>
  <c r="J334" i="4"/>
  <c r="J335" i="4"/>
  <c r="J336" i="4"/>
  <c r="J337" i="4"/>
  <c r="J338" i="4"/>
  <c r="J339" i="4"/>
  <c r="J340" i="4"/>
  <c r="J341" i="4"/>
  <c r="M341" i="4" s="1"/>
  <c r="J342" i="4"/>
  <c r="J343" i="4"/>
  <c r="J344" i="4"/>
  <c r="J345" i="4"/>
  <c r="J346" i="4"/>
  <c r="J347" i="4"/>
  <c r="M347" i="4" s="1"/>
  <c r="J348" i="4"/>
  <c r="J349" i="4"/>
  <c r="M349" i="4" s="1"/>
  <c r="J350" i="4"/>
  <c r="J351" i="4"/>
  <c r="J352" i="4"/>
  <c r="J353" i="4"/>
  <c r="J354" i="4"/>
  <c r="J355" i="4"/>
  <c r="J356" i="4"/>
  <c r="J357" i="4"/>
  <c r="M357" i="4" s="1"/>
  <c r="J358" i="4"/>
  <c r="J359" i="4"/>
  <c r="J360" i="4"/>
  <c r="J361" i="4"/>
  <c r="J362" i="4"/>
  <c r="J363" i="4"/>
  <c r="M363" i="4" s="1"/>
  <c r="J364" i="4"/>
  <c r="J365" i="4"/>
  <c r="M365" i="4" s="1"/>
  <c r="J366" i="4"/>
  <c r="J367" i="4"/>
  <c r="J368" i="4"/>
  <c r="J369" i="4"/>
  <c r="J370" i="4"/>
  <c r="J371" i="4"/>
  <c r="J372" i="4"/>
  <c r="J373" i="4"/>
  <c r="M373" i="4" s="1"/>
  <c r="J374" i="4"/>
  <c r="J375" i="4"/>
  <c r="J376" i="4"/>
  <c r="J377" i="4"/>
  <c r="J378" i="4"/>
  <c r="J379" i="4"/>
  <c r="M379" i="4" s="1"/>
  <c r="J380" i="4"/>
  <c r="J381" i="4"/>
  <c r="M381" i="4" s="1"/>
  <c r="J382" i="4"/>
  <c r="J383" i="4"/>
  <c r="J384" i="4"/>
  <c r="J385" i="4"/>
  <c r="J386" i="4"/>
  <c r="J387" i="4"/>
  <c r="J388" i="4"/>
  <c r="J389" i="4"/>
  <c r="M389" i="4" s="1"/>
  <c r="J390" i="4"/>
  <c r="J391" i="4"/>
  <c r="J392" i="4"/>
  <c r="J393" i="4"/>
  <c r="J394" i="4"/>
  <c r="J395" i="4"/>
  <c r="M395" i="4" s="1"/>
  <c r="J396" i="4"/>
  <c r="J397" i="4"/>
  <c r="M397" i="4" s="1"/>
  <c r="J398" i="4"/>
  <c r="J399" i="4"/>
  <c r="J400" i="4"/>
  <c r="J401" i="4"/>
  <c r="J402" i="4"/>
  <c r="J403" i="4"/>
  <c r="J404" i="4"/>
  <c r="J405" i="4"/>
  <c r="M405" i="4" s="1"/>
  <c r="J406" i="4"/>
  <c r="J407" i="4"/>
  <c r="J408" i="4"/>
  <c r="J409" i="4"/>
  <c r="J410" i="4"/>
  <c r="J411" i="4"/>
  <c r="M411" i="4" s="1"/>
  <c r="J412" i="4"/>
  <c r="J413" i="4"/>
  <c r="M413" i="4" s="1"/>
  <c r="J414" i="4"/>
  <c r="J415" i="4"/>
  <c r="J416" i="4"/>
  <c r="J417" i="4"/>
  <c r="J418" i="4"/>
  <c r="J419" i="4"/>
  <c r="J420" i="4"/>
  <c r="J421" i="4"/>
  <c r="M421" i="4" s="1"/>
  <c r="J422" i="4"/>
  <c r="J423" i="4"/>
  <c r="J424" i="4"/>
  <c r="J425" i="4"/>
  <c r="J426" i="4"/>
  <c r="J427" i="4"/>
  <c r="M427" i="4" s="1"/>
  <c r="J428" i="4"/>
  <c r="J429" i="4"/>
  <c r="M429" i="4" s="1"/>
  <c r="J430" i="4"/>
  <c r="J431" i="4"/>
  <c r="J432" i="4"/>
  <c r="J433" i="4"/>
  <c r="J434" i="4"/>
  <c r="J435" i="4"/>
  <c r="J436" i="4"/>
  <c r="J437" i="4"/>
  <c r="M437" i="4" s="1"/>
  <c r="J438" i="4"/>
  <c r="J439" i="4"/>
  <c r="J440" i="4"/>
  <c r="J441" i="4"/>
  <c r="J442" i="4"/>
  <c r="J443" i="4"/>
  <c r="M443" i="4" s="1"/>
  <c r="J444" i="4"/>
  <c r="J445" i="4"/>
  <c r="M445" i="4" s="1"/>
  <c r="J446" i="4"/>
  <c r="J447" i="4"/>
  <c r="J448" i="4"/>
  <c r="J449" i="4"/>
  <c r="J450" i="4"/>
  <c r="J451" i="4"/>
  <c r="J452" i="4"/>
  <c r="J453" i="4"/>
  <c r="M453" i="4" s="1"/>
  <c r="J454" i="4"/>
  <c r="J455" i="4"/>
  <c r="J456" i="4"/>
  <c r="J457" i="4"/>
  <c r="J458" i="4"/>
  <c r="J459" i="4"/>
  <c r="M459" i="4" s="1"/>
  <c r="J460" i="4"/>
  <c r="J461" i="4"/>
  <c r="M461" i="4" s="1"/>
  <c r="J462" i="4"/>
  <c r="M462" i="4" s="1"/>
  <c r="J463" i="4"/>
  <c r="J464" i="4"/>
  <c r="J465" i="4"/>
  <c r="J466" i="4"/>
  <c r="J467" i="4"/>
  <c r="J468" i="4"/>
  <c r="J469" i="4"/>
  <c r="M469" i="4" s="1"/>
  <c r="J470" i="4"/>
  <c r="M470" i="4" s="1"/>
  <c r="J471" i="4"/>
  <c r="J472" i="4"/>
  <c r="J473" i="4"/>
  <c r="J474" i="4"/>
  <c r="J475" i="4"/>
  <c r="M475" i="4" s="1"/>
  <c r="J476" i="4"/>
  <c r="J477" i="4"/>
  <c r="M477" i="4" s="1"/>
  <c r="J478" i="4"/>
  <c r="M478" i="4" s="1"/>
  <c r="J479" i="4"/>
  <c r="J480" i="4"/>
  <c r="J481" i="4"/>
  <c r="J482" i="4"/>
  <c r="J483" i="4"/>
  <c r="J484" i="4"/>
  <c r="J485" i="4"/>
  <c r="M485" i="4" s="1"/>
  <c r="J486" i="4"/>
  <c r="M486" i="4" s="1"/>
  <c r="J487" i="4"/>
  <c r="J488" i="4"/>
  <c r="J489" i="4"/>
  <c r="J490" i="4"/>
  <c r="J491" i="4"/>
  <c r="M491" i="4" s="1"/>
  <c r="J492" i="4"/>
  <c r="J493" i="4"/>
  <c r="M493" i="4" s="1"/>
  <c r="J494" i="4"/>
  <c r="M494" i="4" s="1"/>
  <c r="J495" i="4"/>
  <c r="J496" i="4"/>
  <c r="J497" i="4"/>
  <c r="J498" i="4"/>
  <c r="J499" i="4"/>
  <c r="J500" i="4"/>
  <c r="J501" i="4"/>
  <c r="M501" i="4" s="1"/>
  <c r="J502" i="4"/>
  <c r="M502" i="4" s="1"/>
  <c r="J503" i="4"/>
  <c r="J504" i="4"/>
  <c r="J505" i="4"/>
  <c r="J506" i="4"/>
  <c r="J507" i="4"/>
  <c r="M507" i="4" s="1"/>
  <c r="J508" i="4"/>
  <c r="J509" i="4"/>
  <c r="M509" i="4" s="1"/>
  <c r="J510" i="4"/>
  <c r="M510" i="4" s="1"/>
  <c r="J511" i="4"/>
  <c r="J512" i="4"/>
  <c r="J513" i="4"/>
  <c r="J514" i="4"/>
  <c r="J515" i="4"/>
  <c r="J516" i="4"/>
  <c r="J517" i="4"/>
  <c r="M517" i="4" s="1"/>
  <c r="J518" i="4"/>
  <c r="M518" i="4" s="1"/>
  <c r="J519" i="4"/>
  <c r="J520" i="4"/>
  <c r="J521" i="4"/>
  <c r="J522" i="4"/>
  <c r="J523" i="4"/>
  <c r="M523" i="4" s="1"/>
  <c r="J524" i="4"/>
  <c r="J525" i="4"/>
  <c r="M525" i="4" s="1"/>
  <c r="J526" i="4"/>
  <c r="M526" i="4" s="1"/>
  <c r="J527" i="4"/>
  <c r="J528" i="4"/>
  <c r="J529" i="4"/>
  <c r="J530" i="4"/>
  <c r="J531" i="4"/>
  <c r="J532" i="4"/>
  <c r="J533" i="4"/>
  <c r="M533" i="4" s="1"/>
  <c r="J534" i="4"/>
  <c r="M534" i="4" s="1"/>
  <c r="J535" i="4"/>
  <c r="J536" i="4"/>
  <c r="J537" i="4"/>
  <c r="J538" i="4"/>
  <c r="J539" i="4"/>
  <c r="M539" i="4" s="1"/>
  <c r="J540" i="4"/>
  <c r="J541" i="4"/>
  <c r="M541" i="4" s="1"/>
  <c r="J542" i="4"/>
  <c r="M542" i="4" s="1"/>
  <c r="J543" i="4"/>
  <c r="J544" i="4"/>
  <c r="J545" i="4"/>
  <c r="J546" i="4"/>
  <c r="J547" i="4"/>
  <c r="J548" i="4"/>
  <c r="J549" i="4"/>
  <c r="M549" i="4" s="1"/>
  <c r="J550" i="4"/>
  <c r="M550" i="4" s="1"/>
  <c r="J551" i="4"/>
  <c r="J552" i="4"/>
  <c r="J553" i="4"/>
  <c r="J554" i="4"/>
  <c r="J555" i="4"/>
  <c r="M555" i="4" s="1"/>
  <c r="J556" i="4"/>
  <c r="J557" i="4"/>
  <c r="M557" i="4" s="1"/>
  <c r="J558" i="4"/>
  <c r="M558" i="4" s="1"/>
  <c r="J559" i="4"/>
  <c r="J560" i="4"/>
  <c r="J561" i="4"/>
  <c r="J562" i="4"/>
  <c r="J563" i="4"/>
  <c r="J564" i="4"/>
  <c r="J565" i="4"/>
  <c r="M565" i="4" s="1"/>
  <c r="J566" i="4"/>
  <c r="M566" i="4" s="1"/>
  <c r="J567" i="4"/>
  <c r="J568" i="4"/>
  <c r="J569" i="4"/>
  <c r="J570" i="4"/>
  <c r="J571" i="4"/>
  <c r="M571" i="4" s="1"/>
  <c r="J572" i="4"/>
  <c r="J573" i="4"/>
  <c r="M573" i="4" s="1"/>
  <c r="J574" i="4"/>
  <c r="M574" i="4" s="1"/>
  <c r="J575" i="4"/>
  <c r="J576" i="4"/>
  <c r="J577" i="4"/>
  <c r="J578" i="4"/>
  <c r="J579" i="4"/>
  <c r="J580" i="4"/>
  <c r="J581" i="4"/>
  <c r="M581" i="4" s="1"/>
  <c r="J582" i="4"/>
  <c r="M582" i="4" s="1"/>
  <c r="J583" i="4"/>
  <c r="J584" i="4"/>
  <c r="J585" i="4"/>
  <c r="J586" i="4"/>
  <c r="J587" i="4"/>
  <c r="M587" i="4" s="1"/>
  <c r="J588" i="4"/>
  <c r="J589" i="4"/>
  <c r="M589" i="4" s="1"/>
  <c r="J590" i="4"/>
  <c r="M590" i="4" s="1"/>
  <c r="J591" i="4"/>
  <c r="J592" i="4"/>
  <c r="J593" i="4"/>
  <c r="J594" i="4"/>
  <c r="J595" i="4"/>
  <c r="J596" i="4"/>
  <c r="J597" i="4"/>
  <c r="M597" i="4" s="1"/>
  <c r="J598" i="4"/>
  <c r="M598" i="4" s="1"/>
  <c r="J599" i="4"/>
  <c r="J600" i="4"/>
  <c r="J601" i="4"/>
  <c r="J602" i="4"/>
  <c r="J603" i="4"/>
  <c r="M603" i="4" s="1"/>
  <c r="J604" i="4"/>
  <c r="J605" i="4"/>
  <c r="M605" i="4" s="1"/>
  <c r="J606" i="4"/>
  <c r="M606" i="4" s="1"/>
  <c r="J607" i="4"/>
  <c r="J608" i="4"/>
  <c r="J609" i="4"/>
  <c r="J610" i="4"/>
  <c r="J611" i="4"/>
  <c r="J612" i="4"/>
  <c r="J613" i="4"/>
  <c r="M613" i="4" s="1"/>
  <c r="J614" i="4"/>
  <c r="M614" i="4" s="1"/>
  <c r="J615" i="4"/>
  <c r="J616" i="4"/>
  <c r="J617" i="4"/>
  <c r="J618" i="4"/>
  <c r="J619" i="4"/>
  <c r="M619" i="4" s="1"/>
  <c r="J620" i="4"/>
  <c r="J621" i="4"/>
  <c r="M621" i="4" s="1"/>
  <c r="J622" i="4"/>
  <c r="M622" i="4" s="1"/>
  <c r="J623" i="4"/>
  <c r="J624" i="4"/>
  <c r="J625" i="4"/>
  <c r="J626" i="4"/>
  <c r="J627" i="4"/>
  <c r="J628" i="4"/>
  <c r="J629" i="4"/>
  <c r="M629" i="4" s="1"/>
  <c r="J630" i="4"/>
  <c r="M630" i="4" s="1"/>
  <c r="J631" i="4"/>
  <c r="J632" i="4"/>
  <c r="J633" i="4"/>
  <c r="J634" i="4"/>
  <c r="J635" i="4"/>
  <c r="M635" i="4" s="1"/>
  <c r="J636" i="4"/>
  <c r="J637" i="4"/>
  <c r="M637" i="4" s="1"/>
  <c r="J638" i="4"/>
  <c r="M638" i="4" s="1"/>
  <c r="J639" i="4"/>
  <c r="J640" i="4"/>
  <c r="J641" i="4"/>
  <c r="J642" i="4"/>
  <c r="J643" i="4"/>
  <c r="J644" i="4"/>
  <c r="J645" i="4"/>
  <c r="M645" i="4" s="1"/>
  <c r="J646" i="4"/>
  <c r="M646" i="4" s="1"/>
  <c r="J647" i="4"/>
  <c r="J648" i="4"/>
  <c r="J649" i="4"/>
  <c r="J650" i="4"/>
  <c r="J651" i="4"/>
  <c r="M651" i="4" s="1"/>
  <c r="J652" i="4"/>
  <c r="J653" i="4"/>
  <c r="M653" i="4" s="1"/>
  <c r="J654" i="4"/>
  <c r="M654" i="4" s="1"/>
  <c r="J655" i="4"/>
  <c r="J656" i="4"/>
  <c r="J657" i="4"/>
  <c r="J658" i="4"/>
  <c r="J659" i="4"/>
  <c r="J660" i="4"/>
  <c r="J661" i="4"/>
  <c r="M661" i="4" s="1"/>
  <c r="J662" i="4"/>
  <c r="M662" i="4" s="1"/>
  <c r="J663" i="4"/>
  <c r="J664" i="4"/>
  <c r="J665" i="4"/>
  <c r="J666" i="4"/>
  <c r="J667" i="4"/>
  <c r="M667" i="4" s="1"/>
  <c r="J668" i="4"/>
  <c r="J669" i="4"/>
  <c r="M669" i="4" s="1"/>
  <c r="J670" i="4"/>
  <c r="M670" i="4" s="1"/>
  <c r="J671" i="4"/>
  <c r="J672" i="4"/>
  <c r="J673" i="4"/>
  <c r="J674" i="4"/>
  <c r="J675" i="4"/>
  <c r="J676" i="4"/>
  <c r="J677" i="4"/>
  <c r="M677" i="4" s="1"/>
  <c r="J678" i="4"/>
  <c r="M678" i="4" s="1"/>
  <c r="J679" i="4"/>
  <c r="J680" i="4"/>
  <c r="J681" i="4"/>
  <c r="J682" i="4"/>
  <c r="J683" i="4"/>
  <c r="M683" i="4" s="1"/>
  <c r="J684" i="4"/>
  <c r="J685" i="4"/>
  <c r="M685" i="4" s="1"/>
  <c r="J686" i="4"/>
  <c r="M686" i="4" s="1"/>
  <c r="J687" i="4"/>
  <c r="J688" i="4"/>
  <c r="J689" i="4"/>
  <c r="J690" i="4"/>
  <c r="J691" i="4"/>
  <c r="J692" i="4"/>
  <c r="J693" i="4"/>
  <c r="M693" i="4" s="1"/>
  <c r="J694" i="4"/>
  <c r="M694" i="4" s="1"/>
  <c r="J695" i="4"/>
  <c r="J696" i="4"/>
  <c r="J697" i="4"/>
  <c r="J698" i="4"/>
  <c r="J699" i="4"/>
  <c r="M699" i="4" s="1"/>
  <c r="J700" i="4"/>
  <c r="J701" i="4"/>
  <c r="M701" i="4" s="1"/>
  <c r="J702" i="4"/>
  <c r="M702" i="4" s="1"/>
  <c r="J703" i="4"/>
  <c r="J704" i="4"/>
  <c r="J705" i="4"/>
  <c r="J706" i="4"/>
  <c r="J707" i="4"/>
  <c r="J708" i="4"/>
  <c r="J709" i="4"/>
  <c r="M709" i="4" s="1"/>
  <c r="J710" i="4"/>
  <c r="M710" i="4" s="1"/>
  <c r="J711" i="4"/>
  <c r="J712" i="4"/>
  <c r="J713" i="4"/>
  <c r="J714" i="4"/>
  <c r="J715" i="4"/>
  <c r="M715" i="4" s="1"/>
  <c r="J716" i="4"/>
  <c r="J717" i="4"/>
  <c r="M717" i="4" s="1"/>
  <c r="J718" i="4"/>
  <c r="M718" i="4" s="1"/>
  <c r="J719" i="4"/>
  <c r="J720" i="4"/>
  <c r="J721" i="4"/>
  <c r="J722" i="4"/>
  <c r="J723" i="4"/>
  <c r="J724" i="4"/>
  <c r="J725" i="4"/>
  <c r="M725" i="4" s="1"/>
  <c r="J726" i="4"/>
  <c r="M726" i="4" s="1"/>
  <c r="J727" i="4"/>
  <c r="J728" i="4"/>
  <c r="J729" i="4"/>
  <c r="J730" i="4"/>
  <c r="J731" i="4"/>
  <c r="M731" i="4" s="1"/>
  <c r="J732" i="4"/>
  <c r="J733" i="4"/>
  <c r="M733" i="4" s="1"/>
  <c r="J734" i="4"/>
  <c r="M734" i="4" s="1"/>
  <c r="J735" i="4"/>
  <c r="J736" i="4"/>
  <c r="J737" i="4"/>
  <c r="J738" i="4"/>
  <c r="J739" i="4"/>
  <c r="J740" i="4"/>
  <c r="J741" i="4"/>
  <c r="M741" i="4" s="1"/>
  <c r="J742" i="4"/>
  <c r="M742" i="4" s="1"/>
  <c r="J743" i="4"/>
  <c r="J744" i="4"/>
  <c r="J745" i="4"/>
  <c r="J746" i="4"/>
  <c r="J747" i="4"/>
  <c r="M747" i="4" s="1"/>
  <c r="J748" i="4"/>
  <c r="J749" i="4"/>
  <c r="M749" i="4" s="1"/>
  <c r="J750" i="4"/>
  <c r="M750" i="4" s="1"/>
  <c r="J751" i="4"/>
  <c r="J752" i="4"/>
  <c r="J753" i="4"/>
  <c r="J754" i="4"/>
  <c r="J755" i="4"/>
  <c r="J756" i="4"/>
  <c r="J757" i="4"/>
  <c r="M757" i="4" s="1"/>
  <c r="J758" i="4"/>
  <c r="M758" i="4" s="1"/>
  <c r="J759" i="4"/>
  <c r="J760" i="4"/>
  <c r="J761" i="4"/>
  <c r="J762" i="4"/>
  <c r="J763" i="4"/>
  <c r="M763" i="4" s="1"/>
  <c r="J764" i="4"/>
  <c r="J765" i="4"/>
  <c r="M765" i="4" s="1"/>
  <c r="J766" i="4"/>
  <c r="M766" i="4" s="1"/>
  <c r="J767" i="4"/>
  <c r="J768" i="4"/>
  <c r="J769" i="4"/>
  <c r="J770" i="4"/>
  <c r="J771" i="4"/>
  <c r="J772" i="4"/>
  <c r="J773" i="4"/>
  <c r="M773" i="4" s="1"/>
  <c r="J774" i="4"/>
  <c r="M774" i="4" s="1"/>
  <c r="J775" i="4"/>
  <c r="J776" i="4"/>
  <c r="J777" i="4"/>
  <c r="J778" i="4"/>
  <c r="J779" i="4"/>
  <c r="M779" i="4" s="1"/>
  <c r="J780" i="4"/>
  <c r="J781" i="4"/>
  <c r="M781" i="4" s="1"/>
  <c r="J782" i="4"/>
  <c r="M782" i="4" s="1"/>
  <c r="J783" i="4"/>
  <c r="J784" i="4"/>
  <c r="J785" i="4"/>
  <c r="J786" i="4"/>
  <c r="J787" i="4"/>
  <c r="J788" i="4"/>
  <c r="J789" i="4"/>
  <c r="M789" i="4" s="1"/>
  <c r="J790" i="4"/>
  <c r="M790" i="4" s="1"/>
  <c r="J791" i="4"/>
  <c r="J792" i="4"/>
  <c r="J793" i="4"/>
  <c r="J794" i="4"/>
  <c r="J795" i="4"/>
  <c r="M795" i="4" s="1"/>
  <c r="J796" i="4"/>
  <c r="J797" i="4"/>
  <c r="M797" i="4" s="1"/>
  <c r="J798" i="4"/>
  <c r="M798" i="4" s="1"/>
  <c r="J799" i="4"/>
  <c r="J800" i="4"/>
  <c r="J801" i="4"/>
  <c r="J802" i="4"/>
  <c r="J803" i="4"/>
  <c r="J804" i="4"/>
  <c r="J805" i="4"/>
  <c r="M805" i="4" s="1"/>
  <c r="J806" i="4"/>
  <c r="M806" i="4" s="1"/>
  <c r="J807" i="4"/>
  <c r="J808" i="4"/>
  <c r="J809" i="4"/>
  <c r="J810" i="4"/>
  <c r="J811" i="4"/>
  <c r="M811" i="4" s="1"/>
  <c r="J812" i="4"/>
  <c r="J813" i="4"/>
  <c r="M813" i="4" s="1"/>
  <c r="J814" i="4"/>
  <c r="M814" i="4" s="1"/>
  <c r="J815" i="4"/>
  <c r="J816" i="4"/>
  <c r="J817" i="4"/>
  <c r="J818" i="4"/>
  <c r="J819" i="4"/>
  <c r="J820" i="4"/>
  <c r="J821" i="4"/>
  <c r="M821" i="4" s="1"/>
  <c r="J822" i="4"/>
  <c r="M822" i="4" s="1"/>
  <c r="J823" i="4"/>
  <c r="J824" i="4"/>
  <c r="J825" i="4"/>
  <c r="J826" i="4"/>
  <c r="J827" i="4"/>
  <c r="M827" i="4" s="1"/>
  <c r="J828" i="4"/>
  <c r="J829" i="4"/>
  <c r="M829" i="4" s="1"/>
  <c r="J830" i="4"/>
  <c r="M830" i="4" s="1"/>
  <c r="J831" i="4"/>
  <c r="J832" i="4"/>
  <c r="J833" i="4"/>
  <c r="J834" i="4"/>
  <c r="J835" i="4"/>
  <c r="J836" i="4"/>
  <c r="J837" i="4"/>
  <c r="M837" i="4" s="1"/>
  <c r="J838" i="4"/>
  <c r="M838" i="4" s="1"/>
  <c r="J839" i="4"/>
  <c r="J840" i="4"/>
  <c r="J841" i="4"/>
  <c r="J842" i="4"/>
  <c r="J843" i="4"/>
  <c r="J844" i="4"/>
  <c r="J845" i="4"/>
  <c r="J846" i="4"/>
  <c r="M846" i="4" s="1"/>
  <c r="J847" i="4"/>
  <c r="J848" i="4"/>
  <c r="J849" i="4"/>
  <c r="J850" i="4"/>
  <c r="J851" i="4"/>
  <c r="J852" i="4"/>
  <c r="J853" i="4"/>
  <c r="J854" i="4"/>
  <c r="M854" i="4" s="1"/>
  <c r="J855" i="4"/>
  <c r="J856" i="4"/>
  <c r="J857" i="4"/>
  <c r="J858" i="4"/>
  <c r="J859" i="4"/>
  <c r="J860" i="4"/>
  <c r="J861" i="4"/>
  <c r="J862" i="4"/>
  <c r="M862" i="4" s="1"/>
  <c r="J863" i="4"/>
  <c r="J864" i="4"/>
  <c r="J865" i="4"/>
  <c r="J866" i="4"/>
  <c r="J867" i="4"/>
  <c r="J868" i="4"/>
  <c r="J869" i="4"/>
  <c r="J870" i="4"/>
  <c r="M870" i="4" s="1"/>
  <c r="J871" i="4"/>
  <c r="J872" i="4"/>
  <c r="J873" i="4"/>
  <c r="J874" i="4"/>
  <c r="J875" i="4"/>
  <c r="J876" i="4"/>
  <c r="J877" i="4"/>
  <c r="J878" i="4"/>
  <c r="M878" i="4" s="1"/>
  <c r="J879" i="4"/>
  <c r="J880" i="4"/>
  <c r="J881" i="4"/>
  <c r="J882" i="4"/>
  <c r="J883" i="4"/>
  <c r="J884" i="4"/>
  <c r="J885" i="4"/>
  <c r="J886" i="4"/>
  <c r="M886" i="4" s="1"/>
  <c r="J887" i="4"/>
  <c r="J888" i="4"/>
  <c r="J889" i="4"/>
  <c r="J890" i="4"/>
  <c r="J891" i="4"/>
  <c r="J892" i="4"/>
  <c r="J893" i="4"/>
  <c r="J894" i="4"/>
  <c r="M894" i="4" s="1"/>
  <c r="J895" i="4"/>
  <c r="J896" i="4"/>
  <c r="J897" i="4"/>
  <c r="J898" i="4"/>
  <c r="J899" i="4"/>
  <c r="J900" i="4"/>
  <c r="J901" i="4"/>
  <c r="J902" i="4"/>
  <c r="M902" i="4" s="1"/>
  <c r="J903" i="4"/>
  <c r="J904" i="4"/>
  <c r="J905" i="4"/>
  <c r="J906" i="4"/>
  <c r="J907" i="4"/>
  <c r="J908" i="4"/>
  <c r="J909" i="4"/>
  <c r="J910" i="4"/>
  <c r="M910" i="4" s="1"/>
  <c r="J911" i="4"/>
  <c r="J912" i="4"/>
  <c r="J913" i="4"/>
  <c r="J914" i="4"/>
  <c r="J915" i="4"/>
  <c r="J916" i="4"/>
  <c r="J917" i="4"/>
  <c r="J918" i="4"/>
  <c r="M918" i="4" s="1"/>
  <c r="J919" i="4"/>
  <c r="J920" i="4"/>
  <c r="J921" i="4"/>
  <c r="J922" i="4"/>
  <c r="J923" i="4"/>
  <c r="J924" i="4"/>
  <c r="J925" i="4"/>
  <c r="J926" i="4"/>
  <c r="M926" i="4" s="1"/>
  <c r="J927" i="4"/>
  <c r="J928" i="4"/>
  <c r="J929" i="4"/>
  <c r="J930" i="4"/>
  <c r="J931" i="4"/>
  <c r="J932" i="4"/>
  <c r="J933" i="4"/>
  <c r="J934" i="4"/>
  <c r="M934" i="4" s="1"/>
  <c r="J935" i="4"/>
  <c r="J936" i="4"/>
  <c r="J937" i="4"/>
  <c r="J938" i="4"/>
  <c r="J939" i="4"/>
  <c r="J940" i="4"/>
  <c r="J941" i="4"/>
  <c r="J942" i="4"/>
  <c r="M942" i="4" s="1"/>
  <c r="J943" i="4"/>
  <c r="J944" i="4"/>
  <c r="J945" i="4"/>
  <c r="J946" i="4"/>
  <c r="J947" i="4"/>
  <c r="J948" i="4"/>
  <c r="J949" i="4"/>
  <c r="J950" i="4"/>
  <c r="M950" i="4" s="1"/>
  <c r="J951" i="4"/>
  <c r="J952" i="4"/>
  <c r="J953" i="4"/>
  <c r="J954" i="4"/>
  <c r="J955" i="4"/>
  <c r="J956" i="4"/>
  <c r="J957" i="4"/>
  <c r="J958" i="4"/>
  <c r="M958" i="4" s="1"/>
  <c r="J959" i="4"/>
  <c r="J960" i="4"/>
  <c r="J961" i="4"/>
  <c r="J962" i="4"/>
  <c r="J963" i="4"/>
  <c r="J964" i="4"/>
  <c r="J965" i="4"/>
  <c r="J966" i="4"/>
  <c r="M966" i="4" s="1"/>
  <c r="J967" i="4"/>
  <c r="J968" i="4"/>
  <c r="J969" i="4"/>
  <c r="J970" i="4"/>
  <c r="J971" i="4"/>
  <c r="J972" i="4"/>
  <c r="J973" i="4"/>
  <c r="J974" i="4"/>
  <c r="M974" i="4" s="1"/>
  <c r="J975" i="4"/>
  <c r="J976" i="4"/>
  <c r="J977" i="4"/>
  <c r="J978" i="4"/>
  <c r="J979" i="4"/>
  <c r="J980" i="4"/>
  <c r="J981" i="4"/>
  <c r="J982" i="4"/>
  <c r="M982" i="4" s="1"/>
  <c r="J983" i="4"/>
  <c r="J984" i="4"/>
  <c r="J985" i="4"/>
  <c r="J986" i="4"/>
  <c r="J987" i="4"/>
  <c r="J988" i="4"/>
  <c r="J989" i="4"/>
  <c r="J990" i="4"/>
  <c r="M990" i="4" s="1"/>
  <c r="J991" i="4"/>
  <c r="J992" i="4"/>
  <c r="J993" i="4"/>
  <c r="J994" i="4"/>
  <c r="J995" i="4"/>
  <c r="J996" i="4"/>
  <c r="J997" i="4"/>
  <c r="J998" i="4"/>
  <c r="M998" i="4" s="1"/>
  <c r="J999" i="4"/>
  <c r="J1000" i="4"/>
  <c r="J1001" i="4"/>
  <c r="J1002" i="4"/>
  <c r="J1003" i="4"/>
  <c r="J1004" i="4"/>
  <c r="J1005" i="4"/>
  <c r="J1006" i="4"/>
  <c r="M1006" i="4" s="1"/>
  <c r="J1007" i="4"/>
  <c r="J1008" i="4"/>
  <c r="J1009" i="4"/>
  <c r="J1010" i="4"/>
  <c r="J1011" i="4"/>
  <c r="J1012" i="4"/>
  <c r="J1013" i="4"/>
  <c r="J1014" i="4"/>
  <c r="M1014" i="4" s="1"/>
  <c r="J1015" i="4"/>
  <c r="J1016" i="4"/>
  <c r="J1017" i="4"/>
  <c r="J1018" i="4"/>
  <c r="J1019" i="4"/>
  <c r="J1020" i="4"/>
  <c r="J1021" i="4"/>
  <c r="J1022" i="4"/>
  <c r="M1022" i="4" s="1"/>
  <c r="J1023" i="4"/>
  <c r="J1024" i="4"/>
  <c r="J1025" i="4"/>
  <c r="J1026" i="4"/>
  <c r="J1027" i="4"/>
  <c r="J1028" i="4"/>
  <c r="J1029" i="4"/>
  <c r="J1030" i="4"/>
  <c r="M1030" i="4" s="1"/>
  <c r="J1031" i="4"/>
  <c r="J1032" i="4"/>
  <c r="J1033" i="4"/>
  <c r="J1034" i="4"/>
  <c r="J1035" i="4"/>
  <c r="J1036" i="4"/>
  <c r="J1037" i="4"/>
  <c r="J1038" i="4"/>
  <c r="M1038" i="4" s="1"/>
  <c r="J1039" i="4"/>
  <c r="J1040" i="4"/>
  <c r="J1041" i="4"/>
  <c r="J1042" i="4"/>
  <c r="J1043" i="4"/>
  <c r="J1044" i="4"/>
  <c r="J1045" i="4"/>
  <c r="J1046" i="4"/>
  <c r="M1046" i="4" s="1"/>
  <c r="J1047" i="4"/>
  <c r="J1048" i="4"/>
  <c r="J1049" i="4"/>
  <c r="J1050" i="4"/>
  <c r="J1051" i="4"/>
  <c r="J1052" i="4"/>
  <c r="J1053" i="4"/>
  <c r="J1054" i="4"/>
  <c r="M1054" i="4" s="1"/>
  <c r="J1055" i="4"/>
  <c r="J1056" i="4"/>
  <c r="J1057" i="4"/>
  <c r="J1058" i="4"/>
  <c r="J1059" i="4"/>
  <c r="J1060" i="4"/>
  <c r="J1061" i="4"/>
  <c r="J1062" i="4"/>
  <c r="M1062" i="4" s="1"/>
  <c r="J1063" i="4"/>
  <c r="J1064" i="4"/>
  <c r="J1065" i="4"/>
  <c r="J1066" i="4"/>
  <c r="J1067" i="4"/>
  <c r="J1068" i="4"/>
  <c r="J1069" i="4"/>
  <c r="J1070" i="4"/>
  <c r="M1070" i="4" s="1"/>
  <c r="J1071" i="4"/>
  <c r="J1072" i="4"/>
  <c r="J1073" i="4"/>
  <c r="J1074" i="4"/>
  <c r="J1075" i="4"/>
  <c r="J1076" i="4"/>
  <c r="J1077" i="4"/>
  <c r="J1078" i="4"/>
  <c r="M1078" i="4" s="1"/>
  <c r="J1079" i="4"/>
  <c r="J1080" i="4"/>
  <c r="J1081" i="4"/>
  <c r="J1082" i="4"/>
  <c r="J1083" i="4"/>
  <c r="J1084" i="4"/>
  <c r="J1085" i="4"/>
  <c r="J1086" i="4"/>
  <c r="M1086" i="4" s="1"/>
  <c r="J1087" i="4"/>
  <c r="J1088" i="4"/>
  <c r="J1089" i="4"/>
  <c r="J1090" i="4"/>
  <c r="J1091" i="4"/>
  <c r="J1092" i="4"/>
  <c r="J1093" i="4"/>
  <c r="J1094" i="4"/>
  <c r="M1094" i="4" s="1"/>
  <c r="J1095" i="4"/>
  <c r="J1096" i="4"/>
  <c r="J1097" i="4"/>
  <c r="J1098" i="4"/>
  <c r="J1099" i="4"/>
  <c r="J1100" i="4"/>
  <c r="J1101" i="4"/>
  <c r="J1102" i="4"/>
  <c r="M1102" i="4" s="1"/>
  <c r="J1103" i="4"/>
  <c r="J1104" i="4"/>
  <c r="J1105" i="4"/>
  <c r="J1106" i="4"/>
  <c r="J1107" i="4"/>
  <c r="J1108" i="4"/>
  <c r="J1109" i="4"/>
  <c r="J1110" i="4"/>
  <c r="M1110" i="4" s="1"/>
  <c r="J1111" i="4"/>
  <c r="J1112" i="4"/>
  <c r="J1113" i="4"/>
  <c r="J1114" i="4"/>
  <c r="J1115" i="4"/>
  <c r="J1116" i="4"/>
  <c r="J1117" i="4"/>
  <c r="J1118" i="4"/>
  <c r="M1118" i="4" s="1"/>
  <c r="J1119" i="4"/>
  <c r="J1120" i="4"/>
  <c r="J1121" i="4"/>
  <c r="J1122" i="4"/>
  <c r="J1123" i="4"/>
  <c r="J1124" i="4"/>
  <c r="J1125" i="4"/>
  <c r="J1126" i="4"/>
  <c r="M1126" i="4" s="1"/>
  <c r="J1127" i="4"/>
  <c r="J1128" i="4"/>
  <c r="J1129" i="4"/>
  <c r="J1130" i="4"/>
  <c r="J1131" i="4"/>
  <c r="J1132" i="4"/>
  <c r="J1133" i="4"/>
  <c r="J1134" i="4"/>
  <c r="M1134" i="4" s="1"/>
  <c r="J1135" i="4"/>
  <c r="J1136" i="4"/>
  <c r="J1137" i="4"/>
  <c r="J1138" i="4"/>
  <c r="J1139" i="4"/>
  <c r="J1140" i="4"/>
  <c r="J1141" i="4"/>
  <c r="J1142" i="4"/>
  <c r="M1142" i="4" s="1"/>
  <c r="J1143" i="4"/>
  <c r="J1144" i="4"/>
  <c r="J1145" i="4"/>
  <c r="J1146" i="4"/>
  <c r="J1147" i="4"/>
  <c r="J1148" i="4"/>
  <c r="J1149" i="4"/>
  <c r="J1150" i="4"/>
  <c r="M1150" i="4" s="1"/>
  <c r="J1151" i="4"/>
  <c r="J1152" i="4"/>
  <c r="J1153" i="4"/>
  <c r="J1154" i="4"/>
  <c r="J1155" i="4"/>
  <c r="J1156" i="4"/>
  <c r="J1157" i="4"/>
  <c r="J1158" i="4"/>
  <c r="M1158" i="4" s="1"/>
  <c r="J1159" i="4"/>
  <c r="J1160" i="4"/>
  <c r="J1161" i="4"/>
  <c r="J1162" i="4"/>
  <c r="J1163" i="4"/>
  <c r="J1164" i="4"/>
  <c r="J1165" i="4"/>
  <c r="J1166" i="4"/>
  <c r="M1166" i="4" s="1"/>
  <c r="J1167" i="4"/>
  <c r="J1168" i="4"/>
  <c r="J1169" i="4"/>
  <c r="J1170" i="4"/>
  <c r="J1171" i="4"/>
  <c r="J1172" i="4"/>
  <c r="J1173" i="4"/>
  <c r="J1174" i="4"/>
  <c r="M1174" i="4" s="1"/>
  <c r="J1175" i="4"/>
  <c r="J1176" i="4"/>
  <c r="J1177" i="4"/>
  <c r="J1178" i="4"/>
  <c r="J1179" i="4"/>
  <c r="J1180" i="4"/>
  <c r="J1181" i="4"/>
  <c r="J1182" i="4"/>
  <c r="M1182" i="4" s="1"/>
  <c r="J1183" i="4"/>
  <c r="J1184" i="4"/>
  <c r="J1185" i="4"/>
  <c r="J1186" i="4"/>
  <c r="J1187" i="4"/>
  <c r="J1188" i="4"/>
  <c r="J1189" i="4"/>
  <c r="J1190" i="4"/>
  <c r="M1190" i="4" s="1"/>
  <c r="J1191" i="4"/>
  <c r="J1192" i="4"/>
  <c r="J1193" i="4"/>
  <c r="J1194" i="4"/>
  <c r="J1195" i="4"/>
  <c r="J1196" i="4"/>
  <c r="J1197" i="4"/>
  <c r="J1198" i="4"/>
  <c r="M1198" i="4" s="1"/>
  <c r="J1199" i="4"/>
  <c r="J1200" i="4"/>
  <c r="J1201" i="4"/>
  <c r="J1202" i="4"/>
  <c r="J1203" i="4"/>
  <c r="J1204" i="4"/>
  <c r="J1205" i="4"/>
  <c r="J1206" i="4"/>
  <c r="M1206" i="4" s="1"/>
  <c r="J1207" i="4"/>
  <c r="J1208" i="4"/>
  <c r="J1209" i="4"/>
  <c r="J1210" i="4"/>
  <c r="J1211" i="4"/>
  <c r="J1212" i="4"/>
  <c r="J1213" i="4"/>
  <c r="J1214" i="4"/>
  <c r="M1214" i="4" s="1"/>
  <c r="J1215" i="4"/>
  <c r="J1216" i="4"/>
  <c r="J1217" i="4"/>
  <c r="J1218" i="4"/>
  <c r="J1219" i="4"/>
  <c r="J1220" i="4"/>
  <c r="J1221" i="4"/>
  <c r="J1222" i="4"/>
  <c r="M1222" i="4" s="1"/>
  <c r="J1223" i="4"/>
  <c r="J1224" i="4"/>
  <c r="J1225" i="4"/>
  <c r="J1226" i="4"/>
  <c r="J1227" i="4"/>
  <c r="J1228" i="4"/>
  <c r="J1229" i="4"/>
  <c r="J1230" i="4"/>
  <c r="M1230" i="4" s="1"/>
  <c r="J1231" i="4"/>
  <c r="J1232" i="4"/>
  <c r="J1233" i="4"/>
  <c r="J1234" i="4"/>
  <c r="J1235" i="4"/>
  <c r="J1236" i="4"/>
  <c r="J1237" i="4"/>
  <c r="J1238" i="4"/>
  <c r="M1238" i="4" s="1"/>
  <c r="J1239" i="4"/>
  <c r="J1240" i="4"/>
  <c r="J1241" i="4"/>
  <c r="J1242" i="4"/>
  <c r="J1243" i="4"/>
  <c r="J1244" i="4"/>
  <c r="J1245" i="4"/>
  <c r="J1246" i="4"/>
  <c r="M1246" i="4" s="1"/>
  <c r="J1247" i="4"/>
  <c r="J1248" i="4"/>
  <c r="J1249" i="4"/>
  <c r="J1250" i="4"/>
  <c r="J1251" i="4"/>
  <c r="J1252" i="4"/>
  <c r="J1253" i="4"/>
  <c r="J1254" i="4"/>
  <c r="M1254" i="4" s="1"/>
  <c r="J1255" i="4"/>
  <c r="J1256" i="4"/>
  <c r="J1257" i="4"/>
  <c r="J1258" i="4"/>
  <c r="J1259" i="4"/>
  <c r="J1260" i="4"/>
  <c r="J1261" i="4"/>
  <c r="J1262" i="4"/>
  <c r="M1262" i="4" s="1"/>
  <c r="J1263" i="4"/>
  <c r="J1264" i="4"/>
  <c r="J1265" i="4"/>
  <c r="J1266" i="4"/>
  <c r="J1267" i="4"/>
  <c r="J1268" i="4"/>
  <c r="J1269" i="4"/>
  <c r="J1270" i="4"/>
  <c r="M1270" i="4" s="1"/>
  <c r="J1271" i="4"/>
  <c r="J1272" i="4"/>
  <c r="J1273" i="4"/>
  <c r="J1274" i="4"/>
  <c r="J1275" i="4"/>
  <c r="J1276" i="4"/>
  <c r="J1277" i="4"/>
  <c r="J1278" i="4"/>
  <c r="M1278" i="4" s="1"/>
  <c r="J1279" i="4"/>
  <c r="J1280" i="4"/>
  <c r="J1281" i="4"/>
  <c r="J1282" i="4"/>
  <c r="J1283" i="4"/>
  <c r="J1284" i="4"/>
  <c r="J1285" i="4"/>
  <c r="J1286" i="4"/>
  <c r="M1286" i="4" s="1"/>
  <c r="J1287" i="4"/>
  <c r="J1288" i="4"/>
  <c r="J1289" i="4"/>
  <c r="J1290" i="4"/>
  <c r="J1291" i="4"/>
  <c r="J1292" i="4"/>
  <c r="J1293" i="4"/>
  <c r="J1294" i="4"/>
  <c r="M1294" i="4" s="1"/>
  <c r="J1295" i="4"/>
  <c r="J1296" i="4"/>
  <c r="J1297" i="4"/>
  <c r="J1298" i="4"/>
  <c r="J1299" i="4"/>
  <c r="J1300" i="4"/>
  <c r="J1301" i="4"/>
  <c r="J2" i="4"/>
  <c r="M2" i="4" s="1"/>
  <c r="I1203" i="4"/>
  <c r="I1204" i="4"/>
  <c r="I1205" i="4"/>
  <c r="I1206" i="4"/>
  <c r="I1207" i="4"/>
  <c r="I1208" i="4"/>
  <c r="I1209" i="4"/>
  <c r="I1210" i="4"/>
  <c r="I1211" i="4"/>
  <c r="I1212" i="4"/>
  <c r="I1213" i="4"/>
  <c r="I1214" i="4"/>
  <c r="I1215" i="4"/>
  <c r="I1216" i="4"/>
  <c r="I1217" i="4"/>
  <c r="I1218" i="4"/>
  <c r="I1219" i="4"/>
  <c r="I1220" i="4"/>
  <c r="I1221" i="4"/>
  <c r="I1222" i="4"/>
  <c r="I1223" i="4"/>
  <c r="I1224" i="4"/>
  <c r="I1225" i="4"/>
  <c r="I1226" i="4"/>
  <c r="I1227" i="4"/>
  <c r="I1228" i="4"/>
  <c r="I1229" i="4"/>
  <c r="I1230" i="4"/>
  <c r="I1231" i="4"/>
  <c r="I1232" i="4"/>
  <c r="I1233" i="4"/>
  <c r="I1234" i="4"/>
  <c r="I1235" i="4"/>
  <c r="I1236" i="4"/>
  <c r="I1237" i="4"/>
  <c r="I1238" i="4"/>
  <c r="I1239" i="4"/>
  <c r="I1240" i="4"/>
  <c r="I1241" i="4"/>
  <c r="I1242" i="4"/>
  <c r="I1243" i="4"/>
  <c r="I1244" i="4"/>
  <c r="I1245" i="4"/>
  <c r="I1246" i="4"/>
  <c r="I1247" i="4"/>
  <c r="I1248" i="4"/>
  <c r="I1249" i="4"/>
  <c r="I1250" i="4"/>
  <c r="I1251" i="4"/>
  <c r="I1252" i="4"/>
  <c r="I1253" i="4"/>
  <c r="I1254" i="4"/>
  <c r="I1255" i="4"/>
  <c r="I1256" i="4"/>
  <c r="I1257" i="4"/>
  <c r="I1258" i="4"/>
  <c r="I1259" i="4"/>
  <c r="I1260" i="4"/>
  <c r="I1261" i="4"/>
  <c r="I1262" i="4"/>
  <c r="I1263" i="4"/>
  <c r="I1264" i="4"/>
  <c r="I1265" i="4"/>
  <c r="I1266" i="4"/>
  <c r="I1267" i="4"/>
  <c r="I1268" i="4"/>
  <c r="I1269" i="4"/>
  <c r="I1270" i="4"/>
  <c r="I1271" i="4"/>
  <c r="I1272" i="4"/>
  <c r="I1273" i="4"/>
  <c r="I1274" i="4"/>
  <c r="I1275" i="4"/>
  <c r="I1276" i="4"/>
  <c r="I1277" i="4"/>
  <c r="I1278" i="4"/>
  <c r="I1279" i="4"/>
  <c r="I1280" i="4"/>
  <c r="I1281" i="4"/>
  <c r="I1282" i="4"/>
  <c r="I1283" i="4"/>
  <c r="I1284" i="4"/>
  <c r="I1285" i="4"/>
  <c r="I1286" i="4"/>
  <c r="I1287" i="4"/>
  <c r="I1288" i="4"/>
  <c r="I1289" i="4"/>
  <c r="I1290" i="4"/>
  <c r="I1291" i="4"/>
  <c r="I1292" i="4"/>
  <c r="I1293" i="4"/>
  <c r="I1294" i="4"/>
  <c r="I1295" i="4"/>
  <c r="I1296" i="4"/>
  <c r="I1297" i="4"/>
  <c r="I1298" i="4"/>
  <c r="I1299" i="4"/>
  <c r="I1300" i="4"/>
  <c r="I1301" i="4"/>
  <c r="I1202" i="4"/>
  <c r="H1203" i="4"/>
  <c r="H1204" i="4"/>
  <c r="H1205" i="4"/>
  <c r="H1206" i="4"/>
  <c r="H1207" i="4"/>
  <c r="H1208" i="4"/>
  <c r="H1209" i="4"/>
  <c r="H1210" i="4"/>
  <c r="H1211" i="4"/>
  <c r="H1212" i="4"/>
  <c r="H1213" i="4"/>
  <c r="H1214" i="4"/>
  <c r="H1215" i="4"/>
  <c r="H1216" i="4"/>
  <c r="H1217" i="4"/>
  <c r="H1218" i="4"/>
  <c r="H1219" i="4"/>
  <c r="H1220" i="4"/>
  <c r="H1221" i="4"/>
  <c r="H1222" i="4"/>
  <c r="H1223" i="4"/>
  <c r="H1224" i="4"/>
  <c r="H1225" i="4"/>
  <c r="H1226" i="4"/>
  <c r="H1227" i="4"/>
  <c r="H1228" i="4"/>
  <c r="H1229" i="4"/>
  <c r="H1230" i="4"/>
  <c r="H1231" i="4"/>
  <c r="H1232" i="4"/>
  <c r="H1233" i="4"/>
  <c r="H1234" i="4"/>
  <c r="H1235" i="4"/>
  <c r="H1236" i="4"/>
  <c r="H1237" i="4"/>
  <c r="H1238" i="4"/>
  <c r="H1239" i="4"/>
  <c r="H1240" i="4"/>
  <c r="H1241" i="4"/>
  <c r="H1242" i="4"/>
  <c r="H1243" i="4"/>
  <c r="H1244" i="4"/>
  <c r="H1245" i="4"/>
  <c r="H1246" i="4"/>
  <c r="H1247" i="4"/>
  <c r="H1248" i="4"/>
  <c r="H1249" i="4"/>
  <c r="H1250" i="4"/>
  <c r="H1251" i="4"/>
  <c r="H1252" i="4"/>
  <c r="H1253" i="4"/>
  <c r="H1254" i="4"/>
  <c r="H1255" i="4"/>
  <c r="H1256" i="4"/>
  <c r="H1257" i="4"/>
  <c r="H1258" i="4"/>
  <c r="H1259" i="4"/>
  <c r="H1260" i="4"/>
  <c r="H1261" i="4"/>
  <c r="H1262" i="4"/>
  <c r="H1263" i="4"/>
  <c r="H1264" i="4"/>
  <c r="H1265" i="4"/>
  <c r="H1266" i="4"/>
  <c r="H1267" i="4"/>
  <c r="H1268" i="4"/>
  <c r="H1269" i="4"/>
  <c r="H1270" i="4"/>
  <c r="H1271" i="4"/>
  <c r="H1272" i="4"/>
  <c r="H1273" i="4"/>
  <c r="H1274" i="4"/>
  <c r="H1275" i="4"/>
  <c r="H1276" i="4"/>
  <c r="H1277" i="4"/>
  <c r="H1278" i="4"/>
  <c r="H1279" i="4"/>
  <c r="H1280" i="4"/>
  <c r="H1281" i="4"/>
  <c r="H1282" i="4"/>
  <c r="H1283" i="4"/>
  <c r="H1284" i="4"/>
  <c r="H1285" i="4"/>
  <c r="H1286" i="4"/>
  <c r="H1287" i="4"/>
  <c r="H1288" i="4"/>
  <c r="H1289" i="4"/>
  <c r="H1290" i="4"/>
  <c r="H1291" i="4"/>
  <c r="H1292" i="4"/>
  <c r="H1293" i="4"/>
  <c r="H1294" i="4"/>
  <c r="H1295" i="4"/>
  <c r="H1296" i="4"/>
  <c r="H1297" i="4"/>
  <c r="H1298" i="4"/>
  <c r="H1299" i="4"/>
  <c r="H1300" i="4"/>
  <c r="H1301" i="4"/>
  <c r="H1202" i="4"/>
  <c r="G1203" i="4"/>
  <c r="G1204" i="4"/>
  <c r="G1205" i="4"/>
  <c r="G1206" i="4"/>
  <c r="G1207" i="4"/>
  <c r="G1208" i="4"/>
  <c r="G1209" i="4"/>
  <c r="G1210" i="4"/>
  <c r="G1211" i="4"/>
  <c r="G1212" i="4"/>
  <c r="G1213" i="4"/>
  <c r="G1214" i="4"/>
  <c r="G1215" i="4"/>
  <c r="G1216" i="4"/>
  <c r="G1217" i="4"/>
  <c r="G1218" i="4"/>
  <c r="G1219" i="4"/>
  <c r="G1220" i="4"/>
  <c r="G1221" i="4"/>
  <c r="G1222" i="4"/>
  <c r="G1223" i="4"/>
  <c r="G1224" i="4"/>
  <c r="G1225" i="4"/>
  <c r="G1226" i="4"/>
  <c r="G1227" i="4"/>
  <c r="G1228" i="4"/>
  <c r="G1229" i="4"/>
  <c r="G1230" i="4"/>
  <c r="G1231" i="4"/>
  <c r="G1232" i="4"/>
  <c r="G1233" i="4"/>
  <c r="G1234" i="4"/>
  <c r="G1235" i="4"/>
  <c r="G1236" i="4"/>
  <c r="G1237" i="4"/>
  <c r="G1238" i="4"/>
  <c r="G1239" i="4"/>
  <c r="G1240" i="4"/>
  <c r="G1241" i="4"/>
  <c r="G1242" i="4"/>
  <c r="G1243" i="4"/>
  <c r="G1244" i="4"/>
  <c r="G1245" i="4"/>
  <c r="G1246" i="4"/>
  <c r="G1247" i="4"/>
  <c r="G1248" i="4"/>
  <c r="G1249" i="4"/>
  <c r="G1250" i="4"/>
  <c r="G1251" i="4"/>
  <c r="G1252" i="4"/>
  <c r="G1253" i="4"/>
  <c r="G1254" i="4"/>
  <c r="G1255" i="4"/>
  <c r="G1256" i="4"/>
  <c r="G1257" i="4"/>
  <c r="G1258" i="4"/>
  <c r="G1259" i="4"/>
  <c r="G1260" i="4"/>
  <c r="G1261" i="4"/>
  <c r="G1262" i="4"/>
  <c r="G1263" i="4"/>
  <c r="G1264" i="4"/>
  <c r="G1265" i="4"/>
  <c r="G1266" i="4"/>
  <c r="G1267" i="4"/>
  <c r="G1268" i="4"/>
  <c r="G1269" i="4"/>
  <c r="G1270" i="4"/>
  <c r="G1271" i="4"/>
  <c r="G1272" i="4"/>
  <c r="G1273" i="4"/>
  <c r="G1274" i="4"/>
  <c r="G1275" i="4"/>
  <c r="G1276" i="4"/>
  <c r="G1277" i="4"/>
  <c r="G1278" i="4"/>
  <c r="G1279" i="4"/>
  <c r="G1280" i="4"/>
  <c r="G1281" i="4"/>
  <c r="G1282" i="4"/>
  <c r="G1283" i="4"/>
  <c r="G1284" i="4"/>
  <c r="G1285" i="4"/>
  <c r="G1286" i="4"/>
  <c r="G1287" i="4"/>
  <c r="G1288" i="4"/>
  <c r="G1289" i="4"/>
  <c r="G1290" i="4"/>
  <c r="G1291" i="4"/>
  <c r="G1292" i="4"/>
  <c r="G1293" i="4"/>
  <c r="G1294" i="4"/>
  <c r="G1295" i="4"/>
  <c r="G1296" i="4"/>
  <c r="G1297" i="4"/>
  <c r="G1298" i="4"/>
  <c r="G1299" i="4"/>
  <c r="G1300" i="4"/>
  <c r="G1301" i="4"/>
  <c r="G1202" i="4"/>
  <c r="I1103" i="4"/>
  <c r="I1104" i="4"/>
  <c r="I1105" i="4"/>
  <c r="I1106" i="4"/>
  <c r="I1107" i="4"/>
  <c r="I1108" i="4"/>
  <c r="I1109" i="4"/>
  <c r="I1110" i="4"/>
  <c r="I1111" i="4"/>
  <c r="I1112" i="4"/>
  <c r="I1113" i="4"/>
  <c r="I1114" i="4"/>
  <c r="I1115" i="4"/>
  <c r="I1116" i="4"/>
  <c r="I1117" i="4"/>
  <c r="I1118" i="4"/>
  <c r="I1119" i="4"/>
  <c r="I1120" i="4"/>
  <c r="I1121" i="4"/>
  <c r="I1122" i="4"/>
  <c r="I1123" i="4"/>
  <c r="I1124" i="4"/>
  <c r="I1125" i="4"/>
  <c r="I1126" i="4"/>
  <c r="I1127" i="4"/>
  <c r="I1128" i="4"/>
  <c r="I1129" i="4"/>
  <c r="I1130" i="4"/>
  <c r="I1131" i="4"/>
  <c r="I1132" i="4"/>
  <c r="I1133" i="4"/>
  <c r="I1134" i="4"/>
  <c r="I1135" i="4"/>
  <c r="I1136" i="4"/>
  <c r="I1137" i="4"/>
  <c r="I1138" i="4"/>
  <c r="I1139" i="4"/>
  <c r="I1140" i="4"/>
  <c r="I1141" i="4"/>
  <c r="I1142" i="4"/>
  <c r="I1143" i="4"/>
  <c r="I1144" i="4"/>
  <c r="I1145" i="4"/>
  <c r="I1146" i="4"/>
  <c r="I1147" i="4"/>
  <c r="I1148" i="4"/>
  <c r="I1149" i="4"/>
  <c r="I1150" i="4"/>
  <c r="I1151" i="4"/>
  <c r="I1152" i="4"/>
  <c r="I1153" i="4"/>
  <c r="I1154" i="4"/>
  <c r="I1155" i="4"/>
  <c r="I1156" i="4"/>
  <c r="I1157" i="4"/>
  <c r="I1158" i="4"/>
  <c r="I1159" i="4"/>
  <c r="I1160" i="4"/>
  <c r="I1161" i="4"/>
  <c r="I1162" i="4"/>
  <c r="I1163" i="4"/>
  <c r="I1164" i="4"/>
  <c r="I1165" i="4"/>
  <c r="I1166" i="4"/>
  <c r="I1167" i="4"/>
  <c r="I1168" i="4"/>
  <c r="I1169" i="4"/>
  <c r="I1170" i="4"/>
  <c r="I1171" i="4"/>
  <c r="I1172" i="4"/>
  <c r="I1173" i="4"/>
  <c r="I1174" i="4"/>
  <c r="I1175" i="4"/>
  <c r="I1176" i="4"/>
  <c r="I1177" i="4"/>
  <c r="I1178" i="4"/>
  <c r="I1179" i="4"/>
  <c r="I1180" i="4"/>
  <c r="I1181" i="4"/>
  <c r="I1182" i="4"/>
  <c r="I1183" i="4"/>
  <c r="I1184" i="4"/>
  <c r="I1185" i="4"/>
  <c r="I1186" i="4"/>
  <c r="I1187" i="4"/>
  <c r="I1188" i="4"/>
  <c r="I1189" i="4"/>
  <c r="I1190" i="4"/>
  <c r="I1191" i="4"/>
  <c r="I1192" i="4"/>
  <c r="I1193" i="4"/>
  <c r="I1194" i="4"/>
  <c r="I1195" i="4"/>
  <c r="I1196" i="4"/>
  <c r="I1197" i="4"/>
  <c r="I1198" i="4"/>
  <c r="I1199" i="4"/>
  <c r="I1200" i="4"/>
  <c r="I1201" i="4"/>
  <c r="I1102" i="4"/>
  <c r="H1103" i="4"/>
  <c r="H1104" i="4"/>
  <c r="H1105" i="4"/>
  <c r="H1106" i="4"/>
  <c r="H1107" i="4"/>
  <c r="H1108" i="4"/>
  <c r="H1109" i="4"/>
  <c r="H1110" i="4"/>
  <c r="H1111" i="4"/>
  <c r="H1112" i="4"/>
  <c r="H1113" i="4"/>
  <c r="H1114" i="4"/>
  <c r="H1115" i="4"/>
  <c r="H1116" i="4"/>
  <c r="H1117" i="4"/>
  <c r="H1118" i="4"/>
  <c r="H1119" i="4"/>
  <c r="H1120" i="4"/>
  <c r="H1121" i="4"/>
  <c r="H1122" i="4"/>
  <c r="H1123" i="4"/>
  <c r="H1124" i="4"/>
  <c r="H1125" i="4"/>
  <c r="H1126" i="4"/>
  <c r="H1127" i="4"/>
  <c r="H1128" i="4"/>
  <c r="H1129" i="4"/>
  <c r="H1130" i="4"/>
  <c r="H1131" i="4"/>
  <c r="H1132" i="4"/>
  <c r="H1133" i="4"/>
  <c r="H1134" i="4"/>
  <c r="H1135" i="4"/>
  <c r="H1136" i="4"/>
  <c r="H1137" i="4"/>
  <c r="H1138" i="4"/>
  <c r="H1139" i="4"/>
  <c r="H1140" i="4"/>
  <c r="H1141" i="4"/>
  <c r="H1142" i="4"/>
  <c r="H1143" i="4"/>
  <c r="H1144" i="4"/>
  <c r="H1145" i="4"/>
  <c r="H1146" i="4"/>
  <c r="H1147" i="4"/>
  <c r="H1148" i="4"/>
  <c r="H1149" i="4"/>
  <c r="H1150" i="4"/>
  <c r="H1151" i="4"/>
  <c r="H1152" i="4"/>
  <c r="H1153" i="4"/>
  <c r="H1154" i="4"/>
  <c r="H1155" i="4"/>
  <c r="H1156" i="4"/>
  <c r="H1157" i="4"/>
  <c r="H1158" i="4"/>
  <c r="H1159" i="4"/>
  <c r="H1160" i="4"/>
  <c r="H1161" i="4"/>
  <c r="H1162" i="4"/>
  <c r="H1163" i="4"/>
  <c r="H1164" i="4"/>
  <c r="H1165" i="4"/>
  <c r="H1166" i="4"/>
  <c r="H1167" i="4"/>
  <c r="H1168" i="4"/>
  <c r="H1169" i="4"/>
  <c r="H1170" i="4"/>
  <c r="H1171" i="4"/>
  <c r="H1172" i="4"/>
  <c r="H1173" i="4"/>
  <c r="H1174" i="4"/>
  <c r="H1175" i="4"/>
  <c r="H1176" i="4"/>
  <c r="H1177" i="4"/>
  <c r="H1178" i="4"/>
  <c r="H1179" i="4"/>
  <c r="H1180" i="4"/>
  <c r="H1181" i="4"/>
  <c r="H1182" i="4"/>
  <c r="H1183" i="4"/>
  <c r="H1184" i="4"/>
  <c r="H1185" i="4"/>
  <c r="H1186" i="4"/>
  <c r="H1187" i="4"/>
  <c r="H1188" i="4"/>
  <c r="H1189" i="4"/>
  <c r="H1190" i="4"/>
  <c r="H1191" i="4"/>
  <c r="H1192" i="4"/>
  <c r="H1193" i="4"/>
  <c r="H1194" i="4"/>
  <c r="H1195" i="4"/>
  <c r="H1196" i="4"/>
  <c r="H1197" i="4"/>
  <c r="H1198" i="4"/>
  <c r="H1199" i="4"/>
  <c r="H1200" i="4"/>
  <c r="H1201" i="4"/>
  <c r="H1102" i="4"/>
  <c r="G1103" i="4"/>
  <c r="G1104" i="4"/>
  <c r="G1105" i="4"/>
  <c r="G1106" i="4"/>
  <c r="G1107" i="4"/>
  <c r="G1108" i="4"/>
  <c r="G1109" i="4"/>
  <c r="G1110" i="4"/>
  <c r="G1111" i="4"/>
  <c r="G1112" i="4"/>
  <c r="G1113" i="4"/>
  <c r="G1114" i="4"/>
  <c r="G1115" i="4"/>
  <c r="G1116" i="4"/>
  <c r="G1117" i="4"/>
  <c r="G1118" i="4"/>
  <c r="G1119" i="4"/>
  <c r="G1120" i="4"/>
  <c r="G1121" i="4"/>
  <c r="G1122" i="4"/>
  <c r="G1123" i="4"/>
  <c r="G1124" i="4"/>
  <c r="G1125" i="4"/>
  <c r="G1126" i="4"/>
  <c r="G1127" i="4"/>
  <c r="G1128" i="4"/>
  <c r="G1129" i="4"/>
  <c r="G1130" i="4"/>
  <c r="G1131" i="4"/>
  <c r="G1132" i="4"/>
  <c r="G1133" i="4"/>
  <c r="G1134" i="4"/>
  <c r="G1135" i="4"/>
  <c r="G1136" i="4"/>
  <c r="G1137" i="4"/>
  <c r="G1138" i="4"/>
  <c r="G1139" i="4"/>
  <c r="G1140" i="4"/>
  <c r="G1141" i="4"/>
  <c r="G1142" i="4"/>
  <c r="G1143" i="4"/>
  <c r="G1144" i="4"/>
  <c r="G1145" i="4"/>
  <c r="G1146" i="4"/>
  <c r="G1147" i="4"/>
  <c r="G1148" i="4"/>
  <c r="G1149" i="4"/>
  <c r="G1150" i="4"/>
  <c r="G1151" i="4"/>
  <c r="G1152" i="4"/>
  <c r="G1153" i="4"/>
  <c r="G1154" i="4"/>
  <c r="G1155" i="4"/>
  <c r="G1156" i="4"/>
  <c r="G1157" i="4"/>
  <c r="G1158" i="4"/>
  <c r="G1159" i="4"/>
  <c r="G1160" i="4"/>
  <c r="G1161" i="4"/>
  <c r="G1162" i="4"/>
  <c r="G1163" i="4"/>
  <c r="G1164" i="4"/>
  <c r="G1165" i="4"/>
  <c r="G1166" i="4"/>
  <c r="G1167" i="4"/>
  <c r="G1168" i="4"/>
  <c r="G1169" i="4"/>
  <c r="G1170" i="4"/>
  <c r="G1171" i="4"/>
  <c r="G1172" i="4"/>
  <c r="G1173" i="4"/>
  <c r="G1174" i="4"/>
  <c r="G1175" i="4"/>
  <c r="G1176" i="4"/>
  <c r="G1177" i="4"/>
  <c r="G1178" i="4"/>
  <c r="G1179" i="4"/>
  <c r="G1180" i="4"/>
  <c r="G1181" i="4"/>
  <c r="G1182" i="4"/>
  <c r="G1183" i="4"/>
  <c r="G1184" i="4"/>
  <c r="G1185" i="4"/>
  <c r="G1186" i="4"/>
  <c r="G1187" i="4"/>
  <c r="G1188" i="4"/>
  <c r="G1189" i="4"/>
  <c r="G1190" i="4"/>
  <c r="G1191" i="4"/>
  <c r="G1192" i="4"/>
  <c r="G1193" i="4"/>
  <c r="G1194" i="4"/>
  <c r="G1195" i="4"/>
  <c r="G1196" i="4"/>
  <c r="G1197" i="4"/>
  <c r="G1198" i="4"/>
  <c r="G1199" i="4"/>
  <c r="G1200" i="4"/>
  <c r="G1201" i="4"/>
  <c r="G1102" i="4"/>
  <c r="I1003" i="4"/>
  <c r="I1004" i="4"/>
  <c r="I1005" i="4"/>
  <c r="I1006" i="4"/>
  <c r="I1007" i="4"/>
  <c r="I1008" i="4"/>
  <c r="I1009" i="4"/>
  <c r="I1010" i="4"/>
  <c r="I1011" i="4"/>
  <c r="I1012" i="4"/>
  <c r="I1013" i="4"/>
  <c r="I1014" i="4"/>
  <c r="I1015" i="4"/>
  <c r="I1016" i="4"/>
  <c r="I1017" i="4"/>
  <c r="I1018" i="4"/>
  <c r="I1019" i="4"/>
  <c r="I1020" i="4"/>
  <c r="I1021" i="4"/>
  <c r="I1022" i="4"/>
  <c r="I1023" i="4"/>
  <c r="I1024" i="4"/>
  <c r="I1025" i="4"/>
  <c r="I1026" i="4"/>
  <c r="I1027" i="4"/>
  <c r="I1028" i="4"/>
  <c r="I1029" i="4"/>
  <c r="I1030" i="4"/>
  <c r="I1031" i="4"/>
  <c r="I1032" i="4"/>
  <c r="I1033" i="4"/>
  <c r="I1034" i="4"/>
  <c r="I1035" i="4"/>
  <c r="I1036" i="4"/>
  <c r="I1037" i="4"/>
  <c r="I1038" i="4"/>
  <c r="I1039" i="4"/>
  <c r="I1040" i="4"/>
  <c r="I1041" i="4"/>
  <c r="I1042" i="4"/>
  <c r="I1043" i="4"/>
  <c r="I1044" i="4"/>
  <c r="I1045" i="4"/>
  <c r="I1046" i="4"/>
  <c r="I1047" i="4"/>
  <c r="I1048" i="4"/>
  <c r="I1049" i="4"/>
  <c r="I1050" i="4"/>
  <c r="I1051" i="4"/>
  <c r="I1052" i="4"/>
  <c r="I1053" i="4"/>
  <c r="I1054" i="4"/>
  <c r="I1055" i="4"/>
  <c r="I1056" i="4"/>
  <c r="I1057" i="4"/>
  <c r="I1058" i="4"/>
  <c r="I1059" i="4"/>
  <c r="I1060" i="4"/>
  <c r="I1061" i="4"/>
  <c r="I1062" i="4"/>
  <c r="I1063" i="4"/>
  <c r="I1064" i="4"/>
  <c r="I1065" i="4"/>
  <c r="I1066" i="4"/>
  <c r="I1067" i="4"/>
  <c r="I1068" i="4"/>
  <c r="I1069" i="4"/>
  <c r="I1070" i="4"/>
  <c r="I1071" i="4"/>
  <c r="I1072" i="4"/>
  <c r="I1073" i="4"/>
  <c r="I1074" i="4"/>
  <c r="I1075" i="4"/>
  <c r="I1076" i="4"/>
  <c r="I1077" i="4"/>
  <c r="I1078" i="4"/>
  <c r="I1079" i="4"/>
  <c r="I1080" i="4"/>
  <c r="I1081" i="4"/>
  <c r="I1082" i="4"/>
  <c r="I1083" i="4"/>
  <c r="I1084" i="4"/>
  <c r="I1085" i="4"/>
  <c r="I1086" i="4"/>
  <c r="I1087" i="4"/>
  <c r="I1088" i="4"/>
  <c r="I1089" i="4"/>
  <c r="I1090" i="4"/>
  <c r="I1091" i="4"/>
  <c r="I1092" i="4"/>
  <c r="I1093" i="4"/>
  <c r="I1094" i="4"/>
  <c r="I1095" i="4"/>
  <c r="I1096" i="4"/>
  <c r="I1097" i="4"/>
  <c r="I1098" i="4"/>
  <c r="I1099" i="4"/>
  <c r="I1100" i="4"/>
  <c r="I1101" i="4"/>
  <c r="I1002" i="4"/>
  <c r="H1003" i="4"/>
  <c r="H1004" i="4"/>
  <c r="H1005" i="4"/>
  <c r="H1006" i="4"/>
  <c r="H1007" i="4"/>
  <c r="H1008" i="4"/>
  <c r="H1009" i="4"/>
  <c r="H1010" i="4"/>
  <c r="H1011" i="4"/>
  <c r="H1012" i="4"/>
  <c r="H1013" i="4"/>
  <c r="H1014" i="4"/>
  <c r="H1015" i="4"/>
  <c r="H1016" i="4"/>
  <c r="H1017" i="4"/>
  <c r="H1018" i="4"/>
  <c r="H1019" i="4"/>
  <c r="H1020" i="4"/>
  <c r="H1021" i="4"/>
  <c r="H1022" i="4"/>
  <c r="H1023" i="4"/>
  <c r="H1024" i="4"/>
  <c r="H1025" i="4"/>
  <c r="H1026" i="4"/>
  <c r="H1027" i="4"/>
  <c r="H1028" i="4"/>
  <c r="H1029" i="4"/>
  <c r="H1030" i="4"/>
  <c r="H1031" i="4"/>
  <c r="H1032" i="4"/>
  <c r="H1033" i="4"/>
  <c r="H1034" i="4"/>
  <c r="H1035" i="4"/>
  <c r="H1036" i="4"/>
  <c r="H1037" i="4"/>
  <c r="H1038" i="4"/>
  <c r="H1039" i="4"/>
  <c r="H1040" i="4"/>
  <c r="H1041" i="4"/>
  <c r="H1042" i="4"/>
  <c r="H1043" i="4"/>
  <c r="H1044" i="4"/>
  <c r="H1045" i="4"/>
  <c r="H1046" i="4"/>
  <c r="H1047" i="4"/>
  <c r="H1048" i="4"/>
  <c r="H1049" i="4"/>
  <c r="H1050" i="4"/>
  <c r="H1051" i="4"/>
  <c r="H1052" i="4"/>
  <c r="H1053" i="4"/>
  <c r="H1054" i="4"/>
  <c r="H1055" i="4"/>
  <c r="H1056" i="4"/>
  <c r="H1057" i="4"/>
  <c r="H1058" i="4"/>
  <c r="H1059" i="4"/>
  <c r="H1060" i="4"/>
  <c r="H1061" i="4"/>
  <c r="H1062" i="4"/>
  <c r="H1063" i="4"/>
  <c r="H1064" i="4"/>
  <c r="H1065" i="4"/>
  <c r="H1066" i="4"/>
  <c r="H1067" i="4"/>
  <c r="H1068" i="4"/>
  <c r="H1069" i="4"/>
  <c r="H1070" i="4"/>
  <c r="H1071" i="4"/>
  <c r="H1072" i="4"/>
  <c r="H1073" i="4"/>
  <c r="H1074" i="4"/>
  <c r="H1075" i="4"/>
  <c r="H1076" i="4"/>
  <c r="H1077" i="4"/>
  <c r="H1078" i="4"/>
  <c r="H1079" i="4"/>
  <c r="H1080" i="4"/>
  <c r="H1081" i="4"/>
  <c r="H1082" i="4"/>
  <c r="H1083" i="4"/>
  <c r="H1084" i="4"/>
  <c r="H1085" i="4"/>
  <c r="H1086" i="4"/>
  <c r="H1087" i="4"/>
  <c r="H1088" i="4"/>
  <c r="H1089" i="4"/>
  <c r="H1090" i="4"/>
  <c r="H1091" i="4"/>
  <c r="H1092" i="4"/>
  <c r="H1093" i="4"/>
  <c r="H1094" i="4"/>
  <c r="H1095" i="4"/>
  <c r="H1096" i="4"/>
  <c r="H1097" i="4"/>
  <c r="H1098" i="4"/>
  <c r="H1099" i="4"/>
  <c r="H1100" i="4"/>
  <c r="H1101" i="4"/>
  <c r="H1002" i="4"/>
  <c r="G1003" i="4"/>
  <c r="G1004" i="4"/>
  <c r="G1005" i="4"/>
  <c r="G1006" i="4"/>
  <c r="G1007" i="4"/>
  <c r="G1008" i="4"/>
  <c r="G1009" i="4"/>
  <c r="G1010" i="4"/>
  <c r="G1011" i="4"/>
  <c r="G1012" i="4"/>
  <c r="G1013" i="4"/>
  <c r="G1014" i="4"/>
  <c r="G1015" i="4"/>
  <c r="G1016" i="4"/>
  <c r="G1017" i="4"/>
  <c r="G1018" i="4"/>
  <c r="G1019" i="4"/>
  <c r="G1020" i="4"/>
  <c r="G1021" i="4"/>
  <c r="G1022" i="4"/>
  <c r="G1023" i="4"/>
  <c r="G1024" i="4"/>
  <c r="G1025" i="4"/>
  <c r="G1026" i="4"/>
  <c r="G1027" i="4"/>
  <c r="G1028" i="4"/>
  <c r="G1029" i="4"/>
  <c r="G1030" i="4"/>
  <c r="G1031" i="4"/>
  <c r="G1032" i="4"/>
  <c r="G1033" i="4"/>
  <c r="G1034" i="4"/>
  <c r="G1035" i="4"/>
  <c r="G1036" i="4"/>
  <c r="G1037" i="4"/>
  <c r="G1038" i="4"/>
  <c r="G1039" i="4"/>
  <c r="G1040" i="4"/>
  <c r="G1041" i="4"/>
  <c r="G1042" i="4"/>
  <c r="G1043" i="4"/>
  <c r="G1044" i="4"/>
  <c r="G1045" i="4"/>
  <c r="G1046" i="4"/>
  <c r="G1047" i="4"/>
  <c r="G1048" i="4"/>
  <c r="G1049" i="4"/>
  <c r="G1050" i="4"/>
  <c r="G1051" i="4"/>
  <c r="G1052" i="4"/>
  <c r="G1053" i="4"/>
  <c r="G1054" i="4"/>
  <c r="G1055" i="4"/>
  <c r="G1056" i="4"/>
  <c r="G1057" i="4"/>
  <c r="G1058" i="4"/>
  <c r="G1059" i="4"/>
  <c r="G1060" i="4"/>
  <c r="G1061" i="4"/>
  <c r="G1062" i="4"/>
  <c r="G1063" i="4"/>
  <c r="G1064" i="4"/>
  <c r="G1065" i="4"/>
  <c r="G1066" i="4"/>
  <c r="G1067" i="4"/>
  <c r="G1068" i="4"/>
  <c r="G1069" i="4"/>
  <c r="G1070" i="4"/>
  <c r="G1071" i="4"/>
  <c r="G1072" i="4"/>
  <c r="G1073" i="4"/>
  <c r="G1074" i="4"/>
  <c r="G1075" i="4"/>
  <c r="G1076" i="4"/>
  <c r="G1077" i="4"/>
  <c r="G1078" i="4"/>
  <c r="G1079" i="4"/>
  <c r="G1080" i="4"/>
  <c r="G1081" i="4"/>
  <c r="G1082" i="4"/>
  <c r="G1083" i="4"/>
  <c r="G1084" i="4"/>
  <c r="G1085" i="4"/>
  <c r="G1086" i="4"/>
  <c r="G1087" i="4"/>
  <c r="G1088" i="4"/>
  <c r="G1089" i="4"/>
  <c r="G1090" i="4"/>
  <c r="G1091" i="4"/>
  <c r="G1092" i="4"/>
  <c r="G1093" i="4"/>
  <c r="G1094" i="4"/>
  <c r="G1095" i="4"/>
  <c r="G1096" i="4"/>
  <c r="G1097" i="4"/>
  <c r="G1098" i="4"/>
  <c r="G1099" i="4"/>
  <c r="G1100" i="4"/>
  <c r="G1101" i="4"/>
  <c r="G1002" i="4"/>
  <c r="I903" i="4"/>
  <c r="I904" i="4"/>
  <c r="I905" i="4"/>
  <c r="I906" i="4"/>
  <c r="I907" i="4"/>
  <c r="I908" i="4"/>
  <c r="I909" i="4"/>
  <c r="I910" i="4"/>
  <c r="I911" i="4"/>
  <c r="I912" i="4"/>
  <c r="I913" i="4"/>
  <c r="I914" i="4"/>
  <c r="I915" i="4"/>
  <c r="I916" i="4"/>
  <c r="I917" i="4"/>
  <c r="I918" i="4"/>
  <c r="I919" i="4"/>
  <c r="I920" i="4"/>
  <c r="I921" i="4"/>
  <c r="I922" i="4"/>
  <c r="I923" i="4"/>
  <c r="I924" i="4"/>
  <c r="I925" i="4"/>
  <c r="I926" i="4"/>
  <c r="I927" i="4"/>
  <c r="I928" i="4"/>
  <c r="I929" i="4"/>
  <c r="I930" i="4"/>
  <c r="I931" i="4"/>
  <c r="I932" i="4"/>
  <c r="I933" i="4"/>
  <c r="I934" i="4"/>
  <c r="I935" i="4"/>
  <c r="I936" i="4"/>
  <c r="I937" i="4"/>
  <c r="I938" i="4"/>
  <c r="I939" i="4"/>
  <c r="I940" i="4"/>
  <c r="I941" i="4"/>
  <c r="I942" i="4"/>
  <c r="I943" i="4"/>
  <c r="I944" i="4"/>
  <c r="I945" i="4"/>
  <c r="I946" i="4"/>
  <c r="I947" i="4"/>
  <c r="I948" i="4"/>
  <c r="I949" i="4"/>
  <c r="I950" i="4"/>
  <c r="I951" i="4"/>
  <c r="I952" i="4"/>
  <c r="I953" i="4"/>
  <c r="I954" i="4"/>
  <c r="I955" i="4"/>
  <c r="I956" i="4"/>
  <c r="I957" i="4"/>
  <c r="I958" i="4"/>
  <c r="I959" i="4"/>
  <c r="I960" i="4"/>
  <c r="I961" i="4"/>
  <c r="I962" i="4"/>
  <c r="I963" i="4"/>
  <c r="I964" i="4"/>
  <c r="I965" i="4"/>
  <c r="I966" i="4"/>
  <c r="I967" i="4"/>
  <c r="I968" i="4"/>
  <c r="I969" i="4"/>
  <c r="I970" i="4"/>
  <c r="I971" i="4"/>
  <c r="I972" i="4"/>
  <c r="I973" i="4"/>
  <c r="I974" i="4"/>
  <c r="I975" i="4"/>
  <c r="I976" i="4"/>
  <c r="I977" i="4"/>
  <c r="I978" i="4"/>
  <c r="I979" i="4"/>
  <c r="I980" i="4"/>
  <c r="I981" i="4"/>
  <c r="I982" i="4"/>
  <c r="I983" i="4"/>
  <c r="I984" i="4"/>
  <c r="I985" i="4"/>
  <c r="I986" i="4"/>
  <c r="I987" i="4"/>
  <c r="I988" i="4"/>
  <c r="I989" i="4"/>
  <c r="I990" i="4"/>
  <c r="I991" i="4"/>
  <c r="I992" i="4"/>
  <c r="I993" i="4"/>
  <c r="I994" i="4"/>
  <c r="I995" i="4"/>
  <c r="I996" i="4"/>
  <c r="I997" i="4"/>
  <c r="I998" i="4"/>
  <c r="I999" i="4"/>
  <c r="I1000" i="4"/>
  <c r="I1001" i="4"/>
  <c r="I902" i="4"/>
  <c r="H903" i="4"/>
  <c r="H904" i="4"/>
  <c r="H905" i="4"/>
  <c r="H906" i="4"/>
  <c r="H907" i="4"/>
  <c r="H908" i="4"/>
  <c r="H909" i="4"/>
  <c r="H910" i="4"/>
  <c r="H911" i="4"/>
  <c r="H912" i="4"/>
  <c r="H913" i="4"/>
  <c r="H914" i="4"/>
  <c r="H915" i="4"/>
  <c r="H916" i="4"/>
  <c r="H917" i="4"/>
  <c r="H918" i="4"/>
  <c r="H919" i="4"/>
  <c r="H920" i="4"/>
  <c r="H921" i="4"/>
  <c r="H922" i="4"/>
  <c r="H923" i="4"/>
  <c r="H924" i="4"/>
  <c r="H925" i="4"/>
  <c r="H926" i="4"/>
  <c r="H927" i="4"/>
  <c r="H928" i="4"/>
  <c r="H929" i="4"/>
  <c r="H930" i="4"/>
  <c r="H931" i="4"/>
  <c r="H932" i="4"/>
  <c r="H933" i="4"/>
  <c r="H934" i="4"/>
  <c r="H935" i="4"/>
  <c r="H936" i="4"/>
  <c r="H937" i="4"/>
  <c r="H938" i="4"/>
  <c r="H939" i="4"/>
  <c r="H940" i="4"/>
  <c r="H941" i="4"/>
  <c r="H942" i="4"/>
  <c r="H943" i="4"/>
  <c r="H944" i="4"/>
  <c r="H945" i="4"/>
  <c r="H946" i="4"/>
  <c r="H947" i="4"/>
  <c r="H948" i="4"/>
  <c r="H949" i="4"/>
  <c r="H950" i="4"/>
  <c r="H951" i="4"/>
  <c r="H952" i="4"/>
  <c r="H953" i="4"/>
  <c r="H954" i="4"/>
  <c r="H955" i="4"/>
  <c r="H956" i="4"/>
  <c r="H957" i="4"/>
  <c r="H958" i="4"/>
  <c r="H959" i="4"/>
  <c r="H960" i="4"/>
  <c r="H961" i="4"/>
  <c r="H962" i="4"/>
  <c r="H963" i="4"/>
  <c r="H964" i="4"/>
  <c r="H965" i="4"/>
  <c r="H966" i="4"/>
  <c r="H967" i="4"/>
  <c r="H968" i="4"/>
  <c r="H969" i="4"/>
  <c r="H970" i="4"/>
  <c r="H971" i="4"/>
  <c r="H972" i="4"/>
  <c r="H973" i="4"/>
  <c r="H974" i="4"/>
  <c r="H975" i="4"/>
  <c r="H976" i="4"/>
  <c r="H977" i="4"/>
  <c r="H978" i="4"/>
  <c r="H979" i="4"/>
  <c r="H980" i="4"/>
  <c r="H981" i="4"/>
  <c r="H982" i="4"/>
  <c r="H983" i="4"/>
  <c r="H984" i="4"/>
  <c r="H985" i="4"/>
  <c r="H986" i="4"/>
  <c r="H987" i="4"/>
  <c r="H988" i="4"/>
  <c r="H989" i="4"/>
  <c r="H990" i="4"/>
  <c r="H991" i="4"/>
  <c r="H992" i="4"/>
  <c r="H993" i="4"/>
  <c r="H994" i="4"/>
  <c r="H995" i="4"/>
  <c r="H996" i="4"/>
  <c r="H997" i="4"/>
  <c r="H998" i="4"/>
  <c r="H999" i="4"/>
  <c r="H1000" i="4"/>
  <c r="H1001" i="4"/>
  <c r="H902" i="4"/>
  <c r="G903" i="4"/>
  <c r="G904" i="4"/>
  <c r="G905" i="4"/>
  <c r="G906" i="4"/>
  <c r="G907" i="4"/>
  <c r="G908" i="4"/>
  <c r="G909" i="4"/>
  <c r="G910" i="4"/>
  <c r="G911" i="4"/>
  <c r="G912" i="4"/>
  <c r="G913" i="4"/>
  <c r="G914" i="4"/>
  <c r="G915" i="4"/>
  <c r="G916" i="4"/>
  <c r="G917" i="4"/>
  <c r="G918" i="4"/>
  <c r="G919" i="4"/>
  <c r="G920" i="4"/>
  <c r="G921" i="4"/>
  <c r="G922" i="4"/>
  <c r="G923" i="4"/>
  <c r="G924" i="4"/>
  <c r="G925" i="4"/>
  <c r="G926" i="4"/>
  <c r="G927" i="4"/>
  <c r="G928" i="4"/>
  <c r="G929" i="4"/>
  <c r="G930" i="4"/>
  <c r="G931" i="4"/>
  <c r="G932" i="4"/>
  <c r="G933" i="4"/>
  <c r="G934" i="4"/>
  <c r="G935" i="4"/>
  <c r="G936" i="4"/>
  <c r="G937" i="4"/>
  <c r="G938" i="4"/>
  <c r="G939" i="4"/>
  <c r="G940" i="4"/>
  <c r="G941" i="4"/>
  <c r="G942" i="4"/>
  <c r="G943" i="4"/>
  <c r="G944" i="4"/>
  <c r="G945" i="4"/>
  <c r="G946" i="4"/>
  <c r="G947" i="4"/>
  <c r="G948" i="4"/>
  <c r="G949" i="4"/>
  <c r="G950" i="4"/>
  <c r="G951" i="4"/>
  <c r="G952" i="4"/>
  <c r="G953" i="4"/>
  <c r="G954" i="4"/>
  <c r="G955" i="4"/>
  <c r="G956" i="4"/>
  <c r="G957" i="4"/>
  <c r="G958" i="4"/>
  <c r="G959" i="4"/>
  <c r="G960" i="4"/>
  <c r="G961" i="4"/>
  <c r="G962" i="4"/>
  <c r="G963" i="4"/>
  <c r="G964" i="4"/>
  <c r="G965" i="4"/>
  <c r="G966" i="4"/>
  <c r="G967" i="4"/>
  <c r="G968" i="4"/>
  <c r="G969" i="4"/>
  <c r="G970" i="4"/>
  <c r="G971" i="4"/>
  <c r="G972" i="4"/>
  <c r="G973" i="4"/>
  <c r="G974" i="4"/>
  <c r="G975" i="4"/>
  <c r="G976" i="4"/>
  <c r="G977" i="4"/>
  <c r="G978" i="4"/>
  <c r="G979" i="4"/>
  <c r="G980" i="4"/>
  <c r="G981" i="4"/>
  <c r="G982" i="4"/>
  <c r="G983" i="4"/>
  <c r="G984" i="4"/>
  <c r="G985" i="4"/>
  <c r="G986" i="4"/>
  <c r="G987" i="4"/>
  <c r="G988" i="4"/>
  <c r="G989" i="4"/>
  <c r="G990" i="4"/>
  <c r="G991" i="4"/>
  <c r="G992" i="4"/>
  <c r="G993" i="4"/>
  <c r="G994" i="4"/>
  <c r="G995" i="4"/>
  <c r="G996" i="4"/>
  <c r="G997" i="4"/>
  <c r="G998" i="4"/>
  <c r="G999" i="4"/>
  <c r="G1000" i="4"/>
  <c r="G1001" i="4"/>
  <c r="G902" i="4"/>
  <c r="I803" i="4"/>
  <c r="I804" i="4"/>
  <c r="I805" i="4"/>
  <c r="I806" i="4"/>
  <c r="I807" i="4"/>
  <c r="I808" i="4"/>
  <c r="I809" i="4"/>
  <c r="I810" i="4"/>
  <c r="I811" i="4"/>
  <c r="I812" i="4"/>
  <c r="I813" i="4"/>
  <c r="I814" i="4"/>
  <c r="I815" i="4"/>
  <c r="I816" i="4"/>
  <c r="I817" i="4"/>
  <c r="I818" i="4"/>
  <c r="I819" i="4"/>
  <c r="I820" i="4"/>
  <c r="I821" i="4"/>
  <c r="I822" i="4"/>
  <c r="I823" i="4"/>
  <c r="I824" i="4"/>
  <c r="I825" i="4"/>
  <c r="I826" i="4"/>
  <c r="I827" i="4"/>
  <c r="I828" i="4"/>
  <c r="I829" i="4"/>
  <c r="I830" i="4"/>
  <c r="I831" i="4"/>
  <c r="I832" i="4"/>
  <c r="I833" i="4"/>
  <c r="I834" i="4"/>
  <c r="I835" i="4"/>
  <c r="I836" i="4"/>
  <c r="I837" i="4"/>
  <c r="I838" i="4"/>
  <c r="I839" i="4"/>
  <c r="I840" i="4"/>
  <c r="I841" i="4"/>
  <c r="I842" i="4"/>
  <c r="I843" i="4"/>
  <c r="I844" i="4"/>
  <c r="I845" i="4"/>
  <c r="I846" i="4"/>
  <c r="I847" i="4"/>
  <c r="I848" i="4"/>
  <c r="I849" i="4"/>
  <c r="I850" i="4"/>
  <c r="I851" i="4"/>
  <c r="I852" i="4"/>
  <c r="I853" i="4"/>
  <c r="I854" i="4"/>
  <c r="I855" i="4"/>
  <c r="I856" i="4"/>
  <c r="I857" i="4"/>
  <c r="I858" i="4"/>
  <c r="I859" i="4"/>
  <c r="I860" i="4"/>
  <c r="I861" i="4"/>
  <c r="I862" i="4"/>
  <c r="I863" i="4"/>
  <c r="I864" i="4"/>
  <c r="I865" i="4"/>
  <c r="I866" i="4"/>
  <c r="I867" i="4"/>
  <c r="I868" i="4"/>
  <c r="I869" i="4"/>
  <c r="I870" i="4"/>
  <c r="I871" i="4"/>
  <c r="I872" i="4"/>
  <c r="I873" i="4"/>
  <c r="I874" i="4"/>
  <c r="I875" i="4"/>
  <c r="I876" i="4"/>
  <c r="I877" i="4"/>
  <c r="I878" i="4"/>
  <c r="I879" i="4"/>
  <c r="I880" i="4"/>
  <c r="I881" i="4"/>
  <c r="I882" i="4"/>
  <c r="I883" i="4"/>
  <c r="I884" i="4"/>
  <c r="I885" i="4"/>
  <c r="I886" i="4"/>
  <c r="I887" i="4"/>
  <c r="I888" i="4"/>
  <c r="I889" i="4"/>
  <c r="I890" i="4"/>
  <c r="I891" i="4"/>
  <c r="I892" i="4"/>
  <c r="I893" i="4"/>
  <c r="I894" i="4"/>
  <c r="I895" i="4"/>
  <c r="I896" i="4"/>
  <c r="I897" i="4"/>
  <c r="I898" i="4"/>
  <c r="I899" i="4"/>
  <c r="I900" i="4"/>
  <c r="I901" i="4"/>
  <c r="I802" i="4"/>
  <c r="H803" i="4"/>
  <c r="H804" i="4"/>
  <c r="H805" i="4"/>
  <c r="H806" i="4"/>
  <c r="H807" i="4"/>
  <c r="H808" i="4"/>
  <c r="H809" i="4"/>
  <c r="H810" i="4"/>
  <c r="H811" i="4"/>
  <c r="H812" i="4"/>
  <c r="H813" i="4"/>
  <c r="H814" i="4"/>
  <c r="H815" i="4"/>
  <c r="H816" i="4"/>
  <c r="H817" i="4"/>
  <c r="H818" i="4"/>
  <c r="H819" i="4"/>
  <c r="H820" i="4"/>
  <c r="H821" i="4"/>
  <c r="H822" i="4"/>
  <c r="H823" i="4"/>
  <c r="H824" i="4"/>
  <c r="H825" i="4"/>
  <c r="H826" i="4"/>
  <c r="H827" i="4"/>
  <c r="H828" i="4"/>
  <c r="H829" i="4"/>
  <c r="H830" i="4"/>
  <c r="H831" i="4"/>
  <c r="H832" i="4"/>
  <c r="H833" i="4"/>
  <c r="H834" i="4"/>
  <c r="H835" i="4"/>
  <c r="H836" i="4"/>
  <c r="H837" i="4"/>
  <c r="H838" i="4"/>
  <c r="H839" i="4"/>
  <c r="H840" i="4"/>
  <c r="H841" i="4"/>
  <c r="H842" i="4"/>
  <c r="H843" i="4"/>
  <c r="H844" i="4"/>
  <c r="H845" i="4"/>
  <c r="H846" i="4"/>
  <c r="H847" i="4"/>
  <c r="H848" i="4"/>
  <c r="H849" i="4"/>
  <c r="H850" i="4"/>
  <c r="H851" i="4"/>
  <c r="H852" i="4"/>
  <c r="H853" i="4"/>
  <c r="H854" i="4"/>
  <c r="H855" i="4"/>
  <c r="H856" i="4"/>
  <c r="H857" i="4"/>
  <c r="H858" i="4"/>
  <c r="H859" i="4"/>
  <c r="H860" i="4"/>
  <c r="H861" i="4"/>
  <c r="H862" i="4"/>
  <c r="H863" i="4"/>
  <c r="H864" i="4"/>
  <c r="H865" i="4"/>
  <c r="H866" i="4"/>
  <c r="H867" i="4"/>
  <c r="H868" i="4"/>
  <c r="H869" i="4"/>
  <c r="H870" i="4"/>
  <c r="H871" i="4"/>
  <c r="H872" i="4"/>
  <c r="H873" i="4"/>
  <c r="H874" i="4"/>
  <c r="H875" i="4"/>
  <c r="H876" i="4"/>
  <c r="H877" i="4"/>
  <c r="H878" i="4"/>
  <c r="H879" i="4"/>
  <c r="H880" i="4"/>
  <c r="H881" i="4"/>
  <c r="H882" i="4"/>
  <c r="H883" i="4"/>
  <c r="H884" i="4"/>
  <c r="H885" i="4"/>
  <c r="H886" i="4"/>
  <c r="H887" i="4"/>
  <c r="H888" i="4"/>
  <c r="H889" i="4"/>
  <c r="H890" i="4"/>
  <c r="H891" i="4"/>
  <c r="H892" i="4"/>
  <c r="H893" i="4"/>
  <c r="H894" i="4"/>
  <c r="H895" i="4"/>
  <c r="H896" i="4"/>
  <c r="H897" i="4"/>
  <c r="H898" i="4"/>
  <c r="H899" i="4"/>
  <c r="H900" i="4"/>
  <c r="H901" i="4"/>
  <c r="H802" i="4"/>
  <c r="G803" i="4"/>
  <c r="G804" i="4"/>
  <c r="G805" i="4"/>
  <c r="G806" i="4"/>
  <c r="G807" i="4"/>
  <c r="G808" i="4"/>
  <c r="G809" i="4"/>
  <c r="G810" i="4"/>
  <c r="G811" i="4"/>
  <c r="G812" i="4"/>
  <c r="G813" i="4"/>
  <c r="G814" i="4"/>
  <c r="G815" i="4"/>
  <c r="G816" i="4"/>
  <c r="G817" i="4"/>
  <c r="G818" i="4"/>
  <c r="G819" i="4"/>
  <c r="G820" i="4"/>
  <c r="G821" i="4"/>
  <c r="G822" i="4"/>
  <c r="G823" i="4"/>
  <c r="G824" i="4"/>
  <c r="G825" i="4"/>
  <c r="G826" i="4"/>
  <c r="G827" i="4"/>
  <c r="G828" i="4"/>
  <c r="G829" i="4"/>
  <c r="G830" i="4"/>
  <c r="G831" i="4"/>
  <c r="G832" i="4"/>
  <c r="G833" i="4"/>
  <c r="G834" i="4"/>
  <c r="G835" i="4"/>
  <c r="G836" i="4"/>
  <c r="G837" i="4"/>
  <c r="G838" i="4"/>
  <c r="G839" i="4"/>
  <c r="G840" i="4"/>
  <c r="G841" i="4"/>
  <c r="G842" i="4"/>
  <c r="G843" i="4"/>
  <c r="G844" i="4"/>
  <c r="G845" i="4"/>
  <c r="G846" i="4"/>
  <c r="G847" i="4"/>
  <c r="G848" i="4"/>
  <c r="G849" i="4"/>
  <c r="G850" i="4"/>
  <c r="G851" i="4"/>
  <c r="G852" i="4"/>
  <c r="G853" i="4"/>
  <c r="G854" i="4"/>
  <c r="G855" i="4"/>
  <c r="G856" i="4"/>
  <c r="G857" i="4"/>
  <c r="G858" i="4"/>
  <c r="G859" i="4"/>
  <c r="G860" i="4"/>
  <c r="G861" i="4"/>
  <c r="G862" i="4"/>
  <c r="G863" i="4"/>
  <c r="G864" i="4"/>
  <c r="G865" i="4"/>
  <c r="G866" i="4"/>
  <c r="G867" i="4"/>
  <c r="G868" i="4"/>
  <c r="G869" i="4"/>
  <c r="G870" i="4"/>
  <c r="G871" i="4"/>
  <c r="G872" i="4"/>
  <c r="G873" i="4"/>
  <c r="G874" i="4"/>
  <c r="G875" i="4"/>
  <c r="G876" i="4"/>
  <c r="G877" i="4"/>
  <c r="G878" i="4"/>
  <c r="G879" i="4"/>
  <c r="G880" i="4"/>
  <c r="G881" i="4"/>
  <c r="G882" i="4"/>
  <c r="G883" i="4"/>
  <c r="G884" i="4"/>
  <c r="G885" i="4"/>
  <c r="G886" i="4"/>
  <c r="G887" i="4"/>
  <c r="G888" i="4"/>
  <c r="G889" i="4"/>
  <c r="G890" i="4"/>
  <c r="G891" i="4"/>
  <c r="G892" i="4"/>
  <c r="G893" i="4"/>
  <c r="G894" i="4"/>
  <c r="G895" i="4"/>
  <c r="G896" i="4"/>
  <c r="G897" i="4"/>
  <c r="G898" i="4"/>
  <c r="G899" i="4"/>
  <c r="G900" i="4"/>
  <c r="G901" i="4"/>
  <c r="G802" i="4"/>
  <c r="I703" i="4"/>
  <c r="I704" i="4"/>
  <c r="I705" i="4"/>
  <c r="I706" i="4"/>
  <c r="I707" i="4"/>
  <c r="I708" i="4"/>
  <c r="I709" i="4"/>
  <c r="I710" i="4"/>
  <c r="I711" i="4"/>
  <c r="I712" i="4"/>
  <c r="I713" i="4"/>
  <c r="I714" i="4"/>
  <c r="I715" i="4"/>
  <c r="I716" i="4"/>
  <c r="I717" i="4"/>
  <c r="I718" i="4"/>
  <c r="I719" i="4"/>
  <c r="I720" i="4"/>
  <c r="I721" i="4"/>
  <c r="I722" i="4"/>
  <c r="I723" i="4"/>
  <c r="I724" i="4"/>
  <c r="I725" i="4"/>
  <c r="I726" i="4"/>
  <c r="I727" i="4"/>
  <c r="I728" i="4"/>
  <c r="I729" i="4"/>
  <c r="I730" i="4"/>
  <c r="I731" i="4"/>
  <c r="I732" i="4"/>
  <c r="I733" i="4"/>
  <c r="I734" i="4"/>
  <c r="I735" i="4"/>
  <c r="I736" i="4"/>
  <c r="I737" i="4"/>
  <c r="I738" i="4"/>
  <c r="I739" i="4"/>
  <c r="I740" i="4"/>
  <c r="I741" i="4"/>
  <c r="I742" i="4"/>
  <c r="I743" i="4"/>
  <c r="I744" i="4"/>
  <c r="I745" i="4"/>
  <c r="I746" i="4"/>
  <c r="I747" i="4"/>
  <c r="I748" i="4"/>
  <c r="I749" i="4"/>
  <c r="I750" i="4"/>
  <c r="I751" i="4"/>
  <c r="I752" i="4"/>
  <c r="I753" i="4"/>
  <c r="I754" i="4"/>
  <c r="I755" i="4"/>
  <c r="I756" i="4"/>
  <c r="I757" i="4"/>
  <c r="I758" i="4"/>
  <c r="I759" i="4"/>
  <c r="I760" i="4"/>
  <c r="I761" i="4"/>
  <c r="I762" i="4"/>
  <c r="I763" i="4"/>
  <c r="I764" i="4"/>
  <c r="I765" i="4"/>
  <c r="I766" i="4"/>
  <c r="I767" i="4"/>
  <c r="I768" i="4"/>
  <c r="I769" i="4"/>
  <c r="I770" i="4"/>
  <c r="I771" i="4"/>
  <c r="I772" i="4"/>
  <c r="I773" i="4"/>
  <c r="I774" i="4"/>
  <c r="I775" i="4"/>
  <c r="I776" i="4"/>
  <c r="I777" i="4"/>
  <c r="I778" i="4"/>
  <c r="I779" i="4"/>
  <c r="I780" i="4"/>
  <c r="I781" i="4"/>
  <c r="I782" i="4"/>
  <c r="I783" i="4"/>
  <c r="I784" i="4"/>
  <c r="I785" i="4"/>
  <c r="I786" i="4"/>
  <c r="I787" i="4"/>
  <c r="I788" i="4"/>
  <c r="I789" i="4"/>
  <c r="I790" i="4"/>
  <c r="I791" i="4"/>
  <c r="I792" i="4"/>
  <c r="I793" i="4"/>
  <c r="I794" i="4"/>
  <c r="I795" i="4"/>
  <c r="I796" i="4"/>
  <c r="I797" i="4"/>
  <c r="I798" i="4"/>
  <c r="I799" i="4"/>
  <c r="I800" i="4"/>
  <c r="I801" i="4"/>
  <c r="I702" i="4"/>
  <c r="H703" i="4"/>
  <c r="H704" i="4"/>
  <c r="H705" i="4"/>
  <c r="H706" i="4"/>
  <c r="H707" i="4"/>
  <c r="H708" i="4"/>
  <c r="H709" i="4"/>
  <c r="H710" i="4"/>
  <c r="H711" i="4"/>
  <c r="H712" i="4"/>
  <c r="H713" i="4"/>
  <c r="H714" i="4"/>
  <c r="H715" i="4"/>
  <c r="H716" i="4"/>
  <c r="H717" i="4"/>
  <c r="H718" i="4"/>
  <c r="H719" i="4"/>
  <c r="H720" i="4"/>
  <c r="H721" i="4"/>
  <c r="H722" i="4"/>
  <c r="H723" i="4"/>
  <c r="H724" i="4"/>
  <c r="H725" i="4"/>
  <c r="H726" i="4"/>
  <c r="H727" i="4"/>
  <c r="H728" i="4"/>
  <c r="H729" i="4"/>
  <c r="H730" i="4"/>
  <c r="H731" i="4"/>
  <c r="H732" i="4"/>
  <c r="H733" i="4"/>
  <c r="H734" i="4"/>
  <c r="H735" i="4"/>
  <c r="H736" i="4"/>
  <c r="H737" i="4"/>
  <c r="H738" i="4"/>
  <c r="H739" i="4"/>
  <c r="H740" i="4"/>
  <c r="H741" i="4"/>
  <c r="H742" i="4"/>
  <c r="H743" i="4"/>
  <c r="H744" i="4"/>
  <c r="H745" i="4"/>
  <c r="H746" i="4"/>
  <c r="H747" i="4"/>
  <c r="H748" i="4"/>
  <c r="H749" i="4"/>
  <c r="H750" i="4"/>
  <c r="H751" i="4"/>
  <c r="H752" i="4"/>
  <c r="H753" i="4"/>
  <c r="H754" i="4"/>
  <c r="H755" i="4"/>
  <c r="H756" i="4"/>
  <c r="H757" i="4"/>
  <c r="H758" i="4"/>
  <c r="H759" i="4"/>
  <c r="H760" i="4"/>
  <c r="H761" i="4"/>
  <c r="H762" i="4"/>
  <c r="H763" i="4"/>
  <c r="H764" i="4"/>
  <c r="H765" i="4"/>
  <c r="H766" i="4"/>
  <c r="H767" i="4"/>
  <c r="H768" i="4"/>
  <c r="H769" i="4"/>
  <c r="H770" i="4"/>
  <c r="H771" i="4"/>
  <c r="H772" i="4"/>
  <c r="H773" i="4"/>
  <c r="H774" i="4"/>
  <c r="H775" i="4"/>
  <c r="H776" i="4"/>
  <c r="H777" i="4"/>
  <c r="H778" i="4"/>
  <c r="H779" i="4"/>
  <c r="H780" i="4"/>
  <c r="H781" i="4"/>
  <c r="H782" i="4"/>
  <c r="H783" i="4"/>
  <c r="H784" i="4"/>
  <c r="H785" i="4"/>
  <c r="H786" i="4"/>
  <c r="H787" i="4"/>
  <c r="H788" i="4"/>
  <c r="H789" i="4"/>
  <c r="H790" i="4"/>
  <c r="H791" i="4"/>
  <c r="H792" i="4"/>
  <c r="H793" i="4"/>
  <c r="H794" i="4"/>
  <c r="H795" i="4"/>
  <c r="H796" i="4"/>
  <c r="H797" i="4"/>
  <c r="H798" i="4"/>
  <c r="H799" i="4"/>
  <c r="H800" i="4"/>
  <c r="H801" i="4"/>
  <c r="H702" i="4"/>
  <c r="G703" i="4"/>
  <c r="G704" i="4"/>
  <c r="G705" i="4"/>
  <c r="G706" i="4"/>
  <c r="G707" i="4"/>
  <c r="G708" i="4"/>
  <c r="G709" i="4"/>
  <c r="G710" i="4"/>
  <c r="G711" i="4"/>
  <c r="G712" i="4"/>
  <c r="G713" i="4"/>
  <c r="G714" i="4"/>
  <c r="G715" i="4"/>
  <c r="G716" i="4"/>
  <c r="G717" i="4"/>
  <c r="G718" i="4"/>
  <c r="G719" i="4"/>
  <c r="G720" i="4"/>
  <c r="G721" i="4"/>
  <c r="G722" i="4"/>
  <c r="G723" i="4"/>
  <c r="G724" i="4"/>
  <c r="G725" i="4"/>
  <c r="G726" i="4"/>
  <c r="G727" i="4"/>
  <c r="G728" i="4"/>
  <c r="G729" i="4"/>
  <c r="G730" i="4"/>
  <c r="G731" i="4"/>
  <c r="G732" i="4"/>
  <c r="G733" i="4"/>
  <c r="G734" i="4"/>
  <c r="G735" i="4"/>
  <c r="G736" i="4"/>
  <c r="G737" i="4"/>
  <c r="G738" i="4"/>
  <c r="G739" i="4"/>
  <c r="G740" i="4"/>
  <c r="G741" i="4"/>
  <c r="G742" i="4"/>
  <c r="G743" i="4"/>
  <c r="G744" i="4"/>
  <c r="G745" i="4"/>
  <c r="G746" i="4"/>
  <c r="G747" i="4"/>
  <c r="G748" i="4"/>
  <c r="G749" i="4"/>
  <c r="G750" i="4"/>
  <c r="G751" i="4"/>
  <c r="G752" i="4"/>
  <c r="G753" i="4"/>
  <c r="G754" i="4"/>
  <c r="G755" i="4"/>
  <c r="G756" i="4"/>
  <c r="G757" i="4"/>
  <c r="G758" i="4"/>
  <c r="G759" i="4"/>
  <c r="G760" i="4"/>
  <c r="G761" i="4"/>
  <c r="G762" i="4"/>
  <c r="G763" i="4"/>
  <c r="G764" i="4"/>
  <c r="G765" i="4"/>
  <c r="G766" i="4"/>
  <c r="G767" i="4"/>
  <c r="G768" i="4"/>
  <c r="G769" i="4"/>
  <c r="G770" i="4"/>
  <c r="G771" i="4"/>
  <c r="G772" i="4"/>
  <c r="G773" i="4"/>
  <c r="G774" i="4"/>
  <c r="G775" i="4"/>
  <c r="G776" i="4"/>
  <c r="G777" i="4"/>
  <c r="G778" i="4"/>
  <c r="G779" i="4"/>
  <c r="G780" i="4"/>
  <c r="G781" i="4"/>
  <c r="G782" i="4"/>
  <c r="G783" i="4"/>
  <c r="G784" i="4"/>
  <c r="G785" i="4"/>
  <c r="G786" i="4"/>
  <c r="G787" i="4"/>
  <c r="G788" i="4"/>
  <c r="G789" i="4"/>
  <c r="G790" i="4"/>
  <c r="G791" i="4"/>
  <c r="G792" i="4"/>
  <c r="G793" i="4"/>
  <c r="G794" i="4"/>
  <c r="G795" i="4"/>
  <c r="G796" i="4"/>
  <c r="G797" i="4"/>
  <c r="G798" i="4"/>
  <c r="G799" i="4"/>
  <c r="G800" i="4"/>
  <c r="G801" i="4"/>
  <c r="G702" i="4"/>
  <c r="I603" i="4"/>
  <c r="I604" i="4"/>
  <c r="I605" i="4"/>
  <c r="I606" i="4"/>
  <c r="I607" i="4"/>
  <c r="I608" i="4"/>
  <c r="I609" i="4"/>
  <c r="I610" i="4"/>
  <c r="I611" i="4"/>
  <c r="I612" i="4"/>
  <c r="I613" i="4"/>
  <c r="I614" i="4"/>
  <c r="I615" i="4"/>
  <c r="I616" i="4"/>
  <c r="I617" i="4"/>
  <c r="I618" i="4"/>
  <c r="I619" i="4"/>
  <c r="I620" i="4"/>
  <c r="I621" i="4"/>
  <c r="I622" i="4"/>
  <c r="I623" i="4"/>
  <c r="I624" i="4"/>
  <c r="I625" i="4"/>
  <c r="I626" i="4"/>
  <c r="I627" i="4"/>
  <c r="I628" i="4"/>
  <c r="I629" i="4"/>
  <c r="I630" i="4"/>
  <c r="I631" i="4"/>
  <c r="I632" i="4"/>
  <c r="I633" i="4"/>
  <c r="I634" i="4"/>
  <c r="I635" i="4"/>
  <c r="I636" i="4"/>
  <c r="I637" i="4"/>
  <c r="I638" i="4"/>
  <c r="I639" i="4"/>
  <c r="I640" i="4"/>
  <c r="I641" i="4"/>
  <c r="I642" i="4"/>
  <c r="I643" i="4"/>
  <c r="I644" i="4"/>
  <c r="I645" i="4"/>
  <c r="I646" i="4"/>
  <c r="I647" i="4"/>
  <c r="I648" i="4"/>
  <c r="I649" i="4"/>
  <c r="I650" i="4"/>
  <c r="I651" i="4"/>
  <c r="I652" i="4"/>
  <c r="I653" i="4"/>
  <c r="I654" i="4"/>
  <c r="I655" i="4"/>
  <c r="I656" i="4"/>
  <c r="I657" i="4"/>
  <c r="I658" i="4"/>
  <c r="I659" i="4"/>
  <c r="I660" i="4"/>
  <c r="I661" i="4"/>
  <c r="I662" i="4"/>
  <c r="I663" i="4"/>
  <c r="I664" i="4"/>
  <c r="I665" i="4"/>
  <c r="I666" i="4"/>
  <c r="I667" i="4"/>
  <c r="I668" i="4"/>
  <c r="I669" i="4"/>
  <c r="I670" i="4"/>
  <c r="I671" i="4"/>
  <c r="I672" i="4"/>
  <c r="I673" i="4"/>
  <c r="I674" i="4"/>
  <c r="I675" i="4"/>
  <c r="I676" i="4"/>
  <c r="I677" i="4"/>
  <c r="I678" i="4"/>
  <c r="I679" i="4"/>
  <c r="I680" i="4"/>
  <c r="I681" i="4"/>
  <c r="I682" i="4"/>
  <c r="I683" i="4"/>
  <c r="I684" i="4"/>
  <c r="I685" i="4"/>
  <c r="I686" i="4"/>
  <c r="I687" i="4"/>
  <c r="I688" i="4"/>
  <c r="I689" i="4"/>
  <c r="I690" i="4"/>
  <c r="I691" i="4"/>
  <c r="I692" i="4"/>
  <c r="I693" i="4"/>
  <c r="I694" i="4"/>
  <c r="I695" i="4"/>
  <c r="I696" i="4"/>
  <c r="I697" i="4"/>
  <c r="I698" i="4"/>
  <c r="I699" i="4"/>
  <c r="I700" i="4"/>
  <c r="I701" i="4"/>
  <c r="I602" i="4"/>
  <c r="H603" i="4"/>
  <c r="H604" i="4"/>
  <c r="H605" i="4"/>
  <c r="H606" i="4"/>
  <c r="H607" i="4"/>
  <c r="H608" i="4"/>
  <c r="H609" i="4"/>
  <c r="H610" i="4"/>
  <c r="H611" i="4"/>
  <c r="H612" i="4"/>
  <c r="H613" i="4"/>
  <c r="H614" i="4"/>
  <c r="H615" i="4"/>
  <c r="H616" i="4"/>
  <c r="H617" i="4"/>
  <c r="H618" i="4"/>
  <c r="H619" i="4"/>
  <c r="H620" i="4"/>
  <c r="H621" i="4"/>
  <c r="H622" i="4"/>
  <c r="H623" i="4"/>
  <c r="H624" i="4"/>
  <c r="H625" i="4"/>
  <c r="H626" i="4"/>
  <c r="H627" i="4"/>
  <c r="H628" i="4"/>
  <c r="H629" i="4"/>
  <c r="H630" i="4"/>
  <c r="H631" i="4"/>
  <c r="H632" i="4"/>
  <c r="H633" i="4"/>
  <c r="H634" i="4"/>
  <c r="H635" i="4"/>
  <c r="H636" i="4"/>
  <c r="H637" i="4"/>
  <c r="H638" i="4"/>
  <c r="H639" i="4"/>
  <c r="H640" i="4"/>
  <c r="H641" i="4"/>
  <c r="H642" i="4"/>
  <c r="H643" i="4"/>
  <c r="H644" i="4"/>
  <c r="H645" i="4"/>
  <c r="H646" i="4"/>
  <c r="H647" i="4"/>
  <c r="H648" i="4"/>
  <c r="H649" i="4"/>
  <c r="H650" i="4"/>
  <c r="H651" i="4"/>
  <c r="H652" i="4"/>
  <c r="H653" i="4"/>
  <c r="H654" i="4"/>
  <c r="H655" i="4"/>
  <c r="H656" i="4"/>
  <c r="H657" i="4"/>
  <c r="H658" i="4"/>
  <c r="H659" i="4"/>
  <c r="H660" i="4"/>
  <c r="H661" i="4"/>
  <c r="H662" i="4"/>
  <c r="H663" i="4"/>
  <c r="H664" i="4"/>
  <c r="H665" i="4"/>
  <c r="H666" i="4"/>
  <c r="H667" i="4"/>
  <c r="H668" i="4"/>
  <c r="H669" i="4"/>
  <c r="H670" i="4"/>
  <c r="H671" i="4"/>
  <c r="H672" i="4"/>
  <c r="H673" i="4"/>
  <c r="H674" i="4"/>
  <c r="H675" i="4"/>
  <c r="H676" i="4"/>
  <c r="H677" i="4"/>
  <c r="H678" i="4"/>
  <c r="H679" i="4"/>
  <c r="H680" i="4"/>
  <c r="H681" i="4"/>
  <c r="H682" i="4"/>
  <c r="H683" i="4"/>
  <c r="H684" i="4"/>
  <c r="H685" i="4"/>
  <c r="H686" i="4"/>
  <c r="H687" i="4"/>
  <c r="H688" i="4"/>
  <c r="H689" i="4"/>
  <c r="H690" i="4"/>
  <c r="H691" i="4"/>
  <c r="H692" i="4"/>
  <c r="H693" i="4"/>
  <c r="H694" i="4"/>
  <c r="H695" i="4"/>
  <c r="H696" i="4"/>
  <c r="H697" i="4"/>
  <c r="H698" i="4"/>
  <c r="H699" i="4"/>
  <c r="H700" i="4"/>
  <c r="H701" i="4"/>
  <c r="H602" i="4"/>
  <c r="G603" i="4"/>
  <c r="G604" i="4"/>
  <c r="G605" i="4"/>
  <c r="G606" i="4"/>
  <c r="G607" i="4"/>
  <c r="G608" i="4"/>
  <c r="G609" i="4"/>
  <c r="G610" i="4"/>
  <c r="G611" i="4"/>
  <c r="G612" i="4"/>
  <c r="G613" i="4"/>
  <c r="G614" i="4"/>
  <c r="G615" i="4"/>
  <c r="G616" i="4"/>
  <c r="G617" i="4"/>
  <c r="G618" i="4"/>
  <c r="G619" i="4"/>
  <c r="G620" i="4"/>
  <c r="G621" i="4"/>
  <c r="G622" i="4"/>
  <c r="G623" i="4"/>
  <c r="G624" i="4"/>
  <c r="G625" i="4"/>
  <c r="G626" i="4"/>
  <c r="G627" i="4"/>
  <c r="G628" i="4"/>
  <c r="G629" i="4"/>
  <c r="G630" i="4"/>
  <c r="G631" i="4"/>
  <c r="G632" i="4"/>
  <c r="G633" i="4"/>
  <c r="G634" i="4"/>
  <c r="G635" i="4"/>
  <c r="G636" i="4"/>
  <c r="G637" i="4"/>
  <c r="G638" i="4"/>
  <c r="G639" i="4"/>
  <c r="G640" i="4"/>
  <c r="G641" i="4"/>
  <c r="G642" i="4"/>
  <c r="G643" i="4"/>
  <c r="G644" i="4"/>
  <c r="G645" i="4"/>
  <c r="G646" i="4"/>
  <c r="G647" i="4"/>
  <c r="G648" i="4"/>
  <c r="G649" i="4"/>
  <c r="G650" i="4"/>
  <c r="G651" i="4"/>
  <c r="G652" i="4"/>
  <c r="G653" i="4"/>
  <c r="G654" i="4"/>
  <c r="G655" i="4"/>
  <c r="G656" i="4"/>
  <c r="G657" i="4"/>
  <c r="G658" i="4"/>
  <c r="G659" i="4"/>
  <c r="G660" i="4"/>
  <c r="G661" i="4"/>
  <c r="G662" i="4"/>
  <c r="G663" i="4"/>
  <c r="G664" i="4"/>
  <c r="G665" i="4"/>
  <c r="G666" i="4"/>
  <c r="G667" i="4"/>
  <c r="G668" i="4"/>
  <c r="G669" i="4"/>
  <c r="G670" i="4"/>
  <c r="G671" i="4"/>
  <c r="G672" i="4"/>
  <c r="G673" i="4"/>
  <c r="G674" i="4"/>
  <c r="G675" i="4"/>
  <c r="G676" i="4"/>
  <c r="G677" i="4"/>
  <c r="G678" i="4"/>
  <c r="G679" i="4"/>
  <c r="G680" i="4"/>
  <c r="G681" i="4"/>
  <c r="G682" i="4"/>
  <c r="G683" i="4"/>
  <c r="G684" i="4"/>
  <c r="G685" i="4"/>
  <c r="G686" i="4"/>
  <c r="G687" i="4"/>
  <c r="G688" i="4"/>
  <c r="G689" i="4"/>
  <c r="G690" i="4"/>
  <c r="G691" i="4"/>
  <c r="G692" i="4"/>
  <c r="G693" i="4"/>
  <c r="G694" i="4"/>
  <c r="G695" i="4"/>
  <c r="G696" i="4"/>
  <c r="G697" i="4"/>
  <c r="G698" i="4"/>
  <c r="G699" i="4"/>
  <c r="G700" i="4"/>
  <c r="G701" i="4"/>
  <c r="G602" i="4"/>
  <c r="I503" i="4"/>
  <c r="I504" i="4"/>
  <c r="I505" i="4"/>
  <c r="I506" i="4"/>
  <c r="I507" i="4"/>
  <c r="I508" i="4"/>
  <c r="I509" i="4"/>
  <c r="I510" i="4"/>
  <c r="I511" i="4"/>
  <c r="I512" i="4"/>
  <c r="I513" i="4"/>
  <c r="I514" i="4"/>
  <c r="I515" i="4"/>
  <c r="I516" i="4"/>
  <c r="I517" i="4"/>
  <c r="I518" i="4"/>
  <c r="I519" i="4"/>
  <c r="I520" i="4"/>
  <c r="I521" i="4"/>
  <c r="I522" i="4"/>
  <c r="I523" i="4"/>
  <c r="I524" i="4"/>
  <c r="I525" i="4"/>
  <c r="I526" i="4"/>
  <c r="I527" i="4"/>
  <c r="I528" i="4"/>
  <c r="I529" i="4"/>
  <c r="I530" i="4"/>
  <c r="I531" i="4"/>
  <c r="I532" i="4"/>
  <c r="I533" i="4"/>
  <c r="I534" i="4"/>
  <c r="I535" i="4"/>
  <c r="I536" i="4"/>
  <c r="I537" i="4"/>
  <c r="I538" i="4"/>
  <c r="I539" i="4"/>
  <c r="I540" i="4"/>
  <c r="I541" i="4"/>
  <c r="I542" i="4"/>
  <c r="I543" i="4"/>
  <c r="I544" i="4"/>
  <c r="I545" i="4"/>
  <c r="I546" i="4"/>
  <c r="I547" i="4"/>
  <c r="I548" i="4"/>
  <c r="I549" i="4"/>
  <c r="I550" i="4"/>
  <c r="I551" i="4"/>
  <c r="I552" i="4"/>
  <c r="I553" i="4"/>
  <c r="I554" i="4"/>
  <c r="I555" i="4"/>
  <c r="I556" i="4"/>
  <c r="I557" i="4"/>
  <c r="I558" i="4"/>
  <c r="I559" i="4"/>
  <c r="I560" i="4"/>
  <c r="I561" i="4"/>
  <c r="I562" i="4"/>
  <c r="I563" i="4"/>
  <c r="I564" i="4"/>
  <c r="I565" i="4"/>
  <c r="I566" i="4"/>
  <c r="I567" i="4"/>
  <c r="I568" i="4"/>
  <c r="I569" i="4"/>
  <c r="I570" i="4"/>
  <c r="I571" i="4"/>
  <c r="I572" i="4"/>
  <c r="I573" i="4"/>
  <c r="I574" i="4"/>
  <c r="I575" i="4"/>
  <c r="I576" i="4"/>
  <c r="I577" i="4"/>
  <c r="I578" i="4"/>
  <c r="I579" i="4"/>
  <c r="I580" i="4"/>
  <c r="I581" i="4"/>
  <c r="I582" i="4"/>
  <c r="I583" i="4"/>
  <c r="I584" i="4"/>
  <c r="I585" i="4"/>
  <c r="I586" i="4"/>
  <c r="I587" i="4"/>
  <c r="I588" i="4"/>
  <c r="I589" i="4"/>
  <c r="I590" i="4"/>
  <c r="I591" i="4"/>
  <c r="I592" i="4"/>
  <c r="I593" i="4"/>
  <c r="I594" i="4"/>
  <c r="I595" i="4"/>
  <c r="I596" i="4"/>
  <c r="I597" i="4"/>
  <c r="I598" i="4"/>
  <c r="I599" i="4"/>
  <c r="I600" i="4"/>
  <c r="I601" i="4"/>
  <c r="I502" i="4"/>
  <c r="H503" i="4"/>
  <c r="H504" i="4"/>
  <c r="H505" i="4"/>
  <c r="H506" i="4"/>
  <c r="H507" i="4"/>
  <c r="H508" i="4"/>
  <c r="H509" i="4"/>
  <c r="H510" i="4"/>
  <c r="H511" i="4"/>
  <c r="H512" i="4"/>
  <c r="H513" i="4"/>
  <c r="H514" i="4"/>
  <c r="H515" i="4"/>
  <c r="H516" i="4"/>
  <c r="H517" i="4"/>
  <c r="H518" i="4"/>
  <c r="H519" i="4"/>
  <c r="H520" i="4"/>
  <c r="H521" i="4"/>
  <c r="H522" i="4"/>
  <c r="H523" i="4"/>
  <c r="H524" i="4"/>
  <c r="H525" i="4"/>
  <c r="H526" i="4"/>
  <c r="H527" i="4"/>
  <c r="H528" i="4"/>
  <c r="H529" i="4"/>
  <c r="H530" i="4"/>
  <c r="H531" i="4"/>
  <c r="H532" i="4"/>
  <c r="H533" i="4"/>
  <c r="H534" i="4"/>
  <c r="H535" i="4"/>
  <c r="H536" i="4"/>
  <c r="H537" i="4"/>
  <c r="H538" i="4"/>
  <c r="H539" i="4"/>
  <c r="H540" i="4"/>
  <c r="H541" i="4"/>
  <c r="H542" i="4"/>
  <c r="H543" i="4"/>
  <c r="H544" i="4"/>
  <c r="H545" i="4"/>
  <c r="H546" i="4"/>
  <c r="H547" i="4"/>
  <c r="H548" i="4"/>
  <c r="H549" i="4"/>
  <c r="H550" i="4"/>
  <c r="H551" i="4"/>
  <c r="H552" i="4"/>
  <c r="H553" i="4"/>
  <c r="H554" i="4"/>
  <c r="H555" i="4"/>
  <c r="H556" i="4"/>
  <c r="H557" i="4"/>
  <c r="H558" i="4"/>
  <c r="H559" i="4"/>
  <c r="H560" i="4"/>
  <c r="H561" i="4"/>
  <c r="H562" i="4"/>
  <c r="H563" i="4"/>
  <c r="H564" i="4"/>
  <c r="H565" i="4"/>
  <c r="H566" i="4"/>
  <c r="H567" i="4"/>
  <c r="H568" i="4"/>
  <c r="H569" i="4"/>
  <c r="H570" i="4"/>
  <c r="H571" i="4"/>
  <c r="H572" i="4"/>
  <c r="H573" i="4"/>
  <c r="H574" i="4"/>
  <c r="H575" i="4"/>
  <c r="H576" i="4"/>
  <c r="H577" i="4"/>
  <c r="H578" i="4"/>
  <c r="H579" i="4"/>
  <c r="H580" i="4"/>
  <c r="H581" i="4"/>
  <c r="H582" i="4"/>
  <c r="H583" i="4"/>
  <c r="H584" i="4"/>
  <c r="H585" i="4"/>
  <c r="H586" i="4"/>
  <c r="H587" i="4"/>
  <c r="H588" i="4"/>
  <c r="H589" i="4"/>
  <c r="H590" i="4"/>
  <c r="H591" i="4"/>
  <c r="H592" i="4"/>
  <c r="H593" i="4"/>
  <c r="H594" i="4"/>
  <c r="H595" i="4"/>
  <c r="H596" i="4"/>
  <c r="H597" i="4"/>
  <c r="H598" i="4"/>
  <c r="H599" i="4"/>
  <c r="H600" i="4"/>
  <c r="H601" i="4"/>
  <c r="H502" i="4"/>
  <c r="G503" i="4"/>
  <c r="G504" i="4"/>
  <c r="G505" i="4"/>
  <c r="G506" i="4"/>
  <c r="G507" i="4"/>
  <c r="G508" i="4"/>
  <c r="G509" i="4"/>
  <c r="G510" i="4"/>
  <c r="G511" i="4"/>
  <c r="G512" i="4"/>
  <c r="G513" i="4"/>
  <c r="G514" i="4"/>
  <c r="G515" i="4"/>
  <c r="G516" i="4"/>
  <c r="G517" i="4"/>
  <c r="G518" i="4"/>
  <c r="G519" i="4"/>
  <c r="G520" i="4"/>
  <c r="G521" i="4"/>
  <c r="G522" i="4"/>
  <c r="G523" i="4"/>
  <c r="G524" i="4"/>
  <c r="G525" i="4"/>
  <c r="G526" i="4"/>
  <c r="G527" i="4"/>
  <c r="G528" i="4"/>
  <c r="G529" i="4"/>
  <c r="G530" i="4"/>
  <c r="G531" i="4"/>
  <c r="G532" i="4"/>
  <c r="G533" i="4"/>
  <c r="G534" i="4"/>
  <c r="G535" i="4"/>
  <c r="G536" i="4"/>
  <c r="G537" i="4"/>
  <c r="G538" i="4"/>
  <c r="G539" i="4"/>
  <c r="G540" i="4"/>
  <c r="G541" i="4"/>
  <c r="G542" i="4"/>
  <c r="G543" i="4"/>
  <c r="G544" i="4"/>
  <c r="G545" i="4"/>
  <c r="G546" i="4"/>
  <c r="G547" i="4"/>
  <c r="G548" i="4"/>
  <c r="G549" i="4"/>
  <c r="G550" i="4"/>
  <c r="G551" i="4"/>
  <c r="G552" i="4"/>
  <c r="G553" i="4"/>
  <c r="G554" i="4"/>
  <c r="G555" i="4"/>
  <c r="G556" i="4"/>
  <c r="G557" i="4"/>
  <c r="G558" i="4"/>
  <c r="G559" i="4"/>
  <c r="G560" i="4"/>
  <c r="G561" i="4"/>
  <c r="G562" i="4"/>
  <c r="G563" i="4"/>
  <c r="G564" i="4"/>
  <c r="G565" i="4"/>
  <c r="G566" i="4"/>
  <c r="G567" i="4"/>
  <c r="G568" i="4"/>
  <c r="G569" i="4"/>
  <c r="G570" i="4"/>
  <c r="G571" i="4"/>
  <c r="G572" i="4"/>
  <c r="G573" i="4"/>
  <c r="G574" i="4"/>
  <c r="G575" i="4"/>
  <c r="G576" i="4"/>
  <c r="G577" i="4"/>
  <c r="G578" i="4"/>
  <c r="G579" i="4"/>
  <c r="G580" i="4"/>
  <c r="G581" i="4"/>
  <c r="G582" i="4"/>
  <c r="G583" i="4"/>
  <c r="G584" i="4"/>
  <c r="G585" i="4"/>
  <c r="G586" i="4"/>
  <c r="G587" i="4"/>
  <c r="G588" i="4"/>
  <c r="G589" i="4"/>
  <c r="G590" i="4"/>
  <c r="G591" i="4"/>
  <c r="G592" i="4"/>
  <c r="G593" i="4"/>
  <c r="G594" i="4"/>
  <c r="G595" i="4"/>
  <c r="G596" i="4"/>
  <c r="G597" i="4"/>
  <c r="G598" i="4"/>
  <c r="G599" i="4"/>
  <c r="G600" i="4"/>
  <c r="G601" i="4"/>
  <c r="G502" i="4"/>
  <c r="I403" i="4"/>
  <c r="I404" i="4"/>
  <c r="I405" i="4"/>
  <c r="I406" i="4"/>
  <c r="I407" i="4"/>
  <c r="I408" i="4"/>
  <c r="I409" i="4"/>
  <c r="I410" i="4"/>
  <c r="I411" i="4"/>
  <c r="I412" i="4"/>
  <c r="I413" i="4"/>
  <c r="I414" i="4"/>
  <c r="I415" i="4"/>
  <c r="I416" i="4"/>
  <c r="I417" i="4"/>
  <c r="I418" i="4"/>
  <c r="I419" i="4"/>
  <c r="I420" i="4"/>
  <c r="I421" i="4"/>
  <c r="I422" i="4"/>
  <c r="I423" i="4"/>
  <c r="I424" i="4"/>
  <c r="I425" i="4"/>
  <c r="I426" i="4"/>
  <c r="I427" i="4"/>
  <c r="I428" i="4"/>
  <c r="I429" i="4"/>
  <c r="I430" i="4"/>
  <c r="I431" i="4"/>
  <c r="I432" i="4"/>
  <c r="I433" i="4"/>
  <c r="I434" i="4"/>
  <c r="I435" i="4"/>
  <c r="I436" i="4"/>
  <c r="I437" i="4"/>
  <c r="I438" i="4"/>
  <c r="I439" i="4"/>
  <c r="I440" i="4"/>
  <c r="I441" i="4"/>
  <c r="I442" i="4"/>
  <c r="I443" i="4"/>
  <c r="I444" i="4"/>
  <c r="I445" i="4"/>
  <c r="I446" i="4"/>
  <c r="I447" i="4"/>
  <c r="I448" i="4"/>
  <c r="I449" i="4"/>
  <c r="I450" i="4"/>
  <c r="I451" i="4"/>
  <c r="I452" i="4"/>
  <c r="I453" i="4"/>
  <c r="I454" i="4"/>
  <c r="I455" i="4"/>
  <c r="I456" i="4"/>
  <c r="I457" i="4"/>
  <c r="I458" i="4"/>
  <c r="I459" i="4"/>
  <c r="I460" i="4"/>
  <c r="I461" i="4"/>
  <c r="I462" i="4"/>
  <c r="I463" i="4"/>
  <c r="I464" i="4"/>
  <c r="I465" i="4"/>
  <c r="I466" i="4"/>
  <c r="I467" i="4"/>
  <c r="I468" i="4"/>
  <c r="I469" i="4"/>
  <c r="I470" i="4"/>
  <c r="I471" i="4"/>
  <c r="I472" i="4"/>
  <c r="I473" i="4"/>
  <c r="I474" i="4"/>
  <c r="I475" i="4"/>
  <c r="I476" i="4"/>
  <c r="I477" i="4"/>
  <c r="I478" i="4"/>
  <c r="I479" i="4"/>
  <c r="I480" i="4"/>
  <c r="I481" i="4"/>
  <c r="I482" i="4"/>
  <c r="I483" i="4"/>
  <c r="I484" i="4"/>
  <c r="I485" i="4"/>
  <c r="I486" i="4"/>
  <c r="I487" i="4"/>
  <c r="I488" i="4"/>
  <c r="I489" i="4"/>
  <c r="I490" i="4"/>
  <c r="I491" i="4"/>
  <c r="I492" i="4"/>
  <c r="I493" i="4"/>
  <c r="I494" i="4"/>
  <c r="I495" i="4"/>
  <c r="I496" i="4"/>
  <c r="I497" i="4"/>
  <c r="I498" i="4"/>
  <c r="I499" i="4"/>
  <c r="I500" i="4"/>
  <c r="I501" i="4"/>
  <c r="I402" i="4"/>
  <c r="H403" i="4"/>
  <c r="H404" i="4"/>
  <c r="H405" i="4"/>
  <c r="H406" i="4"/>
  <c r="H407" i="4"/>
  <c r="H408" i="4"/>
  <c r="H409" i="4"/>
  <c r="H410" i="4"/>
  <c r="H411" i="4"/>
  <c r="H412" i="4"/>
  <c r="H413" i="4"/>
  <c r="H414" i="4"/>
  <c r="H415" i="4"/>
  <c r="H416" i="4"/>
  <c r="H417" i="4"/>
  <c r="H418" i="4"/>
  <c r="H419" i="4"/>
  <c r="H420" i="4"/>
  <c r="H421" i="4"/>
  <c r="H422" i="4"/>
  <c r="H423" i="4"/>
  <c r="H424" i="4"/>
  <c r="H425" i="4"/>
  <c r="H426" i="4"/>
  <c r="H427" i="4"/>
  <c r="H428" i="4"/>
  <c r="H429" i="4"/>
  <c r="H430" i="4"/>
  <c r="H431" i="4"/>
  <c r="H432" i="4"/>
  <c r="H433" i="4"/>
  <c r="H434" i="4"/>
  <c r="H435" i="4"/>
  <c r="H436" i="4"/>
  <c r="H437" i="4"/>
  <c r="H438" i="4"/>
  <c r="H439" i="4"/>
  <c r="H440" i="4"/>
  <c r="H441" i="4"/>
  <c r="H442" i="4"/>
  <c r="H443" i="4"/>
  <c r="H444" i="4"/>
  <c r="H445" i="4"/>
  <c r="H446" i="4"/>
  <c r="H447" i="4"/>
  <c r="H448" i="4"/>
  <c r="H449" i="4"/>
  <c r="H450" i="4"/>
  <c r="H451" i="4"/>
  <c r="H452" i="4"/>
  <c r="H453" i="4"/>
  <c r="H454" i="4"/>
  <c r="H455" i="4"/>
  <c r="H456" i="4"/>
  <c r="H457" i="4"/>
  <c r="H458" i="4"/>
  <c r="H459" i="4"/>
  <c r="H460" i="4"/>
  <c r="H461" i="4"/>
  <c r="H462" i="4"/>
  <c r="H463" i="4"/>
  <c r="H464" i="4"/>
  <c r="H465" i="4"/>
  <c r="H466" i="4"/>
  <c r="H467" i="4"/>
  <c r="H468" i="4"/>
  <c r="H469" i="4"/>
  <c r="H470" i="4"/>
  <c r="H471" i="4"/>
  <c r="H472" i="4"/>
  <c r="H473" i="4"/>
  <c r="H474" i="4"/>
  <c r="H475" i="4"/>
  <c r="H476" i="4"/>
  <c r="H477" i="4"/>
  <c r="H478" i="4"/>
  <c r="H479" i="4"/>
  <c r="H480" i="4"/>
  <c r="H481" i="4"/>
  <c r="H482" i="4"/>
  <c r="H483" i="4"/>
  <c r="H484" i="4"/>
  <c r="H485" i="4"/>
  <c r="H486" i="4"/>
  <c r="H487" i="4"/>
  <c r="H488" i="4"/>
  <c r="H489" i="4"/>
  <c r="H490" i="4"/>
  <c r="H491" i="4"/>
  <c r="H492" i="4"/>
  <c r="H493" i="4"/>
  <c r="H494" i="4"/>
  <c r="H495" i="4"/>
  <c r="H496" i="4"/>
  <c r="H497" i="4"/>
  <c r="H498" i="4"/>
  <c r="H499" i="4"/>
  <c r="H500" i="4"/>
  <c r="H501" i="4"/>
  <c r="H402" i="4"/>
  <c r="G403" i="4"/>
  <c r="G404" i="4"/>
  <c r="G405" i="4"/>
  <c r="G406" i="4"/>
  <c r="G407" i="4"/>
  <c r="G408" i="4"/>
  <c r="G409" i="4"/>
  <c r="G410" i="4"/>
  <c r="G411" i="4"/>
  <c r="G412" i="4"/>
  <c r="G413" i="4"/>
  <c r="G414" i="4"/>
  <c r="G415" i="4"/>
  <c r="G416" i="4"/>
  <c r="G417" i="4"/>
  <c r="G418" i="4"/>
  <c r="G419" i="4"/>
  <c r="G420" i="4"/>
  <c r="G421" i="4"/>
  <c r="G422" i="4"/>
  <c r="G423" i="4"/>
  <c r="G424" i="4"/>
  <c r="G425" i="4"/>
  <c r="G426" i="4"/>
  <c r="G427" i="4"/>
  <c r="G428" i="4"/>
  <c r="G429" i="4"/>
  <c r="G430" i="4"/>
  <c r="G431" i="4"/>
  <c r="G432" i="4"/>
  <c r="G433" i="4"/>
  <c r="G434" i="4"/>
  <c r="G435" i="4"/>
  <c r="G436" i="4"/>
  <c r="G437" i="4"/>
  <c r="G438" i="4"/>
  <c r="G439" i="4"/>
  <c r="G440" i="4"/>
  <c r="G441" i="4"/>
  <c r="G442" i="4"/>
  <c r="G443" i="4"/>
  <c r="G444" i="4"/>
  <c r="G445" i="4"/>
  <c r="G446" i="4"/>
  <c r="G447" i="4"/>
  <c r="G448" i="4"/>
  <c r="G449" i="4"/>
  <c r="G450" i="4"/>
  <c r="G451" i="4"/>
  <c r="G452" i="4"/>
  <c r="G453" i="4"/>
  <c r="G454" i="4"/>
  <c r="G455" i="4"/>
  <c r="G456" i="4"/>
  <c r="G457" i="4"/>
  <c r="G458" i="4"/>
  <c r="G459" i="4"/>
  <c r="G460" i="4"/>
  <c r="G461" i="4"/>
  <c r="G462" i="4"/>
  <c r="G463" i="4"/>
  <c r="G464" i="4"/>
  <c r="G465" i="4"/>
  <c r="G466" i="4"/>
  <c r="G467" i="4"/>
  <c r="G468" i="4"/>
  <c r="G469" i="4"/>
  <c r="G470" i="4"/>
  <c r="G471" i="4"/>
  <c r="G472" i="4"/>
  <c r="G473" i="4"/>
  <c r="G474" i="4"/>
  <c r="G475" i="4"/>
  <c r="G476" i="4"/>
  <c r="G477" i="4"/>
  <c r="G478" i="4"/>
  <c r="G479" i="4"/>
  <c r="G480" i="4"/>
  <c r="G481" i="4"/>
  <c r="G482" i="4"/>
  <c r="G483" i="4"/>
  <c r="G484" i="4"/>
  <c r="G485" i="4"/>
  <c r="G486" i="4"/>
  <c r="G487" i="4"/>
  <c r="G488" i="4"/>
  <c r="G489" i="4"/>
  <c r="G490" i="4"/>
  <c r="G491" i="4"/>
  <c r="G492" i="4"/>
  <c r="G493" i="4"/>
  <c r="G494" i="4"/>
  <c r="G495" i="4"/>
  <c r="G496" i="4"/>
  <c r="G497" i="4"/>
  <c r="G498" i="4"/>
  <c r="G499" i="4"/>
  <c r="G500" i="4"/>
  <c r="G501" i="4"/>
  <c r="G402" i="4"/>
  <c r="H303" i="4"/>
  <c r="H304" i="4"/>
  <c r="H305" i="4"/>
  <c r="H306" i="4"/>
  <c r="H307" i="4"/>
  <c r="H308" i="4"/>
  <c r="H309" i="4"/>
  <c r="H310" i="4"/>
  <c r="H311" i="4"/>
  <c r="H312" i="4"/>
  <c r="H313" i="4"/>
  <c r="H314" i="4"/>
  <c r="H315" i="4"/>
  <c r="H316" i="4"/>
  <c r="H317" i="4"/>
  <c r="H318" i="4"/>
  <c r="H319" i="4"/>
  <c r="H320" i="4"/>
  <c r="H321" i="4"/>
  <c r="H322" i="4"/>
  <c r="H323" i="4"/>
  <c r="H324" i="4"/>
  <c r="H325" i="4"/>
  <c r="H326" i="4"/>
  <c r="H327" i="4"/>
  <c r="H328" i="4"/>
  <c r="H329" i="4"/>
  <c r="H330" i="4"/>
  <c r="H331" i="4"/>
  <c r="H332" i="4"/>
  <c r="H333" i="4"/>
  <c r="H334" i="4"/>
  <c r="H335" i="4"/>
  <c r="H336" i="4"/>
  <c r="H337" i="4"/>
  <c r="H338" i="4"/>
  <c r="H339" i="4"/>
  <c r="H340" i="4"/>
  <c r="H341" i="4"/>
  <c r="H342" i="4"/>
  <c r="H343" i="4"/>
  <c r="H344" i="4"/>
  <c r="H345" i="4"/>
  <c r="H346" i="4"/>
  <c r="H347" i="4"/>
  <c r="H348" i="4"/>
  <c r="H349" i="4"/>
  <c r="H350" i="4"/>
  <c r="H351" i="4"/>
  <c r="H352" i="4"/>
  <c r="H353" i="4"/>
  <c r="H354" i="4"/>
  <c r="H355" i="4"/>
  <c r="H356" i="4"/>
  <c r="H357" i="4"/>
  <c r="H358" i="4"/>
  <c r="H359" i="4"/>
  <c r="H360" i="4"/>
  <c r="H361" i="4"/>
  <c r="H362" i="4"/>
  <c r="H363" i="4"/>
  <c r="H364" i="4"/>
  <c r="H365" i="4"/>
  <c r="H366" i="4"/>
  <c r="H367" i="4"/>
  <c r="H368" i="4"/>
  <c r="H369" i="4"/>
  <c r="H370" i="4"/>
  <c r="H371" i="4"/>
  <c r="H372" i="4"/>
  <c r="H373" i="4"/>
  <c r="H374" i="4"/>
  <c r="H375" i="4"/>
  <c r="H376" i="4"/>
  <c r="H377" i="4"/>
  <c r="H378" i="4"/>
  <c r="H379" i="4"/>
  <c r="H380" i="4"/>
  <c r="H381" i="4"/>
  <c r="H382" i="4"/>
  <c r="H383" i="4"/>
  <c r="H384" i="4"/>
  <c r="H385" i="4"/>
  <c r="H386" i="4"/>
  <c r="H387" i="4"/>
  <c r="H388" i="4"/>
  <c r="H389" i="4"/>
  <c r="H390" i="4"/>
  <c r="H391" i="4"/>
  <c r="H392" i="4"/>
  <c r="H393" i="4"/>
  <c r="H394" i="4"/>
  <c r="H395" i="4"/>
  <c r="H396" i="4"/>
  <c r="H397" i="4"/>
  <c r="H398" i="4"/>
  <c r="H399" i="4"/>
  <c r="H400" i="4"/>
  <c r="H401" i="4"/>
  <c r="H302" i="4"/>
  <c r="G302" i="4"/>
  <c r="G303" i="4"/>
  <c r="G304" i="4"/>
  <c r="G305" i="4"/>
  <c r="G306" i="4"/>
  <c r="G307" i="4"/>
  <c r="G308" i="4"/>
  <c r="G309" i="4"/>
  <c r="G310" i="4"/>
  <c r="G311" i="4"/>
  <c r="G312" i="4"/>
  <c r="G313" i="4"/>
  <c r="G314" i="4"/>
  <c r="G315" i="4"/>
  <c r="G316" i="4"/>
  <c r="G317" i="4"/>
  <c r="G318" i="4"/>
  <c r="G319" i="4"/>
  <c r="G320" i="4"/>
  <c r="G321" i="4"/>
  <c r="G322" i="4"/>
  <c r="G323" i="4"/>
  <c r="G324" i="4"/>
  <c r="G325" i="4"/>
  <c r="G326" i="4"/>
  <c r="G327" i="4"/>
  <c r="G328" i="4"/>
  <c r="G329" i="4"/>
  <c r="G330" i="4"/>
  <c r="G331" i="4"/>
  <c r="G332" i="4"/>
  <c r="G333" i="4"/>
  <c r="G334" i="4"/>
  <c r="G335" i="4"/>
  <c r="G336" i="4"/>
  <c r="G337" i="4"/>
  <c r="G338" i="4"/>
  <c r="G339" i="4"/>
  <c r="G340" i="4"/>
  <c r="G341" i="4"/>
  <c r="G342" i="4"/>
  <c r="G343" i="4"/>
  <c r="G344" i="4"/>
  <c r="G345" i="4"/>
  <c r="G346" i="4"/>
  <c r="G347" i="4"/>
  <c r="G348" i="4"/>
  <c r="G349" i="4"/>
  <c r="G350" i="4"/>
  <c r="G351" i="4"/>
  <c r="G352" i="4"/>
  <c r="G353" i="4"/>
  <c r="G354" i="4"/>
  <c r="G355" i="4"/>
  <c r="G356" i="4"/>
  <c r="G357" i="4"/>
  <c r="G358" i="4"/>
  <c r="G359" i="4"/>
  <c r="G360" i="4"/>
  <c r="G361" i="4"/>
  <c r="G362" i="4"/>
  <c r="G363" i="4"/>
  <c r="G364" i="4"/>
  <c r="G365" i="4"/>
  <c r="G366" i="4"/>
  <c r="G367" i="4"/>
  <c r="G368" i="4"/>
  <c r="G369" i="4"/>
  <c r="G370" i="4"/>
  <c r="G371" i="4"/>
  <c r="G372" i="4"/>
  <c r="G373" i="4"/>
  <c r="G374" i="4"/>
  <c r="G375" i="4"/>
  <c r="G376" i="4"/>
  <c r="G377" i="4"/>
  <c r="G378" i="4"/>
  <c r="G379" i="4"/>
  <c r="G380" i="4"/>
  <c r="G381" i="4"/>
  <c r="G382" i="4"/>
  <c r="G383" i="4"/>
  <c r="G384" i="4"/>
  <c r="G385" i="4"/>
  <c r="G386" i="4"/>
  <c r="G387" i="4"/>
  <c r="G388" i="4"/>
  <c r="G389" i="4"/>
  <c r="G390" i="4"/>
  <c r="G391" i="4"/>
  <c r="G392" i="4"/>
  <c r="G393" i="4"/>
  <c r="G394" i="4"/>
  <c r="G395" i="4"/>
  <c r="G396" i="4"/>
  <c r="G397" i="4"/>
  <c r="G398" i="4"/>
  <c r="G399" i="4"/>
  <c r="G400" i="4"/>
  <c r="G401" i="4"/>
  <c r="H203" i="4"/>
  <c r="H204" i="4"/>
  <c r="H205" i="4"/>
  <c r="H206" i="4"/>
  <c r="H207" i="4"/>
  <c r="H208" i="4"/>
  <c r="H209" i="4"/>
  <c r="H210" i="4"/>
  <c r="H211" i="4"/>
  <c r="H212" i="4"/>
  <c r="H213" i="4"/>
  <c r="H214" i="4"/>
  <c r="H215" i="4"/>
  <c r="H216" i="4"/>
  <c r="H217" i="4"/>
  <c r="H218" i="4"/>
  <c r="H219" i="4"/>
  <c r="H220" i="4"/>
  <c r="H221" i="4"/>
  <c r="H222" i="4"/>
  <c r="H223" i="4"/>
  <c r="H224" i="4"/>
  <c r="H225" i="4"/>
  <c r="H226" i="4"/>
  <c r="H227" i="4"/>
  <c r="H228" i="4"/>
  <c r="H229" i="4"/>
  <c r="H230" i="4"/>
  <c r="H231" i="4"/>
  <c r="H232" i="4"/>
  <c r="H233" i="4"/>
  <c r="H234" i="4"/>
  <c r="H235" i="4"/>
  <c r="H236" i="4"/>
  <c r="H237" i="4"/>
  <c r="H238" i="4"/>
  <c r="H239" i="4"/>
  <c r="H240" i="4"/>
  <c r="H241" i="4"/>
  <c r="H242" i="4"/>
  <c r="H243" i="4"/>
  <c r="H244" i="4"/>
  <c r="H245" i="4"/>
  <c r="H246" i="4"/>
  <c r="H247" i="4"/>
  <c r="H248" i="4"/>
  <c r="H249" i="4"/>
  <c r="H250" i="4"/>
  <c r="H251" i="4"/>
  <c r="H252" i="4"/>
  <c r="H253" i="4"/>
  <c r="H254" i="4"/>
  <c r="H255" i="4"/>
  <c r="H256" i="4"/>
  <c r="H257" i="4"/>
  <c r="H258" i="4"/>
  <c r="H259" i="4"/>
  <c r="H260" i="4"/>
  <c r="H261" i="4"/>
  <c r="H262" i="4"/>
  <c r="H263" i="4"/>
  <c r="H264" i="4"/>
  <c r="H265" i="4"/>
  <c r="H266" i="4"/>
  <c r="H267" i="4"/>
  <c r="H268" i="4"/>
  <c r="H269" i="4"/>
  <c r="H270" i="4"/>
  <c r="H271" i="4"/>
  <c r="H272" i="4"/>
  <c r="H273" i="4"/>
  <c r="H274" i="4"/>
  <c r="H275" i="4"/>
  <c r="H276" i="4"/>
  <c r="H277" i="4"/>
  <c r="H278" i="4"/>
  <c r="H279" i="4"/>
  <c r="H280" i="4"/>
  <c r="H281" i="4"/>
  <c r="H282" i="4"/>
  <c r="H283" i="4"/>
  <c r="H284" i="4"/>
  <c r="H285" i="4"/>
  <c r="H286" i="4"/>
  <c r="H287" i="4"/>
  <c r="H288" i="4"/>
  <c r="H289" i="4"/>
  <c r="H290" i="4"/>
  <c r="H291" i="4"/>
  <c r="H292" i="4"/>
  <c r="H293" i="4"/>
  <c r="H294" i="4"/>
  <c r="H295" i="4"/>
  <c r="H296" i="4"/>
  <c r="H297" i="4"/>
  <c r="H298" i="4"/>
  <c r="H299" i="4"/>
  <c r="H300" i="4"/>
  <c r="H301" i="4"/>
  <c r="H202" i="4"/>
  <c r="G203" i="4"/>
  <c r="G204" i="4"/>
  <c r="G205" i="4"/>
  <c r="G206" i="4"/>
  <c r="G207" i="4"/>
  <c r="G208" i="4"/>
  <c r="G209" i="4"/>
  <c r="G210" i="4"/>
  <c r="G211" i="4"/>
  <c r="G212" i="4"/>
  <c r="G213" i="4"/>
  <c r="G214" i="4"/>
  <c r="G215" i="4"/>
  <c r="G216" i="4"/>
  <c r="G217" i="4"/>
  <c r="G218" i="4"/>
  <c r="G219" i="4"/>
  <c r="G220" i="4"/>
  <c r="G221" i="4"/>
  <c r="G222" i="4"/>
  <c r="G223" i="4"/>
  <c r="G224" i="4"/>
  <c r="G225" i="4"/>
  <c r="G226" i="4"/>
  <c r="G227" i="4"/>
  <c r="G228" i="4"/>
  <c r="G229" i="4"/>
  <c r="G230" i="4"/>
  <c r="G231" i="4"/>
  <c r="G232" i="4"/>
  <c r="G233" i="4"/>
  <c r="G234" i="4"/>
  <c r="G235" i="4"/>
  <c r="G236" i="4"/>
  <c r="G237" i="4"/>
  <c r="G238" i="4"/>
  <c r="G239" i="4"/>
  <c r="G240" i="4"/>
  <c r="G241" i="4"/>
  <c r="G242" i="4"/>
  <c r="G243" i="4"/>
  <c r="G244" i="4"/>
  <c r="G245" i="4"/>
  <c r="G246" i="4"/>
  <c r="G247" i="4"/>
  <c r="G248" i="4"/>
  <c r="G249" i="4"/>
  <c r="G250" i="4"/>
  <c r="G251" i="4"/>
  <c r="G252" i="4"/>
  <c r="G253" i="4"/>
  <c r="G254" i="4"/>
  <c r="G255" i="4"/>
  <c r="G256" i="4"/>
  <c r="G257" i="4"/>
  <c r="G258" i="4"/>
  <c r="G259" i="4"/>
  <c r="G260" i="4"/>
  <c r="G261" i="4"/>
  <c r="G262" i="4"/>
  <c r="G263" i="4"/>
  <c r="G264" i="4"/>
  <c r="G265" i="4"/>
  <c r="G266" i="4"/>
  <c r="G267" i="4"/>
  <c r="G268" i="4"/>
  <c r="G269" i="4"/>
  <c r="G270" i="4"/>
  <c r="G271" i="4"/>
  <c r="G272" i="4"/>
  <c r="G273" i="4"/>
  <c r="G274" i="4"/>
  <c r="G275" i="4"/>
  <c r="G276" i="4"/>
  <c r="G277" i="4"/>
  <c r="G278" i="4"/>
  <c r="G279" i="4"/>
  <c r="G280" i="4"/>
  <c r="G281" i="4"/>
  <c r="G282" i="4"/>
  <c r="G283" i="4"/>
  <c r="G284" i="4"/>
  <c r="G285" i="4"/>
  <c r="G286" i="4"/>
  <c r="G287" i="4"/>
  <c r="G288" i="4"/>
  <c r="G289" i="4"/>
  <c r="G290" i="4"/>
  <c r="G291" i="4"/>
  <c r="G292" i="4"/>
  <c r="G293" i="4"/>
  <c r="G294" i="4"/>
  <c r="G295" i="4"/>
  <c r="G296" i="4"/>
  <c r="G297" i="4"/>
  <c r="G298" i="4"/>
  <c r="G299" i="4"/>
  <c r="G300" i="4"/>
  <c r="G301" i="4"/>
  <c r="G202" i="4"/>
  <c r="H103" i="4"/>
  <c r="H104" i="4"/>
  <c r="H105" i="4"/>
  <c r="H106" i="4"/>
  <c r="H107" i="4"/>
  <c r="H108" i="4"/>
  <c r="H109" i="4"/>
  <c r="H110" i="4"/>
  <c r="H111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H128" i="4"/>
  <c r="H129" i="4"/>
  <c r="H130" i="4"/>
  <c r="H131" i="4"/>
  <c r="H132" i="4"/>
  <c r="H133" i="4"/>
  <c r="H134" i="4"/>
  <c r="H135" i="4"/>
  <c r="H136" i="4"/>
  <c r="H137" i="4"/>
  <c r="H138" i="4"/>
  <c r="H139" i="4"/>
  <c r="H140" i="4"/>
  <c r="H141" i="4"/>
  <c r="H142" i="4"/>
  <c r="H143" i="4"/>
  <c r="H144" i="4"/>
  <c r="H145" i="4"/>
  <c r="H146" i="4"/>
  <c r="H147" i="4"/>
  <c r="H148" i="4"/>
  <c r="H149" i="4"/>
  <c r="H150" i="4"/>
  <c r="H151" i="4"/>
  <c r="H152" i="4"/>
  <c r="H153" i="4"/>
  <c r="H154" i="4"/>
  <c r="H155" i="4"/>
  <c r="H156" i="4"/>
  <c r="H157" i="4"/>
  <c r="H158" i="4"/>
  <c r="H159" i="4"/>
  <c r="H160" i="4"/>
  <c r="H161" i="4"/>
  <c r="H162" i="4"/>
  <c r="H163" i="4"/>
  <c r="H164" i="4"/>
  <c r="H165" i="4"/>
  <c r="H166" i="4"/>
  <c r="H167" i="4"/>
  <c r="H168" i="4"/>
  <c r="H169" i="4"/>
  <c r="H170" i="4"/>
  <c r="H171" i="4"/>
  <c r="H172" i="4"/>
  <c r="H173" i="4"/>
  <c r="H174" i="4"/>
  <c r="H175" i="4"/>
  <c r="H176" i="4"/>
  <c r="H177" i="4"/>
  <c r="H178" i="4"/>
  <c r="H179" i="4"/>
  <c r="H180" i="4"/>
  <c r="H181" i="4"/>
  <c r="H182" i="4"/>
  <c r="H183" i="4"/>
  <c r="H184" i="4"/>
  <c r="H185" i="4"/>
  <c r="H186" i="4"/>
  <c r="H187" i="4"/>
  <c r="H188" i="4"/>
  <c r="H189" i="4"/>
  <c r="H190" i="4"/>
  <c r="H191" i="4"/>
  <c r="H192" i="4"/>
  <c r="H193" i="4"/>
  <c r="H194" i="4"/>
  <c r="H195" i="4"/>
  <c r="H196" i="4"/>
  <c r="H197" i="4"/>
  <c r="H198" i="4"/>
  <c r="H199" i="4"/>
  <c r="H200" i="4"/>
  <c r="H201" i="4"/>
  <c r="H102" i="4"/>
  <c r="G103" i="4"/>
  <c r="G104" i="4"/>
  <c r="G105" i="4"/>
  <c r="G106" i="4"/>
  <c r="G107" i="4"/>
  <c r="G108" i="4"/>
  <c r="G109" i="4"/>
  <c r="G110" i="4"/>
  <c r="G111" i="4"/>
  <c r="G112" i="4"/>
  <c r="G113" i="4"/>
  <c r="G114" i="4"/>
  <c r="G115" i="4"/>
  <c r="G116" i="4"/>
  <c r="G117" i="4"/>
  <c r="G118" i="4"/>
  <c r="G119" i="4"/>
  <c r="G120" i="4"/>
  <c r="G121" i="4"/>
  <c r="G122" i="4"/>
  <c r="G123" i="4"/>
  <c r="G124" i="4"/>
  <c r="G125" i="4"/>
  <c r="G126" i="4"/>
  <c r="G127" i="4"/>
  <c r="G128" i="4"/>
  <c r="G129" i="4"/>
  <c r="G130" i="4"/>
  <c r="G131" i="4"/>
  <c r="G132" i="4"/>
  <c r="G133" i="4"/>
  <c r="G134" i="4"/>
  <c r="G135" i="4"/>
  <c r="G136" i="4"/>
  <c r="G137" i="4"/>
  <c r="G138" i="4"/>
  <c r="G139" i="4"/>
  <c r="G140" i="4"/>
  <c r="G141" i="4"/>
  <c r="G142" i="4"/>
  <c r="G143" i="4"/>
  <c r="G144" i="4"/>
  <c r="G145" i="4"/>
  <c r="G146" i="4"/>
  <c r="G147" i="4"/>
  <c r="G148" i="4"/>
  <c r="G149" i="4"/>
  <c r="G150" i="4"/>
  <c r="G151" i="4"/>
  <c r="G152" i="4"/>
  <c r="G153" i="4"/>
  <c r="G154" i="4"/>
  <c r="G155" i="4"/>
  <c r="G156" i="4"/>
  <c r="G157" i="4"/>
  <c r="G158" i="4"/>
  <c r="G159" i="4"/>
  <c r="G160" i="4"/>
  <c r="G161" i="4"/>
  <c r="G162" i="4"/>
  <c r="G163" i="4"/>
  <c r="G164" i="4"/>
  <c r="G165" i="4"/>
  <c r="G166" i="4"/>
  <c r="G167" i="4"/>
  <c r="G168" i="4"/>
  <c r="G169" i="4"/>
  <c r="G170" i="4"/>
  <c r="G171" i="4"/>
  <c r="G172" i="4"/>
  <c r="G173" i="4"/>
  <c r="G174" i="4"/>
  <c r="G175" i="4"/>
  <c r="G176" i="4"/>
  <c r="G177" i="4"/>
  <c r="G178" i="4"/>
  <c r="G179" i="4"/>
  <c r="G180" i="4"/>
  <c r="G181" i="4"/>
  <c r="G182" i="4"/>
  <c r="G183" i="4"/>
  <c r="G184" i="4"/>
  <c r="G185" i="4"/>
  <c r="G186" i="4"/>
  <c r="G187" i="4"/>
  <c r="G188" i="4"/>
  <c r="G189" i="4"/>
  <c r="G190" i="4"/>
  <c r="G191" i="4"/>
  <c r="G192" i="4"/>
  <c r="G193" i="4"/>
  <c r="G194" i="4"/>
  <c r="G195" i="4"/>
  <c r="G196" i="4"/>
  <c r="G197" i="4"/>
  <c r="G198" i="4"/>
  <c r="G199" i="4"/>
  <c r="G200" i="4"/>
  <c r="G201" i="4"/>
  <c r="G102" i="4"/>
  <c r="H3" i="4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2" i="4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G2" i="4"/>
  <c r="AC8" i="1"/>
  <c r="AD8" i="1"/>
  <c r="AP104" i="3"/>
  <c r="AT104" i="3"/>
  <c r="AS104" i="3"/>
  <c r="AN104" i="3"/>
  <c r="AR104" i="3"/>
  <c r="AM104" i="3"/>
  <c r="AQ104" i="3"/>
  <c r="AH104" i="3"/>
  <c r="AL104" i="3"/>
  <c r="AK104" i="3"/>
  <c r="AF104" i="3"/>
  <c r="AJ104" i="3"/>
  <c r="AE104" i="3"/>
  <c r="AI104" i="3"/>
  <c r="Z104" i="3"/>
  <c r="AD104" i="3"/>
  <c r="AC104" i="3"/>
  <c r="W104" i="3"/>
  <c r="AA104" i="3"/>
  <c r="R104" i="3"/>
  <c r="V104" i="3"/>
  <c r="U104" i="3"/>
  <c r="O104" i="3"/>
  <c r="S104" i="3"/>
  <c r="J104" i="3"/>
  <c r="N104" i="3"/>
  <c r="M104" i="3"/>
  <c r="G104" i="3"/>
  <c r="K104" i="3"/>
  <c r="AT103" i="3"/>
  <c r="AS103" i="3"/>
  <c r="AR103" i="3"/>
  <c r="AQ103" i="3"/>
  <c r="AL103" i="3"/>
  <c r="AK103" i="3"/>
  <c r="AJ103" i="3"/>
  <c r="AI103" i="3"/>
  <c r="AD103" i="3"/>
  <c r="AC103" i="3"/>
  <c r="AA103" i="3"/>
  <c r="V103" i="3"/>
  <c r="U103" i="3"/>
  <c r="S103" i="3"/>
  <c r="N103" i="3"/>
  <c r="M103" i="3"/>
  <c r="K103" i="3"/>
  <c r="AT102" i="3"/>
  <c r="AS102" i="3"/>
  <c r="AR102" i="3"/>
  <c r="AQ102" i="3"/>
  <c r="AL102" i="3"/>
  <c r="AK102" i="3"/>
  <c r="AJ102" i="3"/>
  <c r="AI102" i="3"/>
  <c r="AD102" i="3"/>
  <c r="AC102" i="3"/>
  <c r="AA102" i="3"/>
  <c r="V102" i="3"/>
  <c r="U102" i="3"/>
  <c r="S102" i="3"/>
  <c r="N102" i="3"/>
  <c r="M102" i="3"/>
  <c r="K102" i="3"/>
  <c r="AT101" i="3"/>
  <c r="AS101" i="3"/>
  <c r="AR101" i="3"/>
  <c r="AQ101" i="3"/>
  <c r="AL101" i="3"/>
  <c r="AK101" i="3"/>
  <c r="AJ101" i="3"/>
  <c r="AI101" i="3"/>
  <c r="AD101" i="3"/>
  <c r="AC101" i="3"/>
  <c r="AA101" i="3"/>
  <c r="V101" i="3"/>
  <c r="U101" i="3"/>
  <c r="S101" i="3"/>
  <c r="N101" i="3"/>
  <c r="M101" i="3"/>
  <c r="K101" i="3"/>
  <c r="AT100" i="3"/>
  <c r="AS100" i="3"/>
  <c r="AR100" i="3"/>
  <c r="AQ100" i="3"/>
  <c r="AL100" i="3"/>
  <c r="AK100" i="3"/>
  <c r="AJ100" i="3"/>
  <c r="AI100" i="3"/>
  <c r="AD100" i="3"/>
  <c r="AC100" i="3"/>
  <c r="AA100" i="3"/>
  <c r="V100" i="3"/>
  <c r="U100" i="3"/>
  <c r="S100" i="3"/>
  <c r="N100" i="3"/>
  <c r="M100" i="3"/>
  <c r="K100" i="3"/>
  <c r="AT99" i="3"/>
  <c r="AS99" i="3"/>
  <c r="AR99" i="3"/>
  <c r="AQ99" i="3"/>
  <c r="AL99" i="3"/>
  <c r="AK99" i="3"/>
  <c r="AJ99" i="3"/>
  <c r="AI99" i="3"/>
  <c r="AD99" i="3"/>
  <c r="AC99" i="3"/>
  <c r="AA99" i="3"/>
  <c r="V99" i="3"/>
  <c r="U99" i="3"/>
  <c r="S99" i="3"/>
  <c r="N99" i="3"/>
  <c r="M99" i="3"/>
  <c r="K99" i="3"/>
  <c r="AT98" i="3"/>
  <c r="AS98" i="3"/>
  <c r="AR98" i="3"/>
  <c r="AQ98" i="3"/>
  <c r="AL98" i="3"/>
  <c r="AK98" i="3"/>
  <c r="AJ98" i="3"/>
  <c r="AI98" i="3"/>
  <c r="AD98" i="3"/>
  <c r="AC98" i="3"/>
  <c r="AA98" i="3"/>
  <c r="V98" i="3"/>
  <c r="U98" i="3"/>
  <c r="S98" i="3"/>
  <c r="N98" i="3"/>
  <c r="M98" i="3"/>
  <c r="K98" i="3"/>
  <c r="AT97" i="3"/>
  <c r="AS97" i="3"/>
  <c r="AR97" i="3"/>
  <c r="AQ97" i="3"/>
  <c r="AL97" i="3"/>
  <c r="AK97" i="3"/>
  <c r="AJ97" i="3"/>
  <c r="AI97" i="3"/>
  <c r="AD97" i="3"/>
  <c r="AC97" i="3"/>
  <c r="AA97" i="3"/>
  <c r="V97" i="3"/>
  <c r="U97" i="3"/>
  <c r="S97" i="3"/>
  <c r="N97" i="3"/>
  <c r="M97" i="3"/>
  <c r="K97" i="3"/>
  <c r="AT96" i="3"/>
  <c r="AS96" i="3"/>
  <c r="AR96" i="3"/>
  <c r="AQ96" i="3"/>
  <c r="AL96" i="3"/>
  <c r="AK96" i="3"/>
  <c r="AJ96" i="3"/>
  <c r="AI96" i="3"/>
  <c r="AD96" i="3"/>
  <c r="AC96" i="3"/>
  <c r="AA96" i="3"/>
  <c r="V96" i="3"/>
  <c r="U96" i="3"/>
  <c r="S96" i="3"/>
  <c r="N96" i="3"/>
  <c r="M96" i="3"/>
  <c r="K96" i="3"/>
  <c r="AT95" i="3"/>
  <c r="AS95" i="3"/>
  <c r="AR95" i="3"/>
  <c r="AQ95" i="3"/>
  <c r="AL95" i="3"/>
  <c r="AK95" i="3"/>
  <c r="AJ95" i="3"/>
  <c r="AI95" i="3"/>
  <c r="AD95" i="3"/>
  <c r="AC95" i="3"/>
  <c r="AA95" i="3"/>
  <c r="V95" i="3"/>
  <c r="U95" i="3"/>
  <c r="S95" i="3"/>
  <c r="N95" i="3"/>
  <c r="M95" i="3"/>
  <c r="K95" i="3"/>
  <c r="AT94" i="3"/>
  <c r="AS94" i="3"/>
  <c r="AR94" i="3"/>
  <c r="AQ94" i="3"/>
  <c r="AL94" i="3"/>
  <c r="AK94" i="3"/>
  <c r="AJ94" i="3"/>
  <c r="AI94" i="3"/>
  <c r="AD94" i="3"/>
  <c r="AC94" i="3"/>
  <c r="AA94" i="3"/>
  <c r="V94" i="3"/>
  <c r="U94" i="3"/>
  <c r="S94" i="3"/>
  <c r="N94" i="3"/>
  <c r="M94" i="3"/>
  <c r="K94" i="3"/>
  <c r="AT93" i="3"/>
  <c r="AS93" i="3"/>
  <c r="AR93" i="3"/>
  <c r="AQ93" i="3"/>
  <c r="AL93" i="3"/>
  <c r="AK93" i="3"/>
  <c r="AJ93" i="3"/>
  <c r="AI93" i="3"/>
  <c r="AD93" i="3"/>
  <c r="AC93" i="3"/>
  <c r="AA93" i="3"/>
  <c r="V93" i="3"/>
  <c r="U93" i="3"/>
  <c r="S93" i="3"/>
  <c r="N93" i="3"/>
  <c r="M93" i="3"/>
  <c r="K93" i="3"/>
  <c r="AT92" i="3"/>
  <c r="AS92" i="3"/>
  <c r="AR92" i="3"/>
  <c r="AQ92" i="3"/>
  <c r="AL92" i="3"/>
  <c r="AK92" i="3"/>
  <c r="AJ92" i="3"/>
  <c r="AI92" i="3"/>
  <c r="AD92" i="3"/>
  <c r="AC92" i="3"/>
  <c r="AA92" i="3"/>
  <c r="V92" i="3"/>
  <c r="U92" i="3"/>
  <c r="S92" i="3"/>
  <c r="N92" i="3"/>
  <c r="M92" i="3"/>
  <c r="K92" i="3"/>
  <c r="AT91" i="3"/>
  <c r="AS91" i="3"/>
  <c r="AR91" i="3"/>
  <c r="AQ91" i="3"/>
  <c r="AL91" i="3"/>
  <c r="AK91" i="3"/>
  <c r="AJ91" i="3"/>
  <c r="AI91" i="3"/>
  <c r="AD91" i="3"/>
  <c r="AC91" i="3"/>
  <c r="AA91" i="3"/>
  <c r="V91" i="3"/>
  <c r="U91" i="3"/>
  <c r="S91" i="3"/>
  <c r="N91" i="3"/>
  <c r="M91" i="3"/>
  <c r="K91" i="3"/>
  <c r="AT90" i="3"/>
  <c r="AS90" i="3"/>
  <c r="AR90" i="3"/>
  <c r="AQ90" i="3"/>
  <c r="AL90" i="3"/>
  <c r="AK90" i="3"/>
  <c r="AJ90" i="3"/>
  <c r="AI90" i="3"/>
  <c r="AD90" i="3"/>
  <c r="AC90" i="3"/>
  <c r="AA90" i="3"/>
  <c r="V90" i="3"/>
  <c r="U90" i="3"/>
  <c r="S90" i="3"/>
  <c r="N90" i="3"/>
  <c r="M90" i="3"/>
  <c r="K90" i="3"/>
  <c r="AT89" i="3"/>
  <c r="AS89" i="3"/>
  <c r="AR89" i="3"/>
  <c r="AQ89" i="3"/>
  <c r="AL89" i="3"/>
  <c r="AK89" i="3"/>
  <c r="AJ89" i="3"/>
  <c r="AI89" i="3"/>
  <c r="AD89" i="3"/>
  <c r="AC89" i="3"/>
  <c r="AA89" i="3"/>
  <c r="V89" i="3"/>
  <c r="U89" i="3"/>
  <c r="S89" i="3"/>
  <c r="N89" i="3"/>
  <c r="M89" i="3"/>
  <c r="K89" i="3"/>
  <c r="AT88" i="3"/>
  <c r="AS88" i="3"/>
  <c r="AR88" i="3"/>
  <c r="AQ88" i="3"/>
  <c r="AL88" i="3"/>
  <c r="AK88" i="3"/>
  <c r="AJ88" i="3"/>
  <c r="AI88" i="3"/>
  <c r="AD88" i="3"/>
  <c r="AC88" i="3"/>
  <c r="AA88" i="3"/>
  <c r="V88" i="3"/>
  <c r="U88" i="3"/>
  <c r="S88" i="3"/>
  <c r="N88" i="3"/>
  <c r="M88" i="3"/>
  <c r="K88" i="3"/>
  <c r="AT87" i="3"/>
  <c r="AS87" i="3"/>
  <c r="AR87" i="3"/>
  <c r="AQ87" i="3"/>
  <c r="AL87" i="3"/>
  <c r="AK87" i="3"/>
  <c r="AJ87" i="3"/>
  <c r="AI87" i="3"/>
  <c r="AD87" i="3"/>
  <c r="AC87" i="3"/>
  <c r="AA87" i="3"/>
  <c r="V87" i="3"/>
  <c r="U87" i="3"/>
  <c r="S87" i="3"/>
  <c r="N87" i="3"/>
  <c r="M87" i="3"/>
  <c r="K87" i="3"/>
  <c r="AT86" i="3"/>
  <c r="AS86" i="3"/>
  <c r="AR86" i="3"/>
  <c r="AQ86" i="3"/>
  <c r="AL86" i="3"/>
  <c r="AK86" i="3"/>
  <c r="AJ86" i="3"/>
  <c r="AI86" i="3"/>
  <c r="AD86" i="3"/>
  <c r="AC86" i="3"/>
  <c r="AA86" i="3"/>
  <c r="V86" i="3"/>
  <c r="U86" i="3"/>
  <c r="S86" i="3"/>
  <c r="N86" i="3"/>
  <c r="M86" i="3"/>
  <c r="K86" i="3"/>
  <c r="AT85" i="3"/>
  <c r="AS85" i="3"/>
  <c r="AR85" i="3"/>
  <c r="AQ85" i="3"/>
  <c r="AL85" i="3"/>
  <c r="AK85" i="3"/>
  <c r="AJ85" i="3"/>
  <c r="AI85" i="3"/>
  <c r="AD85" i="3"/>
  <c r="AC85" i="3"/>
  <c r="AA85" i="3"/>
  <c r="V85" i="3"/>
  <c r="U85" i="3"/>
  <c r="S85" i="3"/>
  <c r="N85" i="3"/>
  <c r="M85" i="3"/>
  <c r="K85" i="3"/>
  <c r="AT84" i="3"/>
  <c r="AS84" i="3"/>
  <c r="AR84" i="3"/>
  <c r="AQ84" i="3"/>
  <c r="AL84" i="3"/>
  <c r="AK84" i="3"/>
  <c r="AJ84" i="3"/>
  <c r="AI84" i="3"/>
  <c r="AD84" i="3"/>
  <c r="AC84" i="3"/>
  <c r="AA84" i="3"/>
  <c r="V84" i="3"/>
  <c r="U84" i="3"/>
  <c r="S84" i="3"/>
  <c r="N84" i="3"/>
  <c r="M84" i="3"/>
  <c r="K84" i="3"/>
  <c r="AT83" i="3"/>
  <c r="AS83" i="3"/>
  <c r="AR83" i="3"/>
  <c r="AQ83" i="3"/>
  <c r="AL83" i="3"/>
  <c r="AK83" i="3"/>
  <c r="AJ83" i="3"/>
  <c r="AI83" i="3"/>
  <c r="AD83" i="3"/>
  <c r="AC83" i="3"/>
  <c r="AA83" i="3"/>
  <c r="V83" i="3"/>
  <c r="U83" i="3"/>
  <c r="S83" i="3"/>
  <c r="N83" i="3"/>
  <c r="M83" i="3"/>
  <c r="K83" i="3"/>
  <c r="AT82" i="3"/>
  <c r="AS82" i="3"/>
  <c r="AR82" i="3"/>
  <c r="AQ82" i="3"/>
  <c r="AL82" i="3"/>
  <c r="AK82" i="3"/>
  <c r="AJ82" i="3"/>
  <c r="AI82" i="3"/>
  <c r="AD82" i="3"/>
  <c r="AC82" i="3"/>
  <c r="AA82" i="3"/>
  <c r="V82" i="3"/>
  <c r="U82" i="3"/>
  <c r="S82" i="3"/>
  <c r="N82" i="3"/>
  <c r="M82" i="3"/>
  <c r="K82" i="3"/>
  <c r="AT81" i="3"/>
  <c r="AS81" i="3"/>
  <c r="AR81" i="3"/>
  <c r="AQ81" i="3"/>
  <c r="AL81" i="3"/>
  <c r="AK81" i="3"/>
  <c r="AJ81" i="3"/>
  <c r="AI81" i="3"/>
  <c r="AD81" i="3"/>
  <c r="AC81" i="3"/>
  <c r="AA81" i="3"/>
  <c r="V81" i="3"/>
  <c r="U81" i="3"/>
  <c r="S81" i="3"/>
  <c r="N81" i="3"/>
  <c r="M81" i="3"/>
  <c r="K81" i="3"/>
  <c r="AT80" i="3"/>
  <c r="AS80" i="3"/>
  <c r="AR80" i="3"/>
  <c r="AQ80" i="3"/>
  <c r="AL80" i="3"/>
  <c r="AK80" i="3"/>
  <c r="AJ80" i="3"/>
  <c r="AI80" i="3"/>
  <c r="AD80" i="3"/>
  <c r="AC80" i="3"/>
  <c r="AA80" i="3"/>
  <c r="V80" i="3"/>
  <c r="U80" i="3"/>
  <c r="S80" i="3"/>
  <c r="N80" i="3"/>
  <c r="M80" i="3"/>
  <c r="K80" i="3"/>
  <c r="AT79" i="3"/>
  <c r="AS79" i="3"/>
  <c r="AR79" i="3"/>
  <c r="AQ79" i="3"/>
  <c r="AL79" i="3"/>
  <c r="AK79" i="3"/>
  <c r="AJ79" i="3"/>
  <c r="AI79" i="3"/>
  <c r="AD79" i="3"/>
  <c r="AC79" i="3"/>
  <c r="AA79" i="3"/>
  <c r="V79" i="3"/>
  <c r="U79" i="3"/>
  <c r="S79" i="3"/>
  <c r="N79" i="3"/>
  <c r="M79" i="3"/>
  <c r="K79" i="3"/>
  <c r="AT78" i="3"/>
  <c r="AS78" i="3"/>
  <c r="AR78" i="3"/>
  <c r="AQ78" i="3"/>
  <c r="AL78" i="3"/>
  <c r="AK78" i="3"/>
  <c r="AJ78" i="3"/>
  <c r="AI78" i="3"/>
  <c r="AD78" i="3"/>
  <c r="AC78" i="3"/>
  <c r="AA78" i="3"/>
  <c r="V78" i="3"/>
  <c r="U78" i="3"/>
  <c r="S78" i="3"/>
  <c r="N78" i="3"/>
  <c r="M78" i="3"/>
  <c r="K78" i="3"/>
  <c r="AT77" i="3"/>
  <c r="AS77" i="3"/>
  <c r="AR77" i="3"/>
  <c r="AQ77" i="3"/>
  <c r="AL77" i="3"/>
  <c r="AK77" i="3"/>
  <c r="AJ77" i="3"/>
  <c r="AI77" i="3"/>
  <c r="AD77" i="3"/>
  <c r="AC77" i="3"/>
  <c r="AA77" i="3"/>
  <c r="V77" i="3"/>
  <c r="U77" i="3"/>
  <c r="S77" i="3"/>
  <c r="N77" i="3"/>
  <c r="M77" i="3"/>
  <c r="K77" i="3"/>
  <c r="AT76" i="3"/>
  <c r="AS76" i="3"/>
  <c r="AR76" i="3"/>
  <c r="AQ76" i="3"/>
  <c r="AL76" i="3"/>
  <c r="AK76" i="3"/>
  <c r="AJ76" i="3"/>
  <c r="AI76" i="3"/>
  <c r="AD76" i="3"/>
  <c r="AC76" i="3"/>
  <c r="AA76" i="3"/>
  <c r="V76" i="3"/>
  <c r="U76" i="3"/>
  <c r="S76" i="3"/>
  <c r="N76" i="3"/>
  <c r="M76" i="3"/>
  <c r="K76" i="3"/>
  <c r="AT75" i="3"/>
  <c r="AS75" i="3"/>
  <c r="AR75" i="3"/>
  <c r="AQ75" i="3"/>
  <c r="AL75" i="3"/>
  <c r="AK75" i="3"/>
  <c r="AJ75" i="3"/>
  <c r="AI75" i="3"/>
  <c r="AD75" i="3"/>
  <c r="AC75" i="3"/>
  <c r="AA75" i="3"/>
  <c r="V75" i="3"/>
  <c r="U75" i="3"/>
  <c r="S75" i="3"/>
  <c r="N75" i="3"/>
  <c r="M75" i="3"/>
  <c r="K75" i="3"/>
  <c r="AT74" i="3"/>
  <c r="AS74" i="3"/>
  <c r="AR74" i="3"/>
  <c r="AQ74" i="3"/>
  <c r="AL74" i="3"/>
  <c r="AK74" i="3"/>
  <c r="AJ74" i="3"/>
  <c r="AI74" i="3"/>
  <c r="AD74" i="3"/>
  <c r="AC74" i="3"/>
  <c r="AA74" i="3"/>
  <c r="V74" i="3"/>
  <c r="U74" i="3"/>
  <c r="S74" i="3"/>
  <c r="N74" i="3"/>
  <c r="M74" i="3"/>
  <c r="K74" i="3"/>
  <c r="AT73" i="3"/>
  <c r="AS73" i="3"/>
  <c r="AR73" i="3"/>
  <c r="AQ73" i="3"/>
  <c r="AL73" i="3"/>
  <c r="AK73" i="3"/>
  <c r="AJ73" i="3"/>
  <c r="AI73" i="3"/>
  <c r="AD73" i="3"/>
  <c r="AC73" i="3"/>
  <c r="AA73" i="3"/>
  <c r="V73" i="3"/>
  <c r="U73" i="3"/>
  <c r="S73" i="3"/>
  <c r="N73" i="3"/>
  <c r="M73" i="3"/>
  <c r="K73" i="3"/>
  <c r="AT72" i="3"/>
  <c r="AS72" i="3"/>
  <c r="AR72" i="3"/>
  <c r="AQ72" i="3"/>
  <c r="AL72" i="3"/>
  <c r="AK72" i="3"/>
  <c r="AJ72" i="3"/>
  <c r="AI72" i="3"/>
  <c r="AD72" i="3"/>
  <c r="AC72" i="3"/>
  <c r="AA72" i="3"/>
  <c r="V72" i="3"/>
  <c r="U72" i="3"/>
  <c r="S72" i="3"/>
  <c r="N72" i="3"/>
  <c r="M72" i="3"/>
  <c r="K72" i="3"/>
  <c r="AT71" i="3"/>
  <c r="AS71" i="3"/>
  <c r="AR71" i="3"/>
  <c r="AQ71" i="3"/>
  <c r="AL71" i="3"/>
  <c r="AK71" i="3"/>
  <c r="AJ71" i="3"/>
  <c r="AI71" i="3"/>
  <c r="AD71" i="3"/>
  <c r="AC71" i="3"/>
  <c r="AA71" i="3"/>
  <c r="V71" i="3"/>
  <c r="U71" i="3"/>
  <c r="S71" i="3"/>
  <c r="N71" i="3"/>
  <c r="M71" i="3"/>
  <c r="K71" i="3"/>
  <c r="AT70" i="3"/>
  <c r="AS70" i="3"/>
  <c r="AR70" i="3"/>
  <c r="AQ70" i="3"/>
  <c r="AL70" i="3"/>
  <c r="AK70" i="3"/>
  <c r="AJ70" i="3"/>
  <c r="AI70" i="3"/>
  <c r="AD70" i="3"/>
  <c r="AC70" i="3"/>
  <c r="AA70" i="3"/>
  <c r="V70" i="3"/>
  <c r="U70" i="3"/>
  <c r="S70" i="3"/>
  <c r="N70" i="3"/>
  <c r="M70" i="3"/>
  <c r="K70" i="3"/>
  <c r="AT69" i="3"/>
  <c r="AS69" i="3"/>
  <c r="AR69" i="3"/>
  <c r="AQ69" i="3"/>
  <c r="AL69" i="3"/>
  <c r="AK69" i="3"/>
  <c r="AJ69" i="3"/>
  <c r="AI69" i="3"/>
  <c r="AD69" i="3"/>
  <c r="AC69" i="3"/>
  <c r="AA69" i="3"/>
  <c r="V69" i="3"/>
  <c r="U69" i="3"/>
  <c r="S69" i="3"/>
  <c r="N69" i="3"/>
  <c r="M69" i="3"/>
  <c r="K69" i="3"/>
  <c r="AT68" i="3"/>
  <c r="AS68" i="3"/>
  <c r="AR68" i="3"/>
  <c r="AQ68" i="3"/>
  <c r="AL68" i="3"/>
  <c r="AK68" i="3"/>
  <c r="AJ68" i="3"/>
  <c r="AI68" i="3"/>
  <c r="AD68" i="3"/>
  <c r="AC68" i="3"/>
  <c r="AA68" i="3"/>
  <c r="V68" i="3"/>
  <c r="U68" i="3"/>
  <c r="S68" i="3"/>
  <c r="N68" i="3"/>
  <c r="M68" i="3"/>
  <c r="K68" i="3"/>
  <c r="AT67" i="3"/>
  <c r="AS67" i="3"/>
  <c r="AR67" i="3"/>
  <c r="AQ67" i="3"/>
  <c r="AL67" i="3"/>
  <c r="AK67" i="3"/>
  <c r="AJ67" i="3"/>
  <c r="AI67" i="3"/>
  <c r="AD67" i="3"/>
  <c r="AC67" i="3"/>
  <c r="AA67" i="3"/>
  <c r="V67" i="3"/>
  <c r="U67" i="3"/>
  <c r="S67" i="3"/>
  <c r="N67" i="3"/>
  <c r="M67" i="3"/>
  <c r="K67" i="3"/>
  <c r="AT66" i="3"/>
  <c r="AS66" i="3"/>
  <c r="AR66" i="3"/>
  <c r="AQ66" i="3"/>
  <c r="AL66" i="3"/>
  <c r="AK66" i="3"/>
  <c r="AJ66" i="3"/>
  <c r="AI66" i="3"/>
  <c r="AD66" i="3"/>
  <c r="AC66" i="3"/>
  <c r="AA66" i="3"/>
  <c r="V66" i="3"/>
  <c r="U66" i="3"/>
  <c r="S66" i="3"/>
  <c r="N66" i="3"/>
  <c r="M66" i="3"/>
  <c r="K66" i="3"/>
  <c r="AT65" i="3"/>
  <c r="AS65" i="3"/>
  <c r="AR65" i="3"/>
  <c r="AQ65" i="3"/>
  <c r="AL65" i="3"/>
  <c r="AK65" i="3"/>
  <c r="AJ65" i="3"/>
  <c r="AI65" i="3"/>
  <c r="AD65" i="3"/>
  <c r="AC65" i="3"/>
  <c r="AA65" i="3"/>
  <c r="V65" i="3"/>
  <c r="U65" i="3"/>
  <c r="S65" i="3"/>
  <c r="N65" i="3"/>
  <c r="M65" i="3"/>
  <c r="K65" i="3"/>
  <c r="AT64" i="3"/>
  <c r="AS64" i="3"/>
  <c r="AR64" i="3"/>
  <c r="AQ64" i="3"/>
  <c r="AL64" i="3"/>
  <c r="AK64" i="3"/>
  <c r="AJ64" i="3"/>
  <c r="AI64" i="3"/>
  <c r="AD64" i="3"/>
  <c r="AC64" i="3"/>
  <c r="AA64" i="3"/>
  <c r="V64" i="3"/>
  <c r="U64" i="3"/>
  <c r="S64" i="3"/>
  <c r="N64" i="3"/>
  <c r="M64" i="3"/>
  <c r="K64" i="3"/>
  <c r="AT63" i="3"/>
  <c r="AS63" i="3"/>
  <c r="AR63" i="3"/>
  <c r="AQ63" i="3"/>
  <c r="AL63" i="3"/>
  <c r="AK63" i="3"/>
  <c r="AJ63" i="3"/>
  <c r="AI63" i="3"/>
  <c r="AD63" i="3"/>
  <c r="AC63" i="3"/>
  <c r="AA63" i="3"/>
  <c r="V63" i="3"/>
  <c r="U63" i="3"/>
  <c r="S63" i="3"/>
  <c r="N63" i="3"/>
  <c r="M63" i="3"/>
  <c r="K63" i="3"/>
  <c r="AT62" i="3"/>
  <c r="AS62" i="3"/>
  <c r="AR62" i="3"/>
  <c r="AQ62" i="3"/>
  <c r="AL62" i="3"/>
  <c r="AK62" i="3"/>
  <c r="AJ62" i="3"/>
  <c r="AI62" i="3"/>
  <c r="AD62" i="3"/>
  <c r="AC62" i="3"/>
  <c r="AA62" i="3"/>
  <c r="V62" i="3"/>
  <c r="U62" i="3"/>
  <c r="S62" i="3"/>
  <c r="N62" i="3"/>
  <c r="M62" i="3"/>
  <c r="K62" i="3"/>
  <c r="AT61" i="3"/>
  <c r="AS61" i="3"/>
  <c r="AR61" i="3"/>
  <c r="AQ61" i="3"/>
  <c r="AL61" i="3"/>
  <c r="AK61" i="3"/>
  <c r="AJ61" i="3"/>
  <c r="AI61" i="3"/>
  <c r="AD61" i="3"/>
  <c r="AC61" i="3"/>
  <c r="AA61" i="3"/>
  <c r="V61" i="3"/>
  <c r="U61" i="3"/>
  <c r="S61" i="3"/>
  <c r="N61" i="3"/>
  <c r="M61" i="3"/>
  <c r="K61" i="3"/>
  <c r="AT60" i="3"/>
  <c r="AS60" i="3"/>
  <c r="AR60" i="3"/>
  <c r="AQ60" i="3"/>
  <c r="AL60" i="3"/>
  <c r="AK60" i="3"/>
  <c r="AJ60" i="3"/>
  <c r="AI60" i="3"/>
  <c r="AD60" i="3"/>
  <c r="AC60" i="3"/>
  <c r="AA60" i="3"/>
  <c r="V60" i="3"/>
  <c r="U60" i="3"/>
  <c r="S60" i="3"/>
  <c r="N60" i="3"/>
  <c r="M60" i="3"/>
  <c r="K60" i="3"/>
  <c r="AT59" i="3"/>
  <c r="AS59" i="3"/>
  <c r="AR59" i="3"/>
  <c r="AQ59" i="3"/>
  <c r="AL59" i="3"/>
  <c r="AK59" i="3"/>
  <c r="AJ59" i="3"/>
  <c r="AI59" i="3"/>
  <c r="AD59" i="3"/>
  <c r="AC59" i="3"/>
  <c r="AA59" i="3"/>
  <c r="V59" i="3"/>
  <c r="U59" i="3"/>
  <c r="S59" i="3"/>
  <c r="N59" i="3"/>
  <c r="M59" i="3"/>
  <c r="K59" i="3"/>
  <c r="AT58" i="3"/>
  <c r="AS58" i="3"/>
  <c r="AR58" i="3"/>
  <c r="AQ58" i="3"/>
  <c r="AL58" i="3"/>
  <c r="AK58" i="3"/>
  <c r="AJ58" i="3"/>
  <c r="AI58" i="3"/>
  <c r="AD58" i="3"/>
  <c r="AC58" i="3"/>
  <c r="AA58" i="3"/>
  <c r="V58" i="3"/>
  <c r="U58" i="3"/>
  <c r="S58" i="3"/>
  <c r="N58" i="3"/>
  <c r="M58" i="3"/>
  <c r="K58" i="3"/>
  <c r="AT57" i="3"/>
  <c r="AS57" i="3"/>
  <c r="AR57" i="3"/>
  <c r="AQ57" i="3"/>
  <c r="AL57" i="3"/>
  <c r="AK57" i="3"/>
  <c r="AJ57" i="3"/>
  <c r="AI57" i="3"/>
  <c r="AD57" i="3"/>
  <c r="AC57" i="3"/>
  <c r="AA57" i="3"/>
  <c r="V57" i="3"/>
  <c r="U57" i="3"/>
  <c r="S57" i="3"/>
  <c r="N57" i="3"/>
  <c r="M57" i="3"/>
  <c r="K57" i="3"/>
  <c r="AT56" i="3"/>
  <c r="AS56" i="3"/>
  <c r="AR56" i="3"/>
  <c r="AQ56" i="3"/>
  <c r="AL56" i="3"/>
  <c r="AK56" i="3"/>
  <c r="AJ56" i="3"/>
  <c r="AI56" i="3"/>
  <c r="AD56" i="3"/>
  <c r="AC56" i="3"/>
  <c r="AA56" i="3"/>
  <c r="V56" i="3"/>
  <c r="U56" i="3"/>
  <c r="S56" i="3"/>
  <c r="N56" i="3"/>
  <c r="M56" i="3"/>
  <c r="K56" i="3"/>
  <c r="AT55" i="3"/>
  <c r="AS55" i="3"/>
  <c r="AR55" i="3"/>
  <c r="AQ55" i="3"/>
  <c r="AL55" i="3"/>
  <c r="AK55" i="3"/>
  <c r="AJ55" i="3"/>
  <c r="AI55" i="3"/>
  <c r="AD55" i="3"/>
  <c r="AC55" i="3"/>
  <c r="AA55" i="3"/>
  <c r="V55" i="3"/>
  <c r="U55" i="3"/>
  <c r="S55" i="3"/>
  <c r="N55" i="3"/>
  <c r="M55" i="3"/>
  <c r="K55" i="3"/>
  <c r="AT54" i="3"/>
  <c r="AS54" i="3"/>
  <c r="AR54" i="3"/>
  <c r="AQ54" i="3"/>
  <c r="AL54" i="3"/>
  <c r="AK54" i="3"/>
  <c r="AJ54" i="3"/>
  <c r="AI54" i="3"/>
  <c r="AD54" i="3"/>
  <c r="AC54" i="3"/>
  <c r="AA54" i="3"/>
  <c r="V54" i="3"/>
  <c r="U54" i="3"/>
  <c r="S54" i="3"/>
  <c r="N54" i="3"/>
  <c r="M54" i="3"/>
  <c r="K54" i="3"/>
  <c r="AT53" i="3"/>
  <c r="AS53" i="3"/>
  <c r="AR53" i="3"/>
  <c r="AQ53" i="3"/>
  <c r="AL53" i="3"/>
  <c r="AK53" i="3"/>
  <c r="AJ53" i="3"/>
  <c r="AI53" i="3"/>
  <c r="AD53" i="3"/>
  <c r="AC53" i="3"/>
  <c r="AA53" i="3"/>
  <c r="V53" i="3"/>
  <c r="U53" i="3"/>
  <c r="S53" i="3"/>
  <c r="N53" i="3"/>
  <c r="M53" i="3"/>
  <c r="K53" i="3"/>
  <c r="AT52" i="3"/>
  <c r="AS52" i="3"/>
  <c r="AR52" i="3"/>
  <c r="AQ52" i="3"/>
  <c r="AL52" i="3"/>
  <c r="AK52" i="3"/>
  <c r="AJ52" i="3"/>
  <c r="AI52" i="3"/>
  <c r="AD52" i="3"/>
  <c r="AC52" i="3"/>
  <c r="AA52" i="3"/>
  <c r="V52" i="3"/>
  <c r="U52" i="3"/>
  <c r="S52" i="3"/>
  <c r="N52" i="3"/>
  <c r="M52" i="3"/>
  <c r="K52" i="3"/>
  <c r="AT51" i="3"/>
  <c r="AS51" i="3"/>
  <c r="AR51" i="3"/>
  <c r="AQ51" i="3"/>
  <c r="AL51" i="3"/>
  <c r="AK51" i="3"/>
  <c r="AJ51" i="3"/>
  <c r="AI51" i="3"/>
  <c r="AD51" i="3"/>
  <c r="AC51" i="3"/>
  <c r="AA51" i="3"/>
  <c r="V51" i="3"/>
  <c r="U51" i="3"/>
  <c r="S51" i="3"/>
  <c r="N51" i="3"/>
  <c r="M51" i="3"/>
  <c r="K51" i="3"/>
  <c r="AT50" i="3"/>
  <c r="AS50" i="3"/>
  <c r="AR50" i="3"/>
  <c r="AQ50" i="3"/>
  <c r="AL50" i="3"/>
  <c r="AK50" i="3"/>
  <c r="AJ50" i="3"/>
  <c r="AI50" i="3"/>
  <c r="AD50" i="3"/>
  <c r="AC50" i="3"/>
  <c r="AA50" i="3"/>
  <c r="V50" i="3"/>
  <c r="U50" i="3"/>
  <c r="S50" i="3"/>
  <c r="N50" i="3"/>
  <c r="M50" i="3"/>
  <c r="K50" i="3"/>
  <c r="AT49" i="3"/>
  <c r="AS49" i="3"/>
  <c r="AR49" i="3"/>
  <c r="AQ49" i="3"/>
  <c r="AL49" i="3"/>
  <c r="AK49" i="3"/>
  <c r="AJ49" i="3"/>
  <c r="AI49" i="3"/>
  <c r="AD49" i="3"/>
  <c r="AC49" i="3"/>
  <c r="AA49" i="3"/>
  <c r="V49" i="3"/>
  <c r="U49" i="3"/>
  <c r="S49" i="3"/>
  <c r="N49" i="3"/>
  <c r="M49" i="3"/>
  <c r="K49" i="3"/>
  <c r="AT48" i="3"/>
  <c r="AS48" i="3"/>
  <c r="AR48" i="3"/>
  <c r="AQ48" i="3"/>
  <c r="AL48" i="3"/>
  <c r="AK48" i="3"/>
  <c r="AJ48" i="3"/>
  <c r="AI48" i="3"/>
  <c r="AD48" i="3"/>
  <c r="AC48" i="3"/>
  <c r="AA48" i="3"/>
  <c r="V48" i="3"/>
  <c r="U48" i="3"/>
  <c r="S48" i="3"/>
  <c r="N48" i="3"/>
  <c r="M48" i="3"/>
  <c r="K48" i="3"/>
  <c r="AT47" i="3"/>
  <c r="AS47" i="3"/>
  <c r="AR47" i="3"/>
  <c r="AQ47" i="3"/>
  <c r="AL47" i="3"/>
  <c r="AK47" i="3"/>
  <c r="AJ47" i="3"/>
  <c r="AI47" i="3"/>
  <c r="AD47" i="3"/>
  <c r="AC47" i="3"/>
  <c r="AA47" i="3"/>
  <c r="V47" i="3"/>
  <c r="U47" i="3"/>
  <c r="S47" i="3"/>
  <c r="N47" i="3"/>
  <c r="M47" i="3"/>
  <c r="K47" i="3"/>
  <c r="AT46" i="3"/>
  <c r="AS46" i="3"/>
  <c r="AR46" i="3"/>
  <c r="AQ46" i="3"/>
  <c r="AL46" i="3"/>
  <c r="AK46" i="3"/>
  <c r="AJ46" i="3"/>
  <c r="AI46" i="3"/>
  <c r="AD46" i="3"/>
  <c r="AC46" i="3"/>
  <c r="AA46" i="3"/>
  <c r="V46" i="3"/>
  <c r="U46" i="3"/>
  <c r="S46" i="3"/>
  <c r="N46" i="3"/>
  <c r="M46" i="3"/>
  <c r="K46" i="3"/>
  <c r="AT45" i="3"/>
  <c r="AS45" i="3"/>
  <c r="AR45" i="3"/>
  <c r="AQ45" i="3"/>
  <c r="AL45" i="3"/>
  <c r="AK45" i="3"/>
  <c r="AJ45" i="3"/>
  <c r="AI45" i="3"/>
  <c r="AD45" i="3"/>
  <c r="AC45" i="3"/>
  <c r="AA45" i="3"/>
  <c r="V45" i="3"/>
  <c r="U45" i="3"/>
  <c r="S45" i="3"/>
  <c r="N45" i="3"/>
  <c r="M45" i="3"/>
  <c r="K45" i="3"/>
  <c r="AT44" i="3"/>
  <c r="AS44" i="3"/>
  <c r="AR44" i="3"/>
  <c r="AQ44" i="3"/>
  <c r="AL44" i="3"/>
  <c r="AK44" i="3"/>
  <c r="AJ44" i="3"/>
  <c r="AI44" i="3"/>
  <c r="AD44" i="3"/>
  <c r="AC44" i="3"/>
  <c r="AA44" i="3"/>
  <c r="V44" i="3"/>
  <c r="U44" i="3"/>
  <c r="S44" i="3"/>
  <c r="N44" i="3"/>
  <c r="M44" i="3"/>
  <c r="K44" i="3"/>
  <c r="AT43" i="3"/>
  <c r="AS43" i="3"/>
  <c r="AR43" i="3"/>
  <c r="AQ43" i="3"/>
  <c r="AL43" i="3"/>
  <c r="AK43" i="3"/>
  <c r="AJ43" i="3"/>
  <c r="AI43" i="3"/>
  <c r="AD43" i="3"/>
  <c r="AC43" i="3"/>
  <c r="AA43" i="3"/>
  <c r="V43" i="3"/>
  <c r="U43" i="3"/>
  <c r="S43" i="3"/>
  <c r="N43" i="3"/>
  <c r="M43" i="3"/>
  <c r="K43" i="3"/>
  <c r="AT42" i="3"/>
  <c r="AS42" i="3"/>
  <c r="AR42" i="3"/>
  <c r="AQ42" i="3"/>
  <c r="AL42" i="3"/>
  <c r="AK42" i="3"/>
  <c r="AJ42" i="3"/>
  <c r="AI42" i="3"/>
  <c r="AD42" i="3"/>
  <c r="AC42" i="3"/>
  <c r="AA42" i="3"/>
  <c r="V42" i="3"/>
  <c r="U42" i="3"/>
  <c r="S42" i="3"/>
  <c r="N42" i="3"/>
  <c r="M42" i="3"/>
  <c r="K42" i="3"/>
  <c r="AT41" i="3"/>
  <c r="AS41" i="3"/>
  <c r="AR41" i="3"/>
  <c r="AQ41" i="3"/>
  <c r="AL41" i="3"/>
  <c r="AK41" i="3"/>
  <c r="AJ41" i="3"/>
  <c r="AI41" i="3"/>
  <c r="AD41" i="3"/>
  <c r="AC41" i="3"/>
  <c r="AA41" i="3"/>
  <c r="V41" i="3"/>
  <c r="U41" i="3"/>
  <c r="S41" i="3"/>
  <c r="N41" i="3"/>
  <c r="M41" i="3"/>
  <c r="K41" i="3"/>
  <c r="AT40" i="3"/>
  <c r="AS40" i="3"/>
  <c r="AR40" i="3"/>
  <c r="AQ40" i="3"/>
  <c r="AL40" i="3"/>
  <c r="AK40" i="3"/>
  <c r="AJ40" i="3"/>
  <c r="AI40" i="3"/>
  <c r="AD40" i="3"/>
  <c r="AC40" i="3"/>
  <c r="AA40" i="3"/>
  <c r="V40" i="3"/>
  <c r="U40" i="3"/>
  <c r="S40" i="3"/>
  <c r="N40" i="3"/>
  <c r="M40" i="3"/>
  <c r="K40" i="3"/>
  <c r="AT39" i="3"/>
  <c r="AS39" i="3"/>
  <c r="AR39" i="3"/>
  <c r="AQ39" i="3"/>
  <c r="AL39" i="3"/>
  <c r="AK39" i="3"/>
  <c r="AJ39" i="3"/>
  <c r="AI39" i="3"/>
  <c r="AD39" i="3"/>
  <c r="AC39" i="3"/>
  <c r="AA39" i="3"/>
  <c r="V39" i="3"/>
  <c r="U39" i="3"/>
  <c r="S39" i="3"/>
  <c r="N39" i="3"/>
  <c r="M39" i="3"/>
  <c r="K39" i="3"/>
  <c r="AT38" i="3"/>
  <c r="AS38" i="3"/>
  <c r="AR38" i="3"/>
  <c r="AQ38" i="3"/>
  <c r="AL38" i="3"/>
  <c r="AK38" i="3"/>
  <c r="AJ38" i="3"/>
  <c r="AI38" i="3"/>
  <c r="AD38" i="3"/>
  <c r="AC38" i="3"/>
  <c r="AA38" i="3"/>
  <c r="V38" i="3"/>
  <c r="U38" i="3"/>
  <c r="S38" i="3"/>
  <c r="N38" i="3"/>
  <c r="M38" i="3"/>
  <c r="K38" i="3"/>
  <c r="AT37" i="3"/>
  <c r="AS37" i="3"/>
  <c r="AR37" i="3"/>
  <c r="AQ37" i="3"/>
  <c r="AL37" i="3"/>
  <c r="AK37" i="3"/>
  <c r="AJ37" i="3"/>
  <c r="AI37" i="3"/>
  <c r="AD37" i="3"/>
  <c r="AC37" i="3"/>
  <c r="AA37" i="3"/>
  <c r="V37" i="3"/>
  <c r="U37" i="3"/>
  <c r="S37" i="3"/>
  <c r="N37" i="3"/>
  <c r="M37" i="3"/>
  <c r="K37" i="3"/>
  <c r="AT36" i="3"/>
  <c r="AS36" i="3"/>
  <c r="AR36" i="3"/>
  <c r="AQ36" i="3"/>
  <c r="AL36" i="3"/>
  <c r="AK36" i="3"/>
  <c r="AJ36" i="3"/>
  <c r="AI36" i="3"/>
  <c r="AD36" i="3"/>
  <c r="AC36" i="3"/>
  <c r="AA36" i="3"/>
  <c r="V36" i="3"/>
  <c r="U36" i="3"/>
  <c r="S36" i="3"/>
  <c r="N36" i="3"/>
  <c r="M36" i="3"/>
  <c r="K36" i="3"/>
  <c r="AT35" i="3"/>
  <c r="AS35" i="3"/>
  <c r="AR35" i="3"/>
  <c r="AQ35" i="3"/>
  <c r="AL35" i="3"/>
  <c r="AK35" i="3"/>
  <c r="AJ35" i="3"/>
  <c r="AI35" i="3"/>
  <c r="AD35" i="3"/>
  <c r="AC35" i="3"/>
  <c r="AA35" i="3"/>
  <c r="V35" i="3"/>
  <c r="U35" i="3"/>
  <c r="S35" i="3"/>
  <c r="N35" i="3"/>
  <c r="M35" i="3"/>
  <c r="K35" i="3"/>
  <c r="AT34" i="3"/>
  <c r="AS34" i="3"/>
  <c r="AR34" i="3"/>
  <c r="AQ34" i="3"/>
  <c r="AL34" i="3"/>
  <c r="AK34" i="3"/>
  <c r="AJ34" i="3"/>
  <c r="AI34" i="3"/>
  <c r="AD34" i="3"/>
  <c r="AC34" i="3"/>
  <c r="AA34" i="3"/>
  <c r="V34" i="3"/>
  <c r="U34" i="3"/>
  <c r="S34" i="3"/>
  <c r="N34" i="3"/>
  <c r="M34" i="3"/>
  <c r="K34" i="3"/>
  <c r="AT33" i="3"/>
  <c r="AS33" i="3"/>
  <c r="AR33" i="3"/>
  <c r="AQ33" i="3"/>
  <c r="AL33" i="3"/>
  <c r="AK33" i="3"/>
  <c r="AJ33" i="3"/>
  <c r="AI33" i="3"/>
  <c r="AD33" i="3"/>
  <c r="AC33" i="3"/>
  <c r="AA33" i="3"/>
  <c r="V33" i="3"/>
  <c r="U33" i="3"/>
  <c r="S33" i="3"/>
  <c r="N33" i="3"/>
  <c r="M33" i="3"/>
  <c r="K33" i="3"/>
  <c r="AT32" i="3"/>
  <c r="AS32" i="3"/>
  <c r="AR32" i="3"/>
  <c r="AQ32" i="3"/>
  <c r="AL32" i="3"/>
  <c r="AK32" i="3"/>
  <c r="AJ32" i="3"/>
  <c r="AI32" i="3"/>
  <c r="AD32" i="3"/>
  <c r="AC32" i="3"/>
  <c r="AA32" i="3"/>
  <c r="V32" i="3"/>
  <c r="U32" i="3"/>
  <c r="S32" i="3"/>
  <c r="N32" i="3"/>
  <c r="M32" i="3"/>
  <c r="K32" i="3"/>
  <c r="AT31" i="3"/>
  <c r="AS31" i="3"/>
  <c r="AR31" i="3"/>
  <c r="AQ31" i="3"/>
  <c r="AL31" i="3"/>
  <c r="AK31" i="3"/>
  <c r="AJ31" i="3"/>
  <c r="AI31" i="3"/>
  <c r="AD31" i="3"/>
  <c r="AC31" i="3"/>
  <c r="AA31" i="3"/>
  <c r="V31" i="3"/>
  <c r="U31" i="3"/>
  <c r="S31" i="3"/>
  <c r="N31" i="3"/>
  <c r="M31" i="3"/>
  <c r="K31" i="3"/>
  <c r="AT30" i="3"/>
  <c r="AS30" i="3"/>
  <c r="AR30" i="3"/>
  <c r="AQ30" i="3"/>
  <c r="AL30" i="3"/>
  <c r="AK30" i="3"/>
  <c r="AJ30" i="3"/>
  <c r="AI30" i="3"/>
  <c r="AD30" i="3"/>
  <c r="AC30" i="3"/>
  <c r="AA30" i="3"/>
  <c r="V30" i="3"/>
  <c r="U30" i="3"/>
  <c r="S30" i="3"/>
  <c r="N30" i="3"/>
  <c r="M30" i="3"/>
  <c r="K30" i="3"/>
  <c r="AT29" i="3"/>
  <c r="AS29" i="3"/>
  <c r="AR29" i="3"/>
  <c r="AQ29" i="3"/>
  <c r="AL29" i="3"/>
  <c r="AK29" i="3"/>
  <c r="AJ29" i="3"/>
  <c r="AI29" i="3"/>
  <c r="AD29" i="3"/>
  <c r="AC29" i="3"/>
  <c r="AA29" i="3"/>
  <c r="V29" i="3"/>
  <c r="U29" i="3"/>
  <c r="S29" i="3"/>
  <c r="N29" i="3"/>
  <c r="M29" i="3"/>
  <c r="K29" i="3"/>
  <c r="AT28" i="3"/>
  <c r="AS28" i="3"/>
  <c r="AR28" i="3"/>
  <c r="AQ28" i="3"/>
  <c r="AL28" i="3"/>
  <c r="AK28" i="3"/>
  <c r="AJ28" i="3"/>
  <c r="AI28" i="3"/>
  <c r="AD28" i="3"/>
  <c r="AC28" i="3"/>
  <c r="AA28" i="3"/>
  <c r="V28" i="3"/>
  <c r="U28" i="3"/>
  <c r="S28" i="3"/>
  <c r="N28" i="3"/>
  <c r="M28" i="3"/>
  <c r="K28" i="3"/>
  <c r="AT27" i="3"/>
  <c r="AS27" i="3"/>
  <c r="AR27" i="3"/>
  <c r="AQ27" i="3"/>
  <c r="AL27" i="3"/>
  <c r="AK27" i="3"/>
  <c r="AJ27" i="3"/>
  <c r="AI27" i="3"/>
  <c r="AD27" i="3"/>
  <c r="AC27" i="3"/>
  <c r="AA27" i="3"/>
  <c r="V27" i="3"/>
  <c r="U27" i="3"/>
  <c r="S27" i="3"/>
  <c r="N27" i="3"/>
  <c r="M27" i="3"/>
  <c r="K27" i="3"/>
  <c r="AT26" i="3"/>
  <c r="AS26" i="3"/>
  <c r="AR26" i="3"/>
  <c r="AQ26" i="3"/>
  <c r="AL26" i="3"/>
  <c r="AK26" i="3"/>
  <c r="AJ26" i="3"/>
  <c r="AI26" i="3"/>
  <c r="AD26" i="3"/>
  <c r="AC26" i="3"/>
  <c r="AA26" i="3"/>
  <c r="V26" i="3"/>
  <c r="U26" i="3"/>
  <c r="S26" i="3"/>
  <c r="N26" i="3"/>
  <c r="M26" i="3"/>
  <c r="K26" i="3"/>
  <c r="AT25" i="3"/>
  <c r="AS25" i="3"/>
  <c r="AR25" i="3"/>
  <c r="AQ25" i="3"/>
  <c r="AL25" i="3"/>
  <c r="AK25" i="3"/>
  <c r="AJ25" i="3"/>
  <c r="AI25" i="3"/>
  <c r="AD25" i="3"/>
  <c r="AC25" i="3"/>
  <c r="AA25" i="3"/>
  <c r="V25" i="3"/>
  <c r="U25" i="3"/>
  <c r="S25" i="3"/>
  <c r="N25" i="3"/>
  <c r="M25" i="3"/>
  <c r="K25" i="3"/>
  <c r="AT24" i="3"/>
  <c r="AS24" i="3"/>
  <c r="AR24" i="3"/>
  <c r="AQ24" i="3"/>
  <c r="AL24" i="3"/>
  <c r="AK24" i="3"/>
  <c r="AJ24" i="3"/>
  <c r="AI24" i="3"/>
  <c r="AD24" i="3"/>
  <c r="AC24" i="3"/>
  <c r="AA24" i="3"/>
  <c r="V24" i="3"/>
  <c r="U24" i="3"/>
  <c r="S24" i="3"/>
  <c r="N24" i="3"/>
  <c r="M24" i="3"/>
  <c r="K24" i="3"/>
  <c r="AT23" i="3"/>
  <c r="AS23" i="3"/>
  <c r="AR23" i="3"/>
  <c r="AQ23" i="3"/>
  <c r="AL23" i="3"/>
  <c r="AK23" i="3"/>
  <c r="AJ23" i="3"/>
  <c r="AI23" i="3"/>
  <c r="AD23" i="3"/>
  <c r="AC23" i="3"/>
  <c r="AA23" i="3"/>
  <c r="V23" i="3"/>
  <c r="U23" i="3"/>
  <c r="S23" i="3"/>
  <c r="N23" i="3"/>
  <c r="M23" i="3"/>
  <c r="K23" i="3"/>
  <c r="AT22" i="3"/>
  <c r="AS22" i="3"/>
  <c r="AR22" i="3"/>
  <c r="AQ22" i="3"/>
  <c r="AL22" i="3"/>
  <c r="AK22" i="3"/>
  <c r="AJ22" i="3"/>
  <c r="AI22" i="3"/>
  <c r="AD22" i="3"/>
  <c r="AC22" i="3"/>
  <c r="AA22" i="3"/>
  <c r="V22" i="3"/>
  <c r="U22" i="3"/>
  <c r="S22" i="3"/>
  <c r="N22" i="3"/>
  <c r="M22" i="3"/>
  <c r="K22" i="3"/>
  <c r="AT21" i="3"/>
  <c r="AS21" i="3"/>
  <c r="AR21" i="3"/>
  <c r="AQ21" i="3"/>
  <c r="AL21" i="3"/>
  <c r="AK21" i="3"/>
  <c r="AJ21" i="3"/>
  <c r="AI21" i="3"/>
  <c r="AD21" i="3"/>
  <c r="AC21" i="3"/>
  <c r="AA21" i="3"/>
  <c r="V21" i="3"/>
  <c r="U21" i="3"/>
  <c r="S21" i="3"/>
  <c r="N21" i="3"/>
  <c r="M21" i="3"/>
  <c r="K21" i="3"/>
  <c r="AT20" i="3"/>
  <c r="AS20" i="3"/>
  <c r="AR20" i="3"/>
  <c r="AQ20" i="3"/>
  <c r="AL20" i="3"/>
  <c r="AK20" i="3"/>
  <c r="AJ20" i="3"/>
  <c r="AI20" i="3"/>
  <c r="AD20" i="3"/>
  <c r="AC20" i="3"/>
  <c r="AA20" i="3"/>
  <c r="V20" i="3"/>
  <c r="U20" i="3"/>
  <c r="S20" i="3"/>
  <c r="N20" i="3"/>
  <c r="M20" i="3"/>
  <c r="K20" i="3"/>
  <c r="AT19" i="3"/>
  <c r="AS19" i="3"/>
  <c r="AR19" i="3"/>
  <c r="AQ19" i="3"/>
  <c r="AL19" i="3"/>
  <c r="AK19" i="3"/>
  <c r="AJ19" i="3"/>
  <c r="AI19" i="3"/>
  <c r="AD19" i="3"/>
  <c r="AC19" i="3"/>
  <c r="AA19" i="3"/>
  <c r="V19" i="3"/>
  <c r="U19" i="3"/>
  <c r="S19" i="3"/>
  <c r="N19" i="3"/>
  <c r="M19" i="3"/>
  <c r="K19" i="3"/>
  <c r="AT18" i="3"/>
  <c r="AS18" i="3"/>
  <c r="AR18" i="3"/>
  <c r="AQ18" i="3"/>
  <c r="AL18" i="3"/>
  <c r="AK18" i="3"/>
  <c r="AJ18" i="3"/>
  <c r="AI18" i="3"/>
  <c r="AD18" i="3"/>
  <c r="AC18" i="3"/>
  <c r="AA18" i="3"/>
  <c r="V18" i="3"/>
  <c r="U18" i="3"/>
  <c r="S18" i="3"/>
  <c r="N18" i="3"/>
  <c r="M18" i="3"/>
  <c r="K18" i="3"/>
  <c r="AT17" i="3"/>
  <c r="AS17" i="3"/>
  <c r="AR17" i="3"/>
  <c r="AQ17" i="3"/>
  <c r="AL17" i="3"/>
  <c r="AK17" i="3"/>
  <c r="AJ17" i="3"/>
  <c r="AI17" i="3"/>
  <c r="AD17" i="3"/>
  <c r="AC17" i="3"/>
  <c r="AA17" i="3"/>
  <c r="V17" i="3"/>
  <c r="U17" i="3"/>
  <c r="S17" i="3"/>
  <c r="N17" i="3"/>
  <c r="M17" i="3"/>
  <c r="K17" i="3"/>
  <c r="AT16" i="3"/>
  <c r="AS16" i="3"/>
  <c r="AR16" i="3"/>
  <c r="AQ16" i="3"/>
  <c r="AL16" i="3"/>
  <c r="AK16" i="3"/>
  <c r="AJ16" i="3"/>
  <c r="AI16" i="3"/>
  <c r="AD16" i="3"/>
  <c r="AC16" i="3"/>
  <c r="AA16" i="3"/>
  <c r="V16" i="3"/>
  <c r="U16" i="3"/>
  <c r="S16" i="3"/>
  <c r="N16" i="3"/>
  <c r="M16" i="3"/>
  <c r="K16" i="3"/>
  <c r="AT15" i="3"/>
  <c r="AS15" i="3"/>
  <c r="AR15" i="3"/>
  <c r="AQ15" i="3"/>
  <c r="AL15" i="3"/>
  <c r="AK15" i="3"/>
  <c r="AJ15" i="3"/>
  <c r="AI15" i="3"/>
  <c r="AD15" i="3"/>
  <c r="AC15" i="3"/>
  <c r="AA15" i="3"/>
  <c r="V15" i="3"/>
  <c r="U15" i="3"/>
  <c r="S15" i="3"/>
  <c r="N15" i="3"/>
  <c r="M15" i="3"/>
  <c r="K15" i="3"/>
  <c r="AT14" i="3"/>
  <c r="AS14" i="3"/>
  <c r="AR14" i="3"/>
  <c r="AQ14" i="3"/>
  <c r="AL14" i="3"/>
  <c r="AK14" i="3"/>
  <c r="AJ14" i="3"/>
  <c r="AI14" i="3"/>
  <c r="AD14" i="3"/>
  <c r="AC14" i="3"/>
  <c r="AA14" i="3"/>
  <c r="V14" i="3"/>
  <c r="U14" i="3"/>
  <c r="S14" i="3"/>
  <c r="N14" i="3"/>
  <c r="M14" i="3"/>
  <c r="K14" i="3"/>
  <c r="AT13" i="3"/>
  <c r="AS13" i="3"/>
  <c r="AR13" i="3"/>
  <c r="AQ13" i="3"/>
  <c r="AL13" i="3"/>
  <c r="AK13" i="3"/>
  <c r="AJ13" i="3"/>
  <c r="AI13" i="3"/>
  <c r="AD13" i="3"/>
  <c r="AC13" i="3"/>
  <c r="AA13" i="3"/>
  <c r="V13" i="3"/>
  <c r="U13" i="3"/>
  <c r="S13" i="3"/>
  <c r="N13" i="3"/>
  <c r="M13" i="3"/>
  <c r="K13" i="3"/>
  <c r="AT12" i="3"/>
  <c r="AS12" i="3"/>
  <c r="AR12" i="3"/>
  <c r="AQ12" i="3"/>
  <c r="AL12" i="3"/>
  <c r="AK12" i="3"/>
  <c r="AJ12" i="3"/>
  <c r="AI12" i="3"/>
  <c r="AD12" i="3"/>
  <c r="AC12" i="3"/>
  <c r="AA12" i="3"/>
  <c r="V12" i="3"/>
  <c r="U12" i="3"/>
  <c r="S12" i="3"/>
  <c r="N12" i="3"/>
  <c r="M12" i="3"/>
  <c r="K12" i="3"/>
  <c r="AT11" i="3"/>
  <c r="AS11" i="3"/>
  <c r="AR11" i="3"/>
  <c r="AQ11" i="3"/>
  <c r="AL11" i="3"/>
  <c r="AK11" i="3"/>
  <c r="AJ11" i="3"/>
  <c r="AI11" i="3"/>
  <c r="AD11" i="3"/>
  <c r="AC11" i="3"/>
  <c r="AA11" i="3"/>
  <c r="V11" i="3"/>
  <c r="U11" i="3"/>
  <c r="S11" i="3"/>
  <c r="N11" i="3"/>
  <c r="M11" i="3"/>
  <c r="K11" i="3"/>
  <c r="AT10" i="3"/>
  <c r="AS10" i="3"/>
  <c r="AR10" i="3"/>
  <c r="AQ10" i="3"/>
  <c r="AL10" i="3"/>
  <c r="AK10" i="3"/>
  <c r="AJ10" i="3"/>
  <c r="AI10" i="3"/>
  <c r="AD10" i="3"/>
  <c r="AC10" i="3"/>
  <c r="AA10" i="3"/>
  <c r="V10" i="3"/>
  <c r="U10" i="3"/>
  <c r="S10" i="3"/>
  <c r="N10" i="3"/>
  <c r="M10" i="3"/>
  <c r="K10" i="3"/>
  <c r="AT9" i="3"/>
  <c r="AS9" i="3"/>
  <c r="AR9" i="3"/>
  <c r="AQ9" i="3"/>
  <c r="AL9" i="3"/>
  <c r="AK9" i="3"/>
  <c r="AJ9" i="3"/>
  <c r="AI9" i="3"/>
  <c r="AD9" i="3"/>
  <c r="AC9" i="3"/>
  <c r="AA9" i="3"/>
  <c r="V9" i="3"/>
  <c r="U9" i="3"/>
  <c r="S9" i="3"/>
  <c r="N9" i="3"/>
  <c r="M9" i="3"/>
  <c r="K9" i="3"/>
  <c r="AT8" i="3"/>
  <c r="AS8" i="3"/>
  <c r="AR8" i="3"/>
  <c r="AQ8" i="3"/>
  <c r="AL8" i="3"/>
  <c r="AK8" i="3"/>
  <c r="AJ8" i="3"/>
  <c r="AI8" i="3"/>
  <c r="AD8" i="3"/>
  <c r="AC8" i="3"/>
  <c r="AA8" i="3"/>
  <c r="V8" i="3"/>
  <c r="U8" i="3"/>
  <c r="S8" i="3"/>
  <c r="N8" i="3"/>
  <c r="M8" i="3"/>
  <c r="K8" i="3"/>
  <c r="AT7" i="3"/>
  <c r="AS7" i="3"/>
  <c r="AR7" i="3"/>
  <c r="AQ7" i="3"/>
  <c r="AL7" i="3"/>
  <c r="AK7" i="3"/>
  <c r="AJ7" i="3"/>
  <c r="AI7" i="3"/>
  <c r="AD7" i="3"/>
  <c r="AC7" i="3"/>
  <c r="AA7" i="3"/>
  <c r="V7" i="3"/>
  <c r="U7" i="3"/>
  <c r="S7" i="3"/>
  <c r="N7" i="3"/>
  <c r="M7" i="3"/>
  <c r="K7" i="3"/>
  <c r="AT6" i="3"/>
  <c r="AS6" i="3"/>
  <c r="AR6" i="3"/>
  <c r="AQ6" i="3"/>
  <c r="AL6" i="3"/>
  <c r="AK6" i="3"/>
  <c r="AJ6" i="3"/>
  <c r="AI6" i="3"/>
  <c r="AD6" i="3"/>
  <c r="AC6" i="3"/>
  <c r="AA6" i="3"/>
  <c r="V6" i="3"/>
  <c r="U6" i="3"/>
  <c r="S6" i="3"/>
  <c r="N6" i="3"/>
  <c r="M6" i="3"/>
  <c r="K6" i="3"/>
  <c r="AT5" i="3"/>
  <c r="AS5" i="3"/>
  <c r="AR5" i="3"/>
  <c r="AQ5" i="3"/>
  <c r="AL5" i="3"/>
  <c r="AK5" i="3"/>
  <c r="AJ5" i="3"/>
  <c r="AI5" i="3"/>
  <c r="AD5" i="3"/>
  <c r="AC5" i="3"/>
  <c r="AA5" i="3"/>
  <c r="V5" i="3"/>
  <c r="U5" i="3"/>
  <c r="S5" i="3"/>
  <c r="N5" i="3"/>
  <c r="M5" i="3"/>
  <c r="K5" i="3"/>
  <c r="AT4" i="3"/>
  <c r="AS4" i="3"/>
  <c r="AR4" i="3"/>
  <c r="AQ4" i="3"/>
  <c r="AL4" i="3"/>
  <c r="AK4" i="3"/>
  <c r="AJ4" i="3"/>
  <c r="AI4" i="3"/>
  <c r="AD4" i="3"/>
  <c r="AC4" i="3"/>
  <c r="AA4" i="3"/>
  <c r="V4" i="3"/>
  <c r="U4" i="3"/>
  <c r="S4" i="3"/>
  <c r="N4" i="3"/>
  <c r="M4" i="3"/>
  <c r="K4" i="3"/>
  <c r="AL4" i="2"/>
  <c r="AL5" i="2"/>
  <c r="AL6" i="2"/>
  <c r="AL7" i="2"/>
  <c r="AL8" i="2"/>
  <c r="AL9" i="2"/>
  <c r="AL10" i="2"/>
  <c r="AL11" i="2"/>
  <c r="AL12" i="2"/>
  <c r="AL13" i="2"/>
  <c r="AL14" i="2"/>
  <c r="AL15" i="2"/>
  <c r="AL16" i="2"/>
  <c r="AL17" i="2"/>
  <c r="AL18" i="2"/>
  <c r="AL19" i="2"/>
  <c r="AL20" i="2"/>
  <c r="AL21" i="2"/>
  <c r="AL22" i="2"/>
  <c r="AL23" i="2"/>
  <c r="AL24" i="2"/>
  <c r="AL25" i="2"/>
  <c r="AL26" i="2"/>
  <c r="AL27" i="2"/>
  <c r="AL28" i="2"/>
  <c r="AL29" i="2"/>
  <c r="AL30" i="2"/>
  <c r="AL31" i="2"/>
  <c r="AL32" i="2"/>
  <c r="AL33" i="2"/>
  <c r="AL34" i="2"/>
  <c r="AL35" i="2"/>
  <c r="AL36" i="2"/>
  <c r="AL37" i="2"/>
  <c r="AL38" i="2"/>
  <c r="AL39" i="2"/>
  <c r="AL40" i="2"/>
  <c r="AL41" i="2"/>
  <c r="AL42" i="2"/>
  <c r="AL43" i="2"/>
  <c r="AL44" i="2"/>
  <c r="AL45" i="2"/>
  <c r="AL46" i="2"/>
  <c r="AL47" i="2"/>
  <c r="AL48" i="2"/>
  <c r="AL49" i="2"/>
  <c r="AL50" i="2"/>
  <c r="AL51" i="2"/>
  <c r="AL52" i="2"/>
  <c r="AL53" i="2"/>
  <c r="AL54" i="2"/>
  <c r="AL55" i="2"/>
  <c r="AL56" i="2"/>
  <c r="AL57" i="2"/>
  <c r="AL58" i="2"/>
  <c r="AL59" i="2"/>
  <c r="AL60" i="2"/>
  <c r="AL61" i="2"/>
  <c r="AL62" i="2"/>
  <c r="AL63" i="2"/>
  <c r="AL64" i="2"/>
  <c r="AL65" i="2"/>
  <c r="AL66" i="2"/>
  <c r="AL67" i="2"/>
  <c r="AL68" i="2"/>
  <c r="AL69" i="2"/>
  <c r="AL70" i="2"/>
  <c r="AL71" i="2"/>
  <c r="AL72" i="2"/>
  <c r="AL73" i="2"/>
  <c r="AL74" i="2"/>
  <c r="AL75" i="2"/>
  <c r="AL76" i="2"/>
  <c r="AL77" i="2"/>
  <c r="AL78" i="2"/>
  <c r="AL79" i="2"/>
  <c r="AL80" i="2"/>
  <c r="AL81" i="2"/>
  <c r="AL82" i="2"/>
  <c r="AL83" i="2"/>
  <c r="AL84" i="2"/>
  <c r="AL85" i="2"/>
  <c r="AL86" i="2"/>
  <c r="AL87" i="2"/>
  <c r="AL88" i="2"/>
  <c r="AL89" i="2"/>
  <c r="AL90" i="2"/>
  <c r="AL91" i="2"/>
  <c r="AL92" i="2"/>
  <c r="AL93" i="2"/>
  <c r="AL94" i="2"/>
  <c r="AL95" i="2"/>
  <c r="AL96" i="2"/>
  <c r="AL97" i="2"/>
  <c r="AL98" i="2"/>
  <c r="AL99" i="2"/>
  <c r="AL100" i="2"/>
  <c r="AL101" i="2"/>
  <c r="AL102" i="2"/>
  <c r="AL103" i="2"/>
  <c r="AL104" i="2"/>
  <c r="AK4" i="2"/>
  <c r="AK5" i="2"/>
  <c r="AK6" i="2"/>
  <c r="AK7" i="2"/>
  <c r="AK8" i="2"/>
  <c r="AK9" i="2"/>
  <c r="AK10" i="2"/>
  <c r="AK11" i="2"/>
  <c r="AK13" i="2"/>
  <c r="AK14" i="2"/>
  <c r="AK15" i="2"/>
  <c r="AK16" i="2"/>
  <c r="AK17" i="2"/>
  <c r="AK18" i="2"/>
  <c r="AK19" i="2"/>
  <c r="AK20" i="2"/>
  <c r="AK21" i="2"/>
  <c r="AK22" i="2"/>
  <c r="AK23" i="2"/>
  <c r="AK24" i="2"/>
  <c r="AK25" i="2"/>
  <c r="AK26" i="2"/>
  <c r="AK27" i="2"/>
  <c r="AK28" i="2"/>
  <c r="AK29" i="2"/>
  <c r="AK30" i="2"/>
  <c r="AK31" i="2"/>
  <c r="AK32" i="2"/>
  <c r="AK33" i="2"/>
  <c r="AK34" i="2"/>
  <c r="AK35" i="2"/>
  <c r="AK36" i="2"/>
  <c r="AK37" i="2"/>
  <c r="AK38" i="2"/>
  <c r="AK39" i="2"/>
  <c r="AK40" i="2"/>
  <c r="AK41" i="2"/>
  <c r="AK42" i="2"/>
  <c r="AK43" i="2"/>
  <c r="AK44" i="2"/>
  <c r="AK45" i="2"/>
  <c r="AK46" i="2"/>
  <c r="AK47" i="2"/>
  <c r="AK48" i="2"/>
  <c r="AK49" i="2"/>
  <c r="AK50" i="2"/>
  <c r="AK51" i="2"/>
  <c r="AK52" i="2"/>
  <c r="AK53" i="2"/>
  <c r="AK54" i="2"/>
  <c r="AK55" i="2"/>
  <c r="AK56" i="2"/>
  <c r="AK57" i="2"/>
  <c r="AK58" i="2"/>
  <c r="AK59" i="2"/>
  <c r="AK60" i="2"/>
  <c r="AK61" i="2"/>
  <c r="AK62" i="2"/>
  <c r="AK63" i="2"/>
  <c r="AK64" i="2"/>
  <c r="AK65" i="2"/>
  <c r="AK66" i="2"/>
  <c r="AK67" i="2"/>
  <c r="AK68" i="2"/>
  <c r="AK69" i="2"/>
  <c r="AK70" i="2"/>
  <c r="AK71" i="2"/>
  <c r="AK72" i="2"/>
  <c r="AK73" i="2"/>
  <c r="AK74" i="2"/>
  <c r="AK75" i="2"/>
  <c r="AK76" i="2"/>
  <c r="AK77" i="2"/>
  <c r="AK78" i="2"/>
  <c r="AK79" i="2"/>
  <c r="AK80" i="2"/>
  <c r="AK81" i="2"/>
  <c r="AK82" i="2"/>
  <c r="AK83" i="2"/>
  <c r="AK84" i="2"/>
  <c r="AK85" i="2"/>
  <c r="AK86" i="2"/>
  <c r="AK87" i="2"/>
  <c r="AK88" i="2"/>
  <c r="AK89" i="2"/>
  <c r="AK90" i="2"/>
  <c r="AK91" i="2"/>
  <c r="AK92" i="2"/>
  <c r="AK93" i="2"/>
  <c r="AK94" i="2"/>
  <c r="AK95" i="2"/>
  <c r="AK96" i="2"/>
  <c r="AK97" i="2"/>
  <c r="AK98" i="2"/>
  <c r="AK99" i="2"/>
  <c r="AK100" i="2"/>
  <c r="AK101" i="2"/>
  <c r="AK102" i="2"/>
  <c r="AK103" i="2"/>
  <c r="AK104" i="2"/>
  <c r="AJ4" i="2"/>
  <c r="AJ5" i="2"/>
  <c r="AJ6" i="2"/>
  <c r="AJ7" i="2"/>
  <c r="AJ8" i="2"/>
  <c r="AJ9" i="2"/>
  <c r="AJ10" i="2"/>
  <c r="AJ11" i="2"/>
  <c r="AJ12" i="2"/>
  <c r="AJ13" i="2"/>
  <c r="AJ14" i="2"/>
  <c r="AJ15" i="2"/>
  <c r="AJ16" i="2"/>
  <c r="AJ17" i="2"/>
  <c r="AJ18" i="2"/>
  <c r="AJ19" i="2"/>
  <c r="AJ20" i="2"/>
  <c r="AJ21" i="2"/>
  <c r="AJ22" i="2"/>
  <c r="AJ23" i="2"/>
  <c r="AJ24" i="2"/>
  <c r="AJ25" i="2"/>
  <c r="AJ26" i="2"/>
  <c r="AJ27" i="2"/>
  <c r="AJ28" i="2"/>
  <c r="AJ29" i="2"/>
  <c r="AJ30" i="2"/>
  <c r="AJ31" i="2"/>
  <c r="AJ32" i="2"/>
  <c r="AJ33" i="2"/>
  <c r="AJ34" i="2"/>
  <c r="AJ35" i="2"/>
  <c r="AJ36" i="2"/>
  <c r="AJ37" i="2"/>
  <c r="AJ38" i="2"/>
  <c r="AJ39" i="2"/>
  <c r="AJ40" i="2"/>
  <c r="AJ41" i="2"/>
  <c r="AJ42" i="2"/>
  <c r="AJ43" i="2"/>
  <c r="AJ44" i="2"/>
  <c r="AJ45" i="2"/>
  <c r="AJ46" i="2"/>
  <c r="AJ47" i="2"/>
  <c r="AJ48" i="2"/>
  <c r="AJ49" i="2"/>
  <c r="AJ50" i="2"/>
  <c r="AJ51" i="2"/>
  <c r="AJ52" i="2"/>
  <c r="AJ53" i="2"/>
  <c r="AJ54" i="2"/>
  <c r="AJ55" i="2"/>
  <c r="AJ56" i="2"/>
  <c r="AJ57" i="2"/>
  <c r="AJ58" i="2"/>
  <c r="AJ59" i="2"/>
  <c r="AJ60" i="2"/>
  <c r="AJ61" i="2"/>
  <c r="AJ62" i="2"/>
  <c r="AJ63" i="2"/>
  <c r="AJ64" i="2"/>
  <c r="AJ65" i="2"/>
  <c r="AJ66" i="2"/>
  <c r="AJ67" i="2"/>
  <c r="AJ68" i="2"/>
  <c r="AJ69" i="2"/>
  <c r="AJ70" i="2"/>
  <c r="AJ71" i="2"/>
  <c r="AJ72" i="2"/>
  <c r="AJ73" i="2"/>
  <c r="AJ74" i="2"/>
  <c r="AJ75" i="2"/>
  <c r="AJ76" i="2"/>
  <c r="AJ77" i="2"/>
  <c r="AJ78" i="2"/>
  <c r="AJ79" i="2"/>
  <c r="AJ80" i="2"/>
  <c r="AJ81" i="2"/>
  <c r="AJ82" i="2"/>
  <c r="AJ83" i="2"/>
  <c r="AJ84" i="2"/>
  <c r="AJ85" i="2"/>
  <c r="AJ86" i="2"/>
  <c r="AJ87" i="2"/>
  <c r="AJ88" i="2"/>
  <c r="AJ89" i="2"/>
  <c r="AJ90" i="2"/>
  <c r="AJ91" i="2"/>
  <c r="AJ92" i="2"/>
  <c r="AJ93" i="2"/>
  <c r="AJ94" i="2"/>
  <c r="AJ95" i="2"/>
  <c r="AJ96" i="2"/>
  <c r="AJ97" i="2"/>
  <c r="AJ98" i="2"/>
  <c r="AJ99" i="2"/>
  <c r="AJ100" i="2"/>
  <c r="AJ101" i="2"/>
  <c r="AJ102" i="2"/>
  <c r="AJ103" i="2"/>
  <c r="AJ104" i="2"/>
  <c r="AH104" i="2"/>
  <c r="AG104" i="2"/>
  <c r="AE104" i="2"/>
  <c r="AD4" i="2"/>
  <c r="AD5" i="2"/>
  <c r="AD6" i="2"/>
  <c r="AD7" i="2"/>
  <c r="AD8" i="2"/>
  <c r="AD9" i="2"/>
  <c r="AD10" i="2"/>
  <c r="AD11" i="2"/>
  <c r="AD12" i="2"/>
  <c r="AD13" i="2"/>
  <c r="AD14" i="2"/>
  <c r="AD15" i="2"/>
  <c r="AD16" i="2"/>
  <c r="AD17" i="2"/>
  <c r="AD18" i="2"/>
  <c r="AD19" i="2"/>
  <c r="AD20" i="2"/>
  <c r="AD21" i="2"/>
  <c r="AD22" i="2"/>
  <c r="AD23" i="2"/>
  <c r="AD24" i="2"/>
  <c r="AD25" i="2"/>
  <c r="AD26" i="2"/>
  <c r="AD27" i="2"/>
  <c r="AD28" i="2"/>
  <c r="AD29" i="2"/>
  <c r="AD30" i="2"/>
  <c r="AD31" i="2"/>
  <c r="AD32" i="2"/>
  <c r="AD33" i="2"/>
  <c r="AD34" i="2"/>
  <c r="AD35" i="2"/>
  <c r="AD36" i="2"/>
  <c r="AD37" i="2"/>
  <c r="AD38" i="2"/>
  <c r="AD39" i="2"/>
  <c r="AD40" i="2"/>
  <c r="AD41" i="2"/>
  <c r="AD42" i="2"/>
  <c r="AD43" i="2"/>
  <c r="AD44" i="2"/>
  <c r="AD45" i="2"/>
  <c r="AD46" i="2"/>
  <c r="AD47" i="2"/>
  <c r="AD48" i="2"/>
  <c r="AD49" i="2"/>
  <c r="AD50" i="2"/>
  <c r="AD51" i="2"/>
  <c r="AD52" i="2"/>
  <c r="AD53" i="2"/>
  <c r="AD54" i="2"/>
  <c r="AD55" i="2"/>
  <c r="AD56" i="2"/>
  <c r="AD57" i="2"/>
  <c r="AD58" i="2"/>
  <c r="AD59" i="2"/>
  <c r="AD60" i="2"/>
  <c r="AD61" i="2"/>
  <c r="AD62" i="2"/>
  <c r="AD63" i="2"/>
  <c r="AD64" i="2"/>
  <c r="AD65" i="2"/>
  <c r="AD66" i="2"/>
  <c r="AD67" i="2"/>
  <c r="AD68" i="2"/>
  <c r="AD69" i="2"/>
  <c r="AD70" i="2"/>
  <c r="AD71" i="2"/>
  <c r="AD72" i="2"/>
  <c r="AD73" i="2"/>
  <c r="AD74" i="2"/>
  <c r="AD75" i="2"/>
  <c r="AD76" i="2"/>
  <c r="AD77" i="2"/>
  <c r="AD78" i="2"/>
  <c r="AD79" i="2"/>
  <c r="AD80" i="2"/>
  <c r="AD81" i="2"/>
  <c r="AD82" i="2"/>
  <c r="AD83" i="2"/>
  <c r="AD84" i="2"/>
  <c r="AD85" i="2"/>
  <c r="AD86" i="2"/>
  <c r="AD87" i="2"/>
  <c r="AD88" i="2"/>
  <c r="AD89" i="2"/>
  <c r="AD90" i="2"/>
  <c r="AD91" i="2"/>
  <c r="AD92" i="2"/>
  <c r="AD93" i="2"/>
  <c r="AD94" i="2"/>
  <c r="AD95" i="2"/>
  <c r="AD96" i="2"/>
  <c r="AD97" i="2"/>
  <c r="AD98" i="2"/>
  <c r="AD99" i="2"/>
  <c r="AD100" i="2"/>
  <c r="AD101" i="2"/>
  <c r="AD102" i="2"/>
  <c r="AD103" i="2"/>
  <c r="AD104" i="2"/>
  <c r="AC4" i="2"/>
  <c r="AC5" i="2"/>
  <c r="AC6" i="2"/>
  <c r="AC7" i="2"/>
  <c r="AC8" i="2"/>
  <c r="AC9" i="2"/>
  <c r="AC10" i="2"/>
  <c r="AC11" i="2"/>
  <c r="AC12" i="2"/>
  <c r="AC13" i="2"/>
  <c r="AC14" i="2"/>
  <c r="AC15" i="2"/>
  <c r="AC16" i="2"/>
  <c r="AC17" i="2"/>
  <c r="AC18" i="2"/>
  <c r="AC19" i="2"/>
  <c r="AC20" i="2"/>
  <c r="AC21" i="2"/>
  <c r="AC22" i="2"/>
  <c r="AC23" i="2"/>
  <c r="AC24" i="2"/>
  <c r="AC25" i="2"/>
  <c r="AC26" i="2"/>
  <c r="AC27" i="2"/>
  <c r="AC28" i="2"/>
  <c r="AC29" i="2"/>
  <c r="AC30" i="2"/>
  <c r="AC31" i="2"/>
  <c r="AC32" i="2"/>
  <c r="AC33" i="2"/>
  <c r="AC34" i="2"/>
  <c r="AC35" i="2"/>
  <c r="AC36" i="2"/>
  <c r="AC37" i="2"/>
  <c r="AC38" i="2"/>
  <c r="AC39" i="2"/>
  <c r="AC40" i="2"/>
  <c r="AC41" i="2"/>
  <c r="AC42" i="2"/>
  <c r="AC43" i="2"/>
  <c r="AC44" i="2"/>
  <c r="AC45" i="2"/>
  <c r="AC46" i="2"/>
  <c r="AC47" i="2"/>
  <c r="AC48" i="2"/>
  <c r="AC49" i="2"/>
  <c r="AC50" i="2"/>
  <c r="AC51" i="2"/>
  <c r="AC52" i="2"/>
  <c r="AC53" i="2"/>
  <c r="AC54" i="2"/>
  <c r="AC55" i="2"/>
  <c r="AC56" i="2"/>
  <c r="AC57" i="2"/>
  <c r="AC58" i="2"/>
  <c r="AC59" i="2"/>
  <c r="AC60" i="2"/>
  <c r="AC61" i="2"/>
  <c r="AC62" i="2"/>
  <c r="AC63" i="2"/>
  <c r="AC64" i="2"/>
  <c r="AC65" i="2"/>
  <c r="AC66" i="2"/>
  <c r="AC67" i="2"/>
  <c r="AC68" i="2"/>
  <c r="AC69" i="2"/>
  <c r="AC70" i="2"/>
  <c r="AC71" i="2"/>
  <c r="AC72" i="2"/>
  <c r="AC73" i="2"/>
  <c r="AC74" i="2"/>
  <c r="AC75" i="2"/>
  <c r="AC76" i="2"/>
  <c r="AC77" i="2"/>
  <c r="AC78" i="2"/>
  <c r="AC79" i="2"/>
  <c r="AC80" i="2"/>
  <c r="AC81" i="2"/>
  <c r="AC82" i="2"/>
  <c r="AC83" i="2"/>
  <c r="AC84" i="2"/>
  <c r="AC85" i="2"/>
  <c r="AC86" i="2"/>
  <c r="AC87" i="2"/>
  <c r="AC88" i="2"/>
  <c r="AC89" i="2"/>
  <c r="AC90" i="2"/>
  <c r="AC91" i="2"/>
  <c r="AC92" i="2"/>
  <c r="AC93" i="2"/>
  <c r="AC94" i="2"/>
  <c r="AC95" i="2"/>
  <c r="AC96" i="2"/>
  <c r="AC97" i="2"/>
  <c r="AC98" i="2"/>
  <c r="AC99" i="2"/>
  <c r="AC100" i="2"/>
  <c r="AC101" i="2"/>
  <c r="AC102" i="2"/>
  <c r="AC103" i="2"/>
  <c r="AC104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AB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38" i="2"/>
  <c r="AB39" i="2"/>
  <c r="AB40" i="2"/>
  <c r="AB41" i="2"/>
  <c r="AB42" i="2"/>
  <c r="AB43" i="2"/>
  <c r="AB44" i="2"/>
  <c r="AB45" i="2"/>
  <c r="AB46" i="2"/>
  <c r="AB47" i="2"/>
  <c r="AB48" i="2"/>
  <c r="AB49" i="2"/>
  <c r="AB50" i="2"/>
  <c r="AB51" i="2"/>
  <c r="AB52" i="2"/>
  <c r="AB53" i="2"/>
  <c r="AB54" i="2"/>
  <c r="AB55" i="2"/>
  <c r="AB56" i="2"/>
  <c r="AB57" i="2"/>
  <c r="AB58" i="2"/>
  <c r="AB59" i="2"/>
  <c r="AB60" i="2"/>
  <c r="AB61" i="2"/>
  <c r="AB62" i="2"/>
  <c r="AB63" i="2"/>
  <c r="AB64" i="2"/>
  <c r="AB65" i="2"/>
  <c r="AB66" i="2"/>
  <c r="AB67" i="2"/>
  <c r="AB68" i="2"/>
  <c r="AB69" i="2"/>
  <c r="AB70" i="2"/>
  <c r="AB71" i="2"/>
  <c r="AB72" i="2"/>
  <c r="AB73" i="2"/>
  <c r="AB74" i="2"/>
  <c r="AB75" i="2"/>
  <c r="AB76" i="2"/>
  <c r="AB77" i="2"/>
  <c r="AB78" i="2"/>
  <c r="AB79" i="2"/>
  <c r="AB80" i="2"/>
  <c r="AB81" i="2"/>
  <c r="AB82" i="2"/>
  <c r="AB83" i="2"/>
  <c r="AB84" i="2"/>
  <c r="AB85" i="2"/>
  <c r="AB86" i="2"/>
  <c r="AB87" i="2"/>
  <c r="AB88" i="2"/>
  <c r="AB89" i="2"/>
  <c r="AB90" i="2"/>
  <c r="AB91" i="2"/>
  <c r="AB92" i="2"/>
  <c r="AB93" i="2"/>
  <c r="AB94" i="2"/>
  <c r="AB95" i="2"/>
  <c r="AB96" i="2"/>
  <c r="AB97" i="2"/>
  <c r="AB98" i="2"/>
  <c r="AB99" i="2"/>
  <c r="AB100" i="2"/>
  <c r="AB101" i="2"/>
  <c r="AB102" i="2"/>
  <c r="AB103" i="2"/>
  <c r="AB104" i="2"/>
  <c r="Z104" i="2"/>
  <c r="Y104" i="2"/>
  <c r="W104" i="2"/>
  <c r="V4" i="2"/>
  <c r="V5" i="2"/>
  <c r="V6" i="2"/>
  <c r="V7" i="2"/>
  <c r="V8" i="2"/>
  <c r="V9" i="2"/>
  <c r="V10" i="2"/>
  <c r="V11" i="2"/>
  <c r="V12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6" i="2"/>
  <c r="V27" i="2"/>
  <c r="V28" i="2"/>
  <c r="V29" i="2"/>
  <c r="V30" i="2"/>
  <c r="V31" i="2"/>
  <c r="V32" i="2"/>
  <c r="V33" i="2"/>
  <c r="V34" i="2"/>
  <c r="V35" i="2"/>
  <c r="V36" i="2"/>
  <c r="V37" i="2"/>
  <c r="V38" i="2"/>
  <c r="V39" i="2"/>
  <c r="V40" i="2"/>
  <c r="V41" i="2"/>
  <c r="V42" i="2"/>
  <c r="V43" i="2"/>
  <c r="V44" i="2"/>
  <c r="V45" i="2"/>
  <c r="V46" i="2"/>
  <c r="V47" i="2"/>
  <c r="V48" i="2"/>
  <c r="V49" i="2"/>
  <c r="V50" i="2"/>
  <c r="V51" i="2"/>
  <c r="V52" i="2"/>
  <c r="V53" i="2"/>
  <c r="V54" i="2"/>
  <c r="V55" i="2"/>
  <c r="V56" i="2"/>
  <c r="V57" i="2"/>
  <c r="V58" i="2"/>
  <c r="V59" i="2"/>
  <c r="V60" i="2"/>
  <c r="V61" i="2"/>
  <c r="V62" i="2"/>
  <c r="V63" i="2"/>
  <c r="V64" i="2"/>
  <c r="V65" i="2"/>
  <c r="V66" i="2"/>
  <c r="V67" i="2"/>
  <c r="V68" i="2"/>
  <c r="V69" i="2"/>
  <c r="V70" i="2"/>
  <c r="V71" i="2"/>
  <c r="V72" i="2"/>
  <c r="V73" i="2"/>
  <c r="V74" i="2"/>
  <c r="V75" i="2"/>
  <c r="V76" i="2"/>
  <c r="V77" i="2"/>
  <c r="V78" i="2"/>
  <c r="V79" i="2"/>
  <c r="V80" i="2"/>
  <c r="V81" i="2"/>
  <c r="V82" i="2"/>
  <c r="V83" i="2"/>
  <c r="V84" i="2"/>
  <c r="V85" i="2"/>
  <c r="V86" i="2"/>
  <c r="V87" i="2"/>
  <c r="V88" i="2"/>
  <c r="V89" i="2"/>
  <c r="V90" i="2"/>
  <c r="V91" i="2"/>
  <c r="V92" i="2"/>
  <c r="V93" i="2"/>
  <c r="V94" i="2"/>
  <c r="V95" i="2"/>
  <c r="V96" i="2"/>
  <c r="V97" i="2"/>
  <c r="V98" i="2"/>
  <c r="V99" i="2"/>
  <c r="V100" i="2"/>
  <c r="V101" i="2"/>
  <c r="V102" i="2"/>
  <c r="V103" i="2"/>
  <c r="V104" i="2"/>
  <c r="U4" i="2"/>
  <c r="U5" i="2"/>
  <c r="U6" i="2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4" i="2"/>
  <c r="U25" i="2"/>
  <c r="U26" i="2"/>
  <c r="U27" i="2"/>
  <c r="U28" i="2"/>
  <c r="U29" i="2"/>
  <c r="U30" i="2"/>
  <c r="U31" i="2"/>
  <c r="U32" i="2"/>
  <c r="U33" i="2"/>
  <c r="U34" i="2"/>
  <c r="U35" i="2"/>
  <c r="U36" i="2"/>
  <c r="U37" i="2"/>
  <c r="U38" i="2"/>
  <c r="U39" i="2"/>
  <c r="U40" i="2"/>
  <c r="U41" i="2"/>
  <c r="U42" i="2"/>
  <c r="U43" i="2"/>
  <c r="U44" i="2"/>
  <c r="U45" i="2"/>
  <c r="U46" i="2"/>
  <c r="U47" i="2"/>
  <c r="U48" i="2"/>
  <c r="U49" i="2"/>
  <c r="U50" i="2"/>
  <c r="U51" i="2"/>
  <c r="U52" i="2"/>
  <c r="U53" i="2"/>
  <c r="U54" i="2"/>
  <c r="U55" i="2"/>
  <c r="U56" i="2"/>
  <c r="U57" i="2"/>
  <c r="U58" i="2"/>
  <c r="U59" i="2"/>
  <c r="U60" i="2"/>
  <c r="U61" i="2"/>
  <c r="U62" i="2"/>
  <c r="U63" i="2"/>
  <c r="U64" i="2"/>
  <c r="U65" i="2"/>
  <c r="U66" i="2"/>
  <c r="U67" i="2"/>
  <c r="U68" i="2"/>
  <c r="U69" i="2"/>
  <c r="U70" i="2"/>
  <c r="U71" i="2"/>
  <c r="U72" i="2"/>
  <c r="U73" i="2"/>
  <c r="U74" i="2"/>
  <c r="U75" i="2"/>
  <c r="U76" i="2"/>
  <c r="U77" i="2"/>
  <c r="U78" i="2"/>
  <c r="U79" i="2"/>
  <c r="U80" i="2"/>
  <c r="U81" i="2"/>
  <c r="U82" i="2"/>
  <c r="U83" i="2"/>
  <c r="U84" i="2"/>
  <c r="U85" i="2"/>
  <c r="U86" i="2"/>
  <c r="U87" i="2"/>
  <c r="U88" i="2"/>
  <c r="U89" i="2"/>
  <c r="U90" i="2"/>
  <c r="U91" i="2"/>
  <c r="U92" i="2"/>
  <c r="U93" i="2"/>
  <c r="U94" i="2"/>
  <c r="U95" i="2"/>
  <c r="U96" i="2"/>
  <c r="U97" i="2"/>
  <c r="U98" i="2"/>
  <c r="U99" i="2"/>
  <c r="U100" i="2"/>
  <c r="U101" i="2"/>
  <c r="U102" i="2"/>
  <c r="U103" i="2"/>
  <c r="U104" i="2"/>
  <c r="T4" i="2"/>
  <c r="T5" i="2"/>
  <c r="T6" i="2"/>
  <c r="T7" i="2"/>
  <c r="T8" i="2"/>
  <c r="T9" i="2"/>
  <c r="T10" i="2"/>
  <c r="T11" i="2"/>
  <c r="T12" i="2"/>
  <c r="T13" i="2"/>
  <c r="T14" i="2"/>
  <c r="T15" i="2"/>
  <c r="T16" i="2"/>
  <c r="T17" i="2"/>
  <c r="T18" i="2"/>
  <c r="T19" i="2"/>
  <c r="T20" i="2"/>
  <c r="T21" i="2"/>
  <c r="T22" i="2"/>
  <c r="T23" i="2"/>
  <c r="T24" i="2"/>
  <c r="T25" i="2"/>
  <c r="T26" i="2"/>
  <c r="T27" i="2"/>
  <c r="T28" i="2"/>
  <c r="T29" i="2"/>
  <c r="T30" i="2"/>
  <c r="T31" i="2"/>
  <c r="T32" i="2"/>
  <c r="T33" i="2"/>
  <c r="T34" i="2"/>
  <c r="T35" i="2"/>
  <c r="T36" i="2"/>
  <c r="T37" i="2"/>
  <c r="T38" i="2"/>
  <c r="T39" i="2"/>
  <c r="T40" i="2"/>
  <c r="T41" i="2"/>
  <c r="T42" i="2"/>
  <c r="T43" i="2"/>
  <c r="T44" i="2"/>
  <c r="T45" i="2"/>
  <c r="T46" i="2"/>
  <c r="T47" i="2"/>
  <c r="T48" i="2"/>
  <c r="T49" i="2"/>
  <c r="T50" i="2"/>
  <c r="T51" i="2"/>
  <c r="T52" i="2"/>
  <c r="T53" i="2"/>
  <c r="T54" i="2"/>
  <c r="T55" i="2"/>
  <c r="T56" i="2"/>
  <c r="T57" i="2"/>
  <c r="T58" i="2"/>
  <c r="T59" i="2"/>
  <c r="T60" i="2"/>
  <c r="T61" i="2"/>
  <c r="T62" i="2"/>
  <c r="T63" i="2"/>
  <c r="T64" i="2"/>
  <c r="T65" i="2"/>
  <c r="T66" i="2"/>
  <c r="T67" i="2"/>
  <c r="T68" i="2"/>
  <c r="T69" i="2"/>
  <c r="T70" i="2"/>
  <c r="T71" i="2"/>
  <c r="T72" i="2"/>
  <c r="T73" i="2"/>
  <c r="T74" i="2"/>
  <c r="T75" i="2"/>
  <c r="T76" i="2"/>
  <c r="T77" i="2"/>
  <c r="T78" i="2"/>
  <c r="T79" i="2"/>
  <c r="T80" i="2"/>
  <c r="T81" i="2"/>
  <c r="T82" i="2"/>
  <c r="T83" i="2"/>
  <c r="T84" i="2"/>
  <c r="T85" i="2"/>
  <c r="T86" i="2"/>
  <c r="T87" i="2"/>
  <c r="T88" i="2"/>
  <c r="T89" i="2"/>
  <c r="T90" i="2"/>
  <c r="T91" i="2"/>
  <c r="T92" i="2"/>
  <c r="T93" i="2"/>
  <c r="T94" i="2"/>
  <c r="T95" i="2"/>
  <c r="T96" i="2"/>
  <c r="T97" i="2"/>
  <c r="T98" i="2"/>
  <c r="T99" i="2"/>
  <c r="T100" i="2"/>
  <c r="T101" i="2"/>
  <c r="T102" i="2"/>
  <c r="T103" i="2"/>
  <c r="T104" i="2"/>
  <c r="R104" i="2"/>
  <c r="Q104" i="2"/>
  <c r="O104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J104" i="2"/>
  <c r="I104" i="2"/>
  <c r="H104" i="2"/>
  <c r="AD4" i="1"/>
  <c r="AD5" i="1"/>
  <c r="AD6" i="1"/>
  <c r="AD7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43" i="1"/>
  <c r="AD44" i="1"/>
  <c r="AD45" i="1"/>
  <c r="AD46" i="1"/>
  <c r="AD47" i="1"/>
  <c r="AD48" i="1"/>
  <c r="AD49" i="1"/>
  <c r="AD50" i="1"/>
  <c r="AD51" i="1"/>
  <c r="AD52" i="1"/>
  <c r="AD53" i="1"/>
  <c r="AD54" i="1"/>
  <c r="AD55" i="1"/>
  <c r="AD56" i="1"/>
  <c r="AD57" i="1"/>
  <c r="AD58" i="1"/>
  <c r="AD59" i="1"/>
  <c r="AD60" i="1"/>
  <c r="AD61" i="1"/>
  <c r="AD62" i="1"/>
  <c r="AD63" i="1"/>
  <c r="AD64" i="1"/>
  <c r="AD65" i="1"/>
  <c r="AD66" i="1"/>
  <c r="AD67" i="1"/>
  <c r="AD68" i="1"/>
  <c r="AD69" i="1"/>
  <c r="AD70" i="1"/>
  <c r="AD71" i="1"/>
  <c r="AD72" i="1"/>
  <c r="AD73" i="1"/>
  <c r="AD74" i="1"/>
  <c r="AD75" i="1"/>
  <c r="AD76" i="1"/>
  <c r="AD77" i="1"/>
  <c r="AD78" i="1"/>
  <c r="AD79" i="1"/>
  <c r="AD80" i="1"/>
  <c r="AD81" i="1"/>
  <c r="AD82" i="1"/>
  <c r="AD83" i="1"/>
  <c r="AD84" i="1"/>
  <c r="AD85" i="1"/>
  <c r="AD86" i="1"/>
  <c r="AD87" i="1"/>
  <c r="AD88" i="1"/>
  <c r="AD89" i="1"/>
  <c r="AD90" i="1"/>
  <c r="AD91" i="1"/>
  <c r="AD92" i="1"/>
  <c r="AD93" i="1"/>
  <c r="AD94" i="1"/>
  <c r="AD95" i="1"/>
  <c r="AD96" i="1"/>
  <c r="AD97" i="1"/>
  <c r="AD98" i="1"/>
  <c r="AD99" i="1"/>
  <c r="AD100" i="1"/>
  <c r="AD101" i="1"/>
  <c r="AD102" i="1"/>
  <c r="AD103" i="1"/>
  <c r="AD104" i="1"/>
  <c r="AC4" i="1"/>
  <c r="AC5" i="1"/>
  <c r="AC6" i="1"/>
  <c r="AC7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44" i="1"/>
  <c r="AC45" i="1"/>
  <c r="AC46" i="1"/>
  <c r="AC47" i="1"/>
  <c r="AC48" i="1"/>
  <c r="AC49" i="1"/>
  <c r="AC50" i="1"/>
  <c r="AC51" i="1"/>
  <c r="AC52" i="1"/>
  <c r="AC53" i="1"/>
  <c r="AC54" i="1"/>
  <c r="AC55" i="1"/>
  <c r="AC56" i="1"/>
  <c r="AC57" i="1"/>
  <c r="AC58" i="1"/>
  <c r="AC59" i="1"/>
  <c r="AC60" i="1"/>
  <c r="AC61" i="1"/>
  <c r="AC62" i="1"/>
  <c r="AC63" i="1"/>
  <c r="AC64" i="1"/>
  <c r="AC65" i="1"/>
  <c r="AC66" i="1"/>
  <c r="AC67" i="1"/>
  <c r="AC68" i="1"/>
  <c r="AC69" i="1"/>
  <c r="AC70" i="1"/>
  <c r="AC71" i="1"/>
  <c r="AC72" i="1"/>
  <c r="AC73" i="1"/>
  <c r="AC74" i="1"/>
  <c r="AC75" i="1"/>
  <c r="AC76" i="1"/>
  <c r="AC77" i="1"/>
  <c r="AC78" i="1"/>
  <c r="AC79" i="1"/>
  <c r="AC80" i="1"/>
  <c r="AC81" i="1"/>
  <c r="AC82" i="1"/>
  <c r="AC83" i="1"/>
  <c r="AC84" i="1"/>
  <c r="AC85" i="1"/>
  <c r="AC86" i="1"/>
  <c r="AC87" i="1"/>
  <c r="AC88" i="1"/>
  <c r="AC89" i="1"/>
  <c r="AC90" i="1"/>
  <c r="AC91" i="1"/>
  <c r="AC92" i="1"/>
  <c r="AC93" i="1"/>
  <c r="AC94" i="1"/>
  <c r="AC95" i="1"/>
  <c r="AC96" i="1"/>
  <c r="AC97" i="1"/>
  <c r="AC98" i="1"/>
  <c r="AC99" i="1"/>
  <c r="AC100" i="1"/>
  <c r="AC101" i="1"/>
  <c r="AC102" i="1"/>
  <c r="AC103" i="1"/>
  <c r="AC104" i="1"/>
  <c r="AA104" i="1"/>
  <c r="Y104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U104" i="1"/>
  <c r="S104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O104" i="1"/>
  <c r="M104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I104" i="1"/>
  <c r="G104" i="1"/>
  <c r="E104" i="1"/>
  <c r="D104" i="1"/>
  <c r="M1499" i="4" l="1"/>
  <c r="M1483" i="4"/>
  <c r="M1467" i="4"/>
  <c r="M1451" i="4"/>
  <c r="M1435" i="4"/>
  <c r="M1403" i="4"/>
  <c r="M1595" i="4"/>
  <c r="M1579" i="4"/>
  <c r="M1571" i="4"/>
  <c r="M1563" i="4"/>
  <c r="M1547" i="4"/>
  <c r="M1539" i="4"/>
  <c r="M1531" i="4"/>
  <c r="M1515" i="4"/>
  <c r="M1507" i="4"/>
  <c r="M1860" i="4"/>
  <c r="M1836" i="4"/>
  <c r="M1828" i="4"/>
  <c r="M1804" i="4"/>
  <c r="M516" i="4"/>
  <c r="M500" i="4"/>
  <c r="M452" i="4"/>
  <c r="M436" i="4"/>
  <c r="M388" i="4"/>
  <c r="M372" i="4"/>
  <c r="M340" i="4"/>
  <c r="M212" i="4"/>
  <c r="M84" i="4"/>
  <c r="M515" i="4"/>
  <c r="M499" i="4"/>
  <c r="M451" i="4"/>
  <c r="M435" i="4"/>
  <c r="M355" i="4"/>
  <c r="M1395" i="4"/>
  <c r="M1387" i="4"/>
  <c r="M1379" i="4"/>
  <c r="M1371" i="4"/>
  <c r="M1363" i="4"/>
  <c r="M1355" i="4"/>
  <c r="M1347" i="4"/>
  <c r="M1339" i="4"/>
  <c r="M1331" i="4"/>
  <c r="M1323" i="4"/>
  <c r="M1315" i="4"/>
  <c r="M1307" i="4"/>
  <c r="M1753" i="4"/>
  <c r="M262" i="4"/>
  <c r="M230" i="4"/>
  <c r="M198" i="4"/>
  <c r="M166" i="4"/>
  <c r="M134" i="4"/>
  <c r="M102" i="4"/>
  <c r="M70" i="4"/>
  <c r="M38" i="4"/>
  <c r="M1587" i="4"/>
  <c r="M1555" i="4"/>
  <c r="M1523" i="4"/>
  <c r="M1696" i="4"/>
  <c r="M1680" i="4"/>
  <c r="M1648" i="4"/>
  <c r="M1616" i="4"/>
  <c r="M1498" i="4"/>
  <c r="M1482" i="4"/>
  <c r="M1466" i="4"/>
  <c r="M1450" i="4"/>
  <c r="M1442" i="4"/>
  <c r="M1434" i="4"/>
  <c r="M1418" i="4"/>
  <c r="M1410" i="4"/>
  <c r="M1402" i="4"/>
  <c r="M1594" i="4"/>
  <c r="M1562" i="4"/>
  <c r="M1546" i="4"/>
  <c r="M1530" i="4"/>
  <c r="M1514" i="4"/>
  <c r="M1699" i="4"/>
  <c r="M1691" i="4"/>
  <c r="M1667" i="4"/>
  <c r="M1651" i="4"/>
  <c r="M1635" i="4"/>
  <c r="M1619" i="4"/>
  <c r="M1603" i="4"/>
  <c r="M1900" i="4"/>
  <c r="M1892" i="4"/>
  <c r="M1876" i="4"/>
  <c r="M1868" i="4"/>
  <c r="M1852" i="4"/>
  <c r="M1844" i="4"/>
  <c r="M1820" i="4"/>
  <c r="M1812" i="4"/>
  <c r="M1388" i="4"/>
  <c r="M1372" i="4"/>
  <c r="M1356" i="4"/>
  <c r="M1324" i="4"/>
  <c r="M1308" i="4"/>
  <c r="M1497" i="4"/>
  <c r="M1481" i="4"/>
  <c r="M1465" i="4"/>
  <c r="M1449" i="4"/>
  <c r="M1433" i="4"/>
  <c r="M1417" i="4"/>
  <c r="M1298" i="4"/>
  <c r="M1290" i="4"/>
  <c r="M1282" i="4"/>
  <c r="M1274" i="4"/>
  <c r="M1266" i="4"/>
  <c r="M1258" i="4"/>
  <c r="M1250" i="4"/>
  <c r="M1242" i="4"/>
  <c r="M1234" i="4"/>
  <c r="M1226" i="4"/>
  <c r="M1218" i="4"/>
  <c r="M1210" i="4"/>
  <c r="M1202" i="4"/>
  <c r="M1194" i="4"/>
  <c r="M1186" i="4"/>
  <c r="M1178" i="4"/>
  <c r="M1170" i="4"/>
  <c r="M1162" i="4"/>
  <c r="M1154" i="4"/>
  <c r="M1146" i="4"/>
  <c r="M1138" i="4"/>
  <c r="M1130" i="4"/>
  <c r="M1122" i="4"/>
  <c r="M1114" i="4"/>
  <c r="M1106" i="4"/>
  <c r="M1098" i="4"/>
  <c r="M1090" i="4"/>
  <c r="M1082" i="4"/>
  <c r="M1074" i="4"/>
  <c r="M1066" i="4"/>
  <c r="M1058" i="4"/>
  <c r="M1050" i="4"/>
  <c r="M1042" i="4"/>
  <c r="M1034" i="4"/>
  <c r="M1026" i="4"/>
  <c r="M1018" i="4"/>
  <c r="M1010" i="4"/>
  <c r="M1002" i="4"/>
  <c r="M994" i="4"/>
  <c r="M986" i="4"/>
  <c r="M978" i="4"/>
  <c r="M970" i="4"/>
  <c r="M962" i="4"/>
  <c r="M954" i="4"/>
  <c r="M946" i="4"/>
  <c r="M938" i="4"/>
  <c r="M930" i="4"/>
  <c r="M922" i="4"/>
  <c r="M914" i="4"/>
  <c r="M906" i="4"/>
  <c r="M898" i="4"/>
  <c r="M890" i="4"/>
  <c r="M882" i="4"/>
  <c r="M874" i="4"/>
  <c r="M866" i="4"/>
  <c r="M858" i="4"/>
  <c r="M850" i="4"/>
  <c r="M842" i="4"/>
  <c r="M834" i="4"/>
  <c r="M826" i="4"/>
  <c r="M818" i="4"/>
  <c r="M810" i="4"/>
  <c r="M802" i="4"/>
  <c r="M794" i="4"/>
  <c r="M786" i="4"/>
  <c r="M778" i="4"/>
  <c r="M770" i="4"/>
  <c r="M762" i="4"/>
  <c r="M754" i="4"/>
  <c r="M746" i="4"/>
  <c r="M738" i="4"/>
  <c r="M730" i="4"/>
  <c r="M722" i="4"/>
  <c r="M714" i="4"/>
  <c r="M706" i="4"/>
  <c r="M698" i="4"/>
  <c r="M690" i="4"/>
  <c r="M682" i="4"/>
  <c r="M674" i="4"/>
  <c r="M666" i="4"/>
  <c r="M658" i="4"/>
  <c r="M650" i="4"/>
  <c r="M642" i="4"/>
  <c r="M634" i="4"/>
  <c r="M626" i="4"/>
  <c r="M618" i="4"/>
  <c r="M610" i="4"/>
  <c r="M602" i="4"/>
  <c r="M594" i="4"/>
  <c r="M586" i="4"/>
  <c r="M578" i="4"/>
  <c r="M570" i="4"/>
  <c r="M562" i="4"/>
  <c r="M554" i="4"/>
  <c r="M546" i="4"/>
  <c r="M538" i="4"/>
  <c r="M530" i="4"/>
  <c r="M522" i="4"/>
  <c r="M514" i="4"/>
  <c r="M506" i="4"/>
  <c r="M498" i="4"/>
  <c r="M490" i="4"/>
  <c r="M482" i="4"/>
  <c r="M474" i="4"/>
  <c r="M466" i="4"/>
  <c r="M458" i="4"/>
  <c r="M450" i="4"/>
  <c r="M442" i="4"/>
  <c r="M434" i="4"/>
  <c r="M426" i="4"/>
  <c r="M418" i="4"/>
  <c r="M410" i="4"/>
  <c r="M402" i="4"/>
  <c r="M394" i="4"/>
  <c r="M386" i="4"/>
  <c r="M378" i="4"/>
  <c r="M370" i="4"/>
  <c r="M362" i="4"/>
  <c r="M354" i="4"/>
  <c r="M346" i="4"/>
  <c r="M338" i="4"/>
  <c r="M330" i="4"/>
  <c r="M1373" i="4"/>
  <c r="M1341" i="4"/>
  <c r="M1309" i="4"/>
  <c r="M1799" i="4"/>
  <c r="M1791" i="4"/>
  <c r="M1783" i="4"/>
  <c r="M1775" i="4"/>
  <c r="M1767" i="4"/>
  <c r="M1759" i="4"/>
  <c r="M1751" i="4"/>
  <c r="M1743" i="4"/>
  <c r="M1735" i="4"/>
  <c r="M1727" i="4"/>
  <c r="M1719" i="4"/>
  <c r="M1711" i="4"/>
  <c r="M1703" i="4"/>
  <c r="M1901" i="4"/>
  <c r="M1893" i="4"/>
  <c r="M1885" i="4"/>
  <c r="M1877" i="4"/>
  <c r="M1869" i="4"/>
  <c r="M1861" i="4"/>
  <c r="M1853" i="4"/>
  <c r="M1845" i="4"/>
  <c r="M1837" i="4"/>
  <c r="M1829" i="4"/>
  <c r="M1821" i="4"/>
  <c r="M1813" i="4"/>
  <c r="M1805" i="4"/>
  <c r="M10" i="4"/>
  <c r="M1400" i="4"/>
  <c r="M1392" i="4"/>
  <c r="M1384" i="4"/>
  <c r="M1376" i="4"/>
  <c r="M1368" i="4"/>
  <c r="M1360" i="4"/>
  <c r="M1352" i="4"/>
  <c r="M1344" i="4"/>
  <c r="M1336" i="4"/>
  <c r="M1328" i="4"/>
  <c r="M1320" i="4"/>
  <c r="M1312" i="4"/>
  <c r="M1304" i="4"/>
  <c r="M1490" i="4"/>
  <c r="M1474" i="4"/>
  <c r="M1458" i="4"/>
  <c r="M1426" i="4"/>
  <c r="M1593" i="4"/>
  <c r="M1577" i="4"/>
  <c r="M1561" i="4"/>
  <c r="M1545" i="4"/>
  <c r="M1529" i="4"/>
  <c r="M1513" i="4"/>
  <c r="M1694" i="4"/>
  <c r="M1686" i="4"/>
  <c r="M1678" i="4"/>
  <c r="M1670" i="4"/>
  <c r="M1662" i="4"/>
  <c r="M1654" i="4"/>
  <c r="M1646" i="4"/>
  <c r="M1638" i="4"/>
  <c r="M1630" i="4"/>
  <c r="M1622" i="4"/>
  <c r="M1614" i="4"/>
  <c r="M1606" i="4"/>
  <c r="M322" i="4"/>
  <c r="M314" i="4"/>
  <c r="M306" i="4"/>
  <c r="M298" i="4"/>
  <c r="M290" i="4"/>
  <c r="M282" i="4"/>
  <c r="M274" i="4"/>
  <c r="M266" i="4"/>
  <c r="M258" i="4"/>
  <c r="M250" i="4"/>
  <c r="M242" i="4"/>
  <c r="M234" i="4"/>
  <c r="M226" i="4"/>
  <c r="M218" i="4"/>
  <c r="M210" i="4"/>
  <c r="M202" i="4"/>
  <c r="M194" i="4"/>
  <c r="M186" i="4"/>
  <c r="M178" i="4"/>
  <c r="M170" i="4"/>
  <c r="M162" i="4"/>
  <c r="M154" i="4"/>
  <c r="M146" i="4"/>
  <c r="M138" i="4"/>
  <c r="M130" i="4"/>
  <c r="M122" i="4"/>
  <c r="M114" i="4"/>
  <c r="M106" i="4"/>
  <c r="M98" i="4"/>
  <c r="M90" i="4"/>
  <c r="M82" i="4"/>
  <c r="M74" i="4"/>
  <c r="M66" i="4"/>
  <c r="M58" i="4"/>
  <c r="M50" i="4"/>
  <c r="M42" i="4"/>
  <c r="M34" i="4"/>
  <c r="M26" i="4"/>
  <c r="M18" i="4"/>
  <c r="M9" i="4"/>
  <c r="M1399" i="4"/>
  <c r="M1391" i="4"/>
  <c r="M1375" i="4"/>
  <c r="M1367" i="4"/>
  <c r="M1359" i="4"/>
  <c r="M1351" i="4"/>
  <c r="M1343" i="4"/>
  <c r="M1335" i="4"/>
  <c r="M1327" i="4"/>
  <c r="M1319" i="4"/>
  <c r="M1311" i="4"/>
  <c r="M1303" i="4"/>
  <c r="M1489" i="4"/>
  <c r="M1473" i="4"/>
  <c r="M1457" i="4"/>
  <c r="M1441" i="4"/>
  <c r="M1425" i="4"/>
  <c r="M1409" i="4"/>
  <c r="M1592" i="4"/>
  <c r="M1576" i="4"/>
  <c r="M1560" i="4"/>
  <c r="M1544" i="4"/>
  <c r="M1528" i="4"/>
  <c r="M1512" i="4"/>
  <c r="M1701" i="4"/>
  <c r="M1693" i="4"/>
  <c r="M1685" i="4"/>
  <c r="M1677" i="4"/>
  <c r="M1669" i="4"/>
  <c r="M1661" i="4"/>
  <c r="M1653" i="4"/>
  <c r="M1645" i="4"/>
  <c r="M1637" i="4"/>
  <c r="M1629" i="4"/>
  <c r="M1621" i="4"/>
  <c r="M1613" i="4"/>
  <c r="M1605" i="4"/>
  <c r="M1785" i="4"/>
  <c r="M1761" i="4"/>
  <c r="M1737" i="4"/>
  <c r="M1729" i="4"/>
  <c r="M1713" i="4"/>
  <c r="M1705" i="4"/>
  <c r="M1390" i="4"/>
  <c r="M1358" i="4"/>
  <c r="M1326" i="4"/>
  <c r="M1488" i="4"/>
  <c r="M1456" i="4"/>
  <c r="M1424" i="4"/>
  <c r="M1599" i="4"/>
  <c r="M1591" i="4"/>
  <c r="M1583" i="4"/>
  <c r="M1575" i="4"/>
  <c r="M1567" i="4"/>
  <c r="M1559" i="4"/>
  <c r="M1551" i="4"/>
  <c r="M1543" i="4"/>
  <c r="M1535" i="4"/>
  <c r="M1527" i="4"/>
  <c r="M1519" i="4"/>
  <c r="M1503" i="4"/>
  <c r="M1776" i="4"/>
  <c r="M1760" i="4"/>
  <c r="M1744" i="4"/>
  <c r="M1728" i="4"/>
  <c r="M1712" i="4"/>
  <c r="M1784" i="4"/>
  <c r="M1736" i="4"/>
  <c r="M1704" i="4"/>
  <c r="M1894" i="4"/>
  <c r="M1886" i="4"/>
  <c r="M1878" i="4"/>
  <c r="M1870" i="4"/>
  <c r="M1862" i="4"/>
  <c r="M1854" i="4"/>
  <c r="M1846" i="4"/>
  <c r="M1838" i="4"/>
  <c r="M1830" i="4"/>
  <c r="M1822" i="4"/>
  <c r="M1814" i="4"/>
  <c r="M1806" i="4"/>
  <c r="M1917" i="4"/>
  <c r="M1297" i="4"/>
  <c r="M1289" i="4"/>
  <c r="M1281" i="4"/>
  <c r="M1273" i="4"/>
  <c r="M1265" i="4"/>
  <c r="M1257" i="4"/>
  <c r="M1249" i="4"/>
  <c r="M1241" i="4"/>
  <c r="M1233" i="4"/>
  <c r="M1225" i="4"/>
  <c r="M1217" i="4"/>
  <c r="M1209" i="4"/>
  <c r="M1201" i="4"/>
  <c r="M1193" i="4"/>
  <c r="M1185" i="4"/>
  <c r="M1177" i="4"/>
  <c r="M1169" i="4"/>
  <c r="M1161" i="4"/>
  <c r="M1153" i="4"/>
  <c r="M1145" i="4"/>
  <c r="M1137" i="4"/>
  <c r="M1129" i="4"/>
  <c r="M1121" i="4"/>
  <c r="M1097" i="4"/>
  <c r="M2211" i="4"/>
  <c r="M2195" i="4"/>
  <c r="M1089" i="4"/>
  <c r="M1057" i="4"/>
  <c r="M1025" i="4"/>
  <c r="M993" i="4"/>
  <c r="M961" i="4"/>
  <c r="M929" i="4"/>
  <c r="M897" i="4"/>
  <c r="M865" i="4"/>
  <c r="M825" i="4"/>
  <c r="M793" i="4"/>
  <c r="M761" i="4"/>
  <c r="M729" i="4"/>
  <c r="M697" i="4"/>
  <c r="M665" i="4"/>
  <c r="M633" i="4"/>
  <c r="M601" i="4"/>
  <c r="M569" i="4"/>
  <c r="M537" i="4"/>
  <c r="M513" i="4"/>
  <c r="M481" i="4"/>
  <c r="M457" i="4"/>
  <c r="M425" i="4"/>
  <c r="M401" i="4"/>
  <c r="M369" i="4"/>
  <c r="M345" i="4"/>
  <c r="M313" i="4"/>
  <c r="M289" i="4"/>
  <c r="M265" i="4"/>
  <c r="M233" i="4"/>
  <c r="M209" i="4"/>
  <c r="M185" i="4"/>
  <c r="M161" i="4"/>
  <c r="M129" i="4"/>
  <c r="M105" i="4"/>
  <c r="M81" i="4"/>
  <c r="M49" i="4"/>
  <c r="M25" i="4"/>
  <c r="M1383" i="4"/>
  <c r="M1105" i="4"/>
  <c r="M1073" i="4"/>
  <c r="M1033" i="4"/>
  <c r="M1001" i="4"/>
  <c r="M969" i="4"/>
  <c r="M937" i="4"/>
  <c r="M905" i="4"/>
  <c r="M873" i="4"/>
  <c r="M841" i="4"/>
  <c r="M809" i="4"/>
  <c r="M777" i="4"/>
  <c r="M745" i="4"/>
  <c r="M713" i="4"/>
  <c r="M681" i="4"/>
  <c r="M649" i="4"/>
  <c r="M617" i="4"/>
  <c r="M593" i="4"/>
  <c r="M561" i="4"/>
  <c r="M529" i="4"/>
  <c r="M497" i="4"/>
  <c r="M473" i="4"/>
  <c r="M441" i="4"/>
  <c r="M417" i="4"/>
  <c r="M385" i="4"/>
  <c r="M361" i="4"/>
  <c r="M329" i="4"/>
  <c r="M305" i="4"/>
  <c r="M281" i="4"/>
  <c r="M249" i="4"/>
  <c r="M217" i="4"/>
  <c r="M193" i="4"/>
  <c r="M169" i="4"/>
  <c r="M145" i="4"/>
  <c r="M113" i="4"/>
  <c r="M89" i="4"/>
  <c r="M65" i="4"/>
  <c r="M41" i="4"/>
  <c r="M1932" i="4"/>
  <c r="M1924" i="4"/>
  <c r="M1916" i="4"/>
  <c r="M17" i="4"/>
  <c r="M1511" i="4"/>
  <c r="M1898" i="4"/>
  <c r="M1890" i="4"/>
  <c r="M1882" i="4"/>
  <c r="M1874" i="4"/>
  <c r="M1866" i="4"/>
  <c r="M1850" i="4"/>
  <c r="M1842" i="4"/>
  <c r="M1834" i="4"/>
  <c r="M1826" i="4"/>
  <c r="M1818" i="4"/>
  <c r="M1810" i="4"/>
  <c r="M1802" i="4"/>
  <c r="M2208" i="4"/>
  <c r="M2200" i="4"/>
  <c r="M1065" i="4"/>
  <c r="M1041" i="4"/>
  <c r="M1009" i="4"/>
  <c r="M977" i="4"/>
  <c r="M945" i="4"/>
  <c r="M913" i="4"/>
  <c r="M881" i="4"/>
  <c r="M849" i="4"/>
  <c r="M817" i="4"/>
  <c r="M785" i="4"/>
  <c r="M753" i="4"/>
  <c r="M721" i="4"/>
  <c r="M689" i="4"/>
  <c r="M657" i="4"/>
  <c r="M625" i="4"/>
  <c r="M585" i="4"/>
  <c r="M545" i="4"/>
  <c r="M505" i="4"/>
  <c r="M449" i="4"/>
  <c r="M393" i="4"/>
  <c r="M337" i="4"/>
  <c r="M257" i="4"/>
  <c r="M137" i="4"/>
  <c r="M1858" i="4"/>
  <c r="M828" i="4"/>
  <c r="M812" i="4"/>
  <c r="M796" i="4"/>
  <c r="M780" i="4"/>
  <c r="M764" i="4"/>
  <c r="M748" i="4"/>
  <c r="M732" i="4"/>
  <c r="M716" i="4"/>
  <c r="M700" i="4"/>
  <c r="M684" i="4"/>
  <c r="M668" i="4"/>
  <c r="M652" i="4"/>
  <c r="M636" i="4"/>
  <c r="M620" i="4"/>
  <c r="M604" i="4"/>
  <c r="M588" i="4"/>
  <c r="M572" i="4"/>
  <c r="M556" i="4"/>
  <c r="M540" i="4"/>
  <c r="M524" i="4"/>
  <c r="M508" i="4"/>
  <c r="M492" i="4"/>
  <c r="M476" i="4"/>
  <c r="M460" i="4"/>
  <c r="M444" i="4"/>
  <c r="M428" i="4"/>
  <c r="M412" i="4"/>
  <c r="M396" i="4"/>
  <c r="M380" i="4"/>
  <c r="M364" i="4"/>
  <c r="M1398" i="4"/>
  <c r="M1382" i="4"/>
  <c r="M1374" i="4"/>
  <c r="M1366" i="4"/>
  <c r="M1350" i="4"/>
  <c r="M1342" i="4"/>
  <c r="M1334" i="4"/>
  <c r="M1318" i="4"/>
  <c r="M1310" i="4"/>
  <c r="M1302" i="4"/>
  <c r="M1491" i="4"/>
  <c r="M1475" i="4"/>
  <c r="M1459" i="4"/>
  <c r="M1443" i="4"/>
  <c r="M1427" i="4"/>
  <c r="M1411" i="4"/>
  <c r="M1795" i="4"/>
  <c r="M1787" i="4"/>
  <c r="M1779" i="4"/>
  <c r="M1771" i="4"/>
  <c r="M1763" i="4"/>
  <c r="M1755" i="4"/>
  <c r="M1747" i="4"/>
  <c r="M1739" i="4"/>
  <c r="M1731" i="4"/>
  <c r="M1723" i="4"/>
  <c r="M1715" i="4"/>
  <c r="M1707" i="4"/>
  <c r="M1113" i="4"/>
  <c r="M1081" i="4"/>
  <c r="M1049" i="4"/>
  <c r="M1017" i="4"/>
  <c r="M985" i="4"/>
  <c r="M953" i="4"/>
  <c r="M921" i="4"/>
  <c r="M889" i="4"/>
  <c r="M857" i="4"/>
  <c r="M833" i="4"/>
  <c r="M801" i="4"/>
  <c r="M769" i="4"/>
  <c r="M737" i="4"/>
  <c r="M705" i="4"/>
  <c r="M673" i="4"/>
  <c r="M641" i="4"/>
  <c r="M609" i="4"/>
  <c r="M577" i="4"/>
  <c r="M553" i="4"/>
  <c r="M521" i="4"/>
  <c r="M489" i="4"/>
  <c r="M465" i="4"/>
  <c r="M433" i="4"/>
  <c r="M409" i="4"/>
  <c r="M377" i="4"/>
  <c r="M353" i="4"/>
  <c r="M321" i="4"/>
  <c r="M297" i="4"/>
  <c r="M273" i="4"/>
  <c r="M241" i="4"/>
  <c r="M225" i="4"/>
  <c r="M201" i="4"/>
  <c r="M177" i="4"/>
  <c r="M153" i="4"/>
  <c r="M121" i="4"/>
  <c r="M97" i="4"/>
  <c r="M73" i="4"/>
  <c r="M57" i="4"/>
  <c r="M33" i="4"/>
  <c r="M1792" i="4"/>
  <c r="M1301" i="4"/>
  <c r="M1293" i="4"/>
  <c r="M1285" i="4"/>
  <c r="M1277" i="4"/>
  <c r="M1269" i="4"/>
  <c r="M1261" i="4"/>
  <c r="M1253" i="4"/>
  <c r="M1245" i="4"/>
  <c r="M1237" i="4"/>
  <c r="M1229" i="4"/>
  <c r="M1221" i="4"/>
  <c r="M1213" i="4"/>
  <c r="M1205" i="4"/>
  <c r="M1197" i="4"/>
  <c r="M1189" i="4"/>
  <c r="M1181" i="4"/>
  <c r="M1173" i="4"/>
  <c r="M1165" i="4"/>
  <c r="M1157" i="4"/>
  <c r="M1149" i="4"/>
  <c r="M1141" i="4"/>
  <c r="M1133" i="4"/>
  <c r="M1125" i="4"/>
  <c r="M1117" i="4"/>
  <c r="M1109" i="4"/>
  <c r="M1101" i="4"/>
  <c r="M1093" i="4"/>
  <c r="M1300" i="4"/>
  <c r="M1292" i="4"/>
  <c r="M1284" i="4"/>
  <c r="M1276" i="4"/>
  <c r="M1268" i="4"/>
  <c r="M1260" i="4"/>
  <c r="M1252" i="4"/>
  <c r="M1244" i="4"/>
  <c r="M1236" i="4"/>
  <c r="M1228" i="4"/>
  <c r="M1220" i="4"/>
  <c r="M1212" i="4"/>
  <c r="M1204" i="4"/>
  <c r="M1196" i="4"/>
  <c r="M1188" i="4"/>
  <c r="M1180" i="4"/>
  <c r="M1172" i="4"/>
  <c r="M1164" i="4"/>
  <c r="M1156" i="4"/>
  <c r="M1148" i="4"/>
  <c r="M1140" i="4"/>
  <c r="M1132" i="4"/>
  <c r="M1124" i="4"/>
  <c r="M1116" i="4"/>
  <c r="M1108" i="4"/>
  <c r="M1100" i="4"/>
  <c r="M1092" i="4"/>
  <c r="M1084" i="4"/>
  <c r="M348" i="4"/>
  <c r="M332" i="4"/>
  <c r="M316" i="4"/>
  <c r="M300" i="4"/>
  <c r="M284" i="4"/>
  <c r="M268" i="4"/>
  <c r="M260" i="4"/>
  <c r="M252" i="4"/>
  <c r="M236" i="4"/>
  <c r="M228" i="4"/>
  <c r="M220" i="4"/>
  <c r="M204" i="4"/>
  <c r="M196" i="4"/>
  <c r="M188" i="4"/>
  <c r="M172" i="4"/>
  <c r="M164" i="4"/>
  <c r="M156" i="4"/>
  <c r="M140" i="4"/>
  <c r="M132" i="4"/>
  <c r="M124" i="4"/>
  <c r="M108" i="4"/>
  <c r="M100" i="4"/>
  <c r="M92" i="4"/>
  <c r="M76" i="4"/>
  <c r="M68" i="4"/>
  <c r="M60" i="4"/>
  <c r="M44" i="4"/>
  <c r="M36" i="4"/>
  <c r="M28" i="4"/>
  <c r="M1601" i="4"/>
  <c r="M1585" i="4"/>
  <c r="M1569" i="4"/>
  <c r="M1553" i="4"/>
  <c r="M1537" i="4"/>
  <c r="M1521" i="4"/>
  <c r="M1505" i="4"/>
  <c r="M1698" i="4"/>
  <c r="M1690" i="4"/>
  <c r="M1682" i="4"/>
  <c r="M1889" i="4"/>
  <c r="M1873" i="4"/>
  <c r="M1857" i="4"/>
  <c r="M1841" i="4"/>
  <c r="M1825" i="4"/>
  <c r="M1085" i="4"/>
  <c r="M1077" i="4"/>
  <c r="M1069" i="4"/>
  <c r="M1061" i="4"/>
  <c r="M1053" i="4"/>
  <c r="M1045" i="4"/>
  <c r="M1037" i="4"/>
  <c r="M1029" i="4"/>
  <c r="M1021" i="4"/>
  <c r="M1013" i="4"/>
  <c r="M1005" i="4"/>
  <c r="M997" i="4"/>
  <c r="M989" i="4"/>
  <c r="M981" i="4"/>
  <c r="M973" i="4"/>
  <c r="M965" i="4"/>
  <c r="M957" i="4"/>
  <c r="M949" i="4"/>
  <c r="M941" i="4"/>
  <c r="M933" i="4"/>
  <c r="M925" i="4"/>
  <c r="M917" i="4"/>
  <c r="M909" i="4"/>
  <c r="M901" i="4"/>
  <c r="M893" i="4"/>
  <c r="M885" i="4"/>
  <c r="M877" i="4"/>
  <c r="M869" i="4"/>
  <c r="M861" i="4"/>
  <c r="M853" i="4"/>
  <c r="M845" i="4"/>
  <c r="M261" i="4"/>
  <c r="M229" i="4"/>
  <c r="M197" i="4"/>
  <c r="M165" i="4"/>
  <c r="M133" i="4"/>
  <c r="M101" i="4"/>
  <c r="M69" i="4"/>
  <c r="M37" i="4"/>
  <c r="M13" i="4"/>
  <c r="M1600" i="4"/>
  <c r="M1584" i="4"/>
  <c r="M1568" i="4"/>
  <c r="M1552" i="4"/>
  <c r="M1536" i="4"/>
  <c r="M1520" i="4"/>
  <c r="M1504" i="4"/>
  <c r="M1697" i="4"/>
  <c r="M1689" i="4"/>
  <c r="M1681" i="4"/>
  <c r="M1673" i="4"/>
  <c r="M1665" i="4"/>
  <c r="M1657" i="4"/>
  <c r="M1649" i="4"/>
  <c r="M1641" i="4"/>
  <c r="M1633" i="4"/>
  <c r="M1625" i="4"/>
  <c r="M1617" i="4"/>
  <c r="M1609" i="4"/>
  <c r="M1801" i="4"/>
  <c r="M1793" i="4"/>
  <c r="M1777" i="4"/>
  <c r="M1769" i="4"/>
  <c r="M1745" i="4"/>
  <c r="M1721" i="4"/>
  <c r="M1076" i="4"/>
  <c r="M1068" i="4"/>
  <c r="M1060" i="4"/>
  <c r="M1052" i="4"/>
  <c r="M1044" i="4"/>
  <c r="M1036" i="4"/>
  <c r="M1028" i="4"/>
  <c r="M1020" i="4"/>
  <c r="M1012" i="4"/>
  <c r="M1004" i="4"/>
  <c r="M996" i="4"/>
  <c r="M988" i="4"/>
  <c r="M980" i="4"/>
  <c r="M972" i="4"/>
  <c r="M964" i="4"/>
  <c r="M956" i="4"/>
  <c r="M948" i="4"/>
  <c r="M940" i="4"/>
  <c r="M932" i="4"/>
  <c r="M924" i="4"/>
  <c r="M916" i="4"/>
  <c r="M908" i="4"/>
  <c r="M900" i="4"/>
  <c r="M892" i="4"/>
  <c r="M884" i="4"/>
  <c r="M876" i="4"/>
  <c r="M868" i="4"/>
  <c r="M860" i="4"/>
  <c r="M852" i="4"/>
  <c r="M844" i="4"/>
  <c r="M836" i="4"/>
  <c r="M820" i="4"/>
  <c r="M804" i="4"/>
  <c r="M788" i="4"/>
  <c r="M772" i="4"/>
  <c r="M756" i="4"/>
  <c r="M740" i="4"/>
  <c r="M724" i="4"/>
  <c r="M708" i="4"/>
  <c r="M692" i="4"/>
  <c r="M676" i="4"/>
  <c r="M660" i="4"/>
  <c r="M644" i="4"/>
  <c r="M628" i="4"/>
  <c r="M612" i="4"/>
  <c r="M596" i="4"/>
  <c r="M580" i="4"/>
  <c r="M564" i="4"/>
  <c r="M548" i="4"/>
  <c r="M532" i="4"/>
  <c r="M484" i="4"/>
  <c r="M468" i="4"/>
  <c r="M420" i="4"/>
  <c r="M404" i="4"/>
  <c r="M356" i="4"/>
  <c r="M324" i="4"/>
  <c r="M308" i="4"/>
  <c r="M292" i="4"/>
  <c r="M276" i="4"/>
  <c r="M244" i="4"/>
  <c r="M180" i="4"/>
  <c r="M148" i="4"/>
  <c r="M116" i="4"/>
  <c r="M52" i="4"/>
  <c r="M20" i="4"/>
  <c r="M12" i="4"/>
  <c r="M1688" i="4"/>
  <c r="M1664" i="4"/>
  <c r="M1632" i="4"/>
  <c r="M1800" i="4"/>
  <c r="M1768" i="4"/>
  <c r="M1752" i="4"/>
  <c r="M1720" i="4"/>
  <c r="M1295" i="4"/>
  <c r="M1287" i="4"/>
  <c r="M1279" i="4"/>
  <c r="M1271" i="4"/>
  <c r="M1263" i="4"/>
  <c r="M1255" i="4"/>
  <c r="M1247" i="4"/>
  <c r="M1239" i="4"/>
  <c r="M1231" i="4"/>
  <c r="M1223" i="4"/>
  <c r="M1215" i="4"/>
  <c r="M1207" i="4"/>
  <c r="M1199" i="4"/>
  <c r="M1191" i="4"/>
  <c r="M1183" i="4"/>
  <c r="M1175" i="4"/>
  <c r="M1167" i="4"/>
  <c r="M1159" i="4"/>
  <c r="M1151" i="4"/>
  <c r="M1143" i="4"/>
  <c r="M1135" i="4"/>
  <c r="M1127" i="4"/>
  <c r="M1119" i="4"/>
  <c r="M1111" i="4"/>
  <c r="M1103" i="4"/>
  <c r="M1095" i="4"/>
  <c r="M1087" i="4"/>
  <c r="M1079" i="4"/>
  <c r="M1071" i="4"/>
  <c r="M1063" i="4"/>
  <c r="M1055" i="4"/>
  <c r="M1047" i="4"/>
  <c r="M1039" i="4"/>
  <c r="M1031" i="4"/>
  <c r="M1023" i="4"/>
  <c r="M1015" i="4"/>
  <c r="M1007" i="4"/>
  <c r="M999" i="4"/>
  <c r="M991" i="4"/>
  <c r="M983" i="4"/>
  <c r="M975" i="4"/>
  <c r="M967" i="4"/>
  <c r="M959" i="4"/>
  <c r="M951" i="4"/>
  <c r="M943" i="4"/>
  <c r="M935" i="4"/>
  <c r="M927" i="4"/>
  <c r="M919" i="4"/>
  <c r="M911" i="4"/>
  <c r="M903" i="4"/>
  <c r="M895" i="4"/>
  <c r="M887" i="4"/>
  <c r="M879" i="4"/>
  <c r="M871" i="4"/>
  <c r="M863" i="4"/>
  <c r="M855" i="4"/>
  <c r="M847" i="4"/>
  <c r="M839" i="4"/>
  <c r="M831" i="4"/>
  <c r="M823" i="4"/>
  <c r="M815" i="4"/>
  <c r="M807" i="4"/>
  <c r="M799" i="4"/>
  <c r="M791" i="4"/>
  <c r="M783" i="4"/>
  <c r="M775" i="4"/>
  <c r="M767" i="4"/>
  <c r="M759" i="4"/>
  <c r="M751" i="4"/>
  <c r="M743" i="4"/>
  <c r="M735" i="4"/>
  <c r="M727" i="4"/>
  <c r="M719" i="4"/>
  <c r="M711" i="4"/>
  <c r="M703" i="4"/>
  <c r="M695" i="4"/>
  <c r="M687" i="4"/>
  <c r="M679" i="4"/>
  <c r="M671" i="4"/>
  <c r="M663" i="4"/>
  <c r="M655" i="4"/>
  <c r="M647" i="4"/>
  <c r="M639" i="4"/>
  <c r="M631" i="4"/>
  <c r="M623" i="4"/>
  <c r="M615" i="4"/>
  <c r="M607" i="4"/>
  <c r="M599" i="4"/>
  <c r="M591" i="4"/>
  <c r="M583" i="4"/>
  <c r="M575" i="4"/>
  <c r="M567" i="4"/>
  <c r="M559" i="4"/>
  <c r="M551" i="4"/>
  <c r="M543" i="4"/>
  <c r="M535" i="4"/>
  <c r="M527" i="4"/>
  <c r="M519" i="4"/>
  <c r="M511" i="4"/>
  <c r="M503" i="4"/>
  <c r="M495" i="4"/>
  <c r="M487" i="4"/>
  <c r="M479" i="4"/>
  <c r="M471" i="4"/>
  <c r="M463" i="4"/>
  <c r="M455" i="4"/>
  <c r="M447" i="4"/>
  <c r="M439" i="4"/>
  <c r="M431" i="4"/>
  <c r="M423" i="4"/>
  <c r="M415" i="4"/>
  <c r="M407" i="4"/>
  <c r="M399" i="4"/>
  <c r="M391" i="4"/>
  <c r="M383" i="4"/>
  <c r="M375" i="4"/>
  <c r="M454" i="4"/>
  <c r="M1296" i="4"/>
  <c r="M1288" i="4"/>
  <c r="M1280" i="4"/>
  <c r="M1272" i="4"/>
  <c r="M1264" i="4"/>
  <c r="M1256" i="4"/>
  <c r="M1248" i="4"/>
  <c r="M1240" i="4"/>
  <c r="M1232" i="4"/>
  <c r="M1224" i="4"/>
  <c r="M1216" i="4"/>
  <c r="M1208" i="4"/>
  <c r="M1200" i="4"/>
  <c r="M1192" i="4"/>
  <c r="M1184" i="4"/>
  <c r="M1176" i="4"/>
  <c r="M1168" i="4"/>
  <c r="M1160" i="4"/>
  <c r="M1152" i="4"/>
  <c r="M1144" i="4"/>
  <c r="M1136" i="4"/>
  <c r="M1128" i="4"/>
  <c r="M1120" i="4"/>
  <c r="M1112" i="4"/>
  <c r="M1104" i="4"/>
  <c r="M1096" i="4"/>
  <c r="M1088" i="4"/>
  <c r="M1080" i="4"/>
  <c r="M1072" i="4"/>
  <c r="M1064" i="4"/>
  <c r="M1056" i="4"/>
  <c r="M1048" i="4"/>
  <c r="M1040" i="4"/>
  <c r="M1032" i="4"/>
  <c r="M1024" i="4"/>
  <c r="M1016" i="4"/>
  <c r="M1008" i="4"/>
  <c r="M1000" i="4"/>
  <c r="M992" i="4"/>
  <c r="M984" i="4"/>
  <c r="M976" i="4"/>
  <c r="M968" i="4"/>
  <c r="M960" i="4"/>
  <c r="M952" i="4"/>
  <c r="M944" i="4"/>
  <c r="M936" i="4"/>
  <c r="M928" i="4"/>
  <c r="M920" i="4"/>
  <c r="M912" i="4"/>
  <c r="M904" i="4"/>
  <c r="M896" i="4"/>
  <c r="M888" i="4"/>
  <c r="M880" i="4"/>
  <c r="M872" i="4"/>
  <c r="M864" i="4"/>
  <c r="M856" i="4"/>
  <c r="M848" i="4"/>
  <c r="M840" i="4"/>
  <c r="M832" i="4"/>
  <c r="M824" i="4"/>
  <c r="M816" i="4"/>
  <c r="M808" i="4"/>
  <c r="M800" i="4"/>
  <c r="M792" i="4"/>
  <c r="M784" i="4"/>
  <c r="M776" i="4"/>
  <c r="M768" i="4"/>
  <c r="M760" i="4"/>
  <c r="M752" i="4"/>
  <c r="M744" i="4"/>
  <c r="M736" i="4"/>
  <c r="M728" i="4"/>
  <c r="M720" i="4"/>
  <c r="M712" i="4"/>
  <c r="M704" i="4"/>
  <c r="M696" i="4"/>
  <c r="M688" i="4"/>
  <c r="M680" i="4"/>
  <c r="M672" i="4"/>
  <c r="M664" i="4"/>
  <c r="M656" i="4"/>
  <c r="M648" i="4"/>
  <c r="M640" i="4"/>
  <c r="M632" i="4"/>
  <c r="M624" i="4"/>
  <c r="M616" i="4"/>
  <c r="M608" i="4"/>
  <c r="M600" i="4"/>
  <c r="M592" i="4"/>
  <c r="M584" i="4"/>
  <c r="M576" i="4"/>
  <c r="M568" i="4"/>
  <c r="M560" i="4"/>
  <c r="M552" i="4"/>
  <c r="M544" i="4"/>
  <c r="M536" i="4"/>
  <c r="M528" i="4"/>
  <c r="M520" i="4"/>
  <c r="M512" i="4"/>
  <c r="M504" i="4"/>
  <c r="M496" i="4"/>
  <c r="M488" i="4"/>
  <c r="M480" i="4"/>
  <c r="M472" i="4"/>
  <c r="M464" i="4"/>
  <c r="M456" i="4"/>
  <c r="M448" i="4"/>
  <c r="M440" i="4"/>
  <c r="M432" i="4"/>
  <c r="M424" i="4"/>
  <c r="M416" i="4"/>
  <c r="M408" i="4"/>
  <c r="M400" i="4"/>
  <c r="M392" i="4"/>
  <c r="M384" i="4"/>
  <c r="M376" i="4"/>
  <c r="M446" i="4"/>
  <c r="M438" i="4"/>
  <c r="M430" i="4"/>
  <c r="M422" i="4"/>
  <c r="M414" i="4"/>
  <c r="M406" i="4"/>
  <c r="M398" i="4"/>
  <c r="M390" i="4"/>
  <c r="M382" i="4"/>
  <c r="M374" i="4"/>
  <c r="M366" i="4"/>
  <c r="M358" i="4"/>
  <c r="M350" i="4"/>
  <c r="M342" i="4"/>
  <c r="M334" i="4"/>
  <c r="M326" i="4"/>
  <c r="M318" i="4"/>
  <c r="M310" i="4"/>
  <c r="M302" i="4"/>
  <c r="M294" i="4"/>
  <c r="M286" i="4"/>
  <c r="M278" i="4"/>
  <c r="M270" i="4"/>
  <c r="M254" i="4"/>
  <c r="M246" i="4"/>
  <c r="M238" i="4"/>
  <c r="M222" i="4"/>
  <c r="M214" i="4"/>
  <c r="M206" i="4"/>
  <c r="M190" i="4"/>
  <c r="M182" i="4"/>
  <c r="M174" i="4"/>
  <c r="M158" i="4"/>
  <c r="M150" i="4"/>
  <c r="M142" i="4"/>
  <c r="M126" i="4"/>
  <c r="M118" i="4"/>
  <c r="M110" i="4"/>
  <c r="M94" i="4"/>
  <c r="M86" i="4"/>
  <c r="M78" i="4"/>
  <c r="M62" i="4"/>
  <c r="M54" i="4"/>
  <c r="M46" i="4"/>
  <c r="M30" i="4"/>
  <c r="M22" i="4"/>
  <c r="M5" i="4"/>
  <c r="M16" i="4"/>
  <c r="M8" i="4"/>
  <c r="M368" i="4"/>
  <c r="M360" i="4"/>
  <c r="M352" i="4"/>
  <c r="M344" i="4"/>
  <c r="M336" i="4"/>
  <c r="M328" i="4"/>
  <c r="M320" i="4"/>
  <c r="M312" i="4"/>
  <c r="M304" i="4"/>
  <c r="M296" i="4"/>
  <c r="M288" i="4"/>
  <c r="M280" i="4"/>
  <c r="M272" i="4"/>
  <c r="M264" i="4"/>
  <c r="M256" i="4"/>
  <c r="M248" i="4"/>
  <c r="M240" i="4"/>
  <c r="M232" i="4"/>
  <c r="M224" i="4"/>
  <c r="M216" i="4"/>
  <c r="M208" i="4"/>
  <c r="M200" i="4"/>
  <c r="M192" i="4"/>
  <c r="M184" i="4"/>
  <c r="M176" i="4"/>
  <c r="M168" i="4"/>
  <c r="M160" i="4"/>
  <c r="M152" i="4"/>
  <c r="M144" i="4"/>
  <c r="M136" i="4"/>
  <c r="M128" i="4"/>
  <c r="M120" i="4"/>
  <c r="M112" i="4"/>
  <c r="M104" i="4"/>
  <c r="M96" i="4"/>
  <c r="M88" i="4"/>
  <c r="M80" i="4"/>
  <c r="M72" i="4"/>
  <c r="M64" i="4"/>
  <c r="M56" i="4"/>
  <c r="M48" i="4"/>
  <c r="M40" i="4"/>
  <c r="M32" i="4"/>
  <c r="M24" i="4"/>
  <c r="M15" i="4"/>
  <c r="M7" i="4"/>
  <c r="M367" i="4"/>
  <c r="M359" i="4"/>
  <c r="M351" i="4"/>
  <c r="M343" i="4"/>
  <c r="M335" i="4"/>
  <c r="M327" i="4"/>
  <c r="M319" i="4"/>
  <c r="M311" i="4"/>
  <c r="M303" i="4"/>
  <c r="M295" i="4"/>
  <c r="M287" i="4"/>
  <c r="M279" i="4"/>
  <c r="M271" i="4"/>
  <c r="M263" i="4"/>
  <c r="M255" i="4"/>
  <c r="M247" i="4"/>
  <c r="M239" i="4"/>
  <c r="M231" i="4"/>
  <c r="M223" i="4"/>
  <c r="M215" i="4"/>
  <c r="M207" i="4"/>
  <c r="M199" i="4"/>
  <c r="M191" i="4"/>
  <c r="M183" i="4"/>
  <c r="M175" i="4"/>
  <c r="M167" i="4"/>
  <c r="M159" i="4"/>
  <c r="M151" i="4"/>
  <c r="M143" i="4"/>
  <c r="M135" i="4"/>
  <c r="M127" i="4"/>
  <c r="M119" i="4"/>
  <c r="M111" i="4"/>
  <c r="M103" i="4"/>
  <c r="M95" i="4"/>
  <c r="M87" i="4"/>
  <c r="M79" i="4"/>
  <c r="M71" i="4"/>
  <c r="M63" i="4"/>
  <c r="M55" i="4"/>
  <c r="M47" i="4"/>
  <c r="M39" i="4"/>
  <c r="M31" i="4"/>
  <c r="M23" i="4"/>
  <c r="M14" i="4"/>
  <c r="M6" i="4"/>
  <c r="M1494" i="4"/>
  <c r="M1486" i="4"/>
  <c r="M1478" i="4"/>
  <c r="M1470" i="4"/>
  <c r="M1462" i="4"/>
  <c r="M1454" i="4"/>
  <c r="M1446" i="4"/>
  <c r="M1438" i="4"/>
  <c r="M1430" i="4"/>
  <c r="M1422" i="4"/>
  <c r="M1414" i="4"/>
  <c r="M1406" i="4"/>
  <c r="M1596" i="4"/>
  <c r="M1588" i="4"/>
  <c r="M1580" i="4"/>
  <c r="M1572" i="4"/>
  <c r="M1564" i="4"/>
  <c r="M1556" i="4"/>
  <c r="M1548" i="4"/>
  <c r="M1540" i="4"/>
  <c r="M1532" i="4"/>
  <c r="M1524" i="4"/>
  <c r="M1516" i="4"/>
  <c r="M1508" i="4"/>
  <c r="M1674" i="4"/>
  <c r="M1666" i="4"/>
  <c r="M1658" i="4"/>
  <c r="M1650" i="4"/>
  <c r="M1642" i="4"/>
  <c r="M1634" i="4"/>
  <c r="M1626" i="4"/>
  <c r="M1618" i="4"/>
  <c r="M1610" i="4"/>
  <c r="M1602" i="4"/>
  <c r="M1896" i="4"/>
  <c r="M1888" i="4"/>
  <c r="M1880" i="4"/>
  <c r="M1872" i="4"/>
  <c r="M1864" i="4"/>
  <c r="M1856" i="4"/>
  <c r="M1848" i="4"/>
  <c r="M1840" i="4"/>
  <c r="M1832" i="4"/>
  <c r="M1824" i="4"/>
  <c r="M1816" i="4"/>
  <c r="M1808" i="4"/>
  <c r="M1501" i="4"/>
  <c r="M1493" i="4"/>
  <c r="M1485" i="4"/>
  <c r="M1477" i="4"/>
  <c r="M1469" i="4"/>
  <c r="M1461" i="4"/>
  <c r="M1453" i="4"/>
  <c r="M1445" i="4"/>
  <c r="M1437" i="4"/>
  <c r="M1429" i="4"/>
  <c r="M1421" i="4"/>
  <c r="M1413" i="4"/>
  <c r="M1405" i="4"/>
  <c r="M1794" i="4"/>
  <c r="M1786" i="4"/>
  <c r="M1778" i="4"/>
  <c r="M1770" i="4"/>
  <c r="M1762" i="4"/>
  <c r="M1754" i="4"/>
  <c r="M1746" i="4"/>
  <c r="M1738" i="4"/>
  <c r="M1730" i="4"/>
  <c r="M1722" i="4"/>
  <c r="M1714" i="4"/>
  <c r="M1706" i="4"/>
  <c r="M1895" i="4"/>
  <c r="M1887" i="4"/>
  <c r="M1879" i="4"/>
  <c r="M1871" i="4"/>
  <c r="M1863" i="4"/>
  <c r="M1855" i="4"/>
  <c r="M1847" i="4"/>
  <c r="M1839" i="4"/>
  <c r="M1831" i="4"/>
  <c r="M1823" i="4"/>
  <c r="M1815" i="4"/>
  <c r="M1807" i="4"/>
  <c r="M1598" i="4"/>
  <c r="M1590" i="4"/>
  <c r="M1582" i="4"/>
  <c r="M1574" i="4"/>
  <c r="M1566" i="4"/>
  <c r="M1558" i="4"/>
  <c r="M1550" i="4"/>
  <c r="M1542" i="4"/>
  <c r="M1534" i="4"/>
  <c r="M1526" i="4"/>
  <c r="M1518" i="4"/>
  <c r="M1510" i="4"/>
  <c r="M1502" i="4"/>
  <c r="M1700" i="4"/>
  <c r="M1692" i="4"/>
  <c r="M1684" i="4"/>
  <c r="M1676" i="4"/>
  <c r="M1668" i="4"/>
  <c r="M1660" i="4"/>
  <c r="M1652" i="4"/>
  <c r="M1644" i="4"/>
  <c r="M1636" i="4"/>
  <c r="M1628" i="4"/>
  <c r="M1620" i="4"/>
  <c r="M1612" i="4"/>
  <c r="M1604" i="4"/>
  <c r="M1797" i="4"/>
  <c r="M1789" i="4"/>
  <c r="M1781" i="4"/>
  <c r="M1773" i="4"/>
  <c r="M1765" i="4"/>
  <c r="M1757" i="4"/>
  <c r="M1749" i="4"/>
  <c r="M1741" i="4"/>
  <c r="M1733" i="4"/>
  <c r="M1725" i="4"/>
  <c r="M1717" i="4"/>
  <c r="M1709" i="4"/>
  <c r="M1495" i="4"/>
  <c r="M1487" i="4"/>
  <c r="M1479" i="4"/>
  <c r="M1471" i="4"/>
  <c r="M1463" i="4"/>
  <c r="M1455" i="4"/>
  <c r="M1447" i="4"/>
  <c r="M1439" i="4"/>
  <c r="M1431" i="4"/>
  <c r="M1423" i="4"/>
  <c r="M1415" i="4"/>
  <c r="M1407" i="4"/>
  <c r="M1597" i="4"/>
  <c r="M1589" i="4"/>
  <c r="M1581" i="4"/>
  <c r="M1573" i="4"/>
  <c r="M1565" i="4"/>
  <c r="M1557" i="4"/>
  <c r="M1549" i="4"/>
  <c r="M1541" i="4"/>
  <c r="M1533" i="4"/>
  <c r="M1525" i="4"/>
  <c r="M1517" i="4"/>
  <c r="M1509" i="4"/>
  <c r="M1683" i="4"/>
  <c r="M1675" i="4"/>
  <c r="M1659" i="4"/>
  <c r="M1643" i="4"/>
  <c r="M1627" i="4"/>
  <c r="M1611" i="4"/>
  <c r="M1796" i="4"/>
  <c r="M1788" i="4"/>
  <c r="M1780" i="4"/>
  <c r="M1772" i="4"/>
  <c r="M1764" i="4"/>
  <c r="M1756" i="4"/>
  <c r="M1748" i="4"/>
  <c r="M1740" i="4"/>
  <c r="M1732" i="4"/>
  <c r="M1724" i="4"/>
  <c r="M1716" i="4"/>
  <c r="M1708" i="4"/>
  <c r="M1897" i="4"/>
  <c r="M1881" i="4"/>
  <c r="M1865" i="4"/>
  <c r="M1849" i="4"/>
  <c r="M1833" i="4"/>
  <c r="M1817" i="4"/>
  <c r="M1809" i="4"/>
</calcChain>
</file>

<file path=xl/sharedStrings.xml><?xml version="1.0" encoding="utf-8"?>
<sst xmlns="http://schemas.openxmlformats.org/spreadsheetml/2006/main" count="10263" uniqueCount="259">
  <si>
    <t>June</t>
  </si>
  <si>
    <t>July</t>
  </si>
  <si>
    <t>August</t>
  </si>
  <si>
    <t>September</t>
  </si>
  <si>
    <t>#</t>
  </si>
  <si>
    <t>Member</t>
  </si>
  <si>
    <t>Coop name</t>
  </si>
  <si>
    <t>Number of people in the household</t>
  </si>
  <si>
    <t>Monthly household income</t>
  </si>
  <si>
    <t>Number of meals per person per day</t>
  </si>
  <si>
    <t>Firewood consumption foraged (kg/month)</t>
  </si>
  <si>
    <t>Firewood consumption bought(kg/month)</t>
  </si>
  <si>
    <t>Charcoal consumption (kg/month)</t>
  </si>
  <si>
    <t>Cost of firewood in-kind (RWF/month)</t>
  </si>
  <si>
    <t>Cost of firewood spent (RWF/month)</t>
  </si>
  <si>
    <t>Cost of charcoal (RWF/month)</t>
  </si>
  <si>
    <t>Agnes MUSABYEYEZU</t>
  </si>
  <si>
    <t>Twiyubake Family</t>
  </si>
  <si>
    <t>Alice MUKAMISHA</t>
  </si>
  <si>
    <t>Genda ugire utyo</t>
  </si>
  <si>
    <t>Alphonsine MUKARUGINA</t>
  </si>
  <si>
    <t>Twisungane</t>
  </si>
  <si>
    <t>Anathalia MUKANKUSI</t>
  </si>
  <si>
    <t>Angelique BYUKUSENGE</t>
  </si>
  <si>
    <t>Abagarukanarumuri</t>
  </si>
  <si>
    <t>Angelique MUHAWENIMANA</t>
  </si>
  <si>
    <t>Icyerekezo</t>
  </si>
  <si>
    <t>Angelique MUKANDORI</t>
  </si>
  <si>
    <t>Angelique NYIRANEZA</t>
  </si>
  <si>
    <t>Anitha GATESI</t>
  </si>
  <si>
    <t>Athanasie MUKAGASHUGI</t>
  </si>
  <si>
    <t>Augustin NGIRABATWARE</t>
  </si>
  <si>
    <t>Ruganeheza</t>
  </si>
  <si>
    <t>Beatrice MUHORAKEYE</t>
  </si>
  <si>
    <t>Bellancile NYIRANEZA</t>
  </si>
  <si>
    <t>Chantal MUKAGAHIGI</t>
  </si>
  <si>
    <t>Chantal MUKAGIHANA</t>
  </si>
  <si>
    <t>Charles BAGIRUBWIRA</t>
  </si>
  <si>
    <t>Tuzamurane</t>
  </si>
  <si>
    <t>Charlotte MUKAKAMANDA</t>
  </si>
  <si>
    <t>Imbereheza</t>
  </si>
  <si>
    <t>Christine NYIRAHABIMANA</t>
  </si>
  <si>
    <t>Claire ZANINKA</t>
  </si>
  <si>
    <t>Clarisse MUSABEMWESE</t>
  </si>
  <si>
    <t>Claudine MUHAWENIMANA</t>
  </si>
  <si>
    <t>Claudine MUKASHEMA</t>
  </si>
  <si>
    <t>Claudine NYIRAKANYANA</t>
  </si>
  <si>
    <t>Clemence MASENGESHO</t>
  </si>
  <si>
    <t>Clementine KARWERA</t>
  </si>
  <si>
    <t>Clementine NYIRAMAYONDE</t>
  </si>
  <si>
    <t>Clotride MURERWA</t>
  </si>
  <si>
    <t>Dativa MUKAMFIZI</t>
  </si>
  <si>
    <t>Diane UWAMURERA</t>
  </si>
  <si>
    <t>Dinah UWIMBABAZI</t>
  </si>
  <si>
    <t>Drocella MUSENGIMANA</t>
  </si>
  <si>
    <t>Emmanuel NIZEYIMANA</t>
  </si>
  <si>
    <t>Abaharaniramahoro</t>
  </si>
  <si>
    <t>Epiphania MUKAMUNAZI</t>
  </si>
  <si>
    <t>Esperance KANTARAMA</t>
  </si>
  <si>
    <t>Esperance MUKAMPAZIMPAKA</t>
  </si>
  <si>
    <t>Esperance MUSANABERA</t>
  </si>
  <si>
    <t>Eugene HAKIZAMUNGU</t>
  </si>
  <si>
    <t>Eugenia MUKANDORI</t>
  </si>
  <si>
    <t>Eugenia MUKANGARAMBE</t>
  </si>
  <si>
    <t>Faustin NTEZIRYAYO</t>
  </si>
  <si>
    <t>Itorero</t>
  </si>
  <si>
    <t>Francine NYIRAKANANI</t>
  </si>
  <si>
    <t>Francois KANYABUGANDE</t>
  </si>
  <si>
    <t>Francois NGOGA</t>
  </si>
  <si>
    <t>Francoise Nyiransabimana</t>
  </si>
  <si>
    <t>Gaudance MUKARUZIGA</t>
  </si>
  <si>
    <t>Gorethe MUKAMURERA</t>
  </si>
  <si>
    <t>Grace KAMPIRE</t>
  </si>
  <si>
    <t>Jacqueline MUSABYIMANA</t>
  </si>
  <si>
    <t>Jane NIKUZE</t>
  </si>
  <si>
    <t>Janet MUHAWENIMANA</t>
  </si>
  <si>
    <t>Janvier NSANZUMUHIRE</t>
  </si>
  <si>
    <t>Janviere NYIRANEZA</t>
  </si>
  <si>
    <t>Jean Bosco MUGENZI</t>
  </si>
  <si>
    <t>Jean Bosco NSABIMANA</t>
  </si>
  <si>
    <t>Jean Pierre NGURINZIRA</t>
  </si>
  <si>
    <t>Jeannette MUREBWAYIRE</t>
  </si>
  <si>
    <t>John NTAGUNGIRA</t>
  </si>
  <si>
    <t>Inyabutatusabana</t>
  </si>
  <si>
    <t>Joseph NZIRORERA</t>
  </si>
  <si>
    <t>Julie MUKANTABANA</t>
  </si>
  <si>
    <t>Laurence NYIRANGENDAHIMANA</t>
  </si>
  <si>
    <t>Liziki MUKAMANZI</t>
  </si>
  <si>
    <t>Marie Chantal ICYITEGETSE</t>
  </si>
  <si>
    <t>Marie ICYITEGETSE</t>
  </si>
  <si>
    <t>Marie MYARARIKO</t>
  </si>
  <si>
    <t>Monica MUKASHYAKA</t>
  </si>
  <si>
    <t>Odette MUKABUTARE</t>
  </si>
  <si>
    <t>Odette UWANTEGE</t>
  </si>
  <si>
    <t>Patricia NIRERE</t>
  </si>
  <si>
    <t>Patricia UWANYIRIGIRA</t>
  </si>
  <si>
    <t>Peninah KASANDE</t>
  </si>
  <si>
    <t>Pulcheria MUKARUBAYIZA</t>
  </si>
  <si>
    <t>Rachel AKIMANA</t>
  </si>
  <si>
    <t>Rachel NYIRABUSERUKA</t>
  </si>
  <si>
    <t>Regine NYIRABUYANGE</t>
  </si>
  <si>
    <t>Rosa NIBAGWIRE</t>
  </si>
  <si>
    <t>Rosa NYIRADADARI</t>
  </si>
  <si>
    <t>Samson KABAHIZI</t>
  </si>
  <si>
    <t>Sarah BAMUTETERE</t>
  </si>
  <si>
    <t>Saveline NYIRANTAMA</t>
  </si>
  <si>
    <t>Scovia KABATESI</t>
  </si>
  <si>
    <t>Seraphine MUKAMANA</t>
  </si>
  <si>
    <t>Shemsa UWAMURERA</t>
  </si>
  <si>
    <t>Slyvine MUSABYIMANA</t>
  </si>
  <si>
    <t>Solange KAYIRAME</t>
  </si>
  <si>
    <t>Stephanie MUKAKAKARISA</t>
  </si>
  <si>
    <t>Sylidio MUNYEMANA</t>
  </si>
  <si>
    <t>Sylivie MUTESI</t>
  </si>
  <si>
    <t>Theogene BAHIGI</t>
  </si>
  <si>
    <t>Theogene NSHIMIYIMANA</t>
  </si>
  <si>
    <t>Theopista NABAKOBWA</t>
  </si>
  <si>
    <t>Valerie MUKAGAKWANDI</t>
  </si>
  <si>
    <t>Venantia MUKANYIRIGIRA</t>
  </si>
  <si>
    <t>Verena MUKAKAYONDE</t>
  </si>
  <si>
    <t>Vestine KAMBARANGWE</t>
  </si>
  <si>
    <t>Vestine MUKANGOGA</t>
  </si>
  <si>
    <t>Vestine MUTETERI</t>
  </si>
  <si>
    <t>Vianney NGENDAHIMANA</t>
  </si>
  <si>
    <t>Vincent NSENGUMUREMYI</t>
  </si>
  <si>
    <t>Virginia MUKANTWAZA</t>
  </si>
  <si>
    <t>Yvonne UWIMANA</t>
  </si>
  <si>
    <r>
      <rPr>
        <b/>
        <sz val="10"/>
        <color theme="1"/>
        <rFont val="Arial"/>
        <family val="2"/>
      </rPr>
      <t>Notes</t>
    </r>
    <r>
      <rPr>
        <sz val="10"/>
        <color theme="1"/>
        <rFont val="Arial"/>
        <family val="2"/>
      </rPr>
      <t xml:space="preserve">:It is raining a lot now everyone is running out of firewood and using </t>
    </r>
  </si>
  <si>
    <r>
      <rPr>
        <b/>
        <sz val="10"/>
        <color rgb="FF000000"/>
        <rFont val="Arial"/>
        <family val="2"/>
      </rPr>
      <t>Summary:</t>
    </r>
    <r>
      <rPr>
        <sz val="10"/>
        <color rgb="FF000000"/>
        <rFont val="Arial"/>
        <family val="2"/>
      </rPr>
      <t xml:space="preserve">  Cookstoves project is serving 623 persons in 100 households.</t>
    </r>
  </si>
  <si>
    <t xml:space="preserve">Notes: There is a decrease of firewood and charcoal in July because </t>
  </si>
  <si>
    <t xml:space="preserve">          charcaol that why the quantity of used charcoal is increased comparing </t>
  </si>
  <si>
    <t xml:space="preserve">                   They earns 4,060,000 per month and spend 384,000 on firewood</t>
  </si>
  <si>
    <t xml:space="preserve">            in summer period they use also dry banana leaves and cornstalk </t>
  </si>
  <si>
    <t xml:space="preserve">          with August.</t>
  </si>
  <si>
    <t xml:space="preserve">                   and 379,500 on charcoal.</t>
  </si>
  <si>
    <t xml:space="preserve">            and also based on lockdown people didn't cook three times as usual</t>
  </si>
  <si>
    <t xml:space="preserve">                   They buy 3,840 kilos of firewood and 1,265 kilos of charcoal per month.</t>
  </si>
  <si>
    <t xml:space="preserve">            they hadn't enough food to cook as they can't work to get daily money</t>
  </si>
  <si>
    <t xml:space="preserve">                   1 Package of firewood which weighting 20 kilos cost 2,000Rwf means one kilos is 100Rwf.</t>
  </si>
  <si>
    <t xml:space="preserve">            It shifted from 3,840 kilos of 384,000 Rwf to 3,307 kilos of 330,700 Rwf </t>
  </si>
  <si>
    <t xml:space="preserve">                   1 Bag of charchoal which is wieghting 40 kilos cost 12,000Rwf means one kilos cost 300Rwf.</t>
  </si>
  <si>
    <t xml:space="preserve">            the different is 533 in kilos of 53,700 Rwf for firewood.</t>
  </si>
  <si>
    <t xml:space="preserve">            It shifted also from 1,265 kilos of 379,500 Rwf to 1,000 kilos of 300,000 Rwf </t>
  </si>
  <si>
    <t xml:space="preserve">            the difference is 265 in kilos of 79,500 Rwf for Charcoal.</t>
  </si>
  <si>
    <t>October</t>
  </si>
  <si>
    <t>November</t>
  </si>
  <si>
    <t>December</t>
  </si>
  <si>
    <t>January</t>
  </si>
  <si>
    <t>Pellets consumption (Kg/month</t>
  </si>
  <si>
    <t>Cost of Pellets (RWF/month)</t>
  </si>
  <si>
    <t>Pellets Consumption (Kg/month</t>
  </si>
  <si>
    <t>Total</t>
  </si>
  <si>
    <t xml:space="preserve"> </t>
  </si>
  <si>
    <t>February</t>
  </si>
  <si>
    <t>March</t>
  </si>
  <si>
    <t>April</t>
  </si>
  <si>
    <t>May</t>
  </si>
  <si>
    <t>Year</t>
  </si>
  <si>
    <t>Month</t>
  </si>
  <si>
    <t>Group</t>
  </si>
  <si>
    <t>Baseline</t>
  </si>
  <si>
    <t>Coop Name</t>
  </si>
  <si>
    <t>Number of People</t>
  </si>
  <si>
    <t>Experiment</t>
  </si>
  <si>
    <t>Wood_kg</t>
  </si>
  <si>
    <t>Charcoal_kg</t>
  </si>
  <si>
    <t>Pellet_kg</t>
  </si>
  <si>
    <t>Firewood calorific value (MJ/kg)</t>
  </si>
  <si>
    <t>Charcoal calorific value (MJ/kg)</t>
  </si>
  <si>
    <t>https://doi.org/10.1007/s13399-021-01840-z</t>
  </si>
  <si>
    <t>Wood_MJ</t>
  </si>
  <si>
    <t>Charcoal_MJ</t>
  </si>
  <si>
    <t>Pellet_MJ</t>
  </si>
  <si>
    <t>Pellet calorific value (MJ/kg)</t>
  </si>
  <si>
    <t>Iyenyeri</t>
  </si>
  <si>
    <t>Firewood thermal efficiency</t>
  </si>
  <si>
    <t>Charcoal thermal efficiency</t>
  </si>
  <si>
    <t>Pellet thermal efficiency</t>
  </si>
  <si>
    <t>Total_MJ</t>
  </si>
  <si>
    <t>JULY</t>
  </si>
  <si>
    <t>Cookstoves First Phase Delivery</t>
  </si>
  <si>
    <t>Aug</t>
  </si>
  <si>
    <t>Nov</t>
  </si>
  <si>
    <t xml:space="preserve">Augast </t>
  </si>
  <si>
    <t xml:space="preserve">september </t>
  </si>
  <si>
    <t xml:space="preserve">October </t>
  </si>
  <si>
    <t xml:space="preserve">novermber </t>
  </si>
  <si>
    <t xml:space="preserve">December </t>
  </si>
  <si>
    <t xml:space="preserve"> Member</t>
  </si>
  <si>
    <t>Cookstoves Second Phase Delivery</t>
  </si>
  <si>
    <t>Auguster</t>
  </si>
  <si>
    <t xml:space="preserve">Novermber </t>
  </si>
  <si>
    <t xml:space="preserve">December  </t>
  </si>
  <si>
    <t>Adrien  Namugire</t>
  </si>
  <si>
    <t>Agnes  Kankesha</t>
  </si>
  <si>
    <t>Alice Mukabucyana</t>
  </si>
  <si>
    <t xml:space="preserve">Alphonsine Uwimana </t>
  </si>
  <si>
    <t>Angelique  Mukaburasa</t>
  </si>
  <si>
    <t>Angelique Byukusenge</t>
  </si>
  <si>
    <t>Augustin Mudaheranwa</t>
  </si>
  <si>
    <t>Beatrice  Ntashamaje</t>
  </si>
  <si>
    <t>Beatrice  Uwajeneza</t>
  </si>
  <si>
    <t>Beatrice Cyatengwa</t>
  </si>
  <si>
    <t>Belancilla Kangondo</t>
  </si>
  <si>
    <t>Christine   Kayogire</t>
  </si>
  <si>
    <t>Christine   Murerwa</t>
  </si>
  <si>
    <t>Claire Zaninka</t>
  </si>
  <si>
    <t xml:space="preserve">Claudine  Murekatete </t>
  </si>
  <si>
    <t>Claudine Mukandanga</t>
  </si>
  <si>
    <t>Claudine Mutegwamaso</t>
  </si>
  <si>
    <t>Clementine Wibabara</t>
  </si>
  <si>
    <t>Dativa  Manirarora</t>
  </si>
  <si>
    <t>Dativa Mukanziga</t>
  </si>
  <si>
    <t>Delphine Niyitegeka</t>
  </si>
  <si>
    <t>Donatha Uwumuremyi</t>
  </si>
  <si>
    <t>Donathile  Nyirabagande</t>
  </si>
  <si>
    <t>Emelyne Mukabaranga</t>
  </si>
  <si>
    <t>Emmanuel Mushatsi</t>
  </si>
  <si>
    <t>Esperance Mukamana</t>
  </si>
  <si>
    <t>Fabiola Abamubonye</t>
  </si>
  <si>
    <t>Francais Kanyabugande</t>
  </si>
  <si>
    <t>Gaspard Gashabizi</t>
  </si>
  <si>
    <t>Gaudance Mukarugwiza</t>
  </si>
  <si>
    <t>Gertulde  Mukagasana</t>
  </si>
  <si>
    <t>Grace Muhutukazi</t>
  </si>
  <si>
    <t>Hernriette Nyiramuhanda</t>
  </si>
  <si>
    <t>Immaculate Benegusenga</t>
  </si>
  <si>
    <t>Immacule Niyonsenga</t>
  </si>
  <si>
    <t>Jeanne  Nyiramutarutwa</t>
  </si>
  <si>
    <t>Janviere  Umumararungu</t>
  </si>
  <si>
    <t>Jean Marie Ngoga</t>
  </si>
  <si>
    <t>Jeanne Musabyimana</t>
  </si>
  <si>
    <t>Jeannette Mukagasigwa</t>
  </si>
  <si>
    <t>Jenifer Nyirabagenzi</t>
  </si>
  <si>
    <t>Jonas Ndayizeye</t>
  </si>
  <si>
    <t>Julienne Mukaruyonza</t>
  </si>
  <si>
    <t>Maria Niyomugore</t>
  </si>
  <si>
    <t>Marie Chantal Kanshara</t>
  </si>
  <si>
    <t>Marie Jose Numukobwa</t>
  </si>
  <si>
    <t>Martha Nyirantibisigwa</t>
  </si>
  <si>
    <t>Patricia  Mukarugomwa</t>
  </si>
  <si>
    <t>Pelagie Mutesi</t>
  </si>
  <si>
    <t>Rehema Mukarugambwa</t>
  </si>
  <si>
    <t>Sandrine Uwera</t>
  </si>
  <si>
    <t>Scovia Kabatesi</t>
  </si>
  <si>
    <t>Sezaria Musengimana</t>
  </si>
  <si>
    <t>Solange Dusengimana</t>
  </si>
  <si>
    <t>Solange Mukamugema</t>
  </si>
  <si>
    <t>Xaveline Mugirasoni</t>
  </si>
  <si>
    <t>Therese  Mukarusagara</t>
  </si>
  <si>
    <t>Valerie   Mukagakwandi</t>
  </si>
  <si>
    <t>Vestine  Mukamuhizi</t>
  </si>
  <si>
    <t>Vestine  Mukaruhorahoze</t>
  </si>
  <si>
    <t>Vestine Yankurije</t>
  </si>
  <si>
    <t>CharcoalCost_rwf</t>
  </si>
  <si>
    <t>PelletCost_rwf</t>
  </si>
  <si>
    <t>WoodCostA_rwf</t>
  </si>
  <si>
    <t>WoodCostB_rwf</t>
  </si>
  <si>
    <t>Item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</si>
</sst>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>
    <font>
      <sz val="10"/>
      <color rgb="FF000000"/>
      <name val="Arial"/>
      <charset val="134"/>
      <scheme val="minor"/>
    </font>
    <font>
      <sz val="10"/>
      <color theme="1"/>
      <name val="Arial"/>
      <family val="2"/>
    </font>
    <font>
      <sz val="10"/>
      <color rgb="FF000000"/>
      <name val="Arial"/>
      <family val="2"/>
    </font>
    <font>
      <b/>
      <sz val="10"/>
      <color theme="1"/>
      <name val="Arial"/>
      <family val="2"/>
    </font>
    <font>
      <sz val="10"/>
      <name val="Arial"/>
      <family val="2"/>
    </font>
    <font>
      <sz val="10"/>
      <color theme="1"/>
      <name val="Calibri"/>
      <family val="2"/>
    </font>
    <font>
      <sz val="10"/>
      <color theme="1"/>
      <name val="Arial"/>
      <family val="2"/>
      <scheme val="minor"/>
    </font>
    <font>
      <b/>
      <sz val="10"/>
      <name val="Arial"/>
      <family val="2"/>
    </font>
    <font>
      <sz val="10"/>
      <color rgb="FFFF0000"/>
      <name val="Arial"/>
      <family val="2"/>
    </font>
    <font>
      <sz val="10"/>
      <color theme="4"/>
      <name val="Arial"/>
      <family val="2"/>
    </font>
    <font>
      <sz val="10"/>
      <color rgb="FF3366FF"/>
      <name val="Arial"/>
      <family val="2"/>
    </font>
    <font>
      <i/>
      <sz val="9"/>
      <color theme="1"/>
      <name val="Arial"/>
      <family val="2"/>
    </font>
    <font>
      <b/>
      <sz val="10"/>
      <color rgb="FF000000"/>
      <name val="Arial"/>
      <family val="2"/>
    </font>
    <font>
      <b/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sz val="8"/>
      <name val="Arial"/>
      <family val="2"/>
      <scheme val="minor"/>
    </font>
    <font>
      <u/>
      <sz val="10"/>
      <color theme="10"/>
      <name val="Arial"/>
      <family val="2"/>
      <scheme val="minor"/>
    </font>
    <font>
      <i/>
      <sz val="9"/>
      <color rgb="FF000000"/>
      <name val="Helvetica"/>
      <family val="2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rgb="FF000000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  <font>
      <sz val="11"/>
      <color rgb="FFFF0000"/>
      <name val="Times New Roman"/>
      <family val="1"/>
    </font>
    <font>
      <b/>
      <sz val="11"/>
      <color rgb="FF000000"/>
      <name val="Times New Roman"/>
      <family val="1"/>
    </font>
  </fonts>
  <fills count="12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BDAD7"/>
        <bgColor rgb="FF000000"/>
      </patternFill>
    </fill>
    <fill>
      <patternFill patternType="solid">
        <fgColor rgb="FFA6E3B7"/>
        <bgColor rgb="FF000000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auto="1"/>
      </right>
      <top/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3">
    <xf numFmtId="0" fontId="0" fillId="0" borderId="0"/>
    <xf numFmtId="0" fontId="16" fillId="0" borderId="0" applyNumberFormat="0" applyFill="0" applyBorder="0" applyAlignment="0" applyProtection="0"/>
    <xf numFmtId="0" fontId="14" fillId="0" borderId="0"/>
  </cellStyleXfs>
  <cellXfs count="162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2" fillId="0" borderId="1" xfId="0" applyFont="1" applyBorder="1"/>
    <xf numFmtId="0" fontId="1" fillId="2" borderId="2" xfId="0" applyFont="1" applyFill="1" applyBorder="1"/>
    <xf numFmtId="0" fontId="1" fillId="2" borderId="3" xfId="0" applyFont="1" applyFill="1" applyBorder="1" applyAlignment="1">
      <alignment wrapText="1"/>
    </xf>
    <xf numFmtId="0" fontId="1" fillId="0" borderId="1" xfId="0" applyFont="1" applyBorder="1"/>
    <xf numFmtId="0" fontId="3" fillId="3" borderId="0" xfId="0" applyFont="1" applyFill="1" applyAlignment="1">
      <alignment wrapText="1"/>
    </xf>
    <xf numFmtId="0" fontId="3" fillId="0" borderId="0" xfId="0" applyFont="1" applyAlignment="1">
      <alignment wrapText="1"/>
    </xf>
    <xf numFmtId="0" fontId="1" fillId="2" borderId="4" xfId="0" applyFont="1" applyFill="1" applyBorder="1" applyAlignment="1">
      <alignment wrapText="1"/>
    </xf>
    <xf numFmtId="0" fontId="1" fillId="5" borderId="1" xfId="0" applyFont="1" applyFill="1" applyBorder="1" applyAlignment="1">
      <alignment wrapText="1"/>
    </xf>
    <xf numFmtId="0" fontId="1" fillId="0" borderId="5" xfId="0" applyFont="1" applyBorder="1"/>
    <xf numFmtId="0" fontId="4" fillId="0" borderId="6" xfId="0" applyFont="1" applyBorder="1"/>
    <xf numFmtId="0" fontId="5" fillId="0" borderId="1" xfId="0" applyFont="1" applyBorder="1"/>
    <xf numFmtId="0" fontId="1" fillId="6" borderId="1" xfId="0" applyFont="1" applyFill="1" applyBorder="1" applyAlignment="1">
      <alignment wrapText="1"/>
    </xf>
    <xf numFmtId="3" fontId="4" fillId="0" borderId="6" xfId="0" applyNumberFormat="1" applyFont="1" applyBorder="1"/>
    <xf numFmtId="3" fontId="2" fillId="0" borderId="1" xfId="0" applyNumberFormat="1" applyFont="1" applyBorder="1"/>
    <xf numFmtId="3" fontId="1" fillId="0" borderId="1" xfId="0" applyNumberFormat="1" applyFont="1" applyBorder="1"/>
    <xf numFmtId="0" fontId="2" fillId="0" borderId="0" xfId="0" applyFont="1"/>
    <xf numFmtId="0" fontId="1" fillId="6" borderId="7" xfId="0" applyFont="1" applyFill="1" applyBorder="1" applyAlignment="1">
      <alignment wrapText="1"/>
    </xf>
    <xf numFmtId="3" fontId="5" fillId="0" borderId="1" xfId="0" applyNumberFormat="1" applyFont="1" applyBorder="1"/>
    <xf numFmtId="0" fontId="1" fillId="6" borderId="9" xfId="0" applyFont="1" applyFill="1" applyBorder="1" applyAlignment="1">
      <alignment wrapText="1"/>
    </xf>
    <xf numFmtId="0" fontId="6" fillId="3" borderId="0" xfId="0" applyFont="1" applyFill="1"/>
    <xf numFmtId="0" fontId="1" fillId="6" borderId="10" xfId="0" applyFont="1" applyFill="1" applyBorder="1" applyAlignment="1">
      <alignment wrapText="1"/>
    </xf>
    <xf numFmtId="0" fontId="4" fillId="7" borderId="1" xfId="0" applyFont="1" applyFill="1" applyBorder="1" applyAlignment="1">
      <alignment wrapText="1"/>
    </xf>
    <xf numFmtId="0" fontId="1" fillId="0" borderId="10" xfId="0" applyFont="1" applyBorder="1"/>
    <xf numFmtId="0" fontId="4" fillId="0" borderId="1" xfId="0" applyFont="1" applyBorder="1"/>
    <xf numFmtId="0" fontId="4" fillId="8" borderId="1" xfId="0" applyFont="1" applyFill="1" applyBorder="1" applyAlignment="1">
      <alignment wrapText="1"/>
    </xf>
    <xf numFmtId="3" fontId="4" fillId="0" borderId="1" xfId="0" applyNumberFormat="1" applyFont="1" applyBorder="1"/>
    <xf numFmtId="0" fontId="4" fillId="8" borderId="10" xfId="0" applyFont="1" applyFill="1" applyBorder="1" applyAlignment="1">
      <alignment wrapText="1"/>
    </xf>
    <xf numFmtId="0" fontId="4" fillId="0" borderId="10" xfId="0" applyFont="1" applyBorder="1"/>
    <xf numFmtId="0" fontId="1" fillId="0" borderId="11" xfId="0" applyFont="1" applyBorder="1"/>
    <xf numFmtId="0" fontId="3" fillId="0" borderId="1" xfId="0" applyFont="1" applyBorder="1"/>
    <xf numFmtId="0" fontId="1" fillId="0" borderId="12" xfId="0" applyFont="1" applyBorder="1"/>
    <xf numFmtId="0" fontId="1" fillId="3" borderId="0" xfId="0" applyFont="1" applyFill="1" applyAlignment="1">
      <alignment wrapText="1"/>
    </xf>
    <xf numFmtId="0" fontId="8" fillId="0" borderId="0" xfId="0" applyFont="1"/>
    <xf numFmtId="0" fontId="1" fillId="3" borderId="1" xfId="0" applyFont="1" applyFill="1" applyBorder="1" applyAlignment="1">
      <alignment wrapText="1"/>
    </xf>
    <xf numFmtId="0" fontId="9" fillId="0" borderId="1" xfId="0" applyFont="1" applyBorder="1"/>
    <xf numFmtId="0" fontId="10" fillId="0" borderId="1" xfId="0" applyFont="1" applyBorder="1"/>
    <xf numFmtId="0" fontId="1" fillId="0" borderId="7" xfId="0" applyFont="1" applyBorder="1"/>
    <xf numFmtId="0" fontId="1" fillId="3" borderId="13" xfId="0" applyFont="1" applyFill="1" applyBorder="1" applyAlignment="1">
      <alignment wrapText="1"/>
    </xf>
    <xf numFmtId="0" fontId="2" fillId="3" borderId="0" xfId="0" applyFont="1" applyFill="1"/>
    <xf numFmtId="0" fontId="1" fillId="3" borderId="0" xfId="0" applyFont="1" applyFill="1"/>
    <xf numFmtId="0" fontId="1" fillId="2" borderId="3" xfId="0" applyFont="1" applyFill="1" applyBorder="1"/>
    <xf numFmtId="0" fontId="1" fillId="0" borderId="4" xfId="0" applyFont="1" applyBorder="1"/>
    <xf numFmtId="0" fontId="11" fillId="0" borderId="1" xfId="0" applyFont="1" applyBorder="1"/>
    <xf numFmtId="0" fontId="2" fillId="0" borderId="4" xfId="0" applyFont="1" applyBorder="1"/>
    <xf numFmtId="0" fontId="6" fillId="0" borderId="0" xfId="0" applyFont="1"/>
    <xf numFmtId="0" fontId="13" fillId="0" borderId="0" xfId="0" applyFont="1"/>
    <xf numFmtId="0" fontId="14" fillId="0" borderId="0" xfId="0" applyFont="1"/>
    <xf numFmtId="0" fontId="16" fillId="0" borderId="0" xfId="1" applyAlignment="1"/>
    <xf numFmtId="0" fontId="17" fillId="0" borderId="0" xfId="0" applyFont="1"/>
    <xf numFmtId="0" fontId="4" fillId="9" borderId="1" xfId="0" applyFont="1" applyFill="1" applyBorder="1" applyAlignment="1">
      <alignment wrapText="1"/>
    </xf>
    <xf numFmtId="0" fontId="18" fillId="0" borderId="0" xfId="2" applyFont="1"/>
    <xf numFmtId="0" fontId="18" fillId="0" borderId="0" xfId="2" applyFont="1" applyAlignment="1">
      <alignment wrapText="1"/>
    </xf>
    <xf numFmtId="0" fontId="19" fillId="3" borderId="0" xfId="2" applyFont="1" applyFill="1" applyAlignment="1">
      <alignment wrapText="1"/>
    </xf>
    <xf numFmtId="0" fontId="19" fillId="0" borderId="0" xfId="2" applyFont="1" applyAlignment="1">
      <alignment wrapText="1"/>
    </xf>
    <xf numFmtId="0" fontId="20" fillId="0" borderId="0" xfId="2" applyFont="1"/>
    <xf numFmtId="0" fontId="18" fillId="3" borderId="0" xfId="2" applyFont="1" applyFill="1"/>
    <xf numFmtId="0" fontId="20" fillId="0" borderId="1" xfId="2" applyFont="1" applyBorder="1"/>
    <xf numFmtId="0" fontId="18" fillId="2" borderId="2" xfId="2" applyFont="1" applyFill="1" applyBorder="1" applyAlignment="1">
      <alignment horizontal="center" vertical="center"/>
    </xf>
    <xf numFmtId="0" fontId="18" fillId="2" borderId="3" xfId="2" applyFont="1" applyFill="1" applyBorder="1" applyAlignment="1">
      <alignment wrapText="1"/>
    </xf>
    <xf numFmtId="0" fontId="18" fillId="2" borderId="4" xfId="2" applyFont="1" applyFill="1" applyBorder="1" applyAlignment="1">
      <alignment wrapText="1"/>
    </xf>
    <xf numFmtId="0" fontId="18" fillId="5" borderId="1" xfId="2" applyFont="1" applyFill="1" applyBorder="1" applyAlignment="1">
      <alignment wrapText="1"/>
    </xf>
    <xf numFmtId="0" fontId="18" fillId="6" borderId="1" xfId="2" applyFont="1" applyFill="1" applyBorder="1" applyAlignment="1">
      <alignment wrapText="1"/>
    </xf>
    <xf numFmtId="0" fontId="18" fillId="6" borderId="7" xfId="2" applyFont="1" applyFill="1" applyBorder="1" applyAlignment="1">
      <alignment wrapText="1"/>
    </xf>
    <xf numFmtId="0" fontId="18" fillId="6" borderId="9" xfId="2" applyFont="1" applyFill="1" applyBorder="1" applyAlignment="1">
      <alignment wrapText="1"/>
    </xf>
    <xf numFmtId="0" fontId="18" fillId="6" borderId="10" xfId="2" applyFont="1" applyFill="1" applyBorder="1" applyAlignment="1">
      <alignment wrapText="1"/>
    </xf>
    <xf numFmtId="0" fontId="21" fillId="9" borderId="1" xfId="2" applyFont="1" applyFill="1" applyBorder="1" applyAlignment="1">
      <alignment wrapText="1"/>
    </xf>
    <xf numFmtId="0" fontId="21" fillId="8" borderId="1" xfId="2" applyFont="1" applyFill="1" applyBorder="1" applyAlignment="1">
      <alignment wrapText="1"/>
    </xf>
    <xf numFmtId="0" fontId="21" fillId="8" borderId="10" xfId="2" applyFont="1" applyFill="1" applyBorder="1" applyAlignment="1">
      <alignment wrapText="1"/>
    </xf>
    <xf numFmtId="0" fontId="21" fillId="10" borderId="9" xfId="2" applyFont="1" applyFill="1" applyBorder="1" applyAlignment="1">
      <alignment wrapText="1"/>
    </xf>
    <xf numFmtId="0" fontId="21" fillId="10" borderId="12" xfId="2" applyFont="1" applyFill="1" applyBorder="1" applyAlignment="1">
      <alignment wrapText="1"/>
    </xf>
    <xf numFmtId="0" fontId="21" fillId="11" borderId="12" xfId="2" applyFont="1" applyFill="1" applyBorder="1" applyAlignment="1">
      <alignment wrapText="1"/>
    </xf>
    <xf numFmtId="0" fontId="21" fillId="11" borderId="14" xfId="2" applyFont="1" applyFill="1" applyBorder="1" applyAlignment="1">
      <alignment wrapText="1"/>
    </xf>
    <xf numFmtId="0" fontId="18" fillId="0" borderId="1" xfId="2" applyFont="1" applyBorder="1"/>
    <xf numFmtId="0" fontId="18" fillId="0" borderId="5" xfId="2" applyFont="1" applyBorder="1"/>
    <xf numFmtId="0" fontId="4" fillId="0" borderId="6" xfId="2" applyFont="1" applyBorder="1"/>
    <xf numFmtId="0" fontId="4" fillId="0" borderId="1" xfId="2" applyFont="1" applyBorder="1"/>
    <xf numFmtId="3" fontId="4" fillId="0" borderId="1" xfId="2" applyNumberFormat="1" applyFont="1" applyBorder="1"/>
    <xf numFmtId="0" fontId="4" fillId="0" borderId="10" xfId="2" applyFont="1" applyBorder="1"/>
    <xf numFmtId="0" fontId="21" fillId="0" borderId="6" xfId="2" applyFont="1" applyBorder="1"/>
    <xf numFmtId="0" fontId="21" fillId="0" borderId="1" xfId="2" applyFont="1" applyBorder="1"/>
    <xf numFmtId="3" fontId="21" fillId="0" borderId="1" xfId="2" applyNumberFormat="1" applyFont="1" applyBorder="1"/>
    <xf numFmtId="0" fontId="21" fillId="0" borderId="10" xfId="2" applyFont="1" applyBorder="1"/>
    <xf numFmtId="0" fontId="21" fillId="0" borderId="9" xfId="2" applyFont="1" applyBorder="1"/>
    <xf numFmtId="0" fontId="21" fillId="0" borderId="15" xfId="2" applyFont="1" applyBorder="1"/>
    <xf numFmtId="3" fontId="21" fillId="0" borderId="9" xfId="2" applyNumberFormat="1" applyFont="1" applyBorder="1"/>
    <xf numFmtId="3" fontId="21" fillId="0" borderId="12" xfId="2" applyNumberFormat="1" applyFont="1" applyBorder="1"/>
    <xf numFmtId="0" fontId="21" fillId="0" borderId="14" xfId="2" applyFont="1" applyBorder="1"/>
    <xf numFmtId="0" fontId="1" fillId="0" borderId="1" xfId="2" applyFont="1" applyBorder="1"/>
    <xf numFmtId="3" fontId="1" fillId="0" borderId="1" xfId="2" applyNumberFormat="1" applyFont="1" applyBorder="1"/>
    <xf numFmtId="0" fontId="1" fillId="0" borderId="10" xfId="2" applyFont="1" applyBorder="1"/>
    <xf numFmtId="3" fontId="18" fillId="0" borderId="1" xfId="2" applyNumberFormat="1" applyFont="1" applyBorder="1"/>
    <xf numFmtId="0" fontId="18" fillId="0" borderId="10" xfId="2" applyFont="1" applyBorder="1"/>
    <xf numFmtId="0" fontId="21" fillId="0" borderId="16" xfId="2" applyFont="1" applyBorder="1"/>
    <xf numFmtId="0" fontId="20" fillId="0" borderId="9" xfId="2" applyFont="1" applyBorder="1"/>
    <xf numFmtId="0" fontId="21" fillId="0" borderId="17" xfId="2" applyFont="1" applyBorder="1"/>
    <xf numFmtId="3" fontId="20" fillId="0" borderId="9" xfId="2" applyNumberFormat="1" applyFont="1" applyBorder="1"/>
    <xf numFmtId="3" fontId="20" fillId="0" borderId="12" xfId="2" applyNumberFormat="1" applyFont="1" applyBorder="1"/>
    <xf numFmtId="0" fontId="20" fillId="0" borderId="14" xfId="2" applyFont="1" applyBorder="1"/>
    <xf numFmtId="3" fontId="4" fillId="0" borderId="6" xfId="2" applyNumberFormat="1" applyFont="1" applyBorder="1"/>
    <xf numFmtId="0" fontId="14" fillId="0" borderId="0" xfId="2"/>
    <xf numFmtId="3" fontId="21" fillId="0" borderId="6" xfId="2" applyNumberFormat="1" applyFont="1" applyBorder="1"/>
    <xf numFmtId="3" fontId="21" fillId="0" borderId="16" xfId="2" applyNumberFormat="1" applyFont="1" applyBorder="1"/>
    <xf numFmtId="0" fontId="18" fillId="0" borderId="11" xfId="2" applyFont="1" applyBorder="1"/>
    <xf numFmtId="0" fontId="18" fillId="0" borderId="12" xfId="2" applyFont="1" applyBorder="1"/>
    <xf numFmtId="0" fontId="19" fillId="0" borderId="1" xfId="2" applyFont="1" applyBorder="1"/>
    <xf numFmtId="0" fontId="7" fillId="0" borderId="6" xfId="2" applyFont="1" applyBorder="1"/>
    <xf numFmtId="0" fontId="3" fillId="0" borderId="1" xfId="2" applyFont="1" applyBorder="1"/>
    <xf numFmtId="3" fontId="3" fillId="0" borderId="1" xfId="2" applyNumberFormat="1" applyFont="1" applyBorder="1"/>
    <xf numFmtId="0" fontId="3" fillId="0" borderId="10" xfId="2" applyFont="1" applyBorder="1"/>
    <xf numFmtId="0" fontId="18" fillId="3" borderId="0" xfId="2" applyFont="1" applyFill="1" applyAlignment="1">
      <alignment wrapText="1"/>
    </xf>
    <xf numFmtId="0" fontId="23" fillId="0" borderId="0" xfId="2" applyFont="1"/>
    <xf numFmtId="0" fontId="20" fillId="0" borderId="13" xfId="2" applyFont="1" applyBorder="1"/>
    <xf numFmtId="0" fontId="18" fillId="2" borderId="18" xfId="2" applyFont="1" applyFill="1" applyBorder="1" applyAlignment="1">
      <alignment wrapText="1"/>
    </xf>
    <xf numFmtId="0" fontId="18" fillId="2" borderId="19" xfId="2" applyFont="1" applyFill="1" applyBorder="1" applyAlignment="1">
      <alignment wrapText="1"/>
    </xf>
    <xf numFmtId="0" fontId="18" fillId="5" borderId="13" xfId="2" applyFont="1" applyFill="1" applyBorder="1" applyAlignment="1">
      <alignment wrapText="1"/>
    </xf>
    <xf numFmtId="0" fontId="18" fillId="6" borderId="13" xfId="2" applyFont="1" applyFill="1" applyBorder="1" applyAlignment="1">
      <alignment wrapText="1"/>
    </xf>
    <xf numFmtId="0" fontId="18" fillId="6" borderId="2" xfId="2" applyFont="1" applyFill="1" applyBorder="1" applyAlignment="1">
      <alignment wrapText="1"/>
    </xf>
    <xf numFmtId="0" fontId="18" fillId="6" borderId="20" xfId="2" applyFont="1" applyFill="1" applyBorder="1" applyAlignment="1">
      <alignment wrapText="1"/>
    </xf>
    <xf numFmtId="0" fontId="18" fillId="6" borderId="21" xfId="2" applyFont="1" applyFill="1" applyBorder="1" applyAlignment="1">
      <alignment wrapText="1"/>
    </xf>
    <xf numFmtId="0" fontId="21" fillId="9" borderId="13" xfId="2" applyFont="1" applyFill="1" applyBorder="1" applyAlignment="1">
      <alignment wrapText="1"/>
    </xf>
    <xf numFmtId="0" fontId="21" fillId="8" borderId="13" xfId="2" applyFont="1" applyFill="1" applyBorder="1" applyAlignment="1">
      <alignment wrapText="1"/>
    </xf>
    <xf numFmtId="0" fontId="21" fillId="8" borderId="21" xfId="2" applyFont="1" applyFill="1" applyBorder="1" applyAlignment="1">
      <alignment wrapText="1"/>
    </xf>
    <xf numFmtId="0" fontId="20" fillId="0" borderId="6" xfId="2" applyFont="1" applyBorder="1"/>
    <xf numFmtId="0" fontId="24" fillId="0" borderId="0" xfId="2" applyFont="1"/>
    <xf numFmtId="0" fontId="7" fillId="0" borderId="0" xfId="2" applyFont="1"/>
    <xf numFmtId="0" fontId="20" fillId="0" borderId="0" xfId="0" applyFont="1"/>
    <xf numFmtId="0" fontId="21" fillId="7" borderId="1" xfId="0" applyFont="1" applyFill="1" applyBorder="1" applyAlignment="1">
      <alignment wrapText="1"/>
    </xf>
    <xf numFmtId="0" fontId="21" fillId="8" borderId="1" xfId="0" applyFont="1" applyFill="1" applyBorder="1" applyAlignment="1">
      <alignment wrapText="1"/>
    </xf>
    <xf numFmtId="0" fontId="21" fillId="8" borderId="10" xfId="0" applyFont="1" applyFill="1" applyBorder="1" applyAlignment="1">
      <alignment wrapText="1"/>
    </xf>
    <xf numFmtId="0" fontId="7" fillId="0" borderId="6" xfId="0" applyFont="1" applyBorder="1"/>
    <xf numFmtId="3" fontId="3" fillId="0" borderId="1" xfId="0" applyNumberFormat="1" applyFont="1" applyBorder="1"/>
    <xf numFmtId="0" fontId="3" fillId="0" borderId="10" xfId="0" applyFont="1" applyBorder="1"/>
    <xf numFmtId="0" fontId="21" fillId="7" borderId="13" xfId="0" applyFont="1" applyFill="1" applyBorder="1" applyAlignment="1">
      <alignment wrapText="1"/>
    </xf>
    <xf numFmtId="0" fontId="21" fillId="8" borderId="13" xfId="0" applyFont="1" applyFill="1" applyBorder="1" applyAlignment="1">
      <alignment wrapText="1"/>
    </xf>
    <xf numFmtId="0" fontId="21" fillId="8" borderId="21" xfId="0" applyFont="1" applyFill="1" applyBorder="1" applyAlignment="1">
      <alignment wrapText="1"/>
    </xf>
    <xf numFmtId="0" fontId="20" fillId="0" borderId="6" xfId="0" applyFont="1" applyBorder="1"/>
    <xf numFmtId="0" fontId="4" fillId="0" borderId="22" xfId="0" applyFont="1" applyBorder="1"/>
    <xf numFmtId="0" fontId="1" fillId="0" borderId="13" xfId="0" applyFont="1" applyBorder="1"/>
    <xf numFmtId="0" fontId="20" fillId="0" borderId="22" xfId="0" applyFont="1" applyBorder="1"/>
    <xf numFmtId="3" fontId="0" fillId="0" borderId="0" xfId="0" applyNumberFormat="1"/>
    <xf numFmtId="0" fontId="22" fillId="0" borderId="3" xfId="2" applyFont="1" applyBorder="1" applyAlignment="1">
      <alignment horizontal="center" wrapText="1"/>
    </xf>
    <xf numFmtId="0" fontId="21" fillId="0" borderId="3" xfId="2" applyFont="1" applyBorder="1"/>
    <xf numFmtId="0" fontId="21" fillId="0" borderId="4" xfId="2" applyFont="1" applyBorder="1"/>
    <xf numFmtId="0" fontId="22" fillId="0" borderId="3" xfId="0" applyFont="1" applyBorder="1" applyAlignment="1">
      <alignment horizontal="center" wrapText="1"/>
    </xf>
    <xf numFmtId="0" fontId="21" fillId="0" borderId="3" xfId="0" applyFont="1" applyBorder="1"/>
    <xf numFmtId="0" fontId="21" fillId="0" borderId="4" xfId="0" applyFont="1" applyBorder="1"/>
    <xf numFmtId="0" fontId="22" fillId="0" borderId="7" xfId="2" applyFont="1" applyBorder="1" applyAlignment="1">
      <alignment horizontal="center" wrapText="1"/>
    </xf>
    <xf numFmtId="0" fontId="22" fillId="0" borderId="4" xfId="2" applyFont="1" applyBorder="1" applyAlignment="1">
      <alignment horizontal="center" wrapText="1"/>
    </xf>
    <xf numFmtId="0" fontId="19" fillId="4" borderId="3" xfId="2" applyFont="1" applyFill="1" applyBorder="1" applyAlignment="1">
      <alignment horizontal="center" wrapText="1"/>
    </xf>
    <xf numFmtId="0" fontId="19" fillId="4" borderId="7" xfId="2" applyFont="1" applyFill="1" applyBorder="1" applyAlignment="1">
      <alignment horizontal="center" wrapText="1"/>
    </xf>
    <xf numFmtId="0" fontId="21" fillId="0" borderId="8" xfId="2" applyFont="1" applyBorder="1"/>
    <xf numFmtId="0" fontId="3" fillId="0" borderId="0" xfId="0" applyFont="1" applyAlignment="1">
      <alignment horizontal="center" wrapText="1"/>
    </xf>
    <xf numFmtId="0" fontId="0" fillId="0" borderId="0" xfId="0"/>
    <xf numFmtId="0" fontId="3" fillId="4" borderId="7" xfId="0" applyFont="1" applyFill="1" applyBorder="1" applyAlignment="1">
      <alignment horizontal="center" wrapText="1"/>
    </xf>
    <xf numFmtId="0" fontId="4" fillId="0" borderId="3" xfId="0" applyFont="1" applyBorder="1"/>
    <xf numFmtId="0" fontId="4" fillId="0" borderId="4" xfId="0" applyFont="1" applyBorder="1"/>
    <xf numFmtId="0" fontId="3" fillId="4" borderId="3" xfId="0" applyFont="1" applyFill="1" applyBorder="1" applyAlignment="1">
      <alignment horizontal="center" wrapText="1"/>
    </xf>
    <xf numFmtId="0" fontId="4" fillId="0" borderId="8" xfId="0" applyFont="1" applyBorder="1"/>
    <xf numFmtId="0" fontId="7" fillId="0" borderId="3" xfId="0" applyFont="1" applyBorder="1" applyAlignment="1">
      <alignment horizontal="center" wrapText="1"/>
    </xf>
  </cellXfs>
  <cellStyles count="3">
    <cellStyle name="Hyperlink" xfId="1" builtinId="8"/>
    <cellStyle name="Normal" xfId="0" builtinId="0"/>
    <cellStyle name="Normal 2" xfId="2" xr:uid="{6F0EEBE2-051C-054D-9638-1012F65D6D7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doi.org/10.1007/s13399-021-01840-z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98129-5AE6-FD4C-8D71-8B174DEC2F27}">
  <dimension ref="A1:EL998"/>
  <sheetViews>
    <sheetView topLeftCell="BE1" zoomScale="125" zoomScaleNormal="125" zoomScalePageLayoutView="125" workbookViewId="0">
      <selection activeCell="AO41" sqref="AO41"/>
    </sheetView>
  </sheetViews>
  <sheetFormatPr baseColWidth="10" defaultColWidth="12.6640625" defaultRowHeight="14"/>
  <cols>
    <col min="1" max="1" width="4.33203125" style="57" customWidth="1"/>
    <col min="2" max="2" width="30.1640625" style="57" customWidth="1"/>
    <col min="3" max="4" width="22.33203125" style="57" hidden="1" customWidth="1"/>
    <col min="5" max="6" width="12.6640625" style="57" hidden="1" customWidth="1"/>
    <col min="7" max="8" width="9.83203125" style="57" customWidth="1"/>
    <col min="9" max="9" width="9.6640625" style="57" customWidth="1"/>
    <col min="10" max="10" width="10.6640625" style="57" customWidth="1"/>
    <col min="11" max="11" width="15.1640625" style="57" customWidth="1"/>
    <col min="12" max="12" width="12.6640625" style="57"/>
    <col min="13" max="17" width="12.6640625" style="57" customWidth="1"/>
    <col min="18" max="18" width="11.33203125" style="57" customWidth="1"/>
    <col min="19" max="22" width="12.6640625" style="57" customWidth="1"/>
    <col min="23" max="25" width="12.6640625" style="57"/>
    <col min="26" max="26" width="12.6640625" style="57" customWidth="1"/>
    <col min="27" max="29" width="12.6640625" style="57"/>
    <col min="30" max="30" width="12.6640625" style="57" customWidth="1"/>
    <col min="31" max="33" width="12.6640625" style="57"/>
    <col min="34" max="34" width="12.6640625" style="57" customWidth="1"/>
    <col min="35" max="36" width="12.6640625" style="57"/>
    <col min="37" max="38" width="12.6640625" style="57" customWidth="1"/>
    <col min="39" max="46" width="12.6640625" style="57"/>
    <col min="47" max="78" width="12.6640625" style="128"/>
    <col min="79" max="16384" width="12.6640625" style="57"/>
  </cols>
  <sheetData>
    <row r="1" spans="1:142">
      <c r="A1" s="53"/>
      <c r="B1" s="53"/>
      <c r="C1" s="54"/>
      <c r="D1" s="54"/>
      <c r="E1" s="54"/>
      <c r="F1" s="54"/>
      <c r="G1" s="55">
        <v>2022</v>
      </c>
      <c r="H1" s="56"/>
      <c r="I1" s="54"/>
      <c r="J1" s="54"/>
      <c r="O1" s="53"/>
      <c r="P1" s="53"/>
      <c r="Q1" s="53"/>
      <c r="S1" s="53"/>
      <c r="T1" s="53"/>
      <c r="U1" s="53"/>
      <c r="V1" s="53"/>
      <c r="AE1" s="53"/>
      <c r="AM1" s="58"/>
      <c r="AN1" s="58"/>
      <c r="AO1" s="58"/>
      <c r="AP1" s="58"/>
      <c r="AQ1" s="58"/>
      <c r="AR1" s="58"/>
      <c r="AS1" s="58"/>
      <c r="AT1" s="58"/>
      <c r="AU1" s="128">
        <v>2023</v>
      </c>
    </row>
    <row r="2" spans="1:142" ht="13" customHeight="1">
      <c r="A2" s="53"/>
      <c r="B2" s="53" t="s">
        <v>180</v>
      </c>
      <c r="C2" s="54"/>
      <c r="D2" s="54"/>
      <c r="E2" s="54"/>
      <c r="F2" s="54"/>
      <c r="G2" s="151" t="s">
        <v>181</v>
      </c>
      <c r="H2" s="144"/>
      <c r="I2" s="144"/>
      <c r="J2" s="144"/>
      <c r="K2" s="144"/>
      <c r="L2" s="144"/>
      <c r="M2" s="144"/>
      <c r="N2" s="145"/>
      <c r="O2" s="152" t="s">
        <v>3</v>
      </c>
      <c r="P2" s="144"/>
      <c r="Q2" s="144"/>
      <c r="R2" s="144"/>
      <c r="S2" s="144"/>
      <c r="T2" s="144"/>
      <c r="U2" s="144"/>
      <c r="V2" s="145"/>
      <c r="W2" s="152" t="s">
        <v>144</v>
      </c>
      <c r="X2" s="144"/>
      <c r="Y2" s="144"/>
      <c r="Z2" s="144"/>
      <c r="AA2" s="144"/>
      <c r="AB2" s="144"/>
      <c r="AC2" s="144"/>
      <c r="AD2" s="153"/>
      <c r="AE2" s="151" t="s">
        <v>182</v>
      </c>
      <c r="AF2" s="144"/>
      <c r="AG2" s="144"/>
      <c r="AH2" s="144"/>
      <c r="AI2" s="144"/>
      <c r="AJ2" s="144"/>
      <c r="AK2" s="144"/>
      <c r="AL2" s="145"/>
      <c r="AM2" s="143" t="s">
        <v>146</v>
      </c>
      <c r="AN2" s="144"/>
      <c r="AO2" s="144"/>
      <c r="AP2" s="144"/>
      <c r="AQ2" s="144"/>
      <c r="AR2" s="144"/>
      <c r="AS2" s="144"/>
      <c r="AT2" s="145"/>
      <c r="AU2" s="146" t="s">
        <v>147</v>
      </c>
      <c r="AV2" s="147"/>
      <c r="AW2" s="147"/>
      <c r="AX2" s="147"/>
      <c r="AY2" s="147"/>
      <c r="AZ2" s="147"/>
      <c r="BA2" s="147"/>
      <c r="BB2" s="148"/>
      <c r="BC2" s="146" t="s">
        <v>153</v>
      </c>
      <c r="BD2" s="147"/>
      <c r="BE2" s="147"/>
      <c r="BF2" s="147"/>
      <c r="BG2" s="147"/>
      <c r="BH2" s="147"/>
      <c r="BI2" s="147"/>
      <c r="BJ2" s="148"/>
      <c r="BK2" s="146" t="s">
        <v>154</v>
      </c>
      <c r="BL2" s="147"/>
      <c r="BM2" s="147"/>
      <c r="BN2" s="147"/>
      <c r="BO2" s="147"/>
      <c r="BP2" s="147"/>
      <c r="BQ2" s="147"/>
      <c r="BR2" s="148"/>
      <c r="BS2" s="146" t="s">
        <v>155</v>
      </c>
      <c r="BT2" s="147"/>
      <c r="BU2" s="147"/>
      <c r="BV2" s="147"/>
      <c r="BW2" s="147"/>
      <c r="BX2" s="147"/>
      <c r="BY2" s="147"/>
      <c r="BZ2" s="148"/>
      <c r="CA2" s="143" t="s">
        <v>156</v>
      </c>
      <c r="CB2" s="144"/>
      <c r="CC2" s="144"/>
      <c r="CD2" s="144"/>
      <c r="CE2" s="144"/>
      <c r="CF2" s="144"/>
      <c r="CG2" s="144"/>
      <c r="CH2" s="145"/>
      <c r="CI2" s="143" t="s">
        <v>0</v>
      </c>
      <c r="CJ2" s="144"/>
      <c r="CK2" s="144"/>
      <c r="CL2" s="144"/>
      <c r="CM2" s="144"/>
      <c r="CN2" s="144"/>
      <c r="CO2" s="144"/>
      <c r="CP2" s="145"/>
      <c r="CQ2" s="143" t="s">
        <v>1</v>
      </c>
      <c r="CR2" s="144"/>
      <c r="CS2" s="144"/>
      <c r="CT2" s="144"/>
      <c r="CU2" s="144"/>
      <c r="CV2" s="144"/>
      <c r="CW2" s="144"/>
      <c r="CX2" s="145"/>
      <c r="CY2" s="143" t="s">
        <v>183</v>
      </c>
      <c r="CZ2" s="144"/>
      <c r="DA2" s="144"/>
      <c r="DB2" s="144"/>
      <c r="DC2" s="144"/>
      <c r="DD2" s="144"/>
      <c r="DE2" s="144"/>
      <c r="DF2" s="145"/>
      <c r="DG2" s="143" t="s">
        <v>184</v>
      </c>
      <c r="DH2" s="144"/>
      <c r="DI2" s="144"/>
      <c r="DJ2" s="144"/>
      <c r="DK2" s="144"/>
      <c r="DL2" s="144"/>
      <c r="DM2" s="144"/>
      <c r="DN2" s="145"/>
      <c r="DO2" s="149" t="s">
        <v>185</v>
      </c>
      <c r="DP2" s="143"/>
      <c r="DQ2" s="143"/>
      <c r="DR2" s="143"/>
      <c r="DS2" s="143"/>
      <c r="DT2" s="143"/>
      <c r="DU2" s="143"/>
      <c r="DV2" s="150"/>
      <c r="DW2" s="149" t="s">
        <v>186</v>
      </c>
      <c r="DX2" s="143"/>
      <c r="DY2" s="143"/>
      <c r="DZ2" s="143"/>
      <c r="EA2" s="143"/>
      <c r="EB2" s="143"/>
      <c r="EC2" s="143"/>
      <c r="ED2" s="150"/>
      <c r="EE2" s="149" t="s">
        <v>187</v>
      </c>
      <c r="EF2" s="143"/>
      <c r="EG2" s="143"/>
      <c r="EH2" s="143"/>
      <c r="EI2" s="143"/>
      <c r="EJ2" s="143"/>
      <c r="EK2" s="143"/>
      <c r="EL2" s="150"/>
    </row>
    <row r="3" spans="1:142" ht="61" customHeight="1">
      <c r="A3" s="59"/>
      <c r="B3" s="60" t="s">
        <v>188</v>
      </c>
      <c r="C3" s="61" t="s">
        <v>6</v>
      </c>
      <c r="D3" s="61" t="s">
        <v>7</v>
      </c>
      <c r="E3" s="61" t="s">
        <v>8</v>
      </c>
      <c r="F3" s="62" t="s">
        <v>9</v>
      </c>
      <c r="G3" s="63" t="s">
        <v>10</v>
      </c>
      <c r="H3" s="63" t="s">
        <v>11</v>
      </c>
      <c r="I3" s="63" t="s">
        <v>12</v>
      </c>
      <c r="J3" s="63" t="s">
        <v>148</v>
      </c>
      <c r="K3" s="64" t="s">
        <v>13</v>
      </c>
      <c r="L3" s="64" t="s">
        <v>14</v>
      </c>
      <c r="M3" s="65" t="s">
        <v>15</v>
      </c>
      <c r="N3" s="64" t="s">
        <v>149</v>
      </c>
      <c r="O3" s="63" t="s">
        <v>10</v>
      </c>
      <c r="P3" s="63" t="s">
        <v>11</v>
      </c>
      <c r="Q3" s="63" t="s">
        <v>12</v>
      </c>
      <c r="R3" s="63" t="s">
        <v>150</v>
      </c>
      <c r="S3" s="64" t="s">
        <v>13</v>
      </c>
      <c r="T3" s="64" t="s">
        <v>14</v>
      </c>
      <c r="U3" s="64" t="s">
        <v>15</v>
      </c>
      <c r="V3" s="64" t="s">
        <v>149</v>
      </c>
      <c r="W3" s="63" t="s">
        <v>10</v>
      </c>
      <c r="X3" s="63" t="s">
        <v>11</v>
      </c>
      <c r="Y3" s="63" t="s">
        <v>12</v>
      </c>
      <c r="Z3" s="63" t="s">
        <v>148</v>
      </c>
      <c r="AA3" s="64" t="s">
        <v>13</v>
      </c>
      <c r="AB3" s="64" t="s">
        <v>14</v>
      </c>
      <c r="AC3" s="64" t="s">
        <v>15</v>
      </c>
      <c r="AD3" s="66" t="s">
        <v>149</v>
      </c>
      <c r="AE3" s="63" t="s">
        <v>10</v>
      </c>
      <c r="AF3" s="63" t="s">
        <v>11</v>
      </c>
      <c r="AG3" s="63" t="s">
        <v>12</v>
      </c>
      <c r="AH3" s="63" t="s">
        <v>148</v>
      </c>
      <c r="AI3" s="64" t="s">
        <v>13</v>
      </c>
      <c r="AJ3" s="64" t="s">
        <v>14</v>
      </c>
      <c r="AK3" s="64" t="s">
        <v>15</v>
      </c>
      <c r="AL3" s="67" t="s">
        <v>149</v>
      </c>
      <c r="AM3" s="68" t="s">
        <v>10</v>
      </c>
      <c r="AN3" s="68" t="s">
        <v>11</v>
      </c>
      <c r="AO3" s="68" t="s">
        <v>12</v>
      </c>
      <c r="AP3" s="68" t="s">
        <v>148</v>
      </c>
      <c r="AQ3" s="69" t="s">
        <v>13</v>
      </c>
      <c r="AR3" s="69" t="s">
        <v>14</v>
      </c>
      <c r="AS3" s="69" t="s">
        <v>15</v>
      </c>
      <c r="AT3" s="70" t="s">
        <v>149</v>
      </c>
      <c r="AU3" s="129" t="s">
        <v>10</v>
      </c>
      <c r="AV3" s="129" t="s">
        <v>11</v>
      </c>
      <c r="AW3" s="129" t="s">
        <v>12</v>
      </c>
      <c r="AX3" s="129" t="s">
        <v>148</v>
      </c>
      <c r="AY3" s="130" t="s">
        <v>13</v>
      </c>
      <c r="AZ3" s="130" t="s">
        <v>14</v>
      </c>
      <c r="BA3" s="130" t="s">
        <v>15</v>
      </c>
      <c r="BB3" s="131" t="s">
        <v>149</v>
      </c>
      <c r="BC3" s="129" t="s">
        <v>10</v>
      </c>
      <c r="BD3" s="129" t="s">
        <v>11</v>
      </c>
      <c r="BE3" s="129" t="s">
        <v>12</v>
      </c>
      <c r="BF3" s="129" t="s">
        <v>148</v>
      </c>
      <c r="BG3" s="130" t="s">
        <v>13</v>
      </c>
      <c r="BH3" s="130" t="s">
        <v>14</v>
      </c>
      <c r="BI3" s="130" t="s">
        <v>15</v>
      </c>
      <c r="BJ3" s="131" t="s">
        <v>149</v>
      </c>
      <c r="BK3" s="129" t="s">
        <v>10</v>
      </c>
      <c r="BL3" s="129" t="s">
        <v>11</v>
      </c>
      <c r="BM3" s="129" t="s">
        <v>12</v>
      </c>
      <c r="BN3" s="129" t="s">
        <v>148</v>
      </c>
      <c r="BO3" s="130" t="s">
        <v>13</v>
      </c>
      <c r="BP3" s="130" t="s">
        <v>14</v>
      </c>
      <c r="BQ3" s="130" t="s">
        <v>15</v>
      </c>
      <c r="BR3" s="131" t="s">
        <v>149</v>
      </c>
      <c r="BS3" s="129" t="s">
        <v>10</v>
      </c>
      <c r="BT3" s="129" t="s">
        <v>11</v>
      </c>
      <c r="BU3" s="129" t="s">
        <v>12</v>
      </c>
      <c r="BV3" s="129" t="s">
        <v>148</v>
      </c>
      <c r="BW3" s="130" t="s">
        <v>13</v>
      </c>
      <c r="BX3" s="130" t="s">
        <v>14</v>
      </c>
      <c r="BY3" s="130" t="s">
        <v>15</v>
      </c>
      <c r="BZ3" s="131" t="s">
        <v>149</v>
      </c>
      <c r="CA3" s="68" t="s">
        <v>10</v>
      </c>
      <c r="CB3" s="68" t="s">
        <v>11</v>
      </c>
      <c r="CC3" s="68" t="s">
        <v>12</v>
      </c>
      <c r="CD3" s="68" t="s">
        <v>148</v>
      </c>
      <c r="CE3" s="69" t="s">
        <v>13</v>
      </c>
      <c r="CF3" s="69" t="s">
        <v>14</v>
      </c>
      <c r="CG3" s="69" t="s">
        <v>15</v>
      </c>
      <c r="CH3" s="70" t="s">
        <v>149</v>
      </c>
      <c r="CI3" s="68" t="s">
        <v>10</v>
      </c>
      <c r="CJ3" s="68" t="s">
        <v>11</v>
      </c>
      <c r="CK3" s="68" t="s">
        <v>12</v>
      </c>
      <c r="CL3" s="68" t="s">
        <v>148</v>
      </c>
      <c r="CM3" s="69" t="s">
        <v>13</v>
      </c>
      <c r="CN3" s="69" t="s">
        <v>14</v>
      </c>
      <c r="CO3" s="69" t="s">
        <v>15</v>
      </c>
      <c r="CP3" s="70" t="s">
        <v>149</v>
      </c>
      <c r="CQ3" s="68" t="s">
        <v>10</v>
      </c>
      <c r="CR3" s="68" t="s">
        <v>11</v>
      </c>
      <c r="CS3" s="68" t="s">
        <v>12</v>
      </c>
      <c r="CT3" s="68" t="s">
        <v>148</v>
      </c>
      <c r="CU3" s="69" t="s">
        <v>13</v>
      </c>
      <c r="CV3" s="69" t="s">
        <v>14</v>
      </c>
      <c r="CW3" s="69" t="s">
        <v>15</v>
      </c>
      <c r="CX3" s="70" t="s">
        <v>149</v>
      </c>
      <c r="CY3" s="68" t="s">
        <v>10</v>
      </c>
      <c r="CZ3" s="68" t="s">
        <v>11</v>
      </c>
      <c r="DA3" s="68" t="s">
        <v>12</v>
      </c>
      <c r="DB3" s="68" t="s">
        <v>148</v>
      </c>
      <c r="DC3" s="69" t="s">
        <v>13</v>
      </c>
      <c r="DD3" s="69" t="s">
        <v>14</v>
      </c>
      <c r="DE3" s="69" t="s">
        <v>15</v>
      </c>
      <c r="DF3" s="70" t="s">
        <v>149</v>
      </c>
      <c r="DG3" s="68" t="s">
        <v>10</v>
      </c>
      <c r="DH3" s="68" t="s">
        <v>11</v>
      </c>
      <c r="DI3" s="68" t="s">
        <v>12</v>
      </c>
      <c r="DJ3" s="68" t="s">
        <v>148</v>
      </c>
      <c r="DK3" s="69" t="s">
        <v>13</v>
      </c>
      <c r="DL3" s="69" t="s">
        <v>14</v>
      </c>
      <c r="DM3" s="69" t="s">
        <v>15</v>
      </c>
      <c r="DN3" s="70" t="s">
        <v>149</v>
      </c>
      <c r="DO3" s="71" t="s">
        <v>10</v>
      </c>
      <c r="DP3" s="72" t="s">
        <v>11</v>
      </c>
      <c r="DQ3" s="72" t="s">
        <v>12</v>
      </c>
      <c r="DR3" s="72" t="s">
        <v>148</v>
      </c>
      <c r="DS3" s="73" t="s">
        <v>13</v>
      </c>
      <c r="DT3" s="73" t="s">
        <v>14</v>
      </c>
      <c r="DU3" s="73" t="s">
        <v>15</v>
      </c>
      <c r="DV3" s="74" t="s">
        <v>149</v>
      </c>
      <c r="DW3" s="71" t="s">
        <v>10</v>
      </c>
      <c r="DX3" s="72" t="s">
        <v>11</v>
      </c>
      <c r="DY3" s="72" t="s">
        <v>12</v>
      </c>
      <c r="DZ3" s="72" t="s">
        <v>148</v>
      </c>
      <c r="EA3" s="73" t="s">
        <v>13</v>
      </c>
      <c r="EB3" s="73" t="s">
        <v>14</v>
      </c>
      <c r="EC3" s="73" t="s">
        <v>15</v>
      </c>
      <c r="ED3" s="74" t="s">
        <v>149</v>
      </c>
      <c r="EE3" s="71" t="s">
        <v>10</v>
      </c>
      <c r="EF3" s="72" t="s">
        <v>11</v>
      </c>
      <c r="EG3" s="72" t="s">
        <v>12</v>
      </c>
      <c r="EH3" s="72" t="s">
        <v>148</v>
      </c>
      <c r="EI3" s="73" t="s">
        <v>13</v>
      </c>
      <c r="EJ3" s="73" t="s">
        <v>14</v>
      </c>
      <c r="EK3" s="73" t="s">
        <v>15</v>
      </c>
      <c r="EL3" s="74" t="s">
        <v>149</v>
      </c>
    </row>
    <row r="4" spans="1:142">
      <c r="A4" s="75">
        <v>1</v>
      </c>
      <c r="B4" s="75" t="s">
        <v>16</v>
      </c>
      <c r="F4" s="76"/>
      <c r="G4" s="77">
        <v>47</v>
      </c>
      <c r="H4" s="78">
        <v>0</v>
      </c>
      <c r="I4" s="77">
        <v>0</v>
      </c>
      <c r="J4" s="77">
        <v>20</v>
      </c>
      <c r="K4" s="79">
        <f>G4*100</f>
        <v>4700</v>
      </c>
      <c r="L4" s="79">
        <f>H4*100</f>
        <v>0</v>
      </c>
      <c r="M4" s="79">
        <f>I4*300</f>
        <v>0</v>
      </c>
      <c r="N4" s="80">
        <f>J4*300</f>
        <v>6000</v>
      </c>
      <c r="O4" s="77">
        <v>48</v>
      </c>
      <c r="P4" s="78">
        <v>0</v>
      </c>
      <c r="Q4" s="77">
        <v>0</v>
      </c>
      <c r="R4" s="77">
        <v>18</v>
      </c>
      <c r="S4" s="79">
        <f>O4*100</f>
        <v>4800</v>
      </c>
      <c r="T4" s="79">
        <f>P4*100</f>
        <v>0</v>
      </c>
      <c r="U4" s="79">
        <f>Q4*300</f>
        <v>0</v>
      </c>
      <c r="V4" s="80">
        <f>R4*300</f>
        <v>5400</v>
      </c>
      <c r="W4" s="77">
        <v>50</v>
      </c>
      <c r="X4" s="78">
        <v>0</v>
      </c>
      <c r="Y4" s="77">
        <v>0</v>
      </c>
      <c r="Z4" s="77">
        <v>19</v>
      </c>
      <c r="AA4" s="79">
        <f>W4*100</f>
        <v>5000</v>
      </c>
      <c r="AB4" s="79">
        <f>X4*100</f>
        <v>0</v>
      </c>
      <c r="AC4" s="79">
        <f>Y4*300</f>
        <v>0</v>
      </c>
      <c r="AD4" s="80">
        <f>Z4*300</f>
        <v>5700</v>
      </c>
      <c r="AE4" s="77">
        <v>50</v>
      </c>
      <c r="AF4" s="78">
        <v>0</v>
      </c>
      <c r="AG4" s="77">
        <v>0</v>
      </c>
      <c r="AH4" s="77">
        <v>19</v>
      </c>
      <c r="AI4" s="79">
        <f>AE4*100</f>
        <v>5000</v>
      </c>
      <c r="AJ4" s="79">
        <f>AF4*100</f>
        <v>0</v>
      </c>
      <c r="AK4" s="79">
        <f>AG4*300</f>
        <v>0</v>
      </c>
      <c r="AL4" s="80">
        <f>AH4*300</f>
        <v>5700</v>
      </c>
      <c r="AM4" s="77">
        <v>52</v>
      </c>
      <c r="AN4" s="78">
        <v>0</v>
      </c>
      <c r="AO4" s="77">
        <v>0</v>
      </c>
      <c r="AP4" s="77">
        <v>20</v>
      </c>
      <c r="AQ4" s="79">
        <f>AM4*100</f>
        <v>5200</v>
      </c>
      <c r="AR4" s="79">
        <f>AN4*100</f>
        <v>0</v>
      </c>
      <c r="AS4" s="79">
        <f>AO4*300</f>
        <v>0</v>
      </c>
      <c r="AT4" s="80">
        <f>AP4*300</f>
        <v>6000</v>
      </c>
      <c r="AU4" s="12">
        <v>52</v>
      </c>
      <c r="AV4" s="26">
        <v>0</v>
      </c>
      <c r="AW4" s="12">
        <v>0</v>
      </c>
      <c r="AX4" s="12">
        <v>20</v>
      </c>
      <c r="AY4" s="28">
        <f>AU4*100</f>
        <v>5200</v>
      </c>
      <c r="AZ4" s="28">
        <f>AV4*100</f>
        <v>0</v>
      </c>
      <c r="BA4" s="28">
        <f>AW4*300</f>
        <v>0</v>
      </c>
      <c r="BB4" s="30">
        <f>AX4*300</f>
        <v>6000</v>
      </c>
      <c r="BC4" s="12">
        <v>52</v>
      </c>
      <c r="BD4" s="26">
        <v>0</v>
      </c>
      <c r="BE4" s="12">
        <v>0</v>
      </c>
      <c r="BF4" s="12">
        <v>20</v>
      </c>
      <c r="BG4" s="28">
        <f>BC4*100</f>
        <v>5200</v>
      </c>
      <c r="BH4" s="28">
        <f>BD4*100</f>
        <v>0</v>
      </c>
      <c r="BI4" s="28">
        <f>BE4*300</f>
        <v>0</v>
      </c>
      <c r="BJ4" s="30">
        <f>BF4*300</f>
        <v>6000</v>
      </c>
      <c r="BK4" s="12">
        <v>52</v>
      </c>
      <c r="BL4" s="26">
        <v>0</v>
      </c>
      <c r="BM4" s="12">
        <v>0</v>
      </c>
      <c r="BN4" s="12">
        <v>20</v>
      </c>
      <c r="BO4" s="28">
        <f>BK4*100</f>
        <v>5200</v>
      </c>
      <c r="BP4" s="28">
        <f>BL4*100</f>
        <v>0</v>
      </c>
      <c r="BQ4" s="28">
        <f>BM4*300</f>
        <v>0</v>
      </c>
      <c r="BR4" s="30">
        <f>BN4*300</f>
        <v>6000</v>
      </c>
      <c r="BS4" s="12">
        <v>55</v>
      </c>
      <c r="BT4" s="26">
        <v>0</v>
      </c>
      <c r="BU4" s="12">
        <v>0</v>
      </c>
      <c r="BV4" s="12">
        <v>20</v>
      </c>
      <c r="BW4" s="28">
        <f>BS4*100</f>
        <v>5500</v>
      </c>
      <c r="BX4" s="28">
        <f>BT4*100</f>
        <v>0</v>
      </c>
      <c r="BY4" s="28">
        <f>BU4*300</f>
        <v>0</v>
      </c>
      <c r="BZ4" s="30">
        <f>BV4*300</f>
        <v>6000</v>
      </c>
      <c r="CA4" s="81"/>
      <c r="CB4" s="82"/>
      <c r="CC4" s="81"/>
      <c r="CD4" s="81"/>
      <c r="CE4" s="83"/>
      <c r="CF4" s="83"/>
      <c r="CG4" s="83"/>
      <c r="CH4" s="84"/>
      <c r="CI4" s="81"/>
      <c r="CJ4" s="82"/>
      <c r="CK4" s="81"/>
      <c r="CL4" s="81"/>
      <c r="CM4" s="83"/>
      <c r="CN4" s="83"/>
      <c r="CO4" s="83"/>
      <c r="CP4" s="84"/>
      <c r="CQ4" s="81"/>
      <c r="CR4" s="82"/>
      <c r="CS4" s="81"/>
      <c r="CT4" s="81"/>
      <c r="CU4" s="83"/>
      <c r="CV4" s="83"/>
      <c r="CW4" s="83"/>
      <c r="CX4" s="84"/>
      <c r="CY4" s="81"/>
      <c r="CZ4" s="82"/>
      <c r="DA4" s="81"/>
      <c r="DB4" s="81"/>
      <c r="DC4" s="83"/>
      <c r="DD4" s="83"/>
      <c r="DE4" s="83"/>
      <c r="DF4" s="84"/>
      <c r="DG4" s="81"/>
      <c r="DH4" s="82"/>
      <c r="DI4" s="81"/>
      <c r="DJ4" s="81"/>
      <c r="DK4" s="83"/>
      <c r="DL4" s="83"/>
      <c r="DM4" s="83"/>
      <c r="DN4" s="84"/>
      <c r="DO4" s="81"/>
      <c r="DP4" s="85"/>
      <c r="DQ4" s="81"/>
      <c r="DR4" s="86"/>
      <c r="DS4" s="87"/>
      <c r="DT4" s="88"/>
      <c r="DU4" s="88"/>
      <c r="DV4" s="89"/>
      <c r="DW4" s="81"/>
      <c r="DX4" s="85"/>
      <c r="DY4" s="81"/>
      <c r="DZ4" s="86"/>
      <c r="EA4" s="87"/>
      <c r="EB4" s="88"/>
      <c r="EC4" s="88"/>
      <c r="ED4" s="89"/>
      <c r="EE4" s="81"/>
      <c r="EF4" s="85"/>
      <c r="EG4" s="81"/>
      <c r="EH4" s="86"/>
      <c r="EI4" s="87"/>
      <c r="EJ4" s="88"/>
      <c r="EK4" s="88"/>
      <c r="EL4" s="89"/>
    </row>
    <row r="5" spans="1:142">
      <c r="A5" s="75">
        <v>2</v>
      </c>
      <c r="B5" s="75" t="s">
        <v>18</v>
      </c>
      <c r="F5" s="76"/>
      <c r="G5" s="77">
        <v>50</v>
      </c>
      <c r="H5" s="90">
        <v>0</v>
      </c>
      <c r="I5" s="77">
        <v>0</v>
      </c>
      <c r="J5" s="77">
        <v>5</v>
      </c>
      <c r="K5" s="91">
        <f t="shared" ref="K5:L68" si="0">G5*100</f>
        <v>5000</v>
      </c>
      <c r="L5" s="91">
        <f t="shared" si="0"/>
        <v>0</v>
      </c>
      <c r="M5" s="91">
        <f t="shared" ref="M5:N68" si="1">I5*300</f>
        <v>0</v>
      </c>
      <c r="N5" s="92">
        <f t="shared" si="1"/>
        <v>1500</v>
      </c>
      <c r="O5" s="77">
        <v>50</v>
      </c>
      <c r="P5" s="90">
        <v>0</v>
      </c>
      <c r="Q5" s="77">
        <v>0</v>
      </c>
      <c r="R5" s="77">
        <v>10</v>
      </c>
      <c r="S5" s="91">
        <f t="shared" ref="S5:T68" si="2">O5*100</f>
        <v>5000</v>
      </c>
      <c r="T5" s="91">
        <f t="shared" si="2"/>
        <v>0</v>
      </c>
      <c r="U5" s="91">
        <f t="shared" ref="U5:V68" si="3">Q5*300</f>
        <v>0</v>
      </c>
      <c r="V5" s="92">
        <f t="shared" si="3"/>
        <v>3000</v>
      </c>
      <c r="W5" s="77">
        <v>48</v>
      </c>
      <c r="X5" s="90">
        <v>0</v>
      </c>
      <c r="Y5" s="77">
        <v>0</v>
      </c>
      <c r="Z5" s="77">
        <v>11</v>
      </c>
      <c r="AA5" s="91">
        <f t="shared" ref="AA5:AB68" si="4">W5*100</f>
        <v>4800</v>
      </c>
      <c r="AB5" s="91">
        <f t="shared" si="4"/>
        <v>0</v>
      </c>
      <c r="AC5" s="91">
        <f t="shared" ref="AC5:AD68" si="5">Y5*300</f>
        <v>0</v>
      </c>
      <c r="AD5" s="92">
        <f t="shared" si="5"/>
        <v>3300</v>
      </c>
      <c r="AE5" s="77">
        <v>50</v>
      </c>
      <c r="AF5" s="90">
        <v>0</v>
      </c>
      <c r="AG5" s="77">
        <v>0</v>
      </c>
      <c r="AH5" s="77">
        <v>12</v>
      </c>
      <c r="AI5" s="91">
        <f t="shared" ref="AI5:AJ68" si="6">AE5*100</f>
        <v>5000</v>
      </c>
      <c r="AJ5" s="91">
        <f t="shared" si="6"/>
        <v>0</v>
      </c>
      <c r="AK5" s="91">
        <f t="shared" ref="AK5:AL68" si="7">AG5*300</f>
        <v>0</v>
      </c>
      <c r="AL5" s="92">
        <f t="shared" si="7"/>
        <v>3600</v>
      </c>
      <c r="AM5" s="77">
        <v>48</v>
      </c>
      <c r="AN5" s="90">
        <v>0</v>
      </c>
      <c r="AO5" s="77">
        <v>0</v>
      </c>
      <c r="AP5" s="77">
        <v>10</v>
      </c>
      <c r="AQ5" s="91">
        <f t="shared" ref="AQ5:AR20" si="8">AM5*100</f>
        <v>4800</v>
      </c>
      <c r="AR5" s="91">
        <f t="shared" si="8"/>
        <v>0</v>
      </c>
      <c r="AS5" s="91">
        <f t="shared" ref="AS5:AT20" si="9">AO5*300</f>
        <v>0</v>
      </c>
      <c r="AT5" s="92">
        <f t="shared" si="9"/>
        <v>3000</v>
      </c>
      <c r="AU5" s="12">
        <v>48</v>
      </c>
      <c r="AV5" s="6">
        <v>0</v>
      </c>
      <c r="AW5" s="12">
        <v>0</v>
      </c>
      <c r="AX5" s="12">
        <v>12</v>
      </c>
      <c r="AY5" s="17">
        <f t="shared" ref="AY5:AZ68" si="10">AU5*100</f>
        <v>4800</v>
      </c>
      <c r="AZ5" s="17">
        <f t="shared" si="10"/>
        <v>0</v>
      </c>
      <c r="BA5" s="17">
        <f t="shared" ref="BA5:BB68" si="11">AW5*300</f>
        <v>0</v>
      </c>
      <c r="BB5" s="25">
        <f t="shared" si="11"/>
        <v>3600</v>
      </c>
      <c r="BC5" s="12">
        <v>48</v>
      </c>
      <c r="BD5" s="6">
        <v>0</v>
      </c>
      <c r="BE5" s="12">
        <v>0</v>
      </c>
      <c r="BF5" s="12">
        <v>12</v>
      </c>
      <c r="BG5" s="17">
        <f t="shared" ref="BG5:BH68" si="12">BC5*100</f>
        <v>4800</v>
      </c>
      <c r="BH5" s="17">
        <f t="shared" si="12"/>
        <v>0</v>
      </c>
      <c r="BI5" s="17">
        <f t="shared" ref="BI5:BJ68" si="13">BE5*300</f>
        <v>0</v>
      </c>
      <c r="BJ5" s="25">
        <f t="shared" si="13"/>
        <v>3600</v>
      </c>
      <c r="BK5" s="12">
        <v>48</v>
      </c>
      <c r="BL5" s="6">
        <v>0</v>
      </c>
      <c r="BM5" s="12">
        <v>0</v>
      </c>
      <c r="BN5" s="12">
        <v>12</v>
      </c>
      <c r="BO5" s="17">
        <f t="shared" ref="BO5:BP68" si="14">BK5*100</f>
        <v>4800</v>
      </c>
      <c r="BP5" s="17">
        <f t="shared" si="14"/>
        <v>0</v>
      </c>
      <c r="BQ5" s="17">
        <f t="shared" ref="BQ5:BR68" si="15">BM5*300</f>
        <v>0</v>
      </c>
      <c r="BR5" s="25">
        <f t="shared" si="15"/>
        <v>3600</v>
      </c>
      <c r="BS5" s="12">
        <v>52</v>
      </c>
      <c r="BT5" s="6">
        <v>0</v>
      </c>
      <c r="BU5" s="12">
        <v>0</v>
      </c>
      <c r="BV5" s="12">
        <v>15</v>
      </c>
      <c r="BW5" s="17">
        <f t="shared" ref="BW5:BX68" si="16">BS5*100</f>
        <v>5200</v>
      </c>
      <c r="BX5" s="17">
        <f t="shared" si="16"/>
        <v>0</v>
      </c>
      <c r="BY5" s="17">
        <f t="shared" ref="BY5:BZ68" si="17">BU5*300</f>
        <v>0</v>
      </c>
      <c r="BZ5" s="25">
        <f t="shared" si="17"/>
        <v>4500</v>
      </c>
      <c r="CA5" s="81"/>
      <c r="CB5" s="75"/>
      <c r="CC5" s="81"/>
      <c r="CD5" s="81"/>
      <c r="CE5" s="93"/>
      <c r="CF5" s="93"/>
      <c r="CG5" s="93"/>
      <c r="CH5" s="94"/>
      <c r="CI5" s="81"/>
      <c r="CJ5" s="75"/>
      <c r="CK5" s="81"/>
      <c r="CL5" s="81"/>
      <c r="CM5" s="93"/>
      <c r="CN5" s="93"/>
      <c r="CO5" s="93"/>
      <c r="CP5" s="94"/>
      <c r="CQ5" s="81"/>
      <c r="CR5" s="75"/>
      <c r="CS5" s="81"/>
      <c r="CT5" s="81"/>
      <c r="CU5" s="93"/>
      <c r="CV5" s="93"/>
      <c r="CW5" s="93"/>
      <c r="CX5" s="94"/>
      <c r="CY5" s="81"/>
      <c r="CZ5" s="75"/>
      <c r="DA5" s="81"/>
      <c r="DB5" s="81"/>
      <c r="DC5" s="93"/>
      <c r="DD5" s="93"/>
      <c r="DE5" s="93"/>
      <c r="DF5" s="94"/>
      <c r="DG5" s="81"/>
      <c r="DH5" s="75"/>
      <c r="DI5" s="81"/>
      <c r="DJ5" s="81"/>
      <c r="DK5" s="93"/>
      <c r="DL5" s="93"/>
      <c r="DM5" s="93"/>
      <c r="DN5" s="94"/>
      <c r="DO5" s="95"/>
      <c r="DP5" s="96"/>
      <c r="DQ5" s="95"/>
      <c r="DR5" s="97"/>
      <c r="DS5" s="98"/>
      <c r="DT5" s="99"/>
      <c r="DU5" s="99"/>
      <c r="DV5" s="100"/>
      <c r="DW5" s="95"/>
      <c r="DX5" s="96"/>
      <c r="DY5" s="95"/>
      <c r="DZ5" s="97"/>
      <c r="EA5" s="98"/>
      <c r="EB5" s="99"/>
      <c r="EC5" s="99"/>
      <c r="ED5" s="100"/>
      <c r="EE5" s="95"/>
      <c r="EF5" s="96"/>
      <c r="EG5" s="95"/>
      <c r="EH5" s="97"/>
      <c r="EI5" s="98"/>
      <c r="EJ5" s="99"/>
      <c r="EK5" s="99"/>
      <c r="EL5" s="100"/>
    </row>
    <row r="6" spans="1:142">
      <c r="A6" s="75">
        <v>3</v>
      </c>
      <c r="B6" s="75" t="s">
        <v>20</v>
      </c>
      <c r="F6" s="76"/>
      <c r="G6" s="77">
        <v>35</v>
      </c>
      <c r="H6" s="90">
        <v>0</v>
      </c>
      <c r="I6" s="77">
        <v>0</v>
      </c>
      <c r="J6" s="77">
        <v>20</v>
      </c>
      <c r="K6" s="91">
        <f t="shared" si="0"/>
        <v>3500</v>
      </c>
      <c r="L6" s="91">
        <f t="shared" si="0"/>
        <v>0</v>
      </c>
      <c r="M6" s="91">
        <f t="shared" si="1"/>
        <v>0</v>
      </c>
      <c r="N6" s="92">
        <f t="shared" si="1"/>
        <v>6000</v>
      </c>
      <c r="O6" s="77">
        <v>55</v>
      </c>
      <c r="P6" s="90">
        <v>0</v>
      </c>
      <c r="Q6" s="77">
        <v>0</v>
      </c>
      <c r="R6" s="77">
        <v>20</v>
      </c>
      <c r="S6" s="91">
        <f t="shared" si="2"/>
        <v>5500</v>
      </c>
      <c r="T6" s="91">
        <f t="shared" si="2"/>
        <v>0</v>
      </c>
      <c r="U6" s="91">
        <f t="shared" si="3"/>
        <v>0</v>
      </c>
      <c r="V6" s="92">
        <f t="shared" si="3"/>
        <v>6000</v>
      </c>
      <c r="W6" s="77">
        <v>50</v>
      </c>
      <c r="X6" s="90">
        <v>0</v>
      </c>
      <c r="Y6" s="77">
        <v>0</v>
      </c>
      <c r="Z6" s="77">
        <v>18</v>
      </c>
      <c r="AA6" s="91">
        <f t="shared" si="4"/>
        <v>5000</v>
      </c>
      <c r="AB6" s="91">
        <f t="shared" si="4"/>
        <v>0</v>
      </c>
      <c r="AC6" s="91">
        <f t="shared" si="5"/>
        <v>0</v>
      </c>
      <c r="AD6" s="92">
        <f t="shared" si="5"/>
        <v>5400</v>
      </c>
      <c r="AE6" s="77">
        <v>48</v>
      </c>
      <c r="AF6" s="90">
        <v>0</v>
      </c>
      <c r="AG6" s="77">
        <v>0</v>
      </c>
      <c r="AH6" s="77">
        <v>11</v>
      </c>
      <c r="AI6" s="91">
        <f t="shared" si="6"/>
        <v>4800</v>
      </c>
      <c r="AJ6" s="91">
        <f t="shared" si="6"/>
        <v>0</v>
      </c>
      <c r="AK6" s="91">
        <f t="shared" si="7"/>
        <v>0</v>
      </c>
      <c r="AL6" s="92">
        <f t="shared" si="7"/>
        <v>3300</v>
      </c>
      <c r="AM6" s="77">
        <v>40</v>
      </c>
      <c r="AN6" s="90">
        <v>0</v>
      </c>
      <c r="AO6" s="77">
        <v>0</v>
      </c>
      <c r="AP6" s="77">
        <v>20</v>
      </c>
      <c r="AQ6" s="91">
        <f t="shared" si="8"/>
        <v>4000</v>
      </c>
      <c r="AR6" s="91">
        <f t="shared" si="8"/>
        <v>0</v>
      </c>
      <c r="AS6" s="91">
        <f t="shared" si="9"/>
        <v>0</v>
      </c>
      <c r="AT6" s="92">
        <f t="shared" si="9"/>
        <v>6000</v>
      </c>
      <c r="AU6" s="12">
        <v>42</v>
      </c>
      <c r="AV6" s="6">
        <v>0</v>
      </c>
      <c r="AW6" s="12">
        <v>0</v>
      </c>
      <c r="AX6" s="12">
        <v>20</v>
      </c>
      <c r="AY6" s="17">
        <f t="shared" si="10"/>
        <v>4200</v>
      </c>
      <c r="AZ6" s="17">
        <f t="shared" si="10"/>
        <v>0</v>
      </c>
      <c r="BA6" s="17">
        <f t="shared" si="11"/>
        <v>0</v>
      </c>
      <c r="BB6" s="25">
        <f t="shared" si="11"/>
        <v>6000</v>
      </c>
      <c r="BC6" s="12">
        <v>44</v>
      </c>
      <c r="BD6" s="6">
        <v>0</v>
      </c>
      <c r="BE6" s="12">
        <v>0</v>
      </c>
      <c r="BF6" s="12">
        <v>20</v>
      </c>
      <c r="BG6" s="17">
        <f t="shared" si="12"/>
        <v>4400</v>
      </c>
      <c r="BH6" s="17">
        <f t="shared" si="12"/>
        <v>0</v>
      </c>
      <c r="BI6" s="17">
        <f t="shared" si="13"/>
        <v>0</v>
      </c>
      <c r="BJ6" s="25">
        <f t="shared" si="13"/>
        <v>6000</v>
      </c>
      <c r="BK6" s="12">
        <v>44</v>
      </c>
      <c r="BL6" s="6">
        <v>0</v>
      </c>
      <c r="BM6" s="12">
        <v>0</v>
      </c>
      <c r="BN6" s="12">
        <v>20</v>
      </c>
      <c r="BO6" s="17">
        <f t="shared" si="14"/>
        <v>4400</v>
      </c>
      <c r="BP6" s="17">
        <f t="shared" si="14"/>
        <v>0</v>
      </c>
      <c r="BQ6" s="17">
        <f t="shared" si="15"/>
        <v>0</v>
      </c>
      <c r="BR6" s="25">
        <f t="shared" si="15"/>
        <v>6000</v>
      </c>
      <c r="BS6" s="12">
        <v>46</v>
      </c>
      <c r="BT6" s="6">
        <v>0</v>
      </c>
      <c r="BU6" s="12">
        <v>0</v>
      </c>
      <c r="BV6" s="12">
        <v>20</v>
      </c>
      <c r="BW6" s="17">
        <f t="shared" si="16"/>
        <v>4600</v>
      </c>
      <c r="BX6" s="17">
        <f t="shared" si="16"/>
        <v>0</v>
      </c>
      <c r="BY6" s="17">
        <f t="shared" si="17"/>
        <v>0</v>
      </c>
      <c r="BZ6" s="25">
        <f t="shared" si="17"/>
        <v>6000</v>
      </c>
      <c r="CA6" s="81"/>
      <c r="CB6" s="75"/>
      <c r="CC6" s="81"/>
      <c r="CD6" s="81"/>
      <c r="CE6" s="93"/>
      <c r="CF6" s="93"/>
      <c r="CG6" s="93"/>
      <c r="CH6" s="94"/>
      <c r="CI6" s="81"/>
      <c r="CJ6" s="75"/>
      <c r="CK6" s="81"/>
      <c r="CL6" s="81"/>
      <c r="CM6" s="93"/>
      <c r="CN6" s="93"/>
      <c r="CO6" s="93"/>
      <c r="CP6" s="94"/>
      <c r="CQ6" s="81"/>
      <c r="CR6" s="75"/>
      <c r="CS6" s="81"/>
      <c r="CT6" s="81"/>
      <c r="CU6" s="93"/>
      <c r="CV6" s="93"/>
      <c r="CW6" s="93"/>
      <c r="CX6" s="94"/>
      <c r="CY6" s="81"/>
      <c r="CZ6" s="75"/>
      <c r="DA6" s="81"/>
      <c r="DB6" s="81"/>
      <c r="DC6" s="93"/>
      <c r="DD6" s="93"/>
      <c r="DE6" s="93"/>
      <c r="DF6" s="94"/>
      <c r="DG6" s="81"/>
      <c r="DH6" s="75"/>
      <c r="DI6" s="81"/>
      <c r="DJ6" s="81"/>
      <c r="DK6" s="93"/>
      <c r="DL6" s="93"/>
      <c r="DM6" s="93"/>
      <c r="DN6" s="94"/>
      <c r="DO6" s="95"/>
      <c r="DP6" s="96"/>
      <c r="DQ6" s="95"/>
      <c r="DR6" s="97"/>
      <c r="DS6" s="98"/>
      <c r="DT6" s="99"/>
      <c r="DU6" s="99"/>
      <c r="DV6" s="100"/>
      <c r="DW6" s="95"/>
      <c r="DX6" s="96"/>
      <c r="DY6" s="95"/>
      <c r="DZ6" s="97"/>
      <c r="EA6" s="98"/>
      <c r="EB6" s="99"/>
      <c r="EC6" s="99"/>
      <c r="ED6" s="100"/>
      <c r="EE6" s="95"/>
      <c r="EF6" s="96"/>
      <c r="EG6" s="95"/>
      <c r="EH6" s="97"/>
      <c r="EI6" s="98"/>
      <c r="EJ6" s="99"/>
      <c r="EK6" s="99"/>
      <c r="EL6" s="100"/>
    </row>
    <row r="7" spans="1:142">
      <c r="A7" s="75">
        <v>4</v>
      </c>
      <c r="B7" s="75" t="s">
        <v>22</v>
      </c>
      <c r="F7" s="76"/>
      <c r="G7" s="77">
        <v>42</v>
      </c>
      <c r="H7" s="90">
        <v>0</v>
      </c>
      <c r="I7" s="77">
        <v>0</v>
      </c>
      <c r="J7" s="77">
        <v>10</v>
      </c>
      <c r="K7" s="91">
        <f t="shared" si="0"/>
        <v>4200</v>
      </c>
      <c r="L7" s="91">
        <f t="shared" si="0"/>
        <v>0</v>
      </c>
      <c r="M7" s="91">
        <f t="shared" si="1"/>
        <v>0</v>
      </c>
      <c r="N7" s="92">
        <f t="shared" si="1"/>
        <v>3000</v>
      </c>
      <c r="O7" s="77">
        <v>40</v>
      </c>
      <c r="P7" s="90">
        <v>0</v>
      </c>
      <c r="Q7" s="77">
        <v>0</v>
      </c>
      <c r="R7" s="77">
        <v>10</v>
      </c>
      <c r="S7" s="91">
        <f t="shared" si="2"/>
        <v>4000</v>
      </c>
      <c r="T7" s="91">
        <f t="shared" si="2"/>
        <v>0</v>
      </c>
      <c r="U7" s="91">
        <f t="shared" si="3"/>
        <v>0</v>
      </c>
      <c r="V7" s="92">
        <f t="shared" si="3"/>
        <v>3000</v>
      </c>
      <c r="W7" s="77">
        <v>45</v>
      </c>
      <c r="X7" s="90">
        <v>0</v>
      </c>
      <c r="Y7" s="77">
        <v>0</v>
      </c>
      <c r="Z7" s="77">
        <v>13</v>
      </c>
      <c r="AA7" s="91">
        <f t="shared" si="4"/>
        <v>4500</v>
      </c>
      <c r="AB7" s="91">
        <f t="shared" si="4"/>
        <v>0</v>
      </c>
      <c r="AC7" s="91">
        <f t="shared" si="5"/>
        <v>0</v>
      </c>
      <c r="AD7" s="92">
        <f t="shared" si="5"/>
        <v>3900</v>
      </c>
      <c r="AE7" s="77">
        <v>61</v>
      </c>
      <c r="AF7" s="90">
        <v>0</v>
      </c>
      <c r="AG7" s="77">
        <v>0</v>
      </c>
      <c r="AH7" s="77">
        <v>18</v>
      </c>
      <c r="AI7" s="91">
        <f t="shared" si="6"/>
        <v>6100</v>
      </c>
      <c r="AJ7" s="91">
        <f t="shared" si="6"/>
        <v>0</v>
      </c>
      <c r="AK7" s="91">
        <f t="shared" si="7"/>
        <v>0</v>
      </c>
      <c r="AL7" s="92">
        <f t="shared" si="7"/>
        <v>5400</v>
      </c>
      <c r="AM7" s="77">
        <v>61</v>
      </c>
      <c r="AN7" s="90">
        <v>0</v>
      </c>
      <c r="AO7" s="77">
        <v>0</v>
      </c>
      <c r="AP7" s="77">
        <v>8</v>
      </c>
      <c r="AQ7" s="91">
        <f t="shared" si="8"/>
        <v>6100</v>
      </c>
      <c r="AR7" s="91">
        <f t="shared" si="8"/>
        <v>0</v>
      </c>
      <c r="AS7" s="91">
        <f t="shared" si="9"/>
        <v>0</v>
      </c>
      <c r="AT7" s="92">
        <f t="shared" si="9"/>
        <v>2400</v>
      </c>
      <c r="AU7" s="12">
        <v>60</v>
      </c>
      <c r="AV7" s="6">
        <v>0</v>
      </c>
      <c r="AW7" s="12">
        <v>0</v>
      </c>
      <c r="AX7" s="12">
        <v>12</v>
      </c>
      <c r="AY7" s="17">
        <f t="shared" si="10"/>
        <v>6000</v>
      </c>
      <c r="AZ7" s="17">
        <f t="shared" si="10"/>
        <v>0</v>
      </c>
      <c r="BA7" s="17">
        <f t="shared" si="11"/>
        <v>0</v>
      </c>
      <c r="BB7" s="25">
        <f t="shared" si="11"/>
        <v>3600</v>
      </c>
      <c r="BC7" s="12">
        <v>61</v>
      </c>
      <c r="BD7" s="6">
        <v>0</v>
      </c>
      <c r="BE7" s="12">
        <v>0</v>
      </c>
      <c r="BF7" s="12">
        <v>16</v>
      </c>
      <c r="BG7" s="17">
        <f t="shared" si="12"/>
        <v>6100</v>
      </c>
      <c r="BH7" s="17">
        <f t="shared" si="12"/>
        <v>0</v>
      </c>
      <c r="BI7" s="17">
        <f t="shared" si="13"/>
        <v>0</v>
      </c>
      <c r="BJ7" s="25">
        <f t="shared" si="13"/>
        <v>4800</v>
      </c>
      <c r="BK7" s="12">
        <v>61</v>
      </c>
      <c r="BL7" s="6">
        <v>0</v>
      </c>
      <c r="BM7" s="12">
        <v>0</v>
      </c>
      <c r="BN7" s="12">
        <v>16</v>
      </c>
      <c r="BO7" s="17">
        <f t="shared" si="14"/>
        <v>6100</v>
      </c>
      <c r="BP7" s="17">
        <f t="shared" si="14"/>
        <v>0</v>
      </c>
      <c r="BQ7" s="17">
        <f t="shared" si="15"/>
        <v>0</v>
      </c>
      <c r="BR7" s="25">
        <f t="shared" si="15"/>
        <v>4800</v>
      </c>
      <c r="BS7" s="12">
        <v>58</v>
      </c>
      <c r="BT7" s="6">
        <v>0</v>
      </c>
      <c r="BU7" s="12">
        <v>0</v>
      </c>
      <c r="BV7" s="12">
        <v>18</v>
      </c>
      <c r="BW7" s="17">
        <f t="shared" si="16"/>
        <v>5800</v>
      </c>
      <c r="BX7" s="17">
        <f t="shared" si="16"/>
        <v>0</v>
      </c>
      <c r="BY7" s="17">
        <f t="shared" si="17"/>
        <v>0</v>
      </c>
      <c r="BZ7" s="25">
        <f t="shared" si="17"/>
        <v>5400</v>
      </c>
      <c r="CA7" s="81"/>
      <c r="CB7" s="75"/>
      <c r="CC7" s="81"/>
      <c r="CD7" s="81"/>
      <c r="CE7" s="93"/>
      <c r="CF7" s="93"/>
      <c r="CG7" s="93"/>
      <c r="CH7" s="94"/>
      <c r="CI7" s="81"/>
      <c r="CJ7" s="75"/>
      <c r="CK7" s="81"/>
      <c r="CL7" s="81"/>
      <c r="CM7" s="93"/>
      <c r="CN7" s="93"/>
      <c r="CO7" s="93"/>
      <c r="CP7" s="94"/>
      <c r="CQ7" s="81"/>
      <c r="CR7" s="75"/>
      <c r="CS7" s="81"/>
      <c r="CT7" s="81"/>
      <c r="CU7" s="93"/>
      <c r="CV7" s="93"/>
      <c r="CW7" s="93"/>
      <c r="CX7" s="94"/>
      <c r="CY7" s="81"/>
      <c r="CZ7" s="75"/>
      <c r="DA7" s="81"/>
      <c r="DB7" s="81"/>
      <c r="DC7" s="93"/>
      <c r="DD7" s="93"/>
      <c r="DE7" s="93"/>
      <c r="DF7" s="94"/>
      <c r="DG7" s="81"/>
      <c r="DH7" s="75"/>
      <c r="DI7" s="81"/>
      <c r="DJ7" s="81"/>
      <c r="DK7" s="93"/>
      <c r="DL7" s="93"/>
      <c r="DM7" s="93"/>
      <c r="DN7" s="94"/>
      <c r="DO7" s="95"/>
      <c r="DP7" s="96"/>
      <c r="DQ7" s="95"/>
      <c r="DR7" s="97"/>
      <c r="DS7" s="98"/>
      <c r="DT7" s="99"/>
      <c r="DU7" s="99"/>
      <c r="DV7" s="100"/>
      <c r="DW7" s="95"/>
      <c r="DX7" s="96"/>
      <c r="DY7" s="95"/>
      <c r="DZ7" s="97"/>
      <c r="EA7" s="98"/>
      <c r="EB7" s="99"/>
      <c r="EC7" s="99"/>
      <c r="ED7" s="100"/>
      <c r="EE7" s="95"/>
      <c r="EF7" s="96"/>
      <c r="EG7" s="95"/>
      <c r="EH7" s="97"/>
      <c r="EI7" s="98"/>
      <c r="EJ7" s="99"/>
      <c r="EK7" s="99"/>
      <c r="EL7" s="100"/>
    </row>
    <row r="8" spans="1:142">
      <c r="A8" s="75">
        <v>5</v>
      </c>
      <c r="B8" s="75" t="s">
        <v>23</v>
      </c>
      <c r="F8" s="76"/>
      <c r="G8" s="77">
        <v>38</v>
      </c>
      <c r="H8" s="90">
        <v>0</v>
      </c>
      <c r="I8" s="77">
        <v>0</v>
      </c>
      <c r="J8" s="77">
        <v>16</v>
      </c>
      <c r="K8" s="91">
        <f t="shared" si="0"/>
        <v>3800</v>
      </c>
      <c r="L8" s="91">
        <f t="shared" si="0"/>
        <v>0</v>
      </c>
      <c r="M8" s="91">
        <f t="shared" si="1"/>
        <v>0</v>
      </c>
      <c r="N8" s="92">
        <f t="shared" si="1"/>
        <v>4800</v>
      </c>
      <c r="O8" s="77">
        <v>37</v>
      </c>
      <c r="P8" s="90">
        <v>0</v>
      </c>
      <c r="Q8" s="77">
        <v>0</v>
      </c>
      <c r="R8" s="77">
        <v>16</v>
      </c>
      <c r="S8" s="91">
        <f t="shared" si="2"/>
        <v>3700</v>
      </c>
      <c r="T8" s="91">
        <f t="shared" si="2"/>
        <v>0</v>
      </c>
      <c r="U8" s="91">
        <f t="shared" si="3"/>
        <v>0</v>
      </c>
      <c r="V8" s="92">
        <f t="shared" si="3"/>
        <v>4800</v>
      </c>
      <c r="W8" s="77">
        <v>40</v>
      </c>
      <c r="X8" s="90">
        <v>0</v>
      </c>
      <c r="Y8" s="77">
        <v>0</v>
      </c>
      <c r="Z8" s="77">
        <v>20</v>
      </c>
      <c r="AA8" s="91">
        <f t="shared" si="4"/>
        <v>4000</v>
      </c>
      <c r="AB8" s="91">
        <f t="shared" si="4"/>
        <v>0</v>
      </c>
      <c r="AC8" s="91">
        <f t="shared" si="5"/>
        <v>0</v>
      </c>
      <c r="AD8" s="92">
        <f t="shared" si="5"/>
        <v>6000</v>
      </c>
      <c r="AE8" s="77">
        <v>41</v>
      </c>
      <c r="AF8" s="90">
        <v>0</v>
      </c>
      <c r="AG8" s="77">
        <v>0</v>
      </c>
      <c r="AH8" s="77">
        <v>20</v>
      </c>
      <c r="AI8" s="91">
        <f t="shared" si="6"/>
        <v>4100</v>
      </c>
      <c r="AJ8" s="91">
        <f t="shared" si="6"/>
        <v>0</v>
      </c>
      <c r="AK8" s="91">
        <f t="shared" si="7"/>
        <v>0</v>
      </c>
      <c r="AL8" s="92">
        <f t="shared" si="7"/>
        <v>6000</v>
      </c>
      <c r="AM8" s="77">
        <v>44</v>
      </c>
      <c r="AN8" s="90">
        <v>0</v>
      </c>
      <c r="AO8" s="77">
        <v>0</v>
      </c>
      <c r="AP8" s="77">
        <v>20</v>
      </c>
      <c r="AQ8" s="91">
        <f t="shared" si="8"/>
        <v>4400</v>
      </c>
      <c r="AR8" s="91">
        <f t="shared" si="8"/>
        <v>0</v>
      </c>
      <c r="AS8" s="91">
        <f t="shared" si="9"/>
        <v>0</v>
      </c>
      <c r="AT8" s="92">
        <f t="shared" si="9"/>
        <v>6000</v>
      </c>
      <c r="AU8" s="12">
        <v>43</v>
      </c>
      <c r="AV8" s="6">
        <v>0</v>
      </c>
      <c r="AW8" s="12">
        <v>0</v>
      </c>
      <c r="AX8" s="12">
        <v>20</v>
      </c>
      <c r="AY8" s="17">
        <f t="shared" si="10"/>
        <v>4300</v>
      </c>
      <c r="AZ8" s="17">
        <f t="shared" si="10"/>
        <v>0</v>
      </c>
      <c r="BA8" s="17">
        <f t="shared" si="11"/>
        <v>0</v>
      </c>
      <c r="BB8" s="25">
        <f t="shared" si="11"/>
        <v>6000</v>
      </c>
      <c r="BC8" s="12">
        <v>42</v>
      </c>
      <c r="BD8" s="6">
        <v>0</v>
      </c>
      <c r="BE8" s="12">
        <v>0</v>
      </c>
      <c r="BF8" s="12">
        <v>20</v>
      </c>
      <c r="BG8" s="17">
        <f t="shared" si="12"/>
        <v>4200</v>
      </c>
      <c r="BH8" s="17">
        <f t="shared" si="12"/>
        <v>0</v>
      </c>
      <c r="BI8" s="17">
        <f t="shared" si="13"/>
        <v>0</v>
      </c>
      <c r="BJ8" s="25">
        <f t="shared" si="13"/>
        <v>6000</v>
      </c>
      <c r="BK8" s="12">
        <v>42</v>
      </c>
      <c r="BL8" s="6">
        <v>0</v>
      </c>
      <c r="BM8" s="12">
        <v>0</v>
      </c>
      <c r="BN8" s="12">
        <v>20</v>
      </c>
      <c r="BO8" s="17">
        <f t="shared" si="14"/>
        <v>4200</v>
      </c>
      <c r="BP8" s="17">
        <f t="shared" si="14"/>
        <v>0</v>
      </c>
      <c r="BQ8" s="17">
        <f t="shared" si="15"/>
        <v>0</v>
      </c>
      <c r="BR8" s="25">
        <f t="shared" si="15"/>
        <v>6000</v>
      </c>
      <c r="BS8" s="12">
        <v>50</v>
      </c>
      <c r="BT8" s="6">
        <v>0</v>
      </c>
      <c r="BU8" s="12">
        <v>0</v>
      </c>
      <c r="BV8" s="12">
        <v>20</v>
      </c>
      <c r="BW8" s="17">
        <f t="shared" si="16"/>
        <v>5000</v>
      </c>
      <c r="BX8" s="17">
        <f t="shared" si="16"/>
        <v>0</v>
      </c>
      <c r="BY8" s="17">
        <f t="shared" si="17"/>
        <v>0</v>
      </c>
      <c r="BZ8" s="25">
        <f t="shared" si="17"/>
        <v>6000</v>
      </c>
      <c r="CA8" s="81"/>
      <c r="CB8" s="75"/>
      <c r="CC8" s="81"/>
      <c r="CD8" s="81"/>
      <c r="CE8" s="93"/>
      <c r="CF8" s="93"/>
      <c r="CG8" s="93"/>
      <c r="CH8" s="94"/>
      <c r="CI8" s="81"/>
      <c r="CJ8" s="75"/>
      <c r="CK8" s="81"/>
      <c r="CL8" s="81"/>
      <c r="CM8" s="93"/>
      <c r="CN8" s="93"/>
      <c r="CO8" s="93"/>
      <c r="CP8" s="94"/>
      <c r="CQ8" s="81"/>
      <c r="CR8" s="75"/>
      <c r="CS8" s="81"/>
      <c r="CT8" s="81"/>
      <c r="CU8" s="93"/>
      <c r="CV8" s="93"/>
      <c r="CW8" s="93"/>
      <c r="CX8" s="94"/>
      <c r="CY8" s="81"/>
      <c r="CZ8" s="75"/>
      <c r="DA8" s="81"/>
      <c r="DB8" s="81"/>
      <c r="DC8" s="93"/>
      <c r="DD8" s="93"/>
      <c r="DE8" s="93"/>
      <c r="DF8" s="94"/>
      <c r="DG8" s="81"/>
      <c r="DH8" s="75"/>
      <c r="DI8" s="81"/>
      <c r="DJ8" s="81"/>
      <c r="DK8" s="93"/>
      <c r="DL8" s="93"/>
      <c r="DM8" s="93"/>
      <c r="DN8" s="94"/>
      <c r="DO8" s="95"/>
      <c r="DP8" s="96"/>
      <c r="DQ8" s="95"/>
      <c r="DR8" s="97"/>
      <c r="DS8" s="98"/>
      <c r="DT8" s="99"/>
      <c r="DU8" s="99"/>
      <c r="DV8" s="100"/>
      <c r="DW8" s="95"/>
      <c r="DX8" s="96"/>
      <c r="DY8" s="95"/>
      <c r="DZ8" s="97"/>
      <c r="EA8" s="98"/>
      <c r="EB8" s="99"/>
      <c r="EC8" s="99"/>
      <c r="ED8" s="100"/>
      <c r="EE8" s="95"/>
      <c r="EF8" s="96"/>
      <c r="EG8" s="95"/>
      <c r="EH8" s="97"/>
      <c r="EI8" s="98"/>
      <c r="EJ8" s="99"/>
      <c r="EK8" s="99"/>
      <c r="EL8" s="100"/>
    </row>
    <row r="9" spans="1:142">
      <c r="A9" s="75">
        <v>6</v>
      </c>
      <c r="B9" s="75" t="s">
        <v>25</v>
      </c>
      <c r="F9" s="76"/>
      <c r="G9" s="77">
        <v>30</v>
      </c>
      <c r="H9" s="90">
        <v>0</v>
      </c>
      <c r="I9" s="77">
        <v>0</v>
      </c>
      <c r="J9" s="77">
        <v>20</v>
      </c>
      <c r="K9" s="91">
        <f t="shared" si="0"/>
        <v>3000</v>
      </c>
      <c r="L9" s="91">
        <f t="shared" si="0"/>
        <v>0</v>
      </c>
      <c r="M9" s="91">
        <f t="shared" si="1"/>
        <v>0</v>
      </c>
      <c r="N9" s="92">
        <f t="shared" si="1"/>
        <v>6000</v>
      </c>
      <c r="O9" s="77">
        <v>35</v>
      </c>
      <c r="P9" s="90">
        <v>0</v>
      </c>
      <c r="Q9" s="77">
        <v>0</v>
      </c>
      <c r="R9" s="77">
        <v>20</v>
      </c>
      <c r="S9" s="91">
        <f t="shared" si="2"/>
        <v>3500</v>
      </c>
      <c r="T9" s="91">
        <f t="shared" si="2"/>
        <v>0</v>
      </c>
      <c r="U9" s="91">
        <f t="shared" si="3"/>
        <v>0</v>
      </c>
      <c r="V9" s="92">
        <f t="shared" si="3"/>
        <v>6000</v>
      </c>
      <c r="W9" s="77">
        <v>32</v>
      </c>
      <c r="X9" s="90">
        <v>0</v>
      </c>
      <c r="Y9" s="77">
        <v>0</v>
      </c>
      <c r="Z9" s="77">
        <v>16</v>
      </c>
      <c r="AA9" s="91">
        <f t="shared" si="4"/>
        <v>3200</v>
      </c>
      <c r="AB9" s="91">
        <f t="shared" si="4"/>
        <v>0</v>
      </c>
      <c r="AC9" s="91">
        <f t="shared" si="5"/>
        <v>0</v>
      </c>
      <c r="AD9" s="92">
        <f t="shared" si="5"/>
        <v>4800</v>
      </c>
      <c r="AE9" s="77">
        <v>33</v>
      </c>
      <c r="AF9" s="90">
        <v>0</v>
      </c>
      <c r="AG9" s="77">
        <v>0</v>
      </c>
      <c r="AH9" s="77">
        <v>18</v>
      </c>
      <c r="AI9" s="91">
        <f t="shared" si="6"/>
        <v>3300</v>
      </c>
      <c r="AJ9" s="91">
        <f t="shared" si="6"/>
        <v>0</v>
      </c>
      <c r="AK9" s="91">
        <f t="shared" si="7"/>
        <v>0</v>
      </c>
      <c r="AL9" s="92">
        <f t="shared" si="7"/>
        <v>5400</v>
      </c>
      <c r="AM9" s="77">
        <v>34</v>
      </c>
      <c r="AN9" s="90">
        <v>0</v>
      </c>
      <c r="AO9" s="77">
        <v>0</v>
      </c>
      <c r="AP9" s="77">
        <v>15</v>
      </c>
      <c r="AQ9" s="91">
        <f t="shared" si="8"/>
        <v>3400</v>
      </c>
      <c r="AR9" s="91">
        <f t="shared" si="8"/>
        <v>0</v>
      </c>
      <c r="AS9" s="91">
        <f t="shared" si="9"/>
        <v>0</v>
      </c>
      <c r="AT9" s="92">
        <f t="shared" si="9"/>
        <v>4500</v>
      </c>
      <c r="AU9" s="12">
        <v>36</v>
      </c>
      <c r="AV9" s="6">
        <v>0</v>
      </c>
      <c r="AW9" s="12">
        <v>0</v>
      </c>
      <c r="AX9" s="12">
        <v>15</v>
      </c>
      <c r="AY9" s="17">
        <f t="shared" si="10"/>
        <v>3600</v>
      </c>
      <c r="AZ9" s="17">
        <f t="shared" si="10"/>
        <v>0</v>
      </c>
      <c r="BA9" s="17">
        <f t="shared" si="11"/>
        <v>0</v>
      </c>
      <c r="BB9" s="25">
        <f t="shared" si="11"/>
        <v>4500</v>
      </c>
      <c r="BC9" s="12">
        <v>38</v>
      </c>
      <c r="BD9" s="6">
        <v>0</v>
      </c>
      <c r="BE9" s="12">
        <v>0</v>
      </c>
      <c r="BF9" s="12">
        <v>19</v>
      </c>
      <c r="BG9" s="17">
        <f t="shared" si="12"/>
        <v>3800</v>
      </c>
      <c r="BH9" s="17">
        <f t="shared" si="12"/>
        <v>0</v>
      </c>
      <c r="BI9" s="17">
        <f t="shared" si="13"/>
        <v>0</v>
      </c>
      <c r="BJ9" s="25">
        <f t="shared" si="13"/>
        <v>5700</v>
      </c>
      <c r="BK9" s="12">
        <v>40</v>
      </c>
      <c r="BL9" s="6">
        <v>0</v>
      </c>
      <c r="BM9" s="12">
        <v>0</v>
      </c>
      <c r="BN9" s="12">
        <v>19</v>
      </c>
      <c r="BO9" s="17">
        <f t="shared" si="14"/>
        <v>4000</v>
      </c>
      <c r="BP9" s="17">
        <f t="shared" si="14"/>
        <v>0</v>
      </c>
      <c r="BQ9" s="17">
        <f t="shared" si="15"/>
        <v>0</v>
      </c>
      <c r="BR9" s="25">
        <f t="shared" si="15"/>
        <v>5700</v>
      </c>
      <c r="BS9" s="12">
        <v>44</v>
      </c>
      <c r="BT9" s="6">
        <v>0</v>
      </c>
      <c r="BU9" s="12">
        <v>0</v>
      </c>
      <c r="BV9" s="12">
        <v>19</v>
      </c>
      <c r="BW9" s="17">
        <f t="shared" si="16"/>
        <v>4400</v>
      </c>
      <c r="BX9" s="17">
        <f t="shared" si="16"/>
        <v>0</v>
      </c>
      <c r="BY9" s="17">
        <f t="shared" si="17"/>
        <v>0</v>
      </c>
      <c r="BZ9" s="25">
        <f t="shared" si="17"/>
        <v>5700</v>
      </c>
      <c r="CA9" s="81"/>
      <c r="CB9" s="75"/>
      <c r="CC9" s="81"/>
      <c r="CD9" s="81"/>
      <c r="CE9" s="93"/>
      <c r="CF9" s="93"/>
      <c r="CG9" s="93"/>
      <c r="CH9" s="94"/>
      <c r="CI9" s="81"/>
      <c r="CJ9" s="75"/>
      <c r="CK9" s="81"/>
      <c r="CL9" s="81"/>
      <c r="CM9" s="93"/>
      <c r="CN9" s="93"/>
      <c r="CO9" s="93"/>
      <c r="CP9" s="94"/>
      <c r="CQ9" s="81"/>
      <c r="CR9" s="75"/>
      <c r="CS9" s="81"/>
      <c r="CT9" s="81"/>
      <c r="CU9" s="93"/>
      <c r="CV9" s="93"/>
      <c r="CW9" s="93"/>
      <c r="CX9" s="94"/>
      <c r="CY9" s="81"/>
      <c r="CZ9" s="75"/>
      <c r="DA9" s="81"/>
      <c r="DB9" s="81"/>
      <c r="DC9" s="93"/>
      <c r="DD9" s="93"/>
      <c r="DE9" s="93"/>
      <c r="DF9" s="94"/>
      <c r="DG9" s="81"/>
      <c r="DH9" s="75"/>
      <c r="DI9" s="81"/>
      <c r="DJ9" s="81"/>
      <c r="DK9" s="93"/>
      <c r="DL9" s="93"/>
      <c r="DM9" s="93"/>
      <c r="DN9" s="94"/>
      <c r="DO9" s="95"/>
      <c r="DP9" s="96"/>
      <c r="DQ9" s="95"/>
      <c r="DR9" s="97"/>
      <c r="DS9" s="98"/>
      <c r="DT9" s="99"/>
      <c r="DU9" s="99"/>
      <c r="DV9" s="100"/>
      <c r="DW9" s="95"/>
      <c r="DX9" s="96"/>
      <c r="DY9" s="95"/>
      <c r="DZ9" s="97"/>
      <c r="EA9" s="98"/>
      <c r="EB9" s="99"/>
      <c r="EC9" s="99"/>
      <c r="ED9" s="100"/>
      <c r="EE9" s="95"/>
      <c r="EF9" s="96"/>
      <c r="EG9" s="95"/>
      <c r="EH9" s="97"/>
      <c r="EI9" s="98"/>
      <c r="EJ9" s="99"/>
      <c r="EK9" s="99"/>
      <c r="EL9" s="100"/>
    </row>
    <row r="10" spans="1:142">
      <c r="A10" s="75">
        <v>7</v>
      </c>
      <c r="B10" s="75" t="s">
        <v>27</v>
      </c>
      <c r="F10" s="76"/>
      <c r="G10" s="77">
        <v>50</v>
      </c>
      <c r="H10" s="90">
        <v>0</v>
      </c>
      <c r="I10" s="77">
        <v>0</v>
      </c>
      <c r="J10" s="77">
        <v>20</v>
      </c>
      <c r="K10" s="91">
        <f t="shared" si="0"/>
        <v>5000</v>
      </c>
      <c r="L10" s="91">
        <f t="shared" si="0"/>
        <v>0</v>
      </c>
      <c r="M10" s="91">
        <f t="shared" si="1"/>
        <v>0</v>
      </c>
      <c r="N10" s="92">
        <f t="shared" si="1"/>
        <v>6000</v>
      </c>
      <c r="O10" s="77">
        <v>45</v>
      </c>
      <c r="P10" s="90">
        <v>0</v>
      </c>
      <c r="Q10" s="77">
        <v>0</v>
      </c>
      <c r="R10" s="77">
        <v>18</v>
      </c>
      <c r="S10" s="91">
        <f t="shared" si="2"/>
        <v>4500</v>
      </c>
      <c r="T10" s="91">
        <f t="shared" si="2"/>
        <v>0</v>
      </c>
      <c r="U10" s="91">
        <f t="shared" si="3"/>
        <v>0</v>
      </c>
      <c r="V10" s="92">
        <f t="shared" si="3"/>
        <v>5400</v>
      </c>
      <c r="W10" s="77">
        <v>50</v>
      </c>
      <c r="X10" s="90">
        <v>0</v>
      </c>
      <c r="Y10" s="77">
        <v>0</v>
      </c>
      <c r="Z10" s="77">
        <v>20</v>
      </c>
      <c r="AA10" s="91">
        <f t="shared" si="4"/>
        <v>5000</v>
      </c>
      <c r="AB10" s="91">
        <f t="shared" si="4"/>
        <v>0</v>
      </c>
      <c r="AC10" s="91">
        <f t="shared" si="5"/>
        <v>0</v>
      </c>
      <c r="AD10" s="92">
        <f t="shared" si="5"/>
        <v>6000</v>
      </c>
      <c r="AE10" s="77">
        <v>48</v>
      </c>
      <c r="AF10" s="90">
        <v>0</v>
      </c>
      <c r="AG10" s="77">
        <v>0</v>
      </c>
      <c r="AH10" s="77">
        <v>20</v>
      </c>
      <c r="AI10" s="91">
        <f t="shared" si="6"/>
        <v>4800</v>
      </c>
      <c r="AJ10" s="91">
        <f t="shared" si="6"/>
        <v>0</v>
      </c>
      <c r="AK10" s="91">
        <f t="shared" si="7"/>
        <v>0</v>
      </c>
      <c r="AL10" s="92">
        <f t="shared" si="7"/>
        <v>6000</v>
      </c>
      <c r="AM10" s="77">
        <v>52</v>
      </c>
      <c r="AN10" s="90">
        <v>0</v>
      </c>
      <c r="AO10" s="77">
        <v>0</v>
      </c>
      <c r="AP10" s="77">
        <v>20</v>
      </c>
      <c r="AQ10" s="91">
        <f t="shared" si="8"/>
        <v>5200</v>
      </c>
      <c r="AR10" s="91">
        <f t="shared" si="8"/>
        <v>0</v>
      </c>
      <c r="AS10" s="91">
        <f t="shared" si="9"/>
        <v>0</v>
      </c>
      <c r="AT10" s="92">
        <f t="shared" si="9"/>
        <v>6000</v>
      </c>
      <c r="AU10" s="12">
        <v>51</v>
      </c>
      <c r="AV10" s="6">
        <v>0</v>
      </c>
      <c r="AW10" s="12">
        <v>0</v>
      </c>
      <c r="AX10" s="12">
        <v>16</v>
      </c>
      <c r="AY10" s="17">
        <f t="shared" si="10"/>
        <v>5100</v>
      </c>
      <c r="AZ10" s="17">
        <f t="shared" si="10"/>
        <v>0</v>
      </c>
      <c r="BA10" s="17">
        <f t="shared" si="11"/>
        <v>0</v>
      </c>
      <c r="BB10" s="25">
        <f t="shared" si="11"/>
        <v>4800</v>
      </c>
      <c r="BC10" s="12">
        <v>50</v>
      </c>
      <c r="BD10" s="6">
        <v>0</v>
      </c>
      <c r="BE10" s="12">
        <v>0</v>
      </c>
      <c r="BF10" s="12">
        <v>16</v>
      </c>
      <c r="BG10" s="17">
        <f t="shared" si="12"/>
        <v>5000</v>
      </c>
      <c r="BH10" s="17">
        <f t="shared" si="12"/>
        <v>0</v>
      </c>
      <c r="BI10" s="17">
        <f t="shared" si="13"/>
        <v>0</v>
      </c>
      <c r="BJ10" s="25">
        <f t="shared" si="13"/>
        <v>4800</v>
      </c>
      <c r="BK10" s="12">
        <v>52</v>
      </c>
      <c r="BL10" s="6">
        <v>0</v>
      </c>
      <c r="BM10" s="12">
        <v>0</v>
      </c>
      <c r="BN10" s="12">
        <v>16</v>
      </c>
      <c r="BO10" s="17">
        <f t="shared" si="14"/>
        <v>5200</v>
      </c>
      <c r="BP10" s="17">
        <f t="shared" si="14"/>
        <v>0</v>
      </c>
      <c r="BQ10" s="17">
        <f t="shared" si="15"/>
        <v>0</v>
      </c>
      <c r="BR10" s="25">
        <f t="shared" si="15"/>
        <v>4800</v>
      </c>
      <c r="BS10" s="12">
        <v>52</v>
      </c>
      <c r="BT10" s="6">
        <v>0</v>
      </c>
      <c r="BU10" s="12">
        <v>0</v>
      </c>
      <c r="BV10" s="12">
        <v>16</v>
      </c>
      <c r="BW10" s="17">
        <f t="shared" si="16"/>
        <v>5200</v>
      </c>
      <c r="BX10" s="17">
        <f t="shared" si="16"/>
        <v>0</v>
      </c>
      <c r="BY10" s="17">
        <f t="shared" si="17"/>
        <v>0</v>
      </c>
      <c r="BZ10" s="25">
        <f t="shared" si="17"/>
        <v>4800</v>
      </c>
      <c r="CA10" s="81"/>
      <c r="CB10" s="75"/>
      <c r="CC10" s="81"/>
      <c r="CD10" s="81"/>
      <c r="CE10" s="93"/>
      <c r="CF10" s="93"/>
      <c r="CG10" s="93"/>
      <c r="CH10" s="94"/>
      <c r="CI10" s="81"/>
      <c r="CJ10" s="75"/>
      <c r="CK10" s="81"/>
      <c r="CL10" s="81"/>
      <c r="CM10" s="93"/>
      <c r="CN10" s="93"/>
      <c r="CO10" s="93"/>
      <c r="CP10" s="94"/>
      <c r="CQ10" s="81"/>
      <c r="CR10" s="75"/>
      <c r="CS10" s="81"/>
      <c r="CT10" s="81"/>
      <c r="CU10" s="93"/>
      <c r="CV10" s="93"/>
      <c r="CW10" s="93"/>
      <c r="CX10" s="94"/>
      <c r="CY10" s="81"/>
      <c r="CZ10" s="75"/>
      <c r="DA10" s="81"/>
      <c r="DB10" s="81"/>
      <c r="DC10" s="93"/>
      <c r="DD10" s="93"/>
      <c r="DE10" s="93"/>
      <c r="DF10" s="94"/>
      <c r="DG10" s="81"/>
      <c r="DH10" s="75"/>
      <c r="DI10" s="81"/>
      <c r="DJ10" s="81"/>
      <c r="DK10" s="93"/>
      <c r="DL10" s="93"/>
      <c r="DM10" s="93"/>
      <c r="DN10" s="94"/>
      <c r="DO10" s="95"/>
      <c r="DP10" s="96"/>
      <c r="DQ10" s="95"/>
      <c r="DR10" s="97"/>
      <c r="DS10" s="98"/>
      <c r="DT10" s="99"/>
      <c r="DU10" s="99"/>
      <c r="DV10" s="100"/>
      <c r="DW10" s="95"/>
      <c r="DX10" s="96"/>
      <c r="DY10" s="95"/>
      <c r="DZ10" s="97"/>
      <c r="EA10" s="98"/>
      <c r="EB10" s="99"/>
      <c r="EC10" s="99"/>
      <c r="ED10" s="100"/>
      <c r="EE10" s="95"/>
      <c r="EF10" s="96"/>
      <c r="EG10" s="95"/>
      <c r="EH10" s="97"/>
      <c r="EI10" s="98"/>
      <c r="EJ10" s="99"/>
      <c r="EK10" s="99"/>
      <c r="EL10" s="100"/>
    </row>
    <row r="11" spans="1:142">
      <c r="A11" s="75">
        <v>8</v>
      </c>
      <c r="B11" s="75" t="s">
        <v>28</v>
      </c>
      <c r="F11" s="76"/>
      <c r="G11" s="77">
        <v>50</v>
      </c>
      <c r="H11" s="90">
        <v>0</v>
      </c>
      <c r="I11" s="77">
        <v>0</v>
      </c>
      <c r="J11" s="77">
        <v>20</v>
      </c>
      <c r="K11" s="91">
        <f t="shared" si="0"/>
        <v>5000</v>
      </c>
      <c r="L11" s="91">
        <f t="shared" si="0"/>
        <v>0</v>
      </c>
      <c r="M11" s="91">
        <f t="shared" si="1"/>
        <v>0</v>
      </c>
      <c r="N11" s="92">
        <f t="shared" si="1"/>
        <v>6000</v>
      </c>
      <c r="O11" s="77">
        <v>42</v>
      </c>
      <c r="P11" s="90">
        <v>0</v>
      </c>
      <c r="Q11" s="77">
        <v>0</v>
      </c>
      <c r="R11" s="77">
        <v>20</v>
      </c>
      <c r="S11" s="91">
        <f t="shared" si="2"/>
        <v>4200</v>
      </c>
      <c r="T11" s="91">
        <f t="shared" si="2"/>
        <v>0</v>
      </c>
      <c r="U11" s="91">
        <f t="shared" si="3"/>
        <v>0</v>
      </c>
      <c r="V11" s="92">
        <f t="shared" si="3"/>
        <v>6000</v>
      </c>
      <c r="W11" s="77">
        <v>44</v>
      </c>
      <c r="X11" s="90">
        <v>0</v>
      </c>
      <c r="Y11" s="77">
        <v>0</v>
      </c>
      <c r="Z11" s="77">
        <v>20</v>
      </c>
      <c r="AA11" s="91">
        <f t="shared" si="4"/>
        <v>4400</v>
      </c>
      <c r="AB11" s="91">
        <f t="shared" si="4"/>
        <v>0</v>
      </c>
      <c r="AC11" s="91">
        <f t="shared" si="5"/>
        <v>0</v>
      </c>
      <c r="AD11" s="92">
        <f t="shared" si="5"/>
        <v>6000</v>
      </c>
      <c r="AE11" s="77">
        <v>52</v>
      </c>
      <c r="AF11" s="90">
        <v>0</v>
      </c>
      <c r="AG11" s="77">
        <v>0</v>
      </c>
      <c r="AH11" s="77">
        <v>18</v>
      </c>
      <c r="AI11" s="91">
        <f t="shared" si="6"/>
        <v>5200</v>
      </c>
      <c r="AJ11" s="91">
        <f t="shared" si="6"/>
        <v>0</v>
      </c>
      <c r="AK11" s="91">
        <f t="shared" si="7"/>
        <v>0</v>
      </c>
      <c r="AL11" s="92">
        <f t="shared" si="7"/>
        <v>5400</v>
      </c>
      <c r="AM11" s="77">
        <v>50</v>
      </c>
      <c r="AN11" s="90">
        <v>0</v>
      </c>
      <c r="AO11" s="77">
        <v>0</v>
      </c>
      <c r="AP11" s="77">
        <v>15</v>
      </c>
      <c r="AQ11" s="91">
        <f t="shared" si="8"/>
        <v>5000</v>
      </c>
      <c r="AR11" s="91">
        <f t="shared" si="8"/>
        <v>0</v>
      </c>
      <c r="AS11" s="91">
        <f t="shared" si="9"/>
        <v>0</v>
      </c>
      <c r="AT11" s="92">
        <f t="shared" si="9"/>
        <v>4500</v>
      </c>
      <c r="AU11" s="12">
        <v>50</v>
      </c>
      <c r="AV11" s="6">
        <v>0</v>
      </c>
      <c r="AW11" s="12">
        <v>0</v>
      </c>
      <c r="AX11" s="12">
        <v>14</v>
      </c>
      <c r="AY11" s="17">
        <f t="shared" si="10"/>
        <v>5000</v>
      </c>
      <c r="AZ11" s="17">
        <f t="shared" si="10"/>
        <v>0</v>
      </c>
      <c r="BA11" s="17">
        <f t="shared" si="11"/>
        <v>0</v>
      </c>
      <c r="BB11" s="25">
        <f t="shared" si="11"/>
        <v>4200</v>
      </c>
      <c r="BC11" s="12">
        <v>54</v>
      </c>
      <c r="BD11" s="6">
        <v>0</v>
      </c>
      <c r="BE11" s="12">
        <v>0</v>
      </c>
      <c r="BF11" s="12">
        <v>18</v>
      </c>
      <c r="BG11" s="17">
        <f t="shared" si="12"/>
        <v>5400</v>
      </c>
      <c r="BH11" s="17">
        <f t="shared" si="12"/>
        <v>0</v>
      </c>
      <c r="BI11" s="17">
        <f t="shared" si="13"/>
        <v>0</v>
      </c>
      <c r="BJ11" s="25">
        <f t="shared" si="13"/>
        <v>5400</v>
      </c>
      <c r="BK11" s="12">
        <v>54</v>
      </c>
      <c r="BL11" s="6">
        <v>0</v>
      </c>
      <c r="BM11" s="12">
        <v>0</v>
      </c>
      <c r="BN11" s="12">
        <v>18</v>
      </c>
      <c r="BO11" s="17">
        <f t="shared" si="14"/>
        <v>5400</v>
      </c>
      <c r="BP11" s="17">
        <f t="shared" si="14"/>
        <v>0</v>
      </c>
      <c r="BQ11" s="17">
        <f t="shared" si="15"/>
        <v>0</v>
      </c>
      <c r="BR11" s="25">
        <f t="shared" si="15"/>
        <v>5400</v>
      </c>
      <c r="BS11" s="12">
        <v>54</v>
      </c>
      <c r="BT11" s="6">
        <v>0</v>
      </c>
      <c r="BU11" s="12">
        <v>0</v>
      </c>
      <c r="BV11" s="12">
        <v>18</v>
      </c>
      <c r="BW11" s="17">
        <f t="shared" si="16"/>
        <v>5400</v>
      </c>
      <c r="BX11" s="17">
        <f t="shared" si="16"/>
        <v>0</v>
      </c>
      <c r="BY11" s="17">
        <f t="shared" si="17"/>
        <v>0</v>
      </c>
      <c r="BZ11" s="25">
        <f t="shared" si="17"/>
        <v>5400</v>
      </c>
      <c r="CA11" s="81"/>
      <c r="CB11" s="75"/>
      <c r="CC11" s="81"/>
      <c r="CD11" s="81"/>
      <c r="CE11" s="93"/>
      <c r="CF11" s="93"/>
      <c r="CG11" s="93"/>
      <c r="CH11" s="94"/>
      <c r="CI11" s="81"/>
      <c r="CJ11" s="75"/>
      <c r="CK11" s="81"/>
      <c r="CL11" s="81"/>
      <c r="CM11" s="93"/>
      <c r="CN11" s="93"/>
      <c r="CO11" s="93"/>
      <c r="CP11" s="94"/>
      <c r="CQ11" s="81"/>
      <c r="CR11" s="75"/>
      <c r="CS11" s="81"/>
      <c r="CT11" s="81"/>
      <c r="CU11" s="93"/>
      <c r="CV11" s="93"/>
      <c r="CW11" s="93"/>
      <c r="CX11" s="94"/>
      <c r="CY11" s="81"/>
      <c r="CZ11" s="75"/>
      <c r="DA11" s="81"/>
      <c r="DB11" s="81"/>
      <c r="DC11" s="93"/>
      <c r="DD11" s="93"/>
      <c r="DE11" s="93"/>
      <c r="DF11" s="94"/>
      <c r="DG11" s="81"/>
      <c r="DH11" s="75"/>
      <c r="DI11" s="81"/>
      <c r="DJ11" s="81"/>
      <c r="DK11" s="93"/>
      <c r="DL11" s="93"/>
      <c r="DM11" s="93"/>
      <c r="DN11" s="94"/>
      <c r="DO11" s="95"/>
      <c r="DP11" s="96"/>
      <c r="DQ11" s="95"/>
      <c r="DR11" s="97"/>
      <c r="DS11" s="98"/>
      <c r="DT11" s="99"/>
      <c r="DU11" s="99"/>
      <c r="DV11" s="100"/>
      <c r="DW11" s="95"/>
      <c r="DX11" s="96"/>
      <c r="DY11" s="95"/>
      <c r="DZ11" s="97"/>
      <c r="EA11" s="98"/>
      <c r="EB11" s="99"/>
      <c r="EC11" s="99"/>
      <c r="ED11" s="100"/>
      <c r="EE11" s="95"/>
      <c r="EF11" s="96"/>
      <c r="EG11" s="95"/>
      <c r="EH11" s="97"/>
      <c r="EI11" s="98"/>
      <c r="EJ11" s="99"/>
      <c r="EK11" s="99"/>
      <c r="EL11" s="100"/>
    </row>
    <row r="12" spans="1:142">
      <c r="A12" s="75">
        <v>9</v>
      </c>
      <c r="B12" s="75" t="s">
        <v>29</v>
      </c>
      <c r="F12" s="76"/>
      <c r="G12" s="77">
        <v>42</v>
      </c>
      <c r="H12" s="90">
        <v>0</v>
      </c>
      <c r="I12" s="77">
        <v>0</v>
      </c>
      <c r="J12" s="77">
        <v>5</v>
      </c>
      <c r="K12" s="91">
        <f t="shared" si="0"/>
        <v>4200</v>
      </c>
      <c r="L12" s="91">
        <f t="shared" si="0"/>
        <v>0</v>
      </c>
      <c r="M12" s="91">
        <f t="shared" si="1"/>
        <v>0</v>
      </c>
      <c r="N12" s="92">
        <f t="shared" si="1"/>
        <v>1500</v>
      </c>
      <c r="O12" s="77">
        <v>55</v>
      </c>
      <c r="P12" s="90">
        <v>0</v>
      </c>
      <c r="Q12" s="77">
        <v>0</v>
      </c>
      <c r="R12" s="77">
        <v>10</v>
      </c>
      <c r="S12" s="91">
        <f t="shared" si="2"/>
        <v>5500</v>
      </c>
      <c r="T12" s="91">
        <f t="shared" si="2"/>
        <v>0</v>
      </c>
      <c r="U12" s="91">
        <f t="shared" si="3"/>
        <v>0</v>
      </c>
      <c r="V12" s="92">
        <f t="shared" si="3"/>
        <v>3000</v>
      </c>
      <c r="W12" s="77">
        <v>52</v>
      </c>
      <c r="X12" s="90">
        <v>0</v>
      </c>
      <c r="Y12" s="77">
        <v>0</v>
      </c>
      <c r="Z12" s="77">
        <v>12</v>
      </c>
      <c r="AA12" s="91">
        <f t="shared" si="4"/>
        <v>5200</v>
      </c>
      <c r="AB12" s="91">
        <f t="shared" si="4"/>
        <v>0</v>
      </c>
      <c r="AC12" s="91">
        <f t="shared" si="5"/>
        <v>0</v>
      </c>
      <c r="AD12" s="92">
        <f t="shared" si="5"/>
        <v>3600</v>
      </c>
      <c r="AE12" s="77">
        <v>46</v>
      </c>
      <c r="AF12" s="90">
        <v>0</v>
      </c>
      <c r="AG12" s="77">
        <v>0</v>
      </c>
      <c r="AH12" s="77">
        <v>16</v>
      </c>
      <c r="AI12" s="91">
        <f t="shared" si="6"/>
        <v>4600</v>
      </c>
      <c r="AJ12" s="91">
        <f t="shared" si="6"/>
        <v>0</v>
      </c>
      <c r="AK12" s="91">
        <f t="shared" si="7"/>
        <v>0</v>
      </c>
      <c r="AL12" s="92">
        <f t="shared" si="7"/>
        <v>4800</v>
      </c>
      <c r="AM12" s="77">
        <v>44</v>
      </c>
      <c r="AN12" s="90">
        <v>0</v>
      </c>
      <c r="AO12" s="77">
        <v>0</v>
      </c>
      <c r="AP12" s="77">
        <v>12</v>
      </c>
      <c r="AQ12" s="91">
        <f t="shared" si="8"/>
        <v>4400</v>
      </c>
      <c r="AR12" s="91">
        <f t="shared" si="8"/>
        <v>0</v>
      </c>
      <c r="AS12" s="91">
        <f t="shared" si="9"/>
        <v>0</v>
      </c>
      <c r="AT12" s="92">
        <f t="shared" si="9"/>
        <v>3600</v>
      </c>
      <c r="AU12" s="12">
        <v>46</v>
      </c>
      <c r="AV12" s="6">
        <v>0</v>
      </c>
      <c r="AW12" s="12">
        <v>0</v>
      </c>
      <c r="AX12" s="12">
        <v>18</v>
      </c>
      <c r="AY12" s="17">
        <f t="shared" si="10"/>
        <v>4600</v>
      </c>
      <c r="AZ12" s="17">
        <f t="shared" si="10"/>
        <v>0</v>
      </c>
      <c r="BA12" s="17">
        <f t="shared" si="11"/>
        <v>0</v>
      </c>
      <c r="BB12" s="25">
        <f t="shared" si="11"/>
        <v>5400</v>
      </c>
      <c r="BC12" s="12">
        <v>48</v>
      </c>
      <c r="BD12" s="6">
        <v>0</v>
      </c>
      <c r="BE12" s="12">
        <v>0</v>
      </c>
      <c r="BF12" s="12">
        <v>20</v>
      </c>
      <c r="BG12" s="17">
        <f t="shared" si="12"/>
        <v>4800</v>
      </c>
      <c r="BH12" s="17">
        <f t="shared" si="12"/>
        <v>0</v>
      </c>
      <c r="BI12" s="17">
        <f t="shared" si="13"/>
        <v>0</v>
      </c>
      <c r="BJ12" s="25">
        <f t="shared" si="13"/>
        <v>6000</v>
      </c>
      <c r="BK12" s="12">
        <v>48</v>
      </c>
      <c r="BL12" s="6">
        <v>0</v>
      </c>
      <c r="BM12" s="12">
        <v>0</v>
      </c>
      <c r="BN12" s="12">
        <v>20</v>
      </c>
      <c r="BO12" s="17">
        <f t="shared" si="14"/>
        <v>4800</v>
      </c>
      <c r="BP12" s="17">
        <f t="shared" si="14"/>
        <v>0</v>
      </c>
      <c r="BQ12" s="17">
        <f t="shared" si="15"/>
        <v>0</v>
      </c>
      <c r="BR12" s="25">
        <f t="shared" si="15"/>
        <v>6000</v>
      </c>
      <c r="BS12" s="12">
        <v>48</v>
      </c>
      <c r="BT12" s="6">
        <v>0</v>
      </c>
      <c r="BU12" s="12">
        <v>0</v>
      </c>
      <c r="BV12" s="12">
        <v>20</v>
      </c>
      <c r="BW12" s="17">
        <f t="shared" si="16"/>
        <v>4800</v>
      </c>
      <c r="BX12" s="17">
        <f t="shared" si="16"/>
        <v>0</v>
      </c>
      <c r="BY12" s="17">
        <f t="shared" si="17"/>
        <v>0</v>
      </c>
      <c r="BZ12" s="25">
        <f t="shared" si="17"/>
        <v>6000</v>
      </c>
      <c r="CA12" s="81"/>
      <c r="CB12" s="75"/>
      <c r="CC12" s="81"/>
      <c r="CD12" s="81"/>
      <c r="CE12" s="93"/>
      <c r="CF12" s="93"/>
      <c r="CG12" s="93"/>
      <c r="CH12" s="94"/>
      <c r="CI12" s="81"/>
      <c r="CJ12" s="75"/>
      <c r="CK12" s="81"/>
      <c r="CL12" s="81"/>
      <c r="CM12" s="93"/>
      <c r="CN12" s="93"/>
      <c r="CO12" s="93"/>
      <c r="CP12" s="94"/>
      <c r="CQ12" s="81"/>
      <c r="CR12" s="75"/>
      <c r="CS12" s="81"/>
      <c r="CT12" s="81"/>
      <c r="CU12" s="93"/>
      <c r="CV12" s="93"/>
      <c r="CW12" s="93"/>
      <c r="CX12" s="94"/>
      <c r="CY12" s="81"/>
      <c r="CZ12" s="75"/>
      <c r="DA12" s="81"/>
      <c r="DB12" s="81"/>
      <c r="DC12" s="93"/>
      <c r="DD12" s="93"/>
      <c r="DE12" s="93"/>
      <c r="DF12" s="94"/>
      <c r="DG12" s="81"/>
      <c r="DH12" s="75"/>
      <c r="DI12" s="81"/>
      <c r="DJ12" s="81"/>
      <c r="DK12" s="93"/>
      <c r="DL12" s="93"/>
      <c r="DM12" s="93"/>
      <c r="DN12" s="94"/>
      <c r="DO12" s="95"/>
      <c r="DP12" s="96"/>
      <c r="DQ12" s="95"/>
      <c r="DR12" s="97"/>
      <c r="DS12" s="98"/>
      <c r="DT12" s="99"/>
      <c r="DU12" s="99"/>
      <c r="DV12" s="100"/>
      <c r="DW12" s="95"/>
      <c r="DX12" s="96"/>
      <c r="DY12" s="95"/>
      <c r="DZ12" s="97"/>
      <c r="EA12" s="98"/>
      <c r="EB12" s="99"/>
      <c r="EC12" s="99"/>
      <c r="ED12" s="100"/>
      <c r="EE12" s="95"/>
      <c r="EF12" s="96"/>
      <c r="EG12" s="95"/>
      <c r="EH12" s="97"/>
      <c r="EI12" s="98"/>
      <c r="EJ12" s="99"/>
      <c r="EK12" s="99"/>
      <c r="EL12" s="100"/>
    </row>
    <row r="13" spans="1:142">
      <c r="A13" s="75">
        <v>10</v>
      </c>
      <c r="B13" s="75" t="s">
        <v>30</v>
      </c>
      <c r="F13" s="76"/>
      <c r="G13" s="77">
        <v>32</v>
      </c>
      <c r="H13" s="90">
        <v>0</v>
      </c>
      <c r="I13" s="77">
        <v>0</v>
      </c>
      <c r="J13" s="77">
        <v>15</v>
      </c>
      <c r="K13" s="91">
        <f t="shared" si="0"/>
        <v>3200</v>
      </c>
      <c r="L13" s="91">
        <f t="shared" si="0"/>
        <v>0</v>
      </c>
      <c r="M13" s="91">
        <f t="shared" si="1"/>
        <v>0</v>
      </c>
      <c r="N13" s="92">
        <f t="shared" si="1"/>
        <v>4500</v>
      </c>
      <c r="O13" s="77">
        <v>50</v>
      </c>
      <c r="P13" s="90">
        <v>0</v>
      </c>
      <c r="Q13" s="77">
        <v>0</v>
      </c>
      <c r="R13" s="77">
        <v>15</v>
      </c>
      <c r="S13" s="91">
        <f t="shared" si="2"/>
        <v>5000</v>
      </c>
      <c r="T13" s="91">
        <f t="shared" si="2"/>
        <v>0</v>
      </c>
      <c r="U13" s="91">
        <f t="shared" si="3"/>
        <v>0</v>
      </c>
      <c r="V13" s="92">
        <f t="shared" si="3"/>
        <v>4500</v>
      </c>
      <c r="W13" s="77">
        <v>53</v>
      </c>
      <c r="X13" s="90">
        <v>0</v>
      </c>
      <c r="Y13" s="77">
        <v>0</v>
      </c>
      <c r="Z13" s="77">
        <v>16</v>
      </c>
      <c r="AA13" s="91">
        <f t="shared" si="4"/>
        <v>5300</v>
      </c>
      <c r="AB13" s="91">
        <f t="shared" si="4"/>
        <v>0</v>
      </c>
      <c r="AC13" s="91">
        <f t="shared" si="5"/>
        <v>0</v>
      </c>
      <c r="AD13" s="92">
        <f t="shared" si="5"/>
        <v>4800</v>
      </c>
      <c r="AE13" s="77">
        <v>56</v>
      </c>
      <c r="AF13" s="90">
        <v>0</v>
      </c>
      <c r="AG13" s="77">
        <v>0</v>
      </c>
      <c r="AH13" s="77">
        <v>15</v>
      </c>
      <c r="AI13" s="91">
        <f t="shared" si="6"/>
        <v>5600</v>
      </c>
      <c r="AJ13" s="91">
        <f t="shared" si="6"/>
        <v>0</v>
      </c>
      <c r="AK13" s="91">
        <f t="shared" si="7"/>
        <v>0</v>
      </c>
      <c r="AL13" s="92">
        <f t="shared" si="7"/>
        <v>4500</v>
      </c>
      <c r="AM13" s="77">
        <v>32</v>
      </c>
      <c r="AN13" s="90">
        <v>0</v>
      </c>
      <c r="AO13" s="77">
        <v>0</v>
      </c>
      <c r="AP13" s="77">
        <v>20</v>
      </c>
      <c r="AQ13" s="91">
        <f t="shared" si="8"/>
        <v>3200</v>
      </c>
      <c r="AR13" s="91">
        <f t="shared" si="8"/>
        <v>0</v>
      </c>
      <c r="AS13" s="91">
        <f t="shared" si="9"/>
        <v>0</v>
      </c>
      <c r="AT13" s="92">
        <f t="shared" si="9"/>
        <v>6000</v>
      </c>
      <c r="AU13" s="12">
        <v>32</v>
      </c>
      <c r="AV13" s="6">
        <v>0</v>
      </c>
      <c r="AW13" s="12">
        <v>0</v>
      </c>
      <c r="AX13" s="12">
        <v>20</v>
      </c>
      <c r="AY13" s="17">
        <f t="shared" si="10"/>
        <v>3200</v>
      </c>
      <c r="AZ13" s="17">
        <f t="shared" si="10"/>
        <v>0</v>
      </c>
      <c r="BA13" s="17">
        <f t="shared" si="11"/>
        <v>0</v>
      </c>
      <c r="BB13" s="25">
        <f t="shared" si="11"/>
        <v>6000</v>
      </c>
      <c r="BC13" s="12">
        <v>33</v>
      </c>
      <c r="BD13" s="6">
        <v>0</v>
      </c>
      <c r="BE13" s="12">
        <v>0</v>
      </c>
      <c r="BF13" s="12">
        <v>20</v>
      </c>
      <c r="BG13" s="17">
        <f t="shared" si="12"/>
        <v>3300</v>
      </c>
      <c r="BH13" s="17">
        <f t="shared" si="12"/>
        <v>0</v>
      </c>
      <c r="BI13" s="17">
        <f t="shared" si="13"/>
        <v>0</v>
      </c>
      <c r="BJ13" s="25">
        <f t="shared" si="13"/>
        <v>6000</v>
      </c>
      <c r="BK13" s="12">
        <v>38</v>
      </c>
      <c r="BL13" s="6">
        <v>0</v>
      </c>
      <c r="BM13" s="12">
        <v>0</v>
      </c>
      <c r="BN13" s="12">
        <v>20</v>
      </c>
      <c r="BO13" s="17">
        <f t="shared" si="14"/>
        <v>3800</v>
      </c>
      <c r="BP13" s="17">
        <f t="shared" si="14"/>
        <v>0</v>
      </c>
      <c r="BQ13" s="17">
        <f t="shared" si="15"/>
        <v>0</v>
      </c>
      <c r="BR13" s="25">
        <f t="shared" si="15"/>
        <v>6000</v>
      </c>
      <c r="BS13" s="12">
        <v>38</v>
      </c>
      <c r="BT13" s="6">
        <v>0</v>
      </c>
      <c r="BU13" s="12">
        <v>0</v>
      </c>
      <c r="BV13" s="12">
        <v>20</v>
      </c>
      <c r="BW13" s="17">
        <f t="shared" si="16"/>
        <v>3800</v>
      </c>
      <c r="BX13" s="17">
        <f t="shared" si="16"/>
        <v>0</v>
      </c>
      <c r="BY13" s="17">
        <f t="shared" si="17"/>
        <v>0</v>
      </c>
      <c r="BZ13" s="25">
        <f t="shared" si="17"/>
        <v>6000</v>
      </c>
      <c r="CA13" s="81"/>
      <c r="CB13" s="75"/>
      <c r="CC13" s="81"/>
      <c r="CD13" s="81"/>
      <c r="CE13" s="93"/>
      <c r="CF13" s="93"/>
      <c r="CG13" s="93"/>
      <c r="CH13" s="94"/>
      <c r="CI13" s="81"/>
      <c r="CJ13" s="75"/>
      <c r="CK13" s="81"/>
      <c r="CL13" s="81"/>
      <c r="CM13" s="93"/>
      <c r="CN13" s="93"/>
      <c r="CO13" s="93"/>
      <c r="CP13" s="94"/>
      <c r="CQ13" s="81"/>
      <c r="CR13" s="75"/>
      <c r="CS13" s="81"/>
      <c r="CT13" s="81"/>
      <c r="CU13" s="93"/>
      <c r="CV13" s="93"/>
      <c r="CW13" s="93"/>
      <c r="CX13" s="94"/>
      <c r="CY13" s="81"/>
      <c r="CZ13" s="75"/>
      <c r="DA13" s="81"/>
      <c r="DB13" s="81"/>
      <c r="DC13" s="93"/>
      <c r="DD13" s="93"/>
      <c r="DE13" s="93"/>
      <c r="DF13" s="94"/>
      <c r="DG13" s="81"/>
      <c r="DH13" s="75"/>
      <c r="DI13" s="81"/>
      <c r="DJ13" s="81"/>
      <c r="DK13" s="93"/>
      <c r="DL13" s="93"/>
      <c r="DM13" s="93"/>
      <c r="DN13" s="94"/>
      <c r="DO13" s="95"/>
      <c r="DP13" s="96"/>
      <c r="DQ13" s="95"/>
      <c r="DR13" s="97"/>
      <c r="DS13" s="98"/>
      <c r="DT13" s="99"/>
      <c r="DU13" s="99"/>
      <c r="DV13" s="100"/>
      <c r="DW13" s="95"/>
      <c r="DX13" s="96"/>
      <c r="DY13" s="95"/>
      <c r="DZ13" s="97"/>
      <c r="EA13" s="98"/>
      <c r="EB13" s="99"/>
      <c r="EC13" s="99"/>
      <c r="ED13" s="100"/>
      <c r="EE13" s="95"/>
      <c r="EF13" s="96"/>
      <c r="EG13" s="95"/>
      <c r="EH13" s="97"/>
      <c r="EI13" s="98"/>
      <c r="EJ13" s="99"/>
      <c r="EK13" s="99"/>
      <c r="EL13" s="100"/>
    </row>
    <row r="14" spans="1:142">
      <c r="A14" s="75">
        <v>11</v>
      </c>
      <c r="B14" s="75" t="s">
        <v>31</v>
      </c>
      <c r="F14" s="76"/>
      <c r="G14" s="77">
        <v>50</v>
      </c>
      <c r="H14" s="90">
        <v>0</v>
      </c>
      <c r="I14" s="77">
        <v>0</v>
      </c>
      <c r="J14" s="77">
        <v>18</v>
      </c>
      <c r="K14" s="91">
        <f t="shared" si="0"/>
        <v>5000</v>
      </c>
      <c r="L14" s="91">
        <f t="shared" si="0"/>
        <v>0</v>
      </c>
      <c r="M14" s="91">
        <f t="shared" si="1"/>
        <v>0</v>
      </c>
      <c r="N14" s="92">
        <f t="shared" si="1"/>
        <v>5400</v>
      </c>
      <c r="O14" s="77">
        <v>38</v>
      </c>
      <c r="P14" s="90">
        <v>0</v>
      </c>
      <c r="Q14" s="77">
        <v>0</v>
      </c>
      <c r="R14" s="77">
        <v>18</v>
      </c>
      <c r="S14" s="91">
        <f t="shared" si="2"/>
        <v>3800</v>
      </c>
      <c r="T14" s="91">
        <f t="shared" si="2"/>
        <v>0</v>
      </c>
      <c r="U14" s="91">
        <f t="shared" si="3"/>
        <v>0</v>
      </c>
      <c r="V14" s="92">
        <f t="shared" si="3"/>
        <v>5400</v>
      </c>
      <c r="W14" s="77">
        <v>34</v>
      </c>
      <c r="X14" s="90">
        <v>0</v>
      </c>
      <c r="Y14" s="77">
        <v>0</v>
      </c>
      <c r="Z14" s="77">
        <v>20</v>
      </c>
      <c r="AA14" s="91">
        <f t="shared" si="4"/>
        <v>3400</v>
      </c>
      <c r="AB14" s="91">
        <f t="shared" si="4"/>
        <v>0</v>
      </c>
      <c r="AC14" s="91">
        <f t="shared" si="5"/>
        <v>0</v>
      </c>
      <c r="AD14" s="92">
        <f t="shared" si="5"/>
        <v>6000</v>
      </c>
      <c r="AE14" s="77">
        <v>43</v>
      </c>
      <c r="AF14" s="90">
        <v>0</v>
      </c>
      <c r="AG14" s="77">
        <v>0</v>
      </c>
      <c r="AH14" s="77">
        <v>16</v>
      </c>
      <c r="AI14" s="91">
        <f t="shared" si="6"/>
        <v>4300</v>
      </c>
      <c r="AJ14" s="91">
        <f t="shared" si="6"/>
        <v>0</v>
      </c>
      <c r="AK14" s="91">
        <f t="shared" si="7"/>
        <v>0</v>
      </c>
      <c r="AL14" s="92">
        <f t="shared" si="7"/>
        <v>4800</v>
      </c>
      <c r="AM14" s="77">
        <v>50</v>
      </c>
      <c r="AN14" s="90">
        <v>0</v>
      </c>
      <c r="AO14" s="77">
        <v>0</v>
      </c>
      <c r="AP14" s="77">
        <v>20</v>
      </c>
      <c r="AQ14" s="91">
        <f t="shared" si="8"/>
        <v>5000</v>
      </c>
      <c r="AR14" s="91">
        <f t="shared" si="8"/>
        <v>0</v>
      </c>
      <c r="AS14" s="91">
        <f t="shared" si="9"/>
        <v>0</v>
      </c>
      <c r="AT14" s="92">
        <f t="shared" si="9"/>
        <v>6000</v>
      </c>
      <c r="AU14" s="12">
        <v>50</v>
      </c>
      <c r="AV14" s="6">
        <v>0</v>
      </c>
      <c r="AW14" s="12">
        <v>0</v>
      </c>
      <c r="AX14" s="12">
        <v>20</v>
      </c>
      <c r="AY14" s="17">
        <f t="shared" si="10"/>
        <v>5000</v>
      </c>
      <c r="AZ14" s="17">
        <f t="shared" si="10"/>
        <v>0</v>
      </c>
      <c r="BA14" s="17">
        <f t="shared" si="11"/>
        <v>0</v>
      </c>
      <c r="BB14" s="25">
        <f t="shared" si="11"/>
        <v>6000</v>
      </c>
      <c r="BC14" s="12">
        <v>50</v>
      </c>
      <c r="BD14" s="6">
        <v>0</v>
      </c>
      <c r="BE14" s="12">
        <v>0</v>
      </c>
      <c r="BF14" s="12">
        <v>18</v>
      </c>
      <c r="BG14" s="17">
        <f t="shared" si="12"/>
        <v>5000</v>
      </c>
      <c r="BH14" s="17">
        <f t="shared" si="12"/>
        <v>0</v>
      </c>
      <c r="BI14" s="17">
        <f t="shared" si="13"/>
        <v>0</v>
      </c>
      <c r="BJ14" s="25">
        <f t="shared" si="13"/>
        <v>5400</v>
      </c>
      <c r="BK14" s="12">
        <v>53</v>
      </c>
      <c r="BL14" s="6">
        <v>0</v>
      </c>
      <c r="BM14" s="12">
        <v>0</v>
      </c>
      <c r="BN14" s="12">
        <v>20</v>
      </c>
      <c r="BO14" s="17">
        <f t="shared" si="14"/>
        <v>5300</v>
      </c>
      <c r="BP14" s="17">
        <f t="shared" si="14"/>
        <v>0</v>
      </c>
      <c r="BQ14" s="17">
        <f t="shared" si="15"/>
        <v>0</v>
      </c>
      <c r="BR14" s="25">
        <f t="shared" si="15"/>
        <v>6000</v>
      </c>
      <c r="BS14" s="12">
        <v>53</v>
      </c>
      <c r="BT14" s="6">
        <v>0</v>
      </c>
      <c r="BU14" s="12">
        <v>0</v>
      </c>
      <c r="BV14" s="12">
        <v>20</v>
      </c>
      <c r="BW14" s="17">
        <f t="shared" si="16"/>
        <v>5300</v>
      </c>
      <c r="BX14" s="17">
        <f t="shared" si="16"/>
        <v>0</v>
      </c>
      <c r="BY14" s="17">
        <f t="shared" si="17"/>
        <v>0</v>
      </c>
      <c r="BZ14" s="25">
        <f t="shared" si="17"/>
        <v>6000</v>
      </c>
      <c r="CA14" s="81"/>
      <c r="CB14" s="75"/>
      <c r="CC14" s="81"/>
      <c r="CD14" s="81"/>
      <c r="CE14" s="93"/>
      <c r="CF14" s="93"/>
      <c r="CG14" s="93"/>
      <c r="CH14" s="94"/>
      <c r="CI14" s="81"/>
      <c r="CJ14" s="75"/>
      <c r="CK14" s="81"/>
      <c r="CL14" s="81"/>
      <c r="CM14" s="93"/>
      <c r="CN14" s="93"/>
      <c r="CO14" s="93"/>
      <c r="CP14" s="94"/>
      <c r="CQ14" s="81"/>
      <c r="CR14" s="75"/>
      <c r="CS14" s="81"/>
      <c r="CT14" s="81"/>
      <c r="CU14" s="93"/>
      <c r="CV14" s="93"/>
      <c r="CW14" s="93"/>
      <c r="CX14" s="94"/>
      <c r="CY14" s="81"/>
      <c r="CZ14" s="75"/>
      <c r="DA14" s="81"/>
      <c r="DB14" s="81"/>
      <c r="DC14" s="93"/>
      <c r="DD14" s="93"/>
      <c r="DE14" s="93"/>
      <c r="DF14" s="94"/>
      <c r="DG14" s="81"/>
      <c r="DH14" s="75"/>
      <c r="DI14" s="81"/>
      <c r="DJ14" s="81"/>
      <c r="DK14" s="93"/>
      <c r="DL14" s="93"/>
      <c r="DM14" s="93"/>
      <c r="DN14" s="94"/>
      <c r="DO14" s="95"/>
      <c r="DP14" s="96"/>
      <c r="DQ14" s="95"/>
      <c r="DR14" s="97"/>
      <c r="DS14" s="98"/>
      <c r="DT14" s="99"/>
      <c r="DU14" s="99"/>
      <c r="DV14" s="100"/>
      <c r="DW14" s="95"/>
      <c r="DX14" s="96"/>
      <c r="DY14" s="95"/>
      <c r="DZ14" s="97"/>
      <c r="EA14" s="98"/>
      <c r="EB14" s="99"/>
      <c r="EC14" s="99"/>
      <c r="ED14" s="100"/>
      <c r="EE14" s="95"/>
      <c r="EF14" s="96"/>
      <c r="EG14" s="95"/>
      <c r="EH14" s="97"/>
      <c r="EI14" s="98"/>
      <c r="EJ14" s="99"/>
      <c r="EK14" s="99"/>
      <c r="EL14" s="100"/>
    </row>
    <row r="15" spans="1:142">
      <c r="A15" s="75">
        <v>12</v>
      </c>
      <c r="B15" s="75" t="s">
        <v>33</v>
      </c>
      <c r="F15" s="76"/>
      <c r="G15" s="77">
        <v>10</v>
      </c>
      <c r="H15" s="90">
        <v>0</v>
      </c>
      <c r="I15" s="77">
        <v>0</v>
      </c>
      <c r="J15" s="77">
        <v>14</v>
      </c>
      <c r="K15" s="91">
        <f t="shared" si="0"/>
        <v>1000</v>
      </c>
      <c r="L15" s="91">
        <f>H15*100</f>
        <v>0</v>
      </c>
      <c r="M15" s="91">
        <f t="shared" si="1"/>
        <v>0</v>
      </c>
      <c r="N15" s="92">
        <f t="shared" si="1"/>
        <v>4200</v>
      </c>
      <c r="O15" s="77">
        <v>25</v>
      </c>
      <c r="P15" s="90">
        <v>0</v>
      </c>
      <c r="Q15" s="77">
        <v>0</v>
      </c>
      <c r="R15" s="77">
        <v>15</v>
      </c>
      <c r="S15" s="91">
        <f t="shared" si="2"/>
        <v>2500</v>
      </c>
      <c r="T15" s="91">
        <f>P15*100</f>
        <v>0</v>
      </c>
      <c r="U15" s="91">
        <f t="shared" si="3"/>
        <v>0</v>
      </c>
      <c r="V15" s="92">
        <f t="shared" si="3"/>
        <v>4500</v>
      </c>
      <c r="W15" s="77">
        <v>28</v>
      </c>
      <c r="X15" s="90">
        <v>0</v>
      </c>
      <c r="Y15" s="77">
        <v>0</v>
      </c>
      <c r="Z15" s="77">
        <v>12</v>
      </c>
      <c r="AA15" s="91">
        <f t="shared" si="4"/>
        <v>2800</v>
      </c>
      <c r="AB15" s="91">
        <f>X15*100</f>
        <v>0</v>
      </c>
      <c r="AC15" s="91">
        <f t="shared" si="5"/>
        <v>0</v>
      </c>
      <c r="AD15" s="92">
        <f t="shared" si="5"/>
        <v>3600</v>
      </c>
      <c r="AE15" s="77">
        <v>30</v>
      </c>
      <c r="AF15" s="90">
        <v>0</v>
      </c>
      <c r="AG15" s="77">
        <v>0</v>
      </c>
      <c r="AH15" s="77">
        <v>14</v>
      </c>
      <c r="AI15" s="91">
        <f t="shared" si="6"/>
        <v>3000</v>
      </c>
      <c r="AJ15" s="91">
        <f>AF15*100</f>
        <v>0</v>
      </c>
      <c r="AK15" s="91">
        <f t="shared" si="7"/>
        <v>0</v>
      </c>
      <c r="AL15" s="92">
        <f t="shared" si="7"/>
        <v>4200</v>
      </c>
      <c r="AM15" s="77">
        <v>31</v>
      </c>
      <c r="AN15" s="90">
        <v>0</v>
      </c>
      <c r="AO15" s="77">
        <v>0</v>
      </c>
      <c r="AP15" s="77">
        <v>10</v>
      </c>
      <c r="AQ15" s="91">
        <f t="shared" si="8"/>
        <v>3100</v>
      </c>
      <c r="AR15" s="91">
        <f>AN15*100</f>
        <v>0</v>
      </c>
      <c r="AS15" s="91">
        <f t="shared" si="9"/>
        <v>0</v>
      </c>
      <c r="AT15" s="92">
        <f t="shared" si="9"/>
        <v>3000</v>
      </c>
      <c r="AU15" s="12">
        <v>43</v>
      </c>
      <c r="AV15" s="6">
        <v>0</v>
      </c>
      <c r="AW15" s="12">
        <v>0</v>
      </c>
      <c r="AX15" s="12">
        <v>12</v>
      </c>
      <c r="AY15" s="17">
        <f t="shared" si="10"/>
        <v>4300</v>
      </c>
      <c r="AZ15" s="17">
        <f t="shared" si="10"/>
        <v>0</v>
      </c>
      <c r="BA15" s="17">
        <f t="shared" si="11"/>
        <v>0</v>
      </c>
      <c r="BB15" s="25">
        <f t="shared" si="11"/>
        <v>3600</v>
      </c>
      <c r="BC15" s="12">
        <v>45</v>
      </c>
      <c r="BD15" s="6">
        <v>0</v>
      </c>
      <c r="BE15" s="12">
        <v>0</v>
      </c>
      <c r="BF15" s="12">
        <v>12</v>
      </c>
      <c r="BG15" s="17">
        <f t="shared" si="12"/>
        <v>4500</v>
      </c>
      <c r="BH15" s="17">
        <f t="shared" si="12"/>
        <v>0</v>
      </c>
      <c r="BI15" s="17">
        <f t="shared" si="13"/>
        <v>0</v>
      </c>
      <c r="BJ15" s="25">
        <f t="shared" si="13"/>
        <v>3600</v>
      </c>
      <c r="BK15" s="12">
        <v>48</v>
      </c>
      <c r="BL15" s="6">
        <v>0</v>
      </c>
      <c r="BM15" s="12">
        <v>0</v>
      </c>
      <c r="BN15" s="12">
        <v>20</v>
      </c>
      <c r="BO15" s="17">
        <f t="shared" si="14"/>
        <v>4800</v>
      </c>
      <c r="BP15" s="17">
        <f t="shared" si="14"/>
        <v>0</v>
      </c>
      <c r="BQ15" s="17">
        <f t="shared" si="15"/>
        <v>0</v>
      </c>
      <c r="BR15" s="25">
        <f t="shared" si="15"/>
        <v>6000</v>
      </c>
      <c r="BS15" s="12">
        <v>53</v>
      </c>
      <c r="BT15" s="6">
        <v>0</v>
      </c>
      <c r="BU15" s="12">
        <v>0</v>
      </c>
      <c r="BV15" s="12">
        <v>20</v>
      </c>
      <c r="BW15" s="17">
        <f t="shared" si="16"/>
        <v>5300</v>
      </c>
      <c r="BX15" s="17">
        <f t="shared" si="16"/>
        <v>0</v>
      </c>
      <c r="BY15" s="17">
        <f t="shared" si="17"/>
        <v>0</v>
      </c>
      <c r="BZ15" s="25">
        <f t="shared" si="17"/>
        <v>6000</v>
      </c>
      <c r="CA15" s="81"/>
      <c r="CB15" s="75"/>
      <c r="CC15" s="81"/>
      <c r="CD15" s="81"/>
      <c r="CE15" s="93"/>
      <c r="CF15" s="93"/>
      <c r="CG15" s="93"/>
      <c r="CH15" s="94"/>
      <c r="CI15" s="81"/>
      <c r="CJ15" s="75"/>
      <c r="CK15" s="81"/>
      <c r="CL15" s="81"/>
      <c r="CM15" s="93"/>
      <c r="CN15" s="93"/>
      <c r="CO15" s="93"/>
      <c r="CP15" s="94"/>
      <c r="CQ15" s="81"/>
      <c r="CR15" s="75"/>
      <c r="CS15" s="81"/>
      <c r="CT15" s="81"/>
      <c r="CU15" s="93"/>
      <c r="CV15" s="93"/>
      <c r="CW15" s="93"/>
      <c r="CX15" s="94"/>
      <c r="CY15" s="81"/>
      <c r="CZ15" s="75"/>
      <c r="DA15" s="81"/>
      <c r="DB15" s="81"/>
      <c r="DC15" s="93"/>
      <c r="DD15" s="93"/>
      <c r="DE15" s="93"/>
      <c r="DF15" s="94"/>
      <c r="DG15" s="81"/>
      <c r="DH15" s="75"/>
      <c r="DI15" s="81"/>
      <c r="DJ15" s="81"/>
      <c r="DK15" s="93"/>
      <c r="DL15" s="93"/>
      <c r="DM15" s="93"/>
      <c r="DN15" s="94"/>
      <c r="DO15" s="95"/>
      <c r="DP15" s="96"/>
      <c r="DQ15" s="95"/>
      <c r="DR15" s="97"/>
      <c r="DS15" s="98"/>
      <c r="DT15" s="99"/>
      <c r="DU15" s="99"/>
      <c r="DV15" s="100"/>
      <c r="DW15" s="95"/>
      <c r="DX15" s="96"/>
      <c r="DY15" s="95"/>
      <c r="DZ15" s="97"/>
      <c r="EA15" s="98"/>
      <c r="EB15" s="99"/>
      <c r="EC15" s="99"/>
      <c r="ED15" s="100"/>
      <c r="EE15" s="95"/>
      <c r="EF15" s="96"/>
      <c r="EG15" s="95"/>
      <c r="EH15" s="97"/>
      <c r="EI15" s="98"/>
      <c r="EJ15" s="99"/>
      <c r="EK15" s="99"/>
      <c r="EL15" s="100"/>
    </row>
    <row r="16" spans="1:142">
      <c r="A16" s="75">
        <v>13</v>
      </c>
      <c r="B16" s="75" t="s">
        <v>34</v>
      </c>
      <c r="F16" s="76"/>
      <c r="G16" s="77">
        <v>38</v>
      </c>
      <c r="H16" s="90">
        <v>0</v>
      </c>
      <c r="I16" s="77">
        <v>0</v>
      </c>
      <c r="J16" s="77">
        <v>16</v>
      </c>
      <c r="K16" s="91">
        <f t="shared" si="0"/>
        <v>3800</v>
      </c>
      <c r="L16" s="91">
        <f>H16*100</f>
        <v>0</v>
      </c>
      <c r="M16" s="91">
        <f t="shared" si="1"/>
        <v>0</v>
      </c>
      <c r="N16" s="92">
        <f t="shared" si="1"/>
        <v>4800</v>
      </c>
      <c r="O16" s="77">
        <v>45</v>
      </c>
      <c r="P16" s="90">
        <v>0</v>
      </c>
      <c r="Q16" s="77">
        <v>0</v>
      </c>
      <c r="R16" s="77">
        <v>18</v>
      </c>
      <c r="S16" s="91">
        <f t="shared" si="2"/>
        <v>4500</v>
      </c>
      <c r="T16" s="91">
        <f>P16*100</f>
        <v>0</v>
      </c>
      <c r="U16" s="91">
        <f t="shared" si="3"/>
        <v>0</v>
      </c>
      <c r="V16" s="92">
        <f t="shared" si="3"/>
        <v>5400</v>
      </c>
      <c r="W16" s="77">
        <v>40</v>
      </c>
      <c r="X16" s="90">
        <v>0</v>
      </c>
      <c r="Y16" s="77">
        <v>0</v>
      </c>
      <c r="Z16" s="77">
        <v>18</v>
      </c>
      <c r="AA16" s="91">
        <f t="shared" si="4"/>
        <v>4000</v>
      </c>
      <c r="AB16" s="91">
        <f>X16*100</f>
        <v>0</v>
      </c>
      <c r="AC16" s="91">
        <f t="shared" si="5"/>
        <v>0</v>
      </c>
      <c r="AD16" s="92">
        <f t="shared" si="5"/>
        <v>5400</v>
      </c>
      <c r="AE16" s="77">
        <v>41</v>
      </c>
      <c r="AF16" s="90">
        <v>0</v>
      </c>
      <c r="AG16" s="77">
        <v>0</v>
      </c>
      <c r="AH16" s="77">
        <v>20</v>
      </c>
      <c r="AI16" s="91">
        <f t="shared" si="6"/>
        <v>4100</v>
      </c>
      <c r="AJ16" s="91">
        <f>AF16*100</f>
        <v>0</v>
      </c>
      <c r="AK16" s="91">
        <f t="shared" si="7"/>
        <v>0</v>
      </c>
      <c r="AL16" s="92">
        <f t="shared" si="7"/>
        <v>6000</v>
      </c>
      <c r="AM16" s="77">
        <v>40</v>
      </c>
      <c r="AN16" s="90">
        <v>0</v>
      </c>
      <c r="AO16" s="77">
        <v>0</v>
      </c>
      <c r="AP16" s="77">
        <v>15</v>
      </c>
      <c r="AQ16" s="91">
        <f t="shared" si="8"/>
        <v>4000</v>
      </c>
      <c r="AR16" s="91">
        <f>AN16*100</f>
        <v>0</v>
      </c>
      <c r="AS16" s="91">
        <f t="shared" si="9"/>
        <v>0</v>
      </c>
      <c r="AT16" s="92">
        <f t="shared" si="9"/>
        <v>4500</v>
      </c>
      <c r="AU16" s="12">
        <v>42</v>
      </c>
      <c r="AV16" s="6">
        <v>0</v>
      </c>
      <c r="AW16" s="12">
        <v>0</v>
      </c>
      <c r="AX16" s="12">
        <v>18</v>
      </c>
      <c r="AY16" s="17">
        <f t="shared" si="10"/>
        <v>4200</v>
      </c>
      <c r="AZ16" s="17">
        <f t="shared" si="10"/>
        <v>0</v>
      </c>
      <c r="BA16" s="17">
        <f t="shared" si="11"/>
        <v>0</v>
      </c>
      <c r="BB16" s="25">
        <f t="shared" si="11"/>
        <v>5400</v>
      </c>
      <c r="BC16" s="12">
        <v>40</v>
      </c>
      <c r="BD16" s="6">
        <v>0</v>
      </c>
      <c r="BE16" s="12">
        <v>0</v>
      </c>
      <c r="BF16" s="12">
        <v>18</v>
      </c>
      <c r="BG16" s="17">
        <f t="shared" si="12"/>
        <v>4000</v>
      </c>
      <c r="BH16" s="17">
        <f t="shared" si="12"/>
        <v>0</v>
      </c>
      <c r="BI16" s="17">
        <f t="shared" si="13"/>
        <v>0</v>
      </c>
      <c r="BJ16" s="25">
        <f t="shared" si="13"/>
        <v>5400</v>
      </c>
      <c r="BK16" s="12">
        <v>42</v>
      </c>
      <c r="BL16" s="6">
        <v>0</v>
      </c>
      <c r="BM16" s="12">
        <v>0</v>
      </c>
      <c r="BN16" s="12">
        <v>18</v>
      </c>
      <c r="BO16" s="17">
        <f t="shared" si="14"/>
        <v>4200</v>
      </c>
      <c r="BP16" s="17">
        <f t="shared" si="14"/>
        <v>0</v>
      </c>
      <c r="BQ16" s="17">
        <f t="shared" si="15"/>
        <v>0</v>
      </c>
      <c r="BR16" s="25">
        <f t="shared" si="15"/>
        <v>5400</v>
      </c>
      <c r="BS16" s="12">
        <v>48</v>
      </c>
      <c r="BT16" s="6">
        <v>0</v>
      </c>
      <c r="BU16" s="12">
        <v>0</v>
      </c>
      <c r="BV16" s="12">
        <v>18</v>
      </c>
      <c r="BW16" s="17">
        <f t="shared" si="16"/>
        <v>4800</v>
      </c>
      <c r="BX16" s="17">
        <f t="shared" si="16"/>
        <v>0</v>
      </c>
      <c r="BY16" s="17">
        <f t="shared" si="17"/>
        <v>0</v>
      </c>
      <c r="BZ16" s="25">
        <f t="shared" si="17"/>
        <v>5400</v>
      </c>
      <c r="CA16" s="81"/>
      <c r="CB16" s="75"/>
      <c r="CC16" s="81"/>
      <c r="CD16" s="81"/>
      <c r="CE16" s="93"/>
      <c r="CF16" s="93"/>
      <c r="CG16" s="93"/>
      <c r="CH16" s="94"/>
      <c r="CI16" s="81"/>
      <c r="CJ16" s="75"/>
      <c r="CK16" s="81"/>
      <c r="CL16" s="81"/>
      <c r="CM16" s="93"/>
      <c r="CN16" s="93"/>
      <c r="CO16" s="93"/>
      <c r="CP16" s="94"/>
      <c r="CQ16" s="81"/>
      <c r="CR16" s="75"/>
      <c r="CS16" s="81"/>
      <c r="CT16" s="81"/>
      <c r="CU16" s="93"/>
      <c r="CV16" s="93"/>
      <c r="CW16" s="93"/>
      <c r="CX16" s="94"/>
      <c r="CY16" s="81"/>
      <c r="CZ16" s="75"/>
      <c r="DA16" s="81"/>
      <c r="DB16" s="81"/>
      <c r="DC16" s="93"/>
      <c r="DD16" s="93"/>
      <c r="DE16" s="93"/>
      <c r="DF16" s="94"/>
      <c r="DG16" s="81"/>
      <c r="DH16" s="75"/>
      <c r="DI16" s="81"/>
      <c r="DJ16" s="81"/>
      <c r="DK16" s="93"/>
      <c r="DL16" s="93"/>
      <c r="DM16" s="93"/>
      <c r="DN16" s="94"/>
      <c r="DO16" s="95"/>
      <c r="DP16" s="96"/>
      <c r="DQ16" s="95"/>
      <c r="DR16" s="97"/>
      <c r="DS16" s="98"/>
      <c r="DT16" s="99"/>
      <c r="DU16" s="99"/>
      <c r="DV16" s="100"/>
      <c r="DW16" s="95"/>
      <c r="DX16" s="96"/>
      <c r="DY16" s="95"/>
      <c r="DZ16" s="97"/>
      <c r="EA16" s="98"/>
      <c r="EB16" s="99"/>
      <c r="EC16" s="99"/>
      <c r="ED16" s="100"/>
      <c r="EE16" s="95"/>
      <c r="EF16" s="96"/>
      <c r="EG16" s="95"/>
      <c r="EH16" s="97"/>
      <c r="EI16" s="98"/>
      <c r="EJ16" s="99"/>
      <c r="EK16" s="99"/>
      <c r="EL16" s="100"/>
    </row>
    <row r="17" spans="1:142">
      <c r="A17" s="75">
        <v>14</v>
      </c>
      <c r="B17" s="75" t="s">
        <v>35</v>
      </c>
      <c r="F17" s="76"/>
      <c r="G17" s="77">
        <v>0</v>
      </c>
      <c r="H17" s="90">
        <v>32</v>
      </c>
      <c r="I17" s="77">
        <v>0</v>
      </c>
      <c r="J17" s="77">
        <v>18</v>
      </c>
      <c r="K17" s="91">
        <f t="shared" si="0"/>
        <v>0</v>
      </c>
      <c r="L17" s="91">
        <f t="shared" si="0"/>
        <v>3200</v>
      </c>
      <c r="M17" s="91">
        <f t="shared" si="1"/>
        <v>0</v>
      </c>
      <c r="N17" s="92">
        <f t="shared" si="1"/>
        <v>5400</v>
      </c>
      <c r="O17" s="77">
        <v>0</v>
      </c>
      <c r="P17" s="90">
        <v>32</v>
      </c>
      <c r="Q17" s="77">
        <v>0</v>
      </c>
      <c r="R17" s="77">
        <v>18</v>
      </c>
      <c r="S17" s="91">
        <f t="shared" si="2"/>
        <v>0</v>
      </c>
      <c r="T17" s="91">
        <f t="shared" si="2"/>
        <v>3200</v>
      </c>
      <c r="U17" s="91">
        <f t="shared" si="3"/>
        <v>0</v>
      </c>
      <c r="V17" s="92">
        <f t="shared" si="3"/>
        <v>5400</v>
      </c>
      <c r="W17" s="77">
        <v>0</v>
      </c>
      <c r="X17" s="90">
        <v>32</v>
      </c>
      <c r="Y17" s="77">
        <v>0</v>
      </c>
      <c r="Z17" s="77">
        <v>20</v>
      </c>
      <c r="AA17" s="91">
        <f t="shared" si="4"/>
        <v>0</v>
      </c>
      <c r="AB17" s="91">
        <f t="shared" si="4"/>
        <v>3200</v>
      </c>
      <c r="AC17" s="91">
        <f t="shared" si="5"/>
        <v>0</v>
      </c>
      <c r="AD17" s="92">
        <f t="shared" si="5"/>
        <v>6000</v>
      </c>
      <c r="AE17" s="77">
        <v>0</v>
      </c>
      <c r="AF17" s="90">
        <v>32</v>
      </c>
      <c r="AG17" s="77">
        <v>0</v>
      </c>
      <c r="AH17" s="77">
        <v>20</v>
      </c>
      <c r="AI17" s="91">
        <f t="shared" si="6"/>
        <v>0</v>
      </c>
      <c r="AJ17" s="91">
        <f t="shared" si="6"/>
        <v>3200</v>
      </c>
      <c r="AK17" s="91">
        <f t="shared" si="7"/>
        <v>0</v>
      </c>
      <c r="AL17" s="92">
        <f t="shared" si="7"/>
        <v>6000</v>
      </c>
      <c r="AM17" s="77">
        <v>10</v>
      </c>
      <c r="AN17" s="90">
        <v>32</v>
      </c>
      <c r="AO17" s="77">
        <v>0</v>
      </c>
      <c r="AP17" s="77">
        <v>18</v>
      </c>
      <c r="AQ17" s="91">
        <f t="shared" si="8"/>
        <v>1000</v>
      </c>
      <c r="AR17" s="91">
        <f t="shared" si="8"/>
        <v>3200</v>
      </c>
      <c r="AS17" s="91">
        <f t="shared" si="9"/>
        <v>0</v>
      </c>
      <c r="AT17" s="92">
        <f t="shared" si="9"/>
        <v>5400</v>
      </c>
      <c r="AU17" s="12">
        <v>16</v>
      </c>
      <c r="AV17" s="6">
        <v>42</v>
      </c>
      <c r="AW17" s="12">
        <v>0</v>
      </c>
      <c r="AX17" s="12">
        <v>20</v>
      </c>
      <c r="AY17" s="17">
        <f t="shared" si="10"/>
        <v>1600</v>
      </c>
      <c r="AZ17" s="17">
        <f t="shared" si="10"/>
        <v>4200</v>
      </c>
      <c r="BA17" s="17">
        <f t="shared" si="11"/>
        <v>0</v>
      </c>
      <c r="BB17" s="25">
        <f t="shared" si="11"/>
        <v>6000</v>
      </c>
      <c r="BC17" s="12">
        <v>12</v>
      </c>
      <c r="BD17" s="6">
        <v>45</v>
      </c>
      <c r="BE17" s="12">
        <v>0</v>
      </c>
      <c r="BF17" s="12">
        <v>20</v>
      </c>
      <c r="BG17" s="17">
        <f t="shared" si="12"/>
        <v>1200</v>
      </c>
      <c r="BH17" s="17">
        <f t="shared" si="12"/>
        <v>4500</v>
      </c>
      <c r="BI17" s="17">
        <f t="shared" si="13"/>
        <v>0</v>
      </c>
      <c r="BJ17" s="25">
        <f t="shared" si="13"/>
        <v>6000</v>
      </c>
      <c r="BK17" s="12">
        <v>18</v>
      </c>
      <c r="BL17" s="6">
        <v>50</v>
      </c>
      <c r="BM17" s="12">
        <v>0</v>
      </c>
      <c r="BN17" s="12">
        <v>20</v>
      </c>
      <c r="BO17" s="17">
        <f t="shared" si="14"/>
        <v>1800</v>
      </c>
      <c r="BP17" s="17">
        <f t="shared" si="14"/>
        <v>5000</v>
      </c>
      <c r="BQ17" s="17">
        <f t="shared" si="15"/>
        <v>0</v>
      </c>
      <c r="BR17" s="25">
        <f t="shared" si="15"/>
        <v>6000</v>
      </c>
      <c r="BS17" s="12">
        <v>28</v>
      </c>
      <c r="BT17" s="6">
        <v>50</v>
      </c>
      <c r="BU17" s="12">
        <v>0</v>
      </c>
      <c r="BV17" s="12">
        <v>20</v>
      </c>
      <c r="BW17" s="17">
        <f t="shared" si="16"/>
        <v>2800</v>
      </c>
      <c r="BX17" s="17">
        <f t="shared" si="16"/>
        <v>5000</v>
      </c>
      <c r="BY17" s="17">
        <f t="shared" si="17"/>
        <v>0</v>
      </c>
      <c r="BZ17" s="25">
        <f t="shared" si="17"/>
        <v>6000</v>
      </c>
      <c r="CA17" s="81"/>
      <c r="CB17" s="75"/>
      <c r="CC17" s="81"/>
      <c r="CD17" s="81"/>
      <c r="CE17" s="93"/>
      <c r="CF17" s="93"/>
      <c r="CG17" s="93"/>
      <c r="CH17" s="94"/>
      <c r="CI17" s="81"/>
      <c r="CJ17" s="75"/>
      <c r="CK17" s="81"/>
      <c r="CL17" s="81"/>
      <c r="CM17" s="93"/>
      <c r="CN17" s="93"/>
      <c r="CO17" s="93"/>
      <c r="CP17" s="94"/>
      <c r="CQ17" s="81"/>
      <c r="CR17" s="75"/>
      <c r="CS17" s="81"/>
      <c r="CT17" s="81"/>
      <c r="CU17" s="93"/>
      <c r="CV17" s="93"/>
      <c r="CW17" s="93"/>
      <c r="CX17" s="94"/>
      <c r="CY17" s="81"/>
      <c r="CZ17" s="75"/>
      <c r="DA17" s="81"/>
      <c r="DB17" s="81"/>
      <c r="DC17" s="93"/>
      <c r="DD17" s="93"/>
      <c r="DE17" s="93"/>
      <c r="DF17" s="94"/>
      <c r="DG17" s="81"/>
      <c r="DH17" s="75"/>
      <c r="DI17" s="81"/>
      <c r="DJ17" s="81"/>
      <c r="DK17" s="93"/>
      <c r="DL17" s="93"/>
      <c r="DM17" s="93"/>
      <c r="DN17" s="94"/>
      <c r="DO17" s="95"/>
      <c r="DP17" s="96"/>
      <c r="DQ17" s="95"/>
      <c r="DR17" s="97"/>
      <c r="DS17" s="98"/>
      <c r="DT17" s="99"/>
      <c r="DU17" s="99"/>
      <c r="DV17" s="100"/>
      <c r="DW17" s="95"/>
      <c r="DX17" s="96"/>
      <c r="DY17" s="95"/>
      <c r="DZ17" s="97"/>
      <c r="EA17" s="98"/>
      <c r="EB17" s="99"/>
      <c r="EC17" s="99"/>
      <c r="ED17" s="100"/>
      <c r="EE17" s="95"/>
      <c r="EF17" s="96"/>
      <c r="EG17" s="95"/>
      <c r="EH17" s="97"/>
      <c r="EI17" s="98"/>
      <c r="EJ17" s="99"/>
      <c r="EK17" s="99"/>
      <c r="EL17" s="100"/>
    </row>
    <row r="18" spans="1:142">
      <c r="A18" s="75">
        <v>15</v>
      </c>
      <c r="B18" s="75" t="s">
        <v>36</v>
      </c>
      <c r="F18" s="76"/>
      <c r="G18" s="77">
        <v>35</v>
      </c>
      <c r="H18" s="90">
        <v>0</v>
      </c>
      <c r="I18" s="77">
        <v>0</v>
      </c>
      <c r="J18" s="77">
        <v>14</v>
      </c>
      <c r="K18" s="91">
        <f t="shared" si="0"/>
        <v>3500</v>
      </c>
      <c r="L18" s="91">
        <f t="shared" si="0"/>
        <v>0</v>
      </c>
      <c r="M18" s="91">
        <f t="shared" si="1"/>
        <v>0</v>
      </c>
      <c r="N18" s="92">
        <f t="shared" si="1"/>
        <v>4200</v>
      </c>
      <c r="O18" s="77">
        <v>40</v>
      </c>
      <c r="P18" s="90">
        <v>0</v>
      </c>
      <c r="Q18" s="77">
        <v>0</v>
      </c>
      <c r="R18" s="77">
        <v>14</v>
      </c>
      <c r="S18" s="91">
        <f t="shared" si="2"/>
        <v>4000</v>
      </c>
      <c r="T18" s="91">
        <f t="shared" si="2"/>
        <v>0</v>
      </c>
      <c r="U18" s="91">
        <f t="shared" si="3"/>
        <v>0</v>
      </c>
      <c r="V18" s="92">
        <f t="shared" si="3"/>
        <v>4200</v>
      </c>
      <c r="W18" s="77">
        <v>50</v>
      </c>
      <c r="X18" s="90">
        <v>0</v>
      </c>
      <c r="Y18" s="77">
        <v>0</v>
      </c>
      <c r="Z18" s="77">
        <v>12</v>
      </c>
      <c r="AA18" s="91">
        <f t="shared" si="4"/>
        <v>5000</v>
      </c>
      <c r="AB18" s="91">
        <f t="shared" si="4"/>
        <v>0</v>
      </c>
      <c r="AC18" s="91">
        <f t="shared" si="5"/>
        <v>0</v>
      </c>
      <c r="AD18" s="92">
        <f t="shared" si="5"/>
        <v>3600</v>
      </c>
      <c r="AE18" s="77">
        <v>50</v>
      </c>
      <c r="AF18" s="90">
        <v>0</v>
      </c>
      <c r="AG18" s="77">
        <v>0</v>
      </c>
      <c r="AH18" s="77">
        <v>12</v>
      </c>
      <c r="AI18" s="91">
        <f t="shared" si="6"/>
        <v>5000</v>
      </c>
      <c r="AJ18" s="91">
        <f t="shared" si="6"/>
        <v>0</v>
      </c>
      <c r="AK18" s="91">
        <f t="shared" si="7"/>
        <v>0</v>
      </c>
      <c r="AL18" s="92">
        <f t="shared" si="7"/>
        <v>3600</v>
      </c>
      <c r="AM18" s="77">
        <v>30</v>
      </c>
      <c r="AN18" s="90">
        <v>0</v>
      </c>
      <c r="AO18" s="77">
        <v>0</v>
      </c>
      <c r="AP18" s="77">
        <v>20</v>
      </c>
      <c r="AQ18" s="91">
        <f t="shared" si="8"/>
        <v>3000</v>
      </c>
      <c r="AR18" s="91">
        <f t="shared" si="8"/>
        <v>0</v>
      </c>
      <c r="AS18" s="91">
        <f t="shared" si="9"/>
        <v>0</v>
      </c>
      <c r="AT18" s="92">
        <f t="shared" si="9"/>
        <v>6000</v>
      </c>
      <c r="AU18" s="12">
        <v>35</v>
      </c>
      <c r="AV18" s="6">
        <v>0</v>
      </c>
      <c r="AW18" s="12">
        <v>0</v>
      </c>
      <c r="AX18" s="12">
        <v>20</v>
      </c>
      <c r="AY18" s="17">
        <f t="shared" si="10"/>
        <v>3500</v>
      </c>
      <c r="AZ18" s="17">
        <f t="shared" si="10"/>
        <v>0</v>
      </c>
      <c r="BA18" s="17">
        <f t="shared" si="11"/>
        <v>0</v>
      </c>
      <c r="BB18" s="25">
        <f t="shared" si="11"/>
        <v>6000</v>
      </c>
      <c r="BC18" s="12">
        <v>38</v>
      </c>
      <c r="BD18" s="6">
        <v>0</v>
      </c>
      <c r="BE18" s="12">
        <v>0</v>
      </c>
      <c r="BF18" s="12">
        <v>20</v>
      </c>
      <c r="BG18" s="17">
        <f t="shared" si="12"/>
        <v>3800</v>
      </c>
      <c r="BH18" s="17">
        <f t="shared" si="12"/>
        <v>0</v>
      </c>
      <c r="BI18" s="17">
        <f t="shared" si="13"/>
        <v>0</v>
      </c>
      <c r="BJ18" s="25">
        <f t="shared" si="13"/>
        <v>6000</v>
      </c>
      <c r="BK18" s="12">
        <v>38</v>
      </c>
      <c r="BL18" s="6">
        <v>0</v>
      </c>
      <c r="BM18" s="12">
        <v>0</v>
      </c>
      <c r="BN18" s="12">
        <v>20</v>
      </c>
      <c r="BO18" s="17">
        <f t="shared" si="14"/>
        <v>3800</v>
      </c>
      <c r="BP18" s="17">
        <f t="shared" si="14"/>
        <v>0</v>
      </c>
      <c r="BQ18" s="17">
        <f t="shared" si="15"/>
        <v>0</v>
      </c>
      <c r="BR18" s="25">
        <f t="shared" si="15"/>
        <v>6000</v>
      </c>
      <c r="BS18" s="12">
        <v>44</v>
      </c>
      <c r="BT18" s="6">
        <v>0</v>
      </c>
      <c r="BU18" s="12">
        <v>0</v>
      </c>
      <c r="BV18" s="12">
        <v>16</v>
      </c>
      <c r="BW18" s="17">
        <f t="shared" si="16"/>
        <v>4400</v>
      </c>
      <c r="BX18" s="17">
        <f t="shared" si="16"/>
        <v>0</v>
      </c>
      <c r="BY18" s="17">
        <f t="shared" si="17"/>
        <v>0</v>
      </c>
      <c r="BZ18" s="25">
        <f t="shared" si="17"/>
        <v>4800</v>
      </c>
      <c r="CA18" s="81"/>
      <c r="CB18" s="75"/>
      <c r="CC18" s="81"/>
      <c r="CD18" s="81"/>
      <c r="CE18" s="93"/>
      <c r="CF18" s="93"/>
      <c r="CG18" s="93"/>
      <c r="CH18" s="94"/>
      <c r="CI18" s="81"/>
      <c r="CJ18" s="75"/>
      <c r="CK18" s="81"/>
      <c r="CL18" s="81"/>
      <c r="CM18" s="93"/>
      <c r="CN18" s="93"/>
      <c r="CO18" s="93"/>
      <c r="CP18" s="94"/>
      <c r="CQ18" s="81"/>
      <c r="CR18" s="75"/>
      <c r="CS18" s="81"/>
      <c r="CT18" s="81"/>
      <c r="CU18" s="93"/>
      <c r="CV18" s="93"/>
      <c r="CW18" s="93"/>
      <c r="CX18" s="94"/>
      <c r="CY18" s="81"/>
      <c r="CZ18" s="75"/>
      <c r="DA18" s="81"/>
      <c r="DB18" s="81"/>
      <c r="DC18" s="93"/>
      <c r="DD18" s="93"/>
      <c r="DE18" s="93"/>
      <c r="DF18" s="94"/>
      <c r="DG18" s="81"/>
      <c r="DH18" s="75"/>
      <c r="DI18" s="81"/>
      <c r="DJ18" s="81"/>
      <c r="DK18" s="93"/>
      <c r="DL18" s="93"/>
      <c r="DM18" s="93"/>
      <c r="DN18" s="94"/>
      <c r="DO18" s="95"/>
      <c r="DP18" s="96"/>
      <c r="DQ18" s="95"/>
      <c r="DR18" s="97"/>
      <c r="DS18" s="98"/>
      <c r="DT18" s="99"/>
      <c r="DU18" s="99"/>
      <c r="DV18" s="100"/>
      <c r="DW18" s="95"/>
      <c r="DX18" s="96"/>
      <c r="DY18" s="95"/>
      <c r="DZ18" s="97"/>
      <c r="EA18" s="98"/>
      <c r="EB18" s="99"/>
      <c r="EC18" s="99"/>
      <c r="ED18" s="100"/>
      <c r="EE18" s="95"/>
      <c r="EF18" s="96"/>
      <c r="EG18" s="95"/>
      <c r="EH18" s="97"/>
      <c r="EI18" s="98"/>
      <c r="EJ18" s="99"/>
      <c r="EK18" s="99"/>
      <c r="EL18" s="100"/>
    </row>
    <row r="19" spans="1:142">
      <c r="A19" s="75">
        <v>16</v>
      </c>
      <c r="B19" s="75" t="s">
        <v>37</v>
      </c>
      <c r="F19" s="76"/>
      <c r="G19" s="77">
        <v>38</v>
      </c>
      <c r="H19" s="90">
        <v>0</v>
      </c>
      <c r="I19" s="77">
        <v>0</v>
      </c>
      <c r="J19" s="77">
        <v>20</v>
      </c>
      <c r="K19" s="91">
        <f t="shared" si="0"/>
        <v>3800</v>
      </c>
      <c r="L19" s="91">
        <f t="shared" si="0"/>
        <v>0</v>
      </c>
      <c r="M19" s="91">
        <f t="shared" si="1"/>
        <v>0</v>
      </c>
      <c r="N19" s="92">
        <f t="shared" si="1"/>
        <v>6000</v>
      </c>
      <c r="O19" s="77">
        <v>35</v>
      </c>
      <c r="P19" s="90">
        <v>0</v>
      </c>
      <c r="Q19" s="77">
        <v>0</v>
      </c>
      <c r="R19" s="77">
        <v>20</v>
      </c>
      <c r="S19" s="91">
        <f t="shared" si="2"/>
        <v>3500</v>
      </c>
      <c r="T19" s="91">
        <f t="shared" si="2"/>
        <v>0</v>
      </c>
      <c r="U19" s="91">
        <f t="shared" si="3"/>
        <v>0</v>
      </c>
      <c r="V19" s="92">
        <f t="shared" si="3"/>
        <v>6000</v>
      </c>
      <c r="W19" s="77">
        <v>30</v>
      </c>
      <c r="X19" s="90">
        <v>0</v>
      </c>
      <c r="Y19" s="77">
        <v>0</v>
      </c>
      <c r="Z19" s="77">
        <v>20</v>
      </c>
      <c r="AA19" s="91">
        <f t="shared" si="4"/>
        <v>3000</v>
      </c>
      <c r="AB19" s="91">
        <f t="shared" si="4"/>
        <v>0</v>
      </c>
      <c r="AC19" s="91">
        <f t="shared" si="5"/>
        <v>0</v>
      </c>
      <c r="AD19" s="92">
        <f t="shared" si="5"/>
        <v>6000</v>
      </c>
      <c r="AE19" s="77">
        <v>26</v>
      </c>
      <c r="AF19" s="90">
        <v>0</v>
      </c>
      <c r="AG19" s="77">
        <v>0</v>
      </c>
      <c r="AH19" s="77">
        <v>20</v>
      </c>
      <c r="AI19" s="91">
        <f t="shared" si="6"/>
        <v>2600</v>
      </c>
      <c r="AJ19" s="91">
        <f t="shared" si="6"/>
        <v>0</v>
      </c>
      <c r="AK19" s="91">
        <f t="shared" si="7"/>
        <v>0</v>
      </c>
      <c r="AL19" s="92">
        <f t="shared" si="7"/>
        <v>6000</v>
      </c>
      <c r="AM19" s="77">
        <v>42</v>
      </c>
      <c r="AN19" s="90">
        <v>0</v>
      </c>
      <c r="AO19" s="77">
        <v>0</v>
      </c>
      <c r="AP19" s="77">
        <v>18</v>
      </c>
      <c r="AQ19" s="91">
        <f t="shared" si="8"/>
        <v>4200</v>
      </c>
      <c r="AR19" s="91">
        <f t="shared" si="8"/>
        <v>0</v>
      </c>
      <c r="AS19" s="91">
        <f t="shared" si="9"/>
        <v>0</v>
      </c>
      <c r="AT19" s="92">
        <f t="shared" si="9"/>
        <v>5400</v>
      </c>
      <c r="AU19" s="12">
        <v>42</v>
      </c>
      <c r="AV19" s="6">
        <v>0</v>
      </c>
      <c r="AW19" s="12">
        <v>0</v>
      </c>
      <c r="AX19" s="12">
        <v>18</v>
      </c>
      <c r="AY19" s="17">
        <f t="shared" si="10"/>
        <v>4200</v>
      </c>
      <c r="AZ19" s="17">
        <f t="shared" si="10"/>
        <v>0</v>
      </c>
      <c r="BA19" s="17">
        <f t="shared" si="11"/>
        <v>0</v>
      </c>
      <c r="BB19" s="25">
        <f t="shared" si="11"/>
        <v>5400</v>
      </c>
      <c r="BC19" s="12">
        <v>42</v>
      </c>
      <c r="BD19" s="6">
        <v>0</v>
      </c>
      <c r="BE19" s="12">
        <v>0</v>
      </c>
      <c r="BF19" s="12">
        <v>18</v>
      </c>
      <c r="BG19" s="17">
        <f t="shared" si="12"/>
        <v>4200</v>
      </c>
      <c r="BH19" s="17">
        <f t="shared" si="12"/>
        <v>0</v>
      </c>
      <c r="BI19" s="17">
        <f t="shared" si="13"/>
        <v>0</v>
      </c>
      <c r="BJ19" s="25">
        <f t="shared" si="13"/>
        <v>5400</v>
      </c>
      <c r="BK19" s="12">
        <v>42</v>
      </c>
      <c r="BL19" s="6">
        <v>0</v>
      </c>
      <c r="BM19" s="12">
        <v>0</v>
      </c>
      <c r="BN19" s="12">
        <v>18</v>
      </c>
      <c r="BO19" s="17">
        <f t="shared" si="14"/>
        <v>4200</v>
      </c>
      <c r="BP19" s="17">
        <f t="shared" si="14"/>
        <v>0</v>
      </c>
      <c r="BQ19" s="17">
        <f t="shared" si="15"/>
        <v>0</v>
      </c>
      <c r="BR19" s="25">
        <f t="shared" si="15"/>
        <v>5400</v>
      </c>
      <c r="BS19" s="12">
        <v>45</v>
      </c>
      <c r="BT19" s="6">
        <v>0</v>
      </c>
      <c r="BU19" s="12">
        <v>0</v>
      </c>
      <c r="BV19" s="12">
        <v>18</v>
      </c>
      <c r="BW19" s="17">
        <f t="shared" si="16"/>
        <v>4500</v>
      </c>
      <c r="BX19" s="17">
        <f t="shared" si="16"/>
        <v>0</v>
      </c>
      <c r="BY19" s="17">
        <f t="shared" si="17"/>
        <v>0</v>
      </c>
      <c r="BZ19" s="25">
        <f t="shared" si="17"/>
        <v>5400</v>
      </c>
      <c r="CA19" s="81"/>
      <c r="CB19" s="75"/>
      <c r="CC19" s="81"/>
      <c r="CD19" s="81"/>
      <c r="CE19" s="93"/>
      <c r="CF19" s="93"/>
      <c r="CG19" s="93"/>
      <c r="CH19" s="94"/>
      <c r="CI19" s="81"/>
      <c r="CJ19" s="75"/>
      <c r="CK19" s="81"/>
      <c r="CL19" s="81"/>
      <c r="CM19" s="93"/>
      <c r="CN19" s="93"/>
      <c r="CO19" s="93"/>
      <c r="CP19" s="94"/>
      <c r="CQ19" s="81"/>
      <c r="CR19" s="75"/>
      <c r="CS19" s="81"/>
      <c r="CT19" s="81"/>
      <c r="CU19" s="93"/>
      <c r="CV19" s="93"/>
      <c r="CW19" s="93"/>
      <c r="CX19" s="94"/>
      <c r="CY19" s="81"/>
      <c r="CZ19" s="75"/>
      <c r="DA19" s="81"/>
      <c r="DB19" s="81"/>
      <c r="DC19" s="93"/>
      <c r="DD19" s="93"/>
      <c r="DE19" s="93"/>
      <c r="DF19" s="94"/>
      <c r="DG19" s="81"/>
      <c r="DH19" s="75"/>
      <c r="DI19" s="81"/>
      <c r="DJ19" s="81"/>
      <c r="DK19" s="93"/>
      <c r="DL19" s="93"/>
      <c r="DM19" s="93"/>
      <c r="DN19" s="94"/>
      <c r="DO19" s="95"/>
      <c r="DP19" s="96"/>
      <c r="DQ19" s="95"/>
      <c r="DR19" s="97"/>
      <c r="DS19" s="98"/>
      <c r="DT19" s="99"/>
      <c r="DU19" s="99"/>
      <c r="DV19" s="100"/>
      <c r="DW19" s="95"/>
      <c r="DX19" s="96"/>
      <c r="DY19" s="95"/>
      <c r="DZ19" s="97"/>
      <c r="EA19" s="98"/>
      <c r="EB19" s="99"/>
      <c r="EC19" s="99"/>
      <c r="ED19" s="100"/>
      <c r="EE19" s="95"/>
      <c r="EF19" s="96"/>
      <c r="EG19" s="95"/>
      <c r="EH19" s="97"/>
      <c r="EI19" s="98"/>
      <c r="EJ19" s="99"/>
      <c r="EK19" s="99"/>
      <c r="EL19" s="100"/>
    </row>
    <row r="20" spans="1:142">
      <c r="A20" s="75">
        <v>17</v>
      </c>
      <c r="B20" s="75" t="s">
        <v>39</v>
      </c>
      <c r="F20" s="76"/>
      <c r="G20" s="77">
        <v>40</v>
      </c>
      <c r="H20" s="90">
        <v>20</v>
      </c>
      <c r="I20" s="77">
        <v>0</v>
      </c>
      <c r="J20" s="77">
        <v>10</v>
      </c>
      <c r="K20" s="91">
        <f t="shared" si="0"/>
        <v>4000</v>
      </c>
      <c r="L20" s="91">
        <f>H20*100</f>
        <v>2000</v>
      </c>
      <c r="M20" s="91">
        <f t="shared" si="1"/>
        <v>0</v>
      </c>
      <c r="N20" s="92">
        <f t="shared" si="1"/>
        <v>3000</v>
      </c>
      <c r="O20" s="77">
        <v>50</v>
      </c>
      <c r="P20" s="90">
        <v>20</v>
      </c>
      <c r="Q20" s="77">
        <v>0</v>
      </c>
      <c r="R20" s="77">
        <v>10</v>
      </c>
      <c r="S20" s="91">
        <f t="shared" si="2"/>
        <v>5000</v>
      </c>
      <c r="T20" s="91">
        <f>P20*100</f>
        <v>2000</v>
      </c>
      <c r="U20" s="91">
        <f t="shared" si="3"/>
        <v>0</v>
      </c>
      <c r="V20" s="92">
        <f t="shared" si="3"/>
        <v>3000</v>
      </c>
      <c r="W20" s="77">
        <v>55</v>
      </c>
      <c r="X20" s="90">
        <v>20</v>
      </c>
      <c r="Y20" s="77">
        <v>0</v>
      </c>
      <c r="Z20" s="77">
        <v>12</v>
      </c>
      <c r="AA20" s="91">
        <f t="shared" si="4"/>
        <v>5500</v>
      </c>
      <c r="AB20" s="91">
        <f>X20*100</f>
        <v>2000</v>
      </c>
      <c r="AC20" s="91">
        <f t="shared" si="5"/>
        <v>0</v>
      </c>
      <c r="AD20" s="92">
        <f t="shared" si="5"/>
        <v>3600</v>
      </c>
      <c r="AE20" s="77">
        <v>55</v>
      </c>
      <c r="AF20" s="90">
        <v>20</v>
      </c>
      <c r="AG20" s="77">
        <v>0</v>
      </c>
      <c r="AH20" s="77">
        <v>10</v>
      </c>
      <c r="AI20" s="91">
        <f t="shared" si="6"/>
        <v>5500</v>
      </c>
      <c r="AJ20" s="91">
        <f>AF20*100</f>
        <v>2000</v>
      </c>
      <c r="AK20" s="91">
        <f t="shared" si="7"/>
        <v>0</v>
      </c>
      <c r="AL20" s="92">
        <f t="shared" si="7"/>
        <v>3000</v>
      </c>
      <c r="AM20" s="77">
        <v>54</v>
      </c>
      <c r="AN20" s="90">
        <v>18</v>
      </c>
      <c r="AO20" s="77">
        <v>0</v>
      </c>
      <c r="AP20" s="77">
        <v>12</v>
      </c>
      <c r="AQ20" s="91">
        <f t="shared" si="8"/>
        <v>5400</v>
      </c>
      <c r="AR20" s="91">
        <f>AN20*100</f>
        <v>1800</v>
      </c>
      <c r="AS20" s="91">
        <f t="shared" si="9"/>
        <v>0</v>
      </c>
      <c r="AT20" s="92">
        <f t="shared" si="9"/>
        <v>3600</v>
      </c>
      <c r="AU20" s="12">
        <v>54</v>
      </c>
      <c r="AV20" s="6">
        <v>18</v>
      </c>
      <c r="AW20" s="12">
        <v>0</v>
      </c>
      <c r="AX20" s="12">
        <v>12</v>
      </c>
      <c r="AY20" s="17">
        <f t="shared" si="10"/>
        <v>5400</v>
      </c>
      <c r="AZ20" s="17">
        <f t="shared" si="10"/>
        <v>1800</v>
      </c>
      <c r="BA20" s="17">
        <f t="shared" si="11"/>
        <v>0</v>
      </c>
      <c r="BB20" s="25">
        <f t="shared" si="11"/>
        <v>3600</v>
      </c>
      <c r="BC20" s="12">
        <v>52</v>
      </c>
      <c r="BD20" s="6">
        <v>20</v>
      </c>
      <c r="BE20" s="12">
        <v>0</v>
      </c>
      <c r="BF20" s="12">
        <v>20</v>
      </c>
      <c r="BG20" s="17">
        <f t="shared" si="12"/>
        <v>5200</v>
      </c>
      <c r="BH20" s="17">
        <f t="shared" si="12"/>
        <v>2000</v>
      </c>
      <c r="BI20" s="17">
        <f t="shared" si="13"/>
        <v>0</v>
      </c>
      <c r="BJ20" s="25">
        <f t="shared" si="13"/>
        <v>6000</v>
      </c>
      <c r="BK20" s="12">
        <v>52</v>
      </c>
      <c r="BL20" s="6">
        <v>25</v>
      </c>
      <c r="BM20" s="12">
        <v>0</v>
      </c>
      <c r="BN20" s="12">
        <v>20</v>
      </c>
      <c r="BO20" s="17">
        <f t="shared" si="14"/>
        <v>5200</v>
      </c>
      <c r="BP20" s="17">
        <f t="shared" si="14"/>
        <v>2500</v>
      </c>
      <c r="BQ20" s="17">
        <f t="shared" si="15"/>
        <v>0</v>
      </c>
      <c r="BR20" s="25">
        <f t="shared" si="15"/>
        <v>6000</v>
      </c>
      <c r="BS20" s="12">
        <v>56</v>
      </c>
      <c r="BT20" s="6">
        <v>30</v>
      </c>
      <c r="BU20" s="12">
        <v>0</v>
      </c>
      <c r="BV20" s="12">
        <v>25</v>
      </c>
      <c r="BW20" s="17">
        <f t="shared" si="16"/>
        <v>5600</v>
      </c>
      <c r="BX20" s="17">
        <f t="shared" si="16"/>
        <v>3000</v>
      </c>
      <c r="BY20" s="17">
        <f t="shared" si="17"/>
        <v>0</v>
      </c>
      <c r="BZ20" s="25">
        <f t="shared" si="17"/>
        <v>7500</v>
      </c>
      <c r="CA20" s="81"/>
      <c r="CB20" s="75"/>
      <c r="CC20" s="81"/>
      <c r="CD20" s="81"/>
      <c r="CE20" s="93"/>
      <c r="CF20" s="93"/>
      <c r="CG20" s="93"/>
      <c r="CH20" s="94"/>
      <c r="CI20" s="81"/>
      <c r="CJ20" s="75"/>
      <c r="CK20" s="81"/>
      <c r="CL20" s="81"/>
      <c r="CM20" s="93"/>
      <c r="CN20" s="93"/>
      <c r="CO20" s="93"/>
      <c r="CP20" s="94"/>
      <c r="CQ20" s="81"/>
      <c r="CR20" s="75"/>
      <c r="CS20" s="81"/>
      <c r="CT20" s="81"/>
      <c r="CU20" s="93"/>
      <c r="CV20" s="93"/>
      <c r="CW20" s="93"/>
      <c r="CX20" s="94"/>
      <c r="CY20" s="81"/>
      <c r="CZ20" s="75"/>
      <c r="DA20" s="81"/>
      <c r="DB20" s="81"/>
      <c r="DC20" s="93"/>
      <c r="DD20" s="93"/>
      <c r="DE20" s="93"/>
      <c r="DF20" s="94"/>
      <c r="DG20" s="81"/>
      <c r="DH20" s="75"/>
      <c r="DI20" s="81"/>
      <c r="DJ20" s="81"/>
      <c r="DK20" s="93"/>
      <c r="DL20" s="93"/>
      <c r="DM20" s="93"/>
      <c r="DN20" s="94"/>
      <c r="DO20" s="95"/>
      <c r="DP20" s="96"/>
      <c r="DQ20" s="95"/>
      <c r="DR20" s="97"/>
      <c r="DS20" s="98"/>
      <c r="DT20" s="99"/>
      <c r="DU20" s="99"/>
      <c r="DV20" s="100"/>
      <c r="DW20" s="95"/>
      <c r="DX20" s="96"/>
      <c r="DY20" s="95"/>
      <c r="DZ20" s="97"/>
      <c r="EA20" s="98"/>
      <c r="EB20" s="99"/>
      <c r="EC20" s="99"/>
      <c r="ED20" s="100"/>
      <c r="EE20" s="95"/>
      <c r="EF20" s="96"/>
      <c r="EG20" s="95"/>
      <c r="EH20" s="97"/>
      <c r="EI20" s="98"/>
      <c r="EJ20" s="99"/>
      <c r="EK20" s="99"/>
      <c r="EL20" s="100"/>
    </row>
    <row r="21" spans="1:142">
      <c r="A21" s="75">
        <v>18</v>
      </c>
      <c r="B21" s="75" t="s">
        <v>41</v>
      </c>
      <c r="F21" s="76"/>
      <c r="G21" s="77">
        <v>38</v>
      </c>
      <c r="H21" s="90">
        <v>0</v>
      </c>
      <c r="I21" s="77">
        <v>0</v>
      </c>
      <c r="J21" s="77">
        <v>5</v>
      </c>
      <c r="K21" s="91">
        <f t="shared" si="0"/>
        <v>3800</v>
      </c>
      <c r="L21" s="91">
        <f>H21*100</f>
        <v>0</v>
      </c>
      <c r="M21" s="91">
        <f t="shared" si="1"/>
        <v>0</v>
      </c>
      <c r="N21" s="92">
        <f t="shared" si="1"/>
        <v>1500</v>
      </c>
      <c r="O21" s="77">
        <v>25</v>
      </c>
      <c r="P21" s="90">
        <v>0</v>
      </c>
      <c r="Q21" s="77">
        <v>0</v>
      </c>
      <c r="R21" s="77">
        <v>12</v>
      </c>
      <c r="S21" s="91">
        <f t="shared" si="2"/>
        <v>2500</v>
      </c>
      <c r="T21" s="91">
        <f>P21*100</f>
        <v>0</v>
      </c>
      <c r="U21" s="91">
        <f t="shared" si="3"/>
        <v>0</v>
      </c>
      <c r="V21" s="92">
        <f t="shared" si="3"/>
        <v>3600</v>
      </c>
      <c r="W21" s="77">
        <v>22</v>
      </c>
      <c r="X21" s="90">
        <v>0</v>
      </c>
      <c r="Y21" s="77">
        <v>0</v>
      </c>
      <c r="Z21" s="77">
        <v>10</v>
      </c>
      <c r="AA21" s="91">
        <f t="shared" si="4"/>
        <v>2200</v>
      </c>
      <c r="AB21" s="91">
        <f>X21*100</f>
        <v>0</v>
      </c>
      <c r="AC21" s="91">
        <f t="shared" si="5"/>
        <v>0</v>
      </c>
      <c r="AD21" s="92">
        <f t="shared" si="5"/>
        <v>3000</v>
      </c>
      <c r="AE21" s="77">
        <v>28</v>
      </c>
      <c r="AF21" s="90">
        <v>0</v>
      </c>
      <c r="AG21" s="77">
        <v>0</v>
      </c>
      <c r="AH21" s="77">
        <v>12</v>
      </c>
      <c r="AI21" s="91">
        <f t="shared" si="6"/>
        <v>2800</v>
      </c>
      <c r="AJ21" s="91">
        <f>AF21*100</f>
        <v>0</v>
      </c>
      <c r="AK21" s="91">
        <f t="shared" si="7"/>
        <v>0</v>
      </c>
      <c r="AL21" s="92">
        <f t="shared" si="7"/>
        <v>3600</v>
      </c>
      <c r="AM21" s="77">
        <v>40</v>
      </c>
      <c r="AN21" s="90">
        <v>0</v>
      </c>
      <c r="AO21" s="77">
        <v>0</v>
      </c>
      <c r="AP21" s="77">
        <v>5</v>
      </c>
      <c r="AQ21" s="91">
        <f t="shared" ref="AQ21:AR84" si="18">AM21*100</f>
        <v>4000</v>
      </c>
      <c r="AR21" s="91">
        <f>AN21*100</f>
        <v>0</v>
      </c>
      <c r="AS21" s="91">
        <f t="shared" ref="AS21:AT84" si="19">AO21*300</f>
        <v>0</v>
      </c>
      <c r="AT21" s="92">
        <f t="shared" si="19"/>
        <v>1500</v>
      </c>
      <c r="AU21" s="12">
        <v>40</v>
      </c>
      <c r="AV21" s="6">
        <v>0</v>
      </c>
      <c r="AW21" s="12">
        <v>0</v>
      </c>
      <c r="AX21" s="12">
        <v>5</v>
      </c>
      <c r="AY21" s="17">
        <f t="shared" si="10"/>
        <v>4000</v>
      </c>
      <c r="AZ21" s="17">
        <f t="shared" si="10"/>
        <v>0</v>
      </c>
      <c r="BA21" s="17">
        <f t="shared" si="11"/>
        <v>0</v>
      </c>
      <c r="BB21" s="25">
        <f t="shared" si="11"/>
        <v>1500</v>
      </c>
      <c r="BC21" s="12">
        <v>45</v>
      </c>
      <c r="BD21" s="6">
        <v>0</v>
      </c>
      <c r="BE21" s="12">
        <v>0</v>
      </c>
      <c r="BF21" s="12">
        <v>8</v>
      </c>
      <c r="BG21" s="17">
        <f t="shared" si="12"/>
        <v>4500</v>
      </c>
      <c r="BH21" s="17">
        <f t="shared" si="12"/>
        <v>0</v>
      </c>
      <c r="BI21" s="17">
        <f t="shared" si="13"/>
        <v>0</v>
      </c>
      <c r="BJ21" s="25">
        <f t="shared" si="13"/>
        <v>2400</v>
      </c>
      <c r="BK21" s="12">
        <v>46</v>
      </c>
      <c r="BL21" s="6">
        <v>0</v>
      </c>
      <c r="BM21" s="12">
        <v>0</v>
      </c>
      <c r="BN21" s="12">
        <v>8</v>
      </c>
      <c r="BO21" s="17">
        <f t="shared" si="14"/>
        <v>4600</v>
      </c>
      <c r="BP21" s="17">
        <f t="shared" si="14"/>
        <v>0</v>
      </c>
      <c r="BQ21" s="17">
        <f t="shared" si="15"/>
        <v>0</v>
      </c>
      <c r="BR21" s="25">
        <f t="shared" si="15"/>
        <v>2400</v>
      </c>
      <c r="BS21" s="12">
        <v>46</v>
      </c>
      <c r="BT21" s="6">
        <v>0</v>
      </c>
      <c r="BU21" s="12">
        <v>0</v>
      </c>
      <c r="BV21" s="12">
        <v>14</v>
      </c>
      <c r="BW21" s="17">
        <f t="shared" si="16"/>
        <v>4600</v>
      </c>
      <c r="BX21" s="17">
        <f t="shared" si="16"/>
        <v>0</v>
      </c>
      <c r="BY21" s="17">
        <f t="shared" si="17"/>
        <v>0</v>
      </c>
      <c r="BZ21" s="25">
        <f t="shared" si="17"/>
        <v>4200</v>
      </c>
      <c r="CA21" s="81"/>
      <c r="CB21" s="75"/>
      <c r="CC21" s="81"/>
      <c r="CD21" s="81"/>
      <c r="CE21" s="93"/>
      <c r="CF21" s="93"/>
      <c r="CG21" s="93"/>
      <c r="CH21" s="94"/>
      <c r="CI21" s="81"/>
      <c r="CJ21" s="75"/>
      <c r="CK21" s="81"/>
      <c r="CL21" s="81"/>
      <c r="CM21" s="93"/>
      <c r="CN21" s="93"/>
      <c r="CO21" s="93"/>
      <c r="CP21" s="94"/>
      <c r="CQ21" s="81"/>
      <c r="CR21" s="75"/>
      <c r="CS21" s="81"/>
      <c r="CT21" s="81"/>
      <c r="CU21" s="93"/>
      <c r="CV21" s="93"/>
      <c r="CW21" s="93"/>
      <c r="CX21" s="94"/>
      <c r="CY21" s="81"/>
      <c r="CZ21" s="75"/>
      <c r="DA21" s="81"/>
      <c r="DB21" s="81"/>
      <c r="DC21" s="93"/>
      <c r="DD21" s="93"/>
      <c r="DE21" s="93"/>
      <c r="DF21" s="94"/>
      <c r="DG21" s="81"/>
      <c r="DH21" s="75"/>
      <c r="DI21" s="81"/>
      <c r="DJ21" s="81"/>
      <c r="DK21" s="93"/>
      <c r="DL21" s="93"/>
      <c r="DM21" s="93"/>
      <c r="DN21" s="94"/>
      <c r="DO21" s="95"/>
      <c r="DP21" s="96"/>
      <c r="DQ21" s="95"/>
      <c r="DR21" s="97"/>
      <c r="DS21" s="98"/>
      <c r="DT21" s="99"/>
      <c r="DU21" s="99"/>
      <c r="DV21" s="100"/>
      <c r="DW21" s="95"/>
      <c r="DX21" s="96"/>
      <c r="DY21" s="95"/>
      <c r="DZ21" s="97"/>
      <c r="EA21" s="98"/>
      <c r="EB21" s="99"/>
      <c r="EC21" s="99"/>
      <c r="ED21" s="100"/>
      <c r="EE21" s="95"/>
      <c r="EF21" s="96"/>
      <c r="EG21" s="95"/>
      <c r="EH21" s="97"/>
      <c r="EI21" s="98"/>
      <c r="EJ21" s="99"/>
      <c r="EK21" s="99"/>
      <c r="EL21" s="100"/>
    </row>
    <row r="22" spans="1:142">
      <c r="A22" s="75">
        <v>19</v>
      </c>
      <c r="B22" s="75" t="s">
        <v>42</v>
      </c>
      <c r="F22" s="76"/>
      <c r="G22" s="77">
        <v>40</v>
      </c>
      <c r="H22" s="90">
        <v>0</v>
      </c>
      <c r="I22" s="77">
        <v>0</v>
      </c>
      <c r="J22" s="77">
        <v>12</v>
      </c>
      <c r="K22" s="91">
        <f t="shared" si="0"/>
        <v>4000</v>
      </c>
      <c r="L22" s="91">
        <f t="shared" si="0"/>
        <v>0</v>
      </c>
      <c r="M22" s="91">
        <f t="shared" si="1"/>
        <v>0</v>
      </c>
      <c r="N22" s="92">
        <f t="shared" si="1"/>
        <v>3600</v>
      </c>
      <c r="O22" s="77">
        <v>45</v>
      </c>
      <c r="P22" s="90">
        <v>0</v>
      </c>
      <c r="Q22" s="77">
        <v>0</v>
      </c>
      <c r="R22" s="77">
        <v>15</v>
      </c>
      <c r="S22" s="91">
        <f t="shared" si="2"/>
        <v>4500</v>
      </c>
      <c r="T22" s="91">
        <f t="shared" si="2"/>
        <v>0</v>
      </c>
      <c r="U22" s="91">
        <f t="shared" si="3"/>
        <v>0</v>
      </c>
      <c r="V22" s="92">
        <f t="shared" si="3"/>
        <v>4500</v>
      </c>
      <c r="W22" s="77">
        <v>44</v>
      </c>
      <c r="X22" s="90">
        <v>0</v>
      </c>
      <c r="Y22" s="77">
        <v>0</v>
      </c>
      <c r="Z22" s="77">
        <v>20</v>
      </c>
      <c r="AA22" s="91">
        <f t="shared" si="4"/>
        <v>4400</v>
      </c>
      <c r="AB22" s="91">
        <f t="shared" si="4"/>
        <v>0</v>
      </c>
      <c r="AC22" s="91">
        <f t="shared" si="5"/>
        <v>0</v>
      </c>
      <c r="AD22" s="92">
        <f t="shared" si="5"/>
        <v>6000</v>
      </c>
      <c r="AE22" s="77">
        <v>45</v>
      </c>
      <c r="AF22" s="90">
        <v>0</v>
      </c>
      <c r="AG22" s="77">
        <v>0</v>
      </c>
      <c r="AH22" s="77">
        <v>20</v>
      </c>
      <c r="AI22" s="91">
        <f t="shared" si="6"/>
        <v>4500</v>
      </c>
      <c r="AJ22" s="91">
        <f t="shared" si="6"/>
        <v>0</v>
      </c>
      <c r="AK22" s="91">
        <f t="shared" si="7"/>
        <v>0</v>
      </c>
      <c r="AL22" s="92">
        <f t="shared" si="7"/>
        <v>6000</v>
      </c>
      <c r="AM22" s="77">
        <v>30</v>
      </c>
      <c r="AN22" s="90">
        <v>0</v>
      </c>
      <c r="AO22" s="77">
        <v>0</v>
      </c>
      <c r="AP22" s="77">
        <v>10</v>
      </c>
      <c r="AQ22" s="91">
        <f t="shared" si="18"/>
        <v>3000</v>
      </c>
      <c r="AR22" s="91">
        <f t="shared" si="18"/>
        <v>0</v>
      </c>
      <c r="AS22" s="91">
        <f t="shared" si="19"/>
        <v>0</v>
      </c>
      <c r="AT22" s="92">
        <f t="shared" si="19"/>
        <v>3000</v>
      </c>
      <c r="AU22" s="12">
        <v>32</v>
      </c>
      <c r="AV22" s="6">
        <v>0</v>
      </c>
      <c r="AW22" s="12">
        <v>0</v>
      </c>
      <c r="AX22" s="12">
        <v>10</v>
      </c>
      <c r="AY22" s="17">
        <f t="shared" si="10"/>
        <v>3200</v>
      </c>
      <c r="AZ22" s="17">
        <f t="shared" si="10"/>
        <v>0</v>
      </c>
      <c r="BA22" s="17">
        <f t="shared" si="11"/>
        <v>0</v>
      </c>
      <c r="BB22" s="25">
        <f t="shared" si="11"/>
        <v>3000</v>
      </c>
      <c r="BC22" s="12">
        <v>36</v>
      </c>
      <c r="BD22" s="6">
        <v>0</v>
      </c>
      <c r="BE22" s="12">
        <v>0</v>
      </c>
      <c r="BF22" s="12">
        <v>10</v>
      </c>
      <c r="BG22" s="17">
        <f t="shared" si="12"/>
        <v>3600</v>
      </c>
      <c r="BH22" s="17">
        <f t="shared" si="12"/>
        <v>0</v>
      </c>
      <c r="BI22" s="17">
        <f t="shared" si="13"/>
        <v>0</v>
      </c>
      <c r="BJ22" s="25">
        <f t="shared" si="13"/>
        <v>3000</v>
      </c>
      <c r="BK22" s="12">
        <v>46</v>
      </c>
      <c r="BL22" s="6">
        <v>0</v>
      </c>
      <c r="BM22" s="12">
        <v>0</v>
      </c>
      <c r="BN22" s="12">
        <v>16</v>
      </c>
      <c r="BO22" s="17">
        <f t="shared" si="14"/>
        <v>4600</v>
      </c>
      <c r="BP22" s="17">
        <f t="shared" si="14"/>
        <v>0</v>
      </c>
      <c r="BQ22" s="17">
        <f t="shared" si="15"/>
        <v>0</v>
      </c>
      <c r="BR22" s="25">
        <f t="shared" si="15"/>
        <v>4800</v>
      </c>
      <c r="BS22" s="12">
        <v>49</v>
      </c>
      <c r="BT22" s="6">
        <v>0</v>
      </c>
      <c r="BU22" s="12">
        <v>0</v>
      </c>
      <c r="BV22" s="12">
        <v>16</v>
      </c>
      <c r="BW22" s="17">
        <f t="shared" si="16"/>
        <v>4900</v>
      </c>
      <c r="BX22" s="17">
        <f t="shared" si="16"/>
        <v>0</v>
      </c>
      <c r="BY22" s="17">
        <f t="shared" si="17"/>
        <v>0</v>
      </c>
      <c r="BZ22" s="25">
        <f t="shared" si="17"/>
        <v>4800</v>
      </c>
      <c r="CA22" s="81"/>
      <c r="CB22" s="75"/>
      <c r="CC22" s="81"/>
      <c r="CD22" s="81"/>
      <c r="CE22" s="93"/>
      <c r="CF22" s="93"/>
      <c r="CG22" s="93"/>
      <c r="CH22" s="94"/>
      <c r="CI22" s="81"/>
      <c r="CJ22" s="75"/>
      <c r="CK22" s="81"/>
      <c r="CL22" s="81"/>
      <c r="CM22" s="93"/>
      <c r="CN22" s="93"/>
      <c r="CO22" s="93"/>
      <c r="CP22" s="94"/>
      <c r="CQ22" s="81"/>
      <c r="CR22" s="75"/>
      <c r="CS22" s="81"/>
      <c r="CT22" s="81"/>
      <c r="CU22" s="93"/>
      <c r="CV22" s="93"/>
      <c r="CW22" s="93"/>
      <c r="CX22" s="94"/>
      <c r="CY22" s="81"/>
      <c r="CZ22" s="75"/>
      <c r="DA22" s="81"/>
      <c r="DB22" s="81"/>
      <c r="DC22" s="93"/>
      <c r="DD22" s="93"/>
      <c r="DE22" s="93"/>
      <c r="DF22" s="94"/>
      <c r="DG22" s="81"/>
      <c r="DH22" s="75"/>
      <c r="DI22" s="81"/>
      <c r="DJ22" s="81"/>
      <c r="DK22" s="93"/>
      <c r="DL22" s="93"/>
      <c r="DM22" s="93"/>
      <c r="DN22" s="94"/>
      <c r="DO22" s="95"/>
      <c r="DP22" s="96"/>
      <c r="DQ22" s="95"/>
      <c r="DR22" s="97"/>
      <c r="DS22" s="98"/>
      <c r="DT22" s="99"/>
      <c r="DU22" s="99"/>
      <c r="DV22" s="100"/>
      <c r="DW22" s="95"/>
      <c r="DX22" s="96"/>
      <c r="DY22" s="95"/>
      <c r="DZ22" s="97"/>
      <c r="EA22" s="98"/>
      <c r="EB22" s="99"/>
      <c r="EC22" s="99"/>
      <c r="ED22" s="100"/>
      <c r="EE22" s="95"/>
      <c r="EF22" s="96"/>
      <c r="EG22" s="95"/>
      <c r="EH22" s="97"/>
      <c r="EI22" s="98"/>
      <c r="EJ22" s="99"/>
      <c r="EK22" s="99"/>
      <c r="EL22" s="100"/>
    </row>
    <row r="23" spans="1:142">
      <c r="A23" s="75">
        <v>20</v>
      </c>
      <c r="B23" s="75" t="s">
        <v>43</v>
      </c>
      <c r="F23" s="76"/>
      <c r="G23" s="77">
        <v>30</v>
      </c>
      <c r="H23" s="90">
        <v>0</v>
      </c>
      <c r="I23" s="77">
        <v>0</v>
      </c>
      <c r="J23" s="77">
        <v>20</v>
      </c>
      <c r="K23" s="91">
        <f t="shared" si="0"/>
        <v>3000</v>
      </c>
      <c r="L23" s="91">
        <f t="shared" si="0"/>
        <v>0</v>
      </c>
      <c r="M23" s="91">
        <f t="shared" si="1"/>
        <v>0</v>
      </c>
      <c r="N23" s="92">
        <f t="shared" si="1"/>
        <v>6000</v>
      </c>
      <c r="O23" s="77">
        <v>33</v>
      </c>
      <c r="P23" s="90">
        <v>0</v>
      </c>
      <c r="Q23" s="77">
        <v>0</v>
      </c>
      <c r="R23" s="77">
        <v>20</v>
      </c>
      <c r="S23" s="91">
        <f t="shared" si="2"/>
        <v>3300</v>
      </c>
      <c r="T23" s="91">
        <f t="shared" si="2"/>
        <v>0</v>
      </c>
      <c r="U23" s="91">
        <f t="shared" si="3"/>
        <v>0</v>
      </c>
      <c r="V23" s="92">
        <f t="shared" si="3"/>
        <v>6000</v>
      </c>
      <c r="W23" s="77">
        <v>30</v>
      </c>
      <c r="X23" s="90">
        <v>0</v>
      </c>
      <c r="Y23" s="77">
        <v>0</v>
      </c>
      <c r="Z23" s="77">
        <v>18</v>
      </c>
      <c r="AA23" s="91">
        <f t="shared" si="4"/>
        <v>3000</v>
      </c>
      <c r="AB23" s="91">
        <f t="shared" si="4"/>
        <v>0</v>
      </c>
      <c r="AC23" s="91">
        <f t="shared" si="5"/>
        <v>0</v>
      </c>
      <c r="AD23" s="92">
        <f t="shared" si="5"/>
        <v>5400</v>
      </c>
      <c r="AE23" s="77">
        <v>32</v>
      </c>
      <c r="AF23" s="90">
        <v>0</v>
      </c>
      <c r="AG23" s="77">
        <v>0</v>
      </c>
      <c r="AH23" s="77">
        <v>19</v>
      </c>
      <c r="AI23" s="91">
        <f t="shared" si="6"/>
        <v>3200</v>
      </c>
      <c r="AJ23" s="91">
        <f t="shared" si="6"/>
        <v>0</v>
      </c>
      <c r="AK23" s="91">
        <f t="shared" si="7"/>
        <v>0</v>
      </c>
      <c r="AL23" s="92">
        <f t="shared" si="7"/>
        <v>5700</v>
      </c>
      <c r="AM23" s="77">
        <v>55</v>
      </c>
      <c r="AN23" s="90">
        <v>0</v>
      </c>
      <c r="AO23" s="77">
        <v>0</v>
      </c>
      <c r="AP23" s="77">
        <v>20</v>
      </c>
      <c r="AQ23" s="91">
        <f t="shared" si="18"/>
        <v>5500</v>
      </c>
      <c r="AR23" s="91">
        <f t="shared" si="18"/>
        <v>0</v>
      </c>
      <c r="AS23" s="91">
        <f t="shared" si="19"/>
        <v>0</v>
      </c>
      <c r="AT23" s="92">
        <f t="shared" si="19"/>
        <v>6000</v>
      </c>
      <c r="AU23" s="12">
        <v>55</v>
      </c>
      <c r="AV23" s="6">
        <v>0</v>
      </c>
      <c r="AW23" s="12">
        <v>0</v>
      </c>
      <c r="AX23" s="12">
        <v>20</v>
      </c>
      <c r="AY23" s="17">
        <f t="shared" si="10"/>
        <v>5500</v>
      </c>
      <c r="AZ23" s="17">
        <f t="shared" si="10"/>
        <v>0</v>
      </c>
      <c r="BA23" s="17">
        <f t="shared" si="11"/>
        <v>0</v>
      </c>
      <c r="BB23" s="25">
        <f t="shared" si="11"/>
        <v>6000</v>
      </c>
      <c r="BC23" s="12">
        <v>55</v>
      </c>
      <c r="BD23" s="6">
        <v>0</v>
      </c>
      <c r="BE23" s="12">
        <v>0</v>
      </c>
      <c r="BF23" s="12">
        <v>20</v>
      </c>
      <c r="BG23" s="17">
        <f t="shared" si="12"/>
        <v>5500</v>
      </c>
      <c r="BH23" s="17">
        <f t="shared" si="12"/>
        <v>0</v>
      </c>
      <c r="BI23" s="17">
        <f t="shared" si="13"/>
        <v>0</v>
      </c>
      <c r="BJ23" s="25">
        <f t="shared" si="13"/>
        <v>6000</v>
      </c>
      <c r="BK23" s="12">
        <v>55</v>
      </c>
      <c r="BL23" s="6">
        <v>0</v>
      </c>
      <c r="BM23" s="12">
        <v>0</v>
      </c>
      <c r="BN23" s="12">
        <v>20</v>
      </c>
      <c r="BO23" s="17">
        <f t="shared" si="14"/>
        <v>5500</v>
      </c>
      <c r="BP23" s="17">
        <f t="shared" si="14"/>
        <v>0</v>
      </c>
      <c r="BQ23" s="17">
        <f t="shared" si="15"/>
        <v>0</v>
      </c>
      <c r="BR23" s="25">
        <f t="shared" si="15"/>
        <v>6000</v>
      </c>
      <c r="BS23" s="12">
        <v>55</v>
      </c>
      <c r="BT23" s="6">
        <v>0</v>
      </c>
      <c r="BU23" s="12">
        <v>0</v>
      </c>
      <c r="BV23" s="12">
        <v>20</v>
      </c>
      <c r="BW23" s="17">
        <f t="shared" si="16"/>
        <v>5500</v>
      </c>
      <c r="BX23" s="17">
        <f t="shared" si="16"/>
        <v>0</v>
      </c>
      <c r="BY23" s="17">
        <f t="shared" si="17"/>
        <v>0</v>
      </c>
      <c r="BZ23" s="25">
        <f t="shared" si="17"/>
        <v>6000</v>
      </c>
      <c r="CA23" s="81"/>
      <c r="CB23" s="75"/>
      <c r="CC23" s="81"/>
      <c r="CD23" s="81"/>
      <c r="CE23" s="93"/>
      <c r="CF23" s="93"/>
      <c r="CG23" s="93"/>
      <c r="CH23" s="94"/>
      <c r="CI23" s="81"/>
      <c r="CJ23" s="75"/>
      <c r="CK23" s="81"/>
      <c r="CL23" s="81"/>
      <c r="CM23" s="93"/>
      <c r="CN23" s="93"/>
      <c r="CO23" s="93"/>
      <c r="CP23" s="94"/>
      <c r="CQ23" s="81"/>
      <c r="CR23" s="75"/>
      <c r="CS23" s="81"/>
      <c r="CT23" s="81"/>
      <c r="CU23" s="93"/>
      <c r="CV23" s="93"/>
      <c r="CW23" s="93"/>
      <c r="CX23" s="94"/>
      <c r="CY23" s="81"/>
      <c r="CZ23" s="75"/>
      <c r="DA23" s="81"/>
      <c r="DB23" s="81"/>
      <c r="DC23" s="93"/>
      <c r="DD23" s="93"/>
      <c r="DE23" s="93"/>
      <c r="DF23" s="94"/>
      <c r="DG23" s="81"/>
      <c r="DH23" s="75"/>
      <c r="DI23" s="81"/>
      <c r="DJ23" s="81"/>
      <c r="DK23" s="93"/>
      <c r="DL23" s="93"/>
      <c r="DM23" s="93"/>
      <c r="DN23" s="94"/>
      <c r="DO23" s="95"/>
      <c r="DP23" s="96"/>
      <c r="DQ23" s="95"/>
      <c r="DR23" s="97"/>
      <c r="DS23" s="98"/>
      <c r="DT23" s="99"/>
      <c r="DU23" s="99"/>
      <c r="DV23" s="100"/>
      <c r="DW23" s="95"/>
      <c r="DX23" s="96"/>
      <c r="DY23" s="95"/>
      <c r="DZ23" s="97"/>
      <c r="EA23" s="98"/>
      <c r="EB23" s="99"/>
      <c r="EC23" s="99"/>
      <c r="ED23" s="100"/>
      <c r="EE23" s="95"/>
      <c r="EF23" s="96"/>
      <c r="EG23" s="95"/>
      <c r="EH23" s="97"/>
      <c r="EI23" s="98"/>
      <c r="EJ23" s="99"/>
      <c r="EK23" s="99"/>
      <c r="EL23" s="100"/>
    </row>
    <row r="24" spans="1:142">
      <c r="A24" s="75">
        <v>21</v>
      </c>
      <c r="B24" s="75" t="s">
        <v>44</v>
      </c>
      <c r="F24" s="76"/>
      <c r="G24" s="77">
        <v>35</v>
      </c>
      <c r="H24" s="90">
        <v>0</v>
      </c>
      <c r="I24" s="77">
        <v>0</v>
      </c>
      <c r="J24" s="77">
        <v>20</v>
      </c>
      <c r="K24" s="91">
        <f t="shared" si="0"/>
        <v>3500</v>
      </c>
      <c r="L24" s="91">
        <f t="shared" si="0"/>
        <v>0</v>
      </c>
      <c r="M24" s="91">
        <f t="shared" si="1"/>
        <v>0</v>
      </c>
      <c r="N24" s="92">
        <f t="shared" si="1"/>
        <v>6000</v>
      </c>
      <c r="O24" s="77">
        <v>55</v>
      </c>
      <c r="P24" s="90">
        <v>0</v>
      </c>
      <c r="Q24" s="77">
        <v>0</v>
      </c>
      <c r="R24" s="77">
        <v>0</v>
      </c>
      <c r="S24" s="91">
        <f t="shared" si="2"/>
        <v>5500</v>
      </c>
      <c r="T24" s="91">
        <f t="shared" si="2"/>
        <v>0</v>
      </c>
      <c r="U24" s="91">
        <f t="shared" si="3"/>
        <v>0</v>
      </c>
      <c r="V24" s="92">
        <f t="shared" si="3"/>
        <v>0</v>
      </c>
      <c r="W24" s="77">
        <v>55</v>
      </c>
      <c r="X24" s="90">
        <v>0</v>
      </c>
      <c r="Y24" s="77">
        <v>0</v>
      </c>
      <c r="Z24" s="77">
        <v>4</v>
      </c>
      <c r="AA24" s="91">
        <f t="shared" si="4"/>
        <v>5500</v>
      </c>
      <c r="AB24" s="91">
        <f t="shared" si="4"/>
        <v>0</v>
      </c>
      <c r="AC24" s="91">
        <f t="shared" si="5"/>
        <v>0</v>
      </c>
      <c r="AD24" s="92">
        <f t="shared" si="5"/>
        <v>1200</v>
      </c>
      <c r="AE24" s="77">
        <v>52</v>
      </c>
      <c r="AF24" s="90">
        <v>0</v>
      </c>
      <c r="AG24" s="77">
        <v>0</v>
      </c>
      <c r="AH24" s="77">
        <v>6</v>
      </c>
      <c r="AI24" s="91">
        <f t="shared" si="6"/>
        <v>5200</v>
      </c>
      <c r="AJ24" s="91">
        <f t="shared" si="6"/>
        <v>0</v>
      </c>
      <c r="AK24" s="91">
        <f t="shared" si="7"/>
        <v>0</v>
      </c>
      <c r="AL24" s="92">
        <f t="shared" si="7"/>
        <v>1800</v>
      </c>
      <c r="AM24" s="77">
        <v>30</v>
      </c>
      <c r="AN24" s="90">
        <v>0</v>
      </c>
      <c r="AO24" s="77">
        <v>0</v>
      </c>
      <c r="AP24" s="77">
        <v>15</v>
      </c>
      <c r="AQ24" s="91">
        <f t="shared" si="18"/>
        <v>3000</v>
      </c>
      <c r="AR24" s="91">
        <f t="shared" si="18"/>
        <v>0</v>
      </c>
      <c r="AS24" s="91">
        <f t="shared" si="19"/>
        <v>0</v>
      </c>
      <c r="AT24" s="92">
        <f t="shared" si="19"/>
        <v>4500</v>
      </c>
      <c r="AU24" s="12">
        <v>44</v>
      </c>
      <c r="AV24" s="6">
        <v>0</v>
      </c>
      <c r="AW24" s="12">
        <v>0</v>
      </c>
      <c r="AX24" s="12">
        <v>15</v>
      </c>
      <c r="AY24" s="17">
        <f t="shared" si="10"/>
        <v>4400</v>
      </c>
      <c r="AZ24" s="17">
        <f t="shared" si="10"/>
        <v>0</v>
      </c>
      <c r="BA24" s="17">
        <f t="shared" si="11"/>
        <v>0</v>
      </c>
      <c r="BB24" s="25">
        <f t="shared" si="11"/>
        <v>4500</v>
      </c>
      <c r="BC24" s="12">
        <v>44</v>
      </c>
      <c r="BD24" s="6">
        <v>0</v>
      </c>
      <c r="BE24" s="12">
        <v>0</v>
      </c>
      <c r="BF24" s="12">
        <v>16</v>
      </c>
      <c r="BG24" s="17">
        <f t="shared" si="12"/>
        <v>4400</v>
      </c>
      <c r="BH24" s="17">
        <f t="shared" si="12"/>
        <v>0</v>
      </c>
      <c r="BI24" s="17">
        <f t="shared" si="13"/>
        <v>0</v>
      </c>
      <c r="BJ24" s="25">
        <f t="shared" si="13"/>
        <v>4800</v>
      </c>
      <c r="BK24" s="12">
        <v>46</v>
      </c>
      <c r="BL24" s="6">
        <v>0</v>
      </c>
      <c r="BM24" s="12">
        <v>0</v>
      </c>
      <c r="BN24" s="12">
        <v>18</v>
      </c>
      <c r="BO24" s="17">
        <f t="shared" si="14"/>
        <v>4600</v>
      </c>
      <c r="BP24" s="17">
        <f t="shared" si="14"/>
        <v>0</v>
      </c>
      <c r="BQ24" s="17">
        <f t="shared" si="15"/>
        <v>0</v>
      </c>
      <c r="BR24" s="25">
        <f t="shared" si="15"/>
        <v>5400</v>
      </c>
      <c r="BS24" s="12">
        <v>46</v>
      </c>
      <c r="BT24" s="6">
        <v>0</v>
      </c>
      <c r="BU24" s="12">
        <v>0</v>
      </c>
      <c r="BV24" s="12">
        <v>18</v>
      </c>
      <c r="BW24" s="17">
        <f t="shared" si="16"/>
        <v>4600</v>
      </c>
      <c r="BX24" s="17">
        <f t="shared" si="16"/>
        <v>0</v>
      </c>
      <c r="BY24" s="17">
        <f t="shared" si="17"/>
        <v>0</v>
      </c>
      <c r="BZ24" s="25">
        <f t="shared" si="17"/>
        <v>5400</v>
      </c>
      <c r="CA24" s="81"/>
      <c r="CB24" s="75"/>
      <c r="CC24" s="81"/>
      <c r="CD24" s="81"/>
      <c r="CE24" s="93"/>
      <c r="CF24" s="93"/>
      <c r="CG24" s="93"/>
      <c r="CH24" s="94"/>
      <c r="CI24" s="81"/>
      <c r="CJ24" s="75"/>
      <c r="CK24" s="81"/>
      <c r="CL24" s="81"/>
      <c r="CM24" s="93"/>
      <c r="CN24" s="93"/>
      <c r="CO24" s="93"/>
      <c r="CP24" s="94"/>
      <c r="CQ24" s="81"/>
      <c r="CR24" s="75"/>
      <c r="CS24" s="81"/>
      <c r="CT24" s="81"/>
      <c r="CU24" s="93"/>
      <c r="CV24" s="93"/>
      <c r="CW24" s="93"/>
      <c r="CX24" s="94"/>
      <c r="CY24" s="81"/>
      <c r="CZ24" s="75"/>
      <c r="DA24" s="81"/>
      <c r="DB24" s="81"/>
      <c r="DC24" s="93"/>
      <c r="DD24" s="93"/>
      <c r="DE24" s="93"/>
      <c r="DF24" s="94"/>
      <c r="DG24" s="81"/>
      <c r="DH24" s="75"/>
      <c r="DI24" s="81"/>
      <c r="DJ24" s="81"/>
      <c r="DK24" s="93"/>
      <c r="DL24" s="93"/>
      <c r="DM24" s="93"/>
      <c r="DN24" s="94"/>
      <c r="DO24" s="95"/>
      <c r="DP24" s="96"/>
      <c r="DQ24" s="95"/>
      <c r="DR24" s="97"/>
      <c r="DS24" s="98"/>
      <c r="DT24" s="99"/>
      <c r="DU24" s="99"/>
      <c r="DV24" s="100"/>
      <c r="DW24" s="95"/>
      <c r="DX24" s="96"/>
      <c r="DY24" s="95"/>
      <c r="DZ24" s="97"/>
      <c r="EA24" s="98"/>
      <c r="EB24" s="99"/>
      <c r="EC24" s="99"/>
      <c r="ED24" s="100"/>
      <c r="EE24" s="95"/>
      <c r="EF24" s="96"/>
      <c r="EG24" s="95"/>
      <c r="EH24" s="97"/>
      <c r="EI24" s="98"/>
      <c r="EJ24" s="99"/>
      <c r="EK24" s="99"/>
      <c r="EL24" s="100"/>
    </row>
    <row r="25" spans="1:142">
      <c r="A25" s="75">
        <v>22</v>
      </c>
      <c r="B25" s="75" t="s">
        <v>45</v>
      </c>
      <c r="F25" s="76"/>
      <c r="G25" s="77">
        <v>40</v>
      </c>
      <c r="H25" s="90">
        <v>0</v>
      </c>
      <c r="I25" s="77">
        <v>0</v>
      </c>
      <c r="J25" s="77">
        <v>20</v>
      </c>
      <c r="K25" s="91">
        <f t="shared" si="0"/>
        <v>4000</v>
      </c>
      <c r="L25" s="91">
        <f t="shared" si="0"/>
        <v>0</v>
      </c>
      <c r="M25" s="91">
        <f t="shared" si="1"/>
        <v>0</v>
      </c>
      <c r="N25" s="92">
        <f t="shared" si="1"/>
        <v>6000</v>
      </c>
      <c r="O25" s="77">
        <v>40</v>
      </c>
      <c r="P25" s="90">
        <v>0</v>
      </c>
      <c r="Q25" s="77">
        <v>0</v>
      </c>
      <c r="R25" s="77">
        <v>20</v>
      </c>
      <c r="S25" s="91">
        <f t="shared" si="2"/>
        <v>4000</v>
      </c>
      <c r="T25" s="91">
        <f t="shared" si="2"/>
        <v>0</v>
      </c>
      <c r="U25" s="91">
        <f t="shared" si="3"/>
        <v>0</v>
      </c>
      <c r="V25" s="92">
        <f t="shared" si="3"/>
        <v>6000</v>
      </c>
      <c r="W25" s="77">
        <v>50</v>
      </c>
      <c r="X25" s="90">
        <v>0</v>
      </c>
      <c r="Y25" s="77">
        <v>0</v>
      </c>
      <c r="Z25" s="77">
        <v>15</v>
      </c>
      <c r="AA25" s="91">
        <f t="shared" si="4"/>
        <v>5000</v>
      </c>
      <c r="AB25" s="91">
        <f t="shared" si="4"/>
        <v>0</v>
      </c>
      <c r="AC25" s="91">
        <f t="shared" si="5"/>
        <v>0</v>
      </c>
      <c r="AD25" s="92">
        <f t="shared" si="5"/>
        <v>4500</v>
      </c>
      <c r="AE25" s="77">
        <v>48</v>
      </c>
      <c r="AF25" s="90">
        <v>0</v>
      </c>
      <c r="AG25" s="77">
        <v>0</v>
      </c>
      <c r="AH25" s="77">
        <v>16</v>
      </c>
      <c r="AI25" s="91">
        <f t="shared" si="6"/>
        <v>4800</v>
      </c>
      <c r="AJ25" s="91">
        <f t="shared" si="6"/>
        <v>0</v>
      </c>
      <c r="AK25" s="91">
        <f t="shared" si="7"/>
        <v>0</v>
      </c>
      <c r="AL25" s="92">
        <f t="shared" si="7"/>
        <v>4800</v>
      </c>
      <c r="AM25" s="77">
        <v>40</v>
      </c>
      <c r="AN25" s="90">
        <v>0</v>
      </c>
      <c r="AO25" s="77">
        <v>0</v>
      </c>
      <c r="AP25" s="77">
        <v>20</v>
      </c>
      <c r="AQ25" s="91">
        <f t="shared" si="18"/>
        <v>4000</v>
      </c>
      <c r="AR25" s="91">
        <f t="shared" si="18"/>
        <v>0</v>
      </c>
      <c r="AS25" s="91">
        <f t="shared" si="19"/>
        <v>0</v>
      </c>
      <c r="AT25" s="92">
        <f t="shared" si="19"/>
        <v>6000</v>
      </c>
      <c r="AU25" s="12">
        <v>38</v>
      </c>
      <c r="AV25" s="6">
        <v>0</v>
      </c>
      <c r="AW25" s="12">
        <v>0</v>
      </c>
      <c r="AX25" s="12">
        <v>20</v>
      </c>
      <c r="AY25" s="17">
        <f t="shared" si="10"/>
        <v>3800</v>
      </c>
      <c r="AZ25" s="17">
        <f t="shared" si="10"/>
        <v>0</v>
      </c>
      <c r="BA25" s="17">
        <f t="shared" si="11"/>
        <v>0</v>
      </c>
      <c r="BB25" s="25">
        <f t="shared" si="11"/>
        <v>6000</v>
      </c>
      <c r="BC25" s="12">
        <v>40</v>
      </c>
      <c r="BD25" s="6">
        <v>0</v>
      </c>
      <c r="BE25" s="12">
        <v>0</v>
      </c>
      <c r="BF25" s="12">
        <v>18</v>
      </c>
      <c r="BG25" s="17">
        <f t="shared" si="12"/>
        <v>4000</v>
      </c>
      <c r="BH25" s="17">
        <f t="shared" si="12"/>
        <v>0</v>
      </c>
      <c r="BI25" s="17">
        <f t="shared" si="13"/>
        <v>0</v>
      </c>
      <c r="BJ25" s="25">
        <f t="shared" si="13"/>
        <v>5400</v>
      </c>
      <c r="BK25" s="12">
        <v>50</v>
      </c>
      <c r="BL25" s="6">
        <v>0</v>
      </c>
      <c r="BM25" s="12">
        <v>0</v>
      </c>
      <c r="BN25" s="12">
        <v>20</v>
      </c>
      <c r="BO25" s="17">
        <f t="shared" si="14"/>
        <v>5000</v>
      </c>
      <c r="BP25" s="17">
        <f t="shared" si="14"/>
        <v>0</v>
      </c>
      <c r="BQ25" s="17">
        <f t="shared" si="15"/>
        <v>0</v>
      </c>
      <c r="BR25" s="25">
        <f t="shared" si="15"/>
        <v>6000</v>
      </c>
      <c r="BS25" s="12">
        <v>50</v>
      </c>
      <c r="BT25" s="6">
        <v>0</v>
      </c>
      <c r="BU25" s="12">
        <v>0</v>
      </c>
      <c r="BV25" s="12">
        <v>20</v>
      </c>
      <c r="BW25" s="17">
        <f t="shared" si="16"/>
        <v>5000</v>
      </c>
      <c r="BX25" s="17">
        <f t="shared" si="16"/>
        <v>0</v>
      </c>
      <c r="BY25" s="17">
        <f t="shared" si="17"/>
        <v>0</v>
      </c>
      <c r="BZ25" s="25">
        <f t="shared" si="17"/>
        <v>6000</v>
      </c>
      <c r="CA25" s="81"/>
      <c r="CB25" s="75"/>
      <c r="CC25" s="81"/>
      <c r="CD25" s="81"/>
      <c r="CE25" s="93"/>
      <c r="CF25" s="93"/>
      <c r="CG25" s="93"/>
      <c r="CH25" s="94"/>
      <c r="CI25" s="81"/>
      <c r="CJ25" s="75"/>
      <c r="CK25" s="81"/>
      <c r="CL25" s="81"/>
      <c r="CM25" s="93"/>
      <c r="CN25" s="93"/>
      <c r="CO25" s="93"/>
      <c r="CP25" s="94"/>
      <c r="CQ25" s="81"/>
      <c r="CR25" s="75"/>
      <c r="CS25" s="81"/>
      <c r="CT25" s="81"/>
      <c r="CU25" s="93"/>
      <c r="CV25" s="93"/>
      <c r="CW25" s="93"/>
      <c r="CX25" s="94"/>
      <c r="CY25" s="81"/>
      <c r="CZ25" s="75"/>
      <c r="DA25" s="81"/>
      <c r="DB25" s="81"/>
      <c r="DC25" s="93"/>
      <c r="DD25" s="93"/>
      <c r="DE25" s="93"/>
      <c r="DF25" s="94"/>
      <c r="DG25" s="81"/>
      <c r="DH25" s="75"/>
      <c r="DI25" s="81"/>
      <c r="DJ25" s="81"/>
      <c r="DK25" s="93"/>
      <c r="DL25" s="93"/>
      <c r="DM25" s="93"/>
      <c r="DN25" s="94"/>
      <c r="DO25" s="95"/>
      <c r="DP25" s="96"/>
      <c r="DQ25" s="95"/>
      <c r="DR25" s="97"/>
      <c r="DS25" s="98"/>
      <c r="DT25" s="99"/>
      <c r="DU25" s="99"/>
      <c r="DV25" s="100"/>
      <c r="DW25" s="95"/>
      <c r="DX25" s="96"/>
      <c r="DY25" s="95"/>
      <c r="DZ25" s="97"/>
      <c r="EA25" s="98"/>
      <c r="EB25" s="99"/>
      <c r="EC25" s="99"/>
      <c r="ED25" s="100"/>
      <c r="EE25" s="95"/>
      <c r="EF25" s="96"/>
      <c r="EG25" s="95"/>
      <c r="EH25" s="97"/>
      <c r="EI25" s="98"/>
      <c r="EJ25" s="99"/>
      <c r="EK25" s="99"/>
      <c r="EL25" s="100"/>
    </row>
    <row r="26" spans="1:142">
      <c r="A26" s="75">
        <v>23</v>
      </c>
      <c r="B26" s="75" t="s">
        <v>46</v>
      </c>
      <c r="F26" s="76"/>
      <c r="G26" s="77">
        <v>25</v>
      </c>
      <c r="H26" s="90">
        <v>0</v>
      </c>
      <c r="I26" s="77">
        <v>0</v>
      </c>
      <c r="J26" s="77">
        <v>8</v>
      </c>
      <c r="K26" s="91">
        <f t="shared" si="0"/>
        <v>2500</v>
      </c>
      <c r="L26" s="91">
        <f t="shared" si="0"/>
        <v>0</v>
      </c>
      <c r="M26" s="91">
        <f t="shared" si="1"/>
        <v>0</v>
      </c>
      <c r="N26" s="92">
        <f t="shared" si="1"/>
        <v>2400</v>
      </c>
      <c r="O26" s="77">
        <v>30</v>
      </c>
      <c r="P26" s="90">
        <v>0</v>
      </c>
      <c r="Q26" s="77">
        <v>0</v>
      </c>
      <c r="R26" s="77">
        <v>8</v>
      </c>
      <c r="S26" s="91">
        <f t="shared" si="2"/>
        <v>3000</v>
      </c>
      <c r="T26" s="91">
        <f t="shared" si="2"/>
        <v>0</v>
      </c>
      <c r="U26" s="91">
        <f t="shared" si="3"/>
        <v>0</v>
      </c>
      <c r="V26" s="92">
        <f t="shared" si="3"/>
        <v>2400</v>
      </c>
      <c r="W26" s="77">
        <v>44</v>
      </c>
      <c r="X26" s="90">
        <v>0</v>
      </c>
      <c r="Y26" s="77">
        <v>0</v>
      </c>
      <c r="Z26" s="77">
        <v>10</v>
      </c>
      <c r="AA26" s="91">
        <f t="shared" si="4"/>
        <v>4400</v>
      </c>
      <c r="AB26" s="91">
        <f t="shared" si="4"/>
        <v>0</v>
      </c>
      <c r="AC26" s="91">
        <f t="shared" si="5"/>
        <v>0</v>
      </c>
      <c r="AD26" s="92">
        <f t="shared" si="5"/>
        <v>3000</v>
      </c>
      <c r="AE26" s="77">
        <v>44</v>
      </c>
      <c r="AF26" s="90">
        <v>0</v>
      </c>
      <c r="AG26" s="77">
        <v>0</v>
      </c>
      <c r="AH26" s="77">
        <v>10</v>
      </c>
      <c r="AI26" s="91">
        <f t="shared" si="6"/>
        <v>4400</v>
      </c>
      <c r="AJ26" s="91">
        <f t="shared" si="6"/>
        <v>0</v>
      </c>
      <c r="AK26" s="91">
        <f t="shared" si="7"/>
        <v>0</v>
      </c>
      <c r="AL26" s="92">
        <f t="shared" si="7"/>
        <v>3000</v>
      </c>
      <c r="AM26" s="77">
        <v>22</v>
      </c>
      <c r="AN26" s="90">
        <v>0</v>
      </c>
      <c r="AO26" s="77">
        <v>0</v>
      </c>
      <c r="AP26" s="77">
        <v>12</v>
      </c>
      <c r="AQ26" s="91">
        <f t="shared" si="18"/>
        <v>2200</v>
      </c>
      <c r="AR26" s="91">
        <f t="shared" si="18"/>
        <v>0</v>
      </c>
      <c r="AS26" s="91">
        <f t="shared" si="19"/>
        <v>0</v>
      </c>
      <c r="AT26" s="92">
        <f t="shared" si="19"/>
        <v>3600</v>
      </c>
      <c r="AU26" s="12">
        <v>22</v>
      </c>
      <c r="AV26" s="6">
        <v>0</v>
      </c>
      <c r="AW26" s="12">
        <v>8</v>
      </c>
      <c r="AX26" s="12">
        <v>12</v>
      </c>
      <c r="AY26" s="17">
        <f t="shared" si="10"/>
        <v>2200</v>
      </c>
      <c r="AZ26" s="17">
        <f t="shared" si="10"/>
        <v>0</v>
      </c>
      <c r="BA26" s="17">
        <f t="shared" si="11"/>
        <v>2400</v>
      </c>
      <c r="BB26" s="25">
        <f t="shared" si="11"/>
        <v>3600</v>
      </c>
      <c r="BC26" s="12">
        <v>30</v>
      </c>
      <c r="BD26" s="6">
        <v>0</v>
      </c>
      <c r="BE26" s="12">
        <v>10</v>
      </c>
      <c r="BF26" s="12">
        <v>14</v>
      </c>
      <c r="BG26" s="17">
        <f t="shared" si="12"/>
        <v>3000</v>
      </c>
      <c r="BH26" s="17">
        <f t="shared" si="12"/>
        <v>0</v>
      </c>
      <c r="BI26" s="17">
        <f t="shared" si="13"/>
        <v>3000</v>
      </c>
      <c r="BJ26" s="25">
        <f t="shared" si="13"/>
        <v>4200</v>
      </c>
      <c r="BK26" s="12">
        <v>38</v>
      </c>
      <c r="BL26" s="6">
        <v>0</v>
      </c>
      <c r="BM26" s="12">
        <v>15</v>
      </c>
      <c r="BN26" s="12">
        <v>16</v>
      </c>
      <c r="BO26" s="17">
        <f t="shared" si="14"/>
        <v>3800</v>
      </c>
      <c r="BP26" s="17">
        <f t="shared" si="14"/>
        <v>0</v>
      </c>
      <c r="BQ26" s="17">
        <f t="shared" si="15"/>
        <v>4500</v>
      </c>
      <c r="BR26" s="25">
        <f t="shared" si="15"/>
        <v>4800</v>
      </c>
      <c r="BS26" s="12">
        <v>38</v>
      </c>
      <c r="BT26" s="6">
        <v>0</v>
      </c>
      <c r="BU26" s="12">
        <v>20</v>
      </c>
      <c r="BV26" s="12">
        <v>16</v>
      </c>
      <c r="BW26" s="17">
        <f t="shared" si="16"/>
        <v>3800</v>
      </c>
      <c r="BX26" s="17">
        <f t="shared" si="16"/>
        <v>0</v>
      </c>
      <c r="BY26" s="17">
        <f t="shared" si="17"/>
        <v>6000</v>
      </c>
      <c r="BZ26" s="25">
        <f t="shared" si="17"/>
        <v>4800</v>
      </c>
      <c r="CA26" s="81"/>
      <c r="CB26" s="75"/>
      <c r="CC26" s="81"/>
      <c r="CD26" s="81"/>
      <c r="CE26" s="93"/>
      <c r="CF26" s="93"/>
      <c r="CG26" s="93"/>
      <c r="CH26" s="94"/>
      <c r="CI26" s="81"/>
      <c r="CJ26" s="75"/>
      <c r="CK26" s="81"/>
      <c r="CL26" s="81"/>
      <c r="CM26" s="93"/>
      <c r="CN26" s="93"/>
      <c r="CO26" s="93"/>
      <c r="CP26" s="94"/>
      <c r="CQ26" s="81"/>
      <c r="CR26" s="75"/>
      <c r="CS26" s="81"/>
      <c r="CT26" s="81"/>
      <c r="CU26" s="93"/>
      <c r="CV26" s="93"/>
      <c r="CW26" s="93"/>
      <c r="CX26" s="94"/>
      <c r="CY26" s="81"/>
      <c r="CZ26" s="75"/>
      <c r="DA26" s="81"/>
      <c r="DB26" s="81"/>
      <c r="DC26" s="93"/>
      <c r="DD26" s="93"/>
      <c r="DE26" s="93"/>
      <c r="DF26" s="94"/>
      <c r="DG26" s="81"/>
      <c r="DH26" s="75"/>
      <c r="DI26" s="81"/>
      <c r="DJ26" s="81"/>
      <c r="DK26" s="93"/>
      <c r="DL26" s="93"/>
      <c r="DM26" s="93"/>
      <c r="DN26" s="94"/>
      <c r="DO26" s="95"/>
      <c r="DP26" s="96"/>
      <c r="DQ26" s="95"/>
      <c r="DR26" s="97"/>
      <c r="DS26" s="98"/>
      <c r="DT26" s="99"/>
      <c r="DU26" s="99"/>
      <c r="DV26" s="100"/>
      <c r="DW26" s="95"/>
      <c r="DX26" s="96"/>
      <c r="DY26" s="95"/>
      <c r="DZ26" s="97"/>
      <c r="EA26" s="98"/>
      <c r="EB26" s="99"/>
      <c r="EC26" s="99"/>
      <c r="ED26" s="100"/>
      <c r="EE26" s="95"/>
      <c r="EF26" s="96"/>
      <c r="EG26" s="95"/>
      <c r="EH26" s="97"/>
      <c r="EI26" s="98"/>
      <c r="EJ26" s="99"/>
      <c r="EK26" s="99"/>
      <c r="EL26" s="100"/>
    </row>
    <row r="27" spans="1:142">
      <c r="A27" s="75">
        <v>24</v>
      </c>
      <c r="B27" s="75" t="s">
        <v>47</v>
      </c>
      <c r="F27" s="76"/>
      <c r="G27" s="77">
        <v>30</v>
      </c>
      <c r="H27" s="90">
        <v>0</v>
      </c>
      <c r="I27" s="77">
        <v>0</v>
      </c>
      <c r="J27" s="77">
        <v>10</v>
      </c>
      <c r="K27" s="91">
        <f t="shared" si="0"/>
        <v>3000</v>
      </c>
      <c r="L27" s="91">
        <f t="shared" si="0"/>
        <v>0</v>
      </c>
      <c r="M27" s="91">
        <f t="shared" si="1"/>
        <v>0</v>
      </c>
      <c r="N27" s="92">
        <f t="shared" si="1"/>
        <v>3000</v>
      </c>
      <c r="O27" s="77">
        <v>35</v>
      </c>
      <c r="P27" s="90">
        <v>0</v>
      </c>
      <c r="Q27" s="77">
        <v>0</v>
      </c>
      <c r="R27" s="77">
        <v>10</v>
      </c>
      <c r="S27" s="91">
        <f t="shared" si="2"/>
        <v>3500</v>
      </c>
      <c r="T27" s="91">
        <f t="shared" si="2"/>
        <v>0</v>
      </c>
      <c r="U27" s="91">
        <f t="shared" si="3"/>
        <v>0</v>
      </c>
      <c r="V27" s="92">
        <f t="shared" si="3"/>
        <v>3000</v>
      </c>
      <c r="W27" s="77">
        <v>35</v>
      </c>
      <c r="X27" s="90">
        <v>0</v>
      </c>
      <c r="Y27" s="77">
        <v>0</v>
      </c>
      <c r="Z27" s="77">
        <v>10</v>
      </c>
      <c r="AA27" s="91">
        <f t="shared" si="4"/>
        <v>3500</v>
      </c>
      <c r="AB27" s="91">
        <f t="shared" si="4"/>
        <v>0</v>
      </c>
      <c r="AC27" s="91">
        <f t="shared" si="5"/>
        <v>0</v>
      </c>
      <c r="AD27" s="92">
        <f t="shared" si="5"/>
        <v>3000</v>
      </c>
      <c r="AE27" s="77">
        <v>36</v>
      </c>
      <c r="AF27" s="90">
        <v>0</v>
      </c>
      <c r="AG27" s="77">
        <v>0</v>
      </c>
      <c r="AH27" s="77">
        <v>12</v>
      </c>
      <c r="AI27" s="91">
        <f t="shared" si="6"/>
        <v>3600</v>
      </c>
      <c r="AJ27" s="91">
        <f t="shared" si="6"/>
        <v>0</v>
      </c>
      <c r="AK27" s="91">
        <f t="shared" si="7"/>
        <v>0</v>
      </c>
      <c r="AL27" s="92">
        <f t="shared" si="7"/>
        <v>3600</v>
      </c>
      <c r="AM27" s="77">
        <v>36</v>
      </c>
      <c r="AN27" s="90">
        <v>0</v>
      </c>
      <c r="AO27" s="77">
        <v>0</v>
      </c>
      <c r="AP27" s="77">
        <v>14</v>
      </c>
      <c r="AQ27" s="91">
        <f t="shared" si="18"/>
        <v>3600</v>
      </c>
      <c r="AR27" s="91">
        <f t="shared" si="18"/>
        <v>0</v>
      </c>
      <c r="AS27" s="91">
        <f t="shared" si="19"/>
        <v>0</v>
      </c>
      <c r="AT27" s="92">
        <f t="shared" si="19"/>
        <v>4200</v>
      </c>
      <c r="AU27" s="12">
        <v>38</v>
      </c>
      <c r="AV27" s="6">
        <v>0</v>
      </c>
      <c r="AW27" s="12">
        <v>0</v>
      </c>
      <c r="AX27" s="12">
        <v>14</v>
      </c>
      <c r="AY27" s="17">
        <f t="shared" si="10"/>
        <v>3800</v>
      </c>
      <c r="AZ27" s="17">
        <f t="shared" si="10"/>
        <v>0</v>
      </c>
      <c r="BA27" s="17">
        <f t="shared" si="11"/>
        <v>0</v>
      </c>
      <c r="BB27" s="25">
        <f t="shared" si="11"/>
        <v>4200</v>
      </c>
      <c r="BC27" s="12">
        <v>35</v>
      </c>
      <c r="BD27" s="6">
        <v>0</v>
      </c>
      <c r="BE27" s="12">
        <v>0</v>
      </c>
      <c r="BF27" s="12">
        <v>18</v>
      </c>
      <c r="BG27" s="17">
        <f t="shared" si="12"/>
        <v>3500</v>
      </c>
      <c r="BH27" s="17">
        <f t="shared" si="12"/>
        <v>0</v>
      </c>
      <c r="BI27" s="17">
        <f t="shared" si="13"/>
        <v>0</v>
      </c>
      <c r="BJ27" s="25">
        <f t="shared" si="13"/>
        <v>5400</v>
      </c>
      <c r="BK27" s="12">
        <v>44</v>
      </c>
      <c r="BL27" s="6">
        <v>0</v>
      </c>
      <c r="BM27" s="12">
        <v>0</v>
      </c>
      <c r="BN27" s="12">
        <v>18</v>
      </c>
      <c r="BO27" s="17">
        <f t="shared" si="14"/>
        <v>4400</v>
      </c>
      <c r="BP27" s="17">
        <f t="shared" si="14"/>
        <v>0</v>
      </c>
      <c r="BQ27" s="17">
        <f t="shared" si="15"/>
        <v>0</v>
      </c>
      <c r="BR27" s="25">
        <f t="shared" si="15"/>
        <v>5400</v>
      </c>
      <c r="BS27" s="12">
        <v>46</v>
      </c>
      <c r="BT27" s="6">
        <v>0</v>
      </c>
      <c r="BU27" s="12">
        <v>0</v>
      </c>
      <c r="BV27" s="12">
        <v>18</v>
      </c>
      <c r="BW27" s="17">
        <f t="shared" si="16"/>
        <v>4600</v>
      </c>
      <c r="BX27" s="17">
        <f t="shared" si="16"/>
        <v>0</v>
      </c>
      <c r="BY27" s="17">
        <f t="shared" si="17"/>
        <v>0</v>
      </c>
      <c r="BZ27" s="25">
        <f t="shared" si="17"/>
        <v>5400</v>
      </c>
      <c r="CA27" s="81"/>
      <c r="CB27" s="75"/>
      <c r="CC27" s="81"/>
      <c r="CD27" s="81"/>
      <c r="CE27" s="93"/>
      <c r="CF27" s="93"/>
      <c r="CG27" s="93"/>
      <c r="CH27" s="94"/>
      <c r="CI27" s="81"/>
      <c r="CJ27" s="75"/>
      <c r="CK27" s="81"/>
      <c r="CL27" s="81"/>
      <c r="CM27" s="93"/>
      <c r="CN27" s="93"/>
      <c r="CO27" s="93"/>
      <c r="CP27" s="94"/>
      <c r="CQ27" s="81"/>
      <c r="CR27" s="75"/>
      <c r="CS27" s="81"/>
      <c r="CT27" s="81"/>
      <c r="CU27" s="93"/>
      <c r="CV27" s="93"/>
      <c r="CW27" s="93"/>
      <c r="CX27" s="94"/>
      <c r="CY27" s="81"/>
      <c r="CZ27" s="75"/>
      <c r="DA27" s="81"/>
      <c r="DB27" s="81"/>
      <c r="DC27" s="93"/>
      <c r="DD27" s="93"/>
      <c r="DE27" s="93"/>
      <c r="DF27" s="94"/>
      <c r="DG27" s="81"/>
      <c r="DH27" s="75"/>
      <c r="DI27" s="81"/>
      <c r="DJ27" s="81"/>
      <c r="DK27" s="93"/>
      <c r="DL27" s="93"/>
      <c r="DM27" s="93"/>
      <c r="DN27" s="94"/>
      <c r="DO27" s="95"/>
      <c r="DP27" s="96"/>
      <c r="DQ27" s="95"/>
      <c r="DR27" s="97"/>
      <c r="DS27" s="98"/>
      <c r="DT27" s="99"/>
      <c r="DU27" s="99"/>
      <c r="DV27" s="100"/>
      <c r="DW27" s="95"/>
      <c r="DX27" s="96"/>
      <c r="DY27" s="95"/>
      <c r="DZ27" s="97"/>
      <c r="EA27" s="98"/>
      <c r="EB27" s="99"/>
      <c r="EC27" s="99"/>
      <c r="ED27" s="100"/>
      <c r="EE27" s="95"/>
      <c r="EF27" s="96"/>
      <c r="EG27" s="95"/>
      <c r="EH27" s="97"/>
      <c r="EI27" s="98"/>
      <c r="EJ27" s="99"/>
      <c r="EK27" s="99"/>
      <c r="EL27" s="100"/>
    </row>
    <row r="28" spans="1:142">
      <c r="A28" s="75">
        <v>25</v>
      </c>
      <c r="B28" s="75" t="s">
        <v>48</v>
      </c>
      <c r="F28" s="76"/>
      <c r="G28" s="77">
        <v>30</v>
      </c>
      <c r="H28" s="90">
        <v>0</v>
      </c>
      <c r="I28" s="77">
        <v>0</v>
      </c>
      <c r="J28" s="77">
        <v>8</v>
      </c>
      <c r="K28" s="91">
        <f t="shared" si="0"/>
        <v>3000</v>
      </c>
      <c r="L28" s="91">
        <f t="shared" si="0"/>
        <v>0</v>
      </c>
      <c r="M28" s="91">
        <f t="shared" si="1"/>
        <v>0</v>
      </c>
      <c r="N28" s="92">
        <f t="shared" si="1"/>
        <v>2400</v>
      </c>
      <c r="O28" s="77">
        <v>25</v>
      </c>
      <c r="P28" s="90">
        <v>0</v>
      </c>
      <c r="Q28" s="77">
        <v>0</v>
      </c>
      <c r="R28" s="77">
        <v>18</v>
      </c>
      <c r="S28" s="91">
        <f t="shared" si="2"/>
        <v>2500</v>
      </c>
      <c r="T28" s="91">
        <f t="shared" si="2"/>
        <v>0</v>
      </c>
      <c r="U28" s="91">
        <f t="shared" si="3"/>
        <v>0</v>
      </c>
      <c r="V28" s="92">
        <f t="shared" si="3"/>
        <v>5400</v>
      </c>
      <c r="W28" s="77">
        <v>22</v>
      </c>
      <c r="X28" s="90">
        <v>0</v>
      </c>
      <c r="Y28" s="77">
        <v>0</v>
      </c>
      <c r="Z28" s="77">
        <v>20</v>
      </c>
      <c r="AA28" s="91">
        <f t="shared" si="4"/>
        <v>2200</v>
      </c>
      <c r="AB28" s="91">
        <f t="shared" si="4"/>
        <v>0</v>
      </c>
      <c r="AC28" s="91">
        <f t="shared" si="5"/>
        <v>0</v>
      </c>
      <c r="AD28" s="92">
        <f t="shared" si="5"/>
        <v>6000</v>
      </c>
      <c r="AE28" s="77">
        <v>22</v>
      </c>
      <c r="AF28" s="90">
        <v>0</v>
      </c>
      <c r="AG28" s="77">
        <v>0</v>
      </c>
      <c r="AH28" s="77">
        <v>20</v>
      </c>
      <c r="AI28" s="91">
        <f t="shared" si="6"/>
        <v>2200</v>
      </c>
      <c r="AJ28" s="91">
        <f t="shared" si="6"/>
        <v>0</v>
      </c>
      <c r="AK28" s="91">
        <f t="shared" si="7"/>
        <v>0</v>
      </c>
      <c r="AL28" s="92">
        <f t="shared" si="7"/>
        <v>6000</v>
      </c>
      <c r="AM28" s="77">
        <v>38</v>
      </c>
      <c r="AN28" s="90">
        <v>0</v>
      </c>
      <c r="AO28" s="77">
        <v>0</v>
      </c>
      <c r="AP28" s="77">
        <v>18</v>
      </c>
      <c r="AQ28" s="91">
        <f t="shared" si="18"/>
        <v>3800</v>
      </c>
      <c r="AR28" s="91">
        <f t="shared" si="18"/>
        <v>0</v>
      </c>
      <c r="AS28" s="91">
        <f t="shared" si="19"/>
        <v>0</v>
      </c>
      <c r="AT28" s="92">
        <f t="shared" si="19"/>
        <v>5400</v>
      </c>
      <c r="AU28" s="12">
        <v>40</v>
      </c>
      <c r="AV28" s="6">
        <v>0</v>
      </c>
      <c r="AW28" s="12">
        <v>0</v>
      </c>
      <c r="AX28" s="12">
        <v>18</v>
      </c>
      <c r="AY28" s="17">
        <f t="shared" si="10"/>
        <v>4000</v>
      </c>
      <c r="AZ28" s="17">
        <f t="shared" si="10"/>
        <v>0</v>
      </c>
      <c r="BA28" s="17">
        <f t="shared" si="11"/>
        <v>0</v>
      </c>
      <c r="BB28" s="25">
        <f t="shared" si="11"/>
        <v>5400</v>
      </c>
      <c r="BC28" s="12">
        <v>40</v>
      </c>
      <c r="BD28" s="6">
        <v>0</v>
      </c>
      <c r="BE28" s="12">
        <v>0</v>
      </c>
      <c r="BF28" s="12">
        <v>20</v>
      </c>
      <c r="BG28" s="17">
        <f t="shared" si="12"/>
        <v>4000</v>
      </c>
      <c r="BH28" s="17">
        <f t="shared" si="12"/>
        <v>0</v>
      </c>
      <c r="BI28" s="17">
        <f t="shared" si="13"/>
        <v>0</v>
      </c>
      <c r="BJ28" s="25">
        <f t="shared" si="13"/>
        <v>6000</v>
      </c>
      <c r="BK28" s="12">
        <v>49</v>
      </c>
      <c r="BL28" s="6">
        <v>0</v>
      </c>
      <c r="BM28" s="12">
        <v>0</v>
      </c>
      <c r="BN28" s="12">
        <v>20</v>
      </c>
      <c r="BO28" s="17">
        <f t="shared" si="14"/>
        <v>4900</v>
      </c>
      <c r="BP28" s="17">
        <f t="shared" si="14"/>
        <v>0</v>
      </c>
      <c r="BQ28" s="17">
        <f t="shared" si="15"/>
        <v>0</v>
      </c>
      <c r="BR28" s="25">
        <f t="shared" si="15"/>
        <v>6000</v>
      </c>
      <c r="BS28" s="12">
        <v>50</v>
      </c>
      <c r="BT28" s="6">
        <v>0</v>
      </c>
      <c r="BU28" s="12">
        <v>0</v>
      </c>
      <c r="BV28" s="12">
        <v>20</v>
      </c>
      <c r="BW28" s="17">
        <f t="shared" si="16"/>
        <v>5000</v>
      </c>
      <c r="BX28" s="17">
        <f t="shared" si="16"/>
        <v>0</v>
      </c>
      <c r="BY28" s="17">
        <f t="shared" si="17"/>
        <v>0</v>
      </c>
      <c r="BZ28" s="25">
        <f t="shared" si="17"/>
        <v>6000</v>
      </c>
      <c r="CA28" s="81"/>
      <c r="CB28" s="75"/>
      <c r="CC28" s="81"/>
      <c r="CD28" s="81"/>
      <c r="CE28" s="93"/>
      <c r="CF28" s="93"/>
      <c r="CG28" s="93"/>
      <c r="CH28" s="94"/>
      <c r="CI28" s="81"/>
      <c r="CJ28" s="75"/>
      <c r="CK28" s="81"/>
      <c r="CL28" s="81"/>
      <c r="CM28" s="93"/>
      <c r="CN28" s="93"/>
      <c r="CO28" s="93"/>
      <c r="CP28" s="94"/>
      <c r="CQ28" s="81"/>
      <c r="CR28" s="75"/>
      <c r="CS28" s="81"/>
      <c r="CT28" s="81"/>
      <c r="CU28" s="93"/>
      <c r="CV28" s="93"/>
      <c r="CW28" s="93"/>
      <c r="CX28" s="94"/>
      <c r="CY28" s="81"/>
      <c r="CZ28" s="75"/>
      <c r="DA28" s="81"/>
      <c r="DB28" s="81"/>
      <c r="DC28" s="93"/>
      <c r="DD28" s="93"/>
      <c r="DE28" s="93"/>
      <c r="DF28" s="94"/>
      <c r="DG28" s="81"/>
      <c r="DH28" s="75"/>
      <c r="DI28" s="81"/>
      <c r="DJ28" s="81"/>
      <c r="DK28" s="93"/>
      <c r="DL28" s="93"/>
      <c r="DM28" s="93"/>
      <c r="DN28" s="94"/>
      <c r="DO28" s="95"/>
      <c r="DP28" s="96"/>
      <c r="DQ28" s="95"/>
      <c r="DR28" s="97"/>
      <c r="DS28" s="98"/>
      <c r="DT28" s="99"/>
      <c r="DU28" s="99"/>
      <c r="DV28" s="100"/>
      <c r="DW28" s="95"/>
      <c r="DX28" s="96"/>
      <c r="DY28" s="95"/>
      <c r="DZ28" s="97"/>
      <c r="EA28" s="98"/>
      <c r="EB28" s="99"/>
      <c r="EC28" s="99"/>
      <c r="ED28" s="100"/>
      <c r="EE28" s="95"/>
      <c r="EF28" s="96"/>
      <c r="EG28" s="95"/>
      <c r="EH28" s="97"/>
      <c r="EI28" s="98"/>
      <c r="EJ28" s="99"/>
      <c r="EK28" s="99"/>
      <c r="EL28" s="100"/>
    </row>
    <row r="29" spans="1:142">
      <c r="A29" s="75">
        <v>26</v>
      </c>
      <c r="B29" s="75" t="s">
        <v>49</v>
      </c>
      <c r="F29" s="76"/>
      <c r="G29" s="77">
        <v>28</v>
      </c>
      <c r="H29" s="90">
        <v>0</v>
      </c>
      <c r="I29" s="77">
        <v>0</v>
      </c>
      <c r="J29" s="77">
        <v>12</v>
      </c>
      <c r="K29" s="91">
        <f t="shared" si="0"/>
        <v>2800</v>
      </c>
      <c r="L29" s="91">
        <f t="shared" si="0"/>
        <v>0</v>
      </c>
      <c r="M29" s="91">
        <f t="shared" si="1"/>
        <v>0</v>
      </c>
      <c r="N29" s="92">
        <f t="shared" si="1"/>
        <v>3600</v>
      </c>
      <c r="O29" s="77">
        <v>25</v>
      </c>
      <c r="P29" s="90">
        <v>0</v>
      </c>
      <c r="Q29" s="77">
        <v>0</v>
      </c>
      <c r="R29" s="77">
        <v>12</v>
      </c>
      <c r="S29" s="91">
        <f t="shared" si="2"/>
        <v>2500</v>
      </c>
      <c r="T29" s="91">
        <f t="shared" si="2"/>
        <v>0</v>
      </c>
      <c r="U29" s="91">
        <f t="shared" si="3"/>
        <v>0</v>
      </c>
      <c r="V29" s="92">
        <f t="shared" si="3"/>
        <v>3600</v>
      </c>
      <c r="W29" s="77">
        <v>30</v>
      </c>
      <c r="X29" s="90">
        <v>0</v>
      </c>
      <c r="Y29" s="77">
        <v>0</v>
      </c>
      <c r="Z29" s="77">
        <v>12</v>
      </c>
      <c r="AA29" s="91">
        <f t="shared" si="4"/>
        <v>3000</v>
      </c>
      <c r="AB29" s="91">
        <f t="shared" si="4"/>
        <v>0</v>
      </c>
      <c r="AC29" s="91">
        <f t="shared" si="5"/>
        <v>0</v>
      </c>
      <c r="AD29" s="92">
        <f t="shared" si="5"/>
        <v>3600</v>
      </c>
      <c r="AE29" s="77">
        <v>28</v>
      </c>
      <c r="AF29" s="90">
        <v>0</v>
      </c>
      <c r="AG29" s="77">
        <v>0</v>
      </c>
      <c r="AH29" s="77">
        <v>12</v>
      </c>
      <c r="AI29" s="91">
        <f t="shared" si="6"/>
        <v>2800</v>
      </c>
      <c r="AJ29" s="91">
        <f t="shared" si="6"/>
        <v>0</v>
      </c>
      <c r="AK29" s="91">
        <f t="shared" si="7"/>
        <v>0</v>
      </c>
      <c r="AL29" s="92">
        <f t="shared" si="7"/>
        <v>3600</v>
      </c>
      <c r="AM29" s="77">
        <v>47</v>
      </c>
      <c r="AN29" s="90">
        <v>0</v>
      </c>
      <c r="AO29" s="77">
        <v>0</v>
      </c>
      <c r="AP29" s="77">
        <v>20</v>
      </c>
      <c r="AQ29" s="91">
        <f t="shared" si="18"/>
        <v>4700</v>
      </c>
      <c r="AR29" s="91">
        <f t="shared" si="18"/>
        <v>0</v>
      </c>
      <c r="AS29" s="91">
        <f t="shared" si="19"/>
        <v>0</v>
      </c>
      <c r="AT29" s="92">
        <f t="shared" si="19"/>
        <v>6000</v>
      </c>
      <c r="AU29" s="12">
        <v>47</v>
      </c>
      <c r="AV29" s="6">
        <v>0</v>
      </c>
      <c r="AW29" s="12">
        <v>0</v>
      </c>
      <c r="AX29" s="12">
        <v>20</v>
      </c>
      <c r="AY29" s="17">
        <f t="shared" si="10"/>
        <v>4700</v>
      </c>
      <c r="AZ29" s="17">
        <f t="shared" si="10"/>
        <v>0</v>
      </c>
      <c r="BA29" s="17">
        <f t="shared" si="11"/>
        <v>0</v>
      </c>
      <c r="BB29" s="25">
        <f t="shared" si="11"/>
        <v>6000</v>
      </c>
      <c r="BC29" s="12">
        <v>49</v>
      </c>
      <c r="BD29" s="6">
        <v>0</v>
      </c>
      <c r="BE29" s="12">
        <v>0</v>
      </c>
      <c r="BF29" s="12">
        <v>20</v>
      </c>
      <c r="BG29" s="17">
        <f t="shared" si="12"/>
        <v>4900</v>
      </c>
      <c r="BH29" s="17">
        <f t="shared" si="12"/>
        <v>0</v>
      </c>
      <c r="BI29" s="17">
        <f t="shared" si="13"/>
        <v>0</v>
      </c>
      <c r="BJ29" s="25">
        <f t="shared" si="13"/>
        <v>6000</v>
      </c>
      <c r="BK29" s="12">
        <v>52</v>
      </c>
      <c r="BL29" s="6">
        <v>0</v>
      </c>
      <c r="BM29" s="12">
        <v>0</v>
      </c>
      <c r="BN29" s="12">
        <v>20</v>
      </c>
      <c r="BO29" s="17">
        <f t="shared" si="14"/>
        <v>5200</v>
      </c>
      <c r="BP29" s="17">
        <f t="shared" si="14"/>
        <v>0</v>
      </c>
      <c r="BQ29" s="17">
        <f t="shared" si="15"/>
        <v>0</v>
      </c>
      <c r="BR29" s="25">
        <f t="shared" si="15"/>
        <v>6000</v>
      </c>
      <c r="BS29" s="12">
        <v>53</v>
      </c>
      <c r="BT29" s="6">
        <v>0</v>
      </c>
      <c r="BU29" s="12">
        <v>0</v>
      </c>
      <c r="BV29" s="12">
        <v>20</v>
      </c>
      <c r="BW29" s="17">
        <f t="shared" si="16"/>
        <v>5300</v>
      </c>
      <c r="BX29" s="17">
        <f t="shared" si="16"/>
        <v>0</v>
      </c>
      <c r="BY29" s="17">
        <f t="shared" si="17"/>
        <v>0</v>
      </c>
      <c r="BZ29" s="25">
        <f t="shared" si="17"/>
        <v>6000</v>
      </c>
      <c r="CA29" s="81"/>
      <c r="CB29" s="75"/>
      <c r="CC29" s="81"/>
      <c r="CD29" s="81"/>
      <c r="CE29" s="93"/>
      <c r="CF29" s="93"/>
      <c r="CG29" s="93"/>
      <c r="CH29" s="94"/>
      <c r="CI29" s="81"/>
      <c r="CJ29" s="75"/>
      <c r="CK29" s="81"/>
      <c r="CL29" s="81"/>
      <c r="CM29" s="93"/>
      <c r="CN29" s="93"/>
      <c r="CO29" s="93"/>
      <c r="CP29" s="94"/>
      <c r="CQ29" s="81"/>
      <c r="CR29" s="75"/>
      <c r="CS29" s="81"/>
      <c r="CT29" s="81"/>
      <c r="CU29" s="93"/>
      <c r="CV29" s="93"/>
      <c r="CW29" s="93"/>
      <c r="CX29" s="94"/>
      <c r="CY29" s="81"/>
      <c r="CZ29" s="75"/>
      <c r="DA29" s="81"/>
      <c r="DB29" s="81"/>
      <c r="DC29" s="93"/>
      <c r="DD29" s="93"/>
      <c r="DE29" s="93"/>
      <c r="DF29" s="94"/>
      <c r="DG29" s="81"/>
      <c r="DH29" s="75"/>
      <c r="DI29" s="81"/>
      <c r="DJ29" s="81"/>
      <c r="DK29" s="93"/>
      <c r="DL29" s="93"/>
      <c r="DM29" s="93"/>
      <c r="DN29" s="94"/>
      <c r="DO29" s="95"/>
      <c r="DP29" s="96"/>
      <c r="DQ29" s="95"/>
      <c r="DR29" s="97"/>
      <c r="DS29" s="98"/>
      <c r="DT29" s="99"/>
      <c r="DU29" s="99"/>
      <c r="DV29" s="100"/>
      <c r="DW29" s="95"/>
      <c r="DX29" s="96"/>
      <c r="DY29" s="95"/>
      <c r="DZ29" s="97"/>
      <c r="EA29" s="98"/>
      <c r="EB29" s="99"/>
      <c r="EC29" s="99"/>
      <c r="ED29" s="100"/>
      <c r="EE29" s="95"/>
      <c r="EF29" s="96"/>
      <c r="EG29" s="95"/>
      <c r="EH29" s="97"/>
      <c r="EI29" s="98"/>
      <c r="EJ29" s="99"/>
      <c r="EK29" s="99"/>
      <c r="EL29" s="100"/>
    </row>
    <row r="30" spans="1:142">
      <c r="A30" s="75">
        <v>27</v>
      </c>
      <c r="B30" s="75" t="s">
        <v>50</v>
      </c>
      <c r="F30" s="76"/>
      <c r="G30" s="77">
        <v>32</v>
      </c>
      <c r="H30" s="90">
        <v>0</v>
      </c>
      <c r="I30" s="77">
        <v>0</v>
      </c>
      <c r="J30" s="77">
        <v>10</v>
      </c>
      <c r="K30" s="91">
        <f t="shared" si="0"/>
        <v>3200</v>
      </c>
      <c r="L30" s="91">
        <f t="shared" si="0"/>
        <v>0</v>
      </c>
      <c r="M30" s="91">
        <f t="shared" si="1"/>
        <v>0</v>
      </c>
      <c r="N30" s="92">
        <f t="shared" si="1"/>
        <v>3000</v>
      </c>
      <c r="O30" s="77">
        <v>30</v>
      </c>
      <c r="P30" s="90">
        <v>0</v>
      </c>
      <c r="Q30" s="77">
        <v>0</v>
      </c>
      <c r="R30" s="77">
        <v>10</v>
      </c>
      <c r="S30" s="91">
        <f t="shared" si="2"/>
        <v>3000</v>
      </c>
      <c r="T30" s="91">
        <f t="shared" si="2"/>
        <v>0</v>
      </c>
      <c r="U30" s="91">
        <f t="shared" si="3"/>
        <v>0</v>
      </c>
      <c r="V30" s="92">
        <f t="shared" si="3"/>
        <v>3000</v>
      </c>
      <c r="W30" s="77">
        <v>32</v>
      </c>
      <c r="X30" s="90">
        <v>0</v>
      </c>
      <c r="Y30" s="77">
        <v>0</v>
      </c>
      <c r="Z30" s="77">
        <v>10</v>
      </c>
      <c r="AA30" s="91">
        <f t="shared" si="4"/>
        <v>3200</v>
      </c>
      <c r="AB30" s="91">
        <f t="shared" si="4"/>
        <v>0</v>
      </c>
      <c r="AC30" s="91">
        <f t="shared" si="5"/>
        <v>0</v>
      </c>
      <c r="AD30" s="92">
        <f t="shared" si="5"/>
        <v>3000</v>
      </c>
      <c r="AE30" s="77">
        <v>40</v>
      </c>
      <c r="AF30" s="90">
        <v>0</v>
      </c>
      <c r="AG30" s="77">
        <v>0</v>
      </c>
      <c r="AH30" s="77">
        <v>11</v>
      </c>
      <c r="AI30" s="91">
        <f t="shared" si="6"/>
        <v>4000</v>
      </c>
      <c r="AJ30" s="91">
        <f t="shared" si="6"/>
        <v>0</v>
      </c>
      <c r="AK30" s="91">
        <f t="shared" si="7"/>
        <v>0</v>
      </c>
      <c r="AL30" s="92">
        <f t="shared" si="7"/>
        <v>3300</v>
      </c>
      <c r="AM30" s="77">
        <v>40</v>
      </c>
      <c r="AN30" s="90">
        <v>0</v>
      </c>
      <c r="AO30" s="77">
        <v>0</v>
      </c>
      <c r="AP30" s="77">
        <v>10</v>
      </c>
      <c r="AQ30" s="91">
        <f t="shared" si="18"/>
        <v>4000</v>
      </c>
      <c r="AR30" s="91">
        <f t="shared" si="18"/>
        <v>0</v>
      </c>
      <c r="AS30" s="91">
        <f t="shared" si="19"/>
        <v>0</v>
      </c>
      <c r="AT30" s="92">
        <f t="shared" si="19"/>
        <v>3000</v>
      </c>
      <c r="AU30" s="12">
        <v>43</v>
      </c>
      <c r="AV30" s="6">
        <v>0</v>
      </c>
      <c r="AW30" s="12">
        <v>0</v>
      </c>
      <c r="AX30" s="12">
        <v>12</v>
      </c>
      <c r="AY30" s="17">
        <f t="shared" si="10"/>
        <v>4300</v>
      </c>
      <c r="AZ30" s="17">
        <f t="shared" si="10"/>
        <v>0</v>
      </c>
      <c r="BA30" s="17">
        <f t="shared" si="11"/>
        <v>0</v>
      </c>
      <c r="BB30" s="25">
        <f t="shared" si="11"/>
        <v>3600</v>
      </c>
      <c r="BC30" s="12">
        <v>45</v>
      </c>
      <c r="BD30" s="6">
        <v>0</v>
      </c>
      <c r="BE30" s="12">
        <v>0</v>
      </c>
      <c r="BF30" s="12">
        <v>15</v>
      </c>
      <c r="BG30" s="17">
        <f t="shared" si="12"/>
        <v>4500</v>
      </c>
      <c r="BH30" s="17">
        <f t="shared" si="12"/>
        <v>0</v>
      </c>
      <c r="BI30" s="17">
        <f t="shared" si="13"/>
        <v>0</v>
      </c>
      <c r="BJ30" s="25">
        <f t="shared" si="13"/>
        <v>4500</v>
      </c>
      <c r="BK30" s="12">
        <v>50</v>
      </c>
      <c r="BL30" s="6">
        <v>0</v>
      </c>
      <c r="BM30" s="12">
        <v>0</v>
      </c>
      <c r="BN30" s="12">
        <v>18</v>
      </c>
      <c r="BO30" s="17">
        <f t="shared" si="14"/>
        <v>5000</v>
      </c>
      <c r="BP30" s="17">
        <f t="shared" si="14"/>
        <v>0</v>
      </c>
      <c r="BQ30" s="17">
        <f t="shared" si="15"/>
        <v>0</v>
      </c>
      <c r="BR30" s="25">
        <f t="shared" si="15"/>
        <v>5400</v>
      </c>
      <c r="BS30" s="12">
        <v>51</v>
      </c>
      <c r="BT30" s="6">
        <v>0</v>
      </c>
      <c r="BU30" s="12">
        <v>0</v>
      </c>
      <c r="BV30" s="12">
        <v>18</v>
      </c>
      <c r="BW30" s="17">
        <f t="shared" si="16"/>
        <v>5100</v>
      </c>
      <c r="BX30" s="17">
        <f t="shared" si="16"/>
        <v>0</v>
      </c>
      <c r="BY30" s="17">
        <f t="shared" si="17"/>
        <v>0</v>
      </c>
      <c r="BZ30" s="25">
        <f t="shared" si="17"/>
        <v>5400</v>
      </c>
      <c r="CA30" s="81"/>
      <c r="CB30" s="75"/>
      <c r="CC30" s="81"/>
      <c r="CD30" s="81"/>
      <c r="CE30" s="93"/>
      <c r="CF30" s="93"/>
      <c r="CG30" s="93"/>
      <c r="CH30" s="94"/>
      <c r="CI30" s="81"/>
      <c r="CJ30" s="75"/>
      <c r="CK30" s="81"/>
      <c r="CL30" s="81"/>
      <c r="CM30" s="93"/>
      <c r="CN30" s="93"/>
      <c r="CO30" s="93"/>
      <c r="CP30" s="94"/>
      <c r="CQ30" s="81"/>
      <c r="CR30" s="75"/>
      <c r="CS30" s="81"/>
      <c r="CT30" s="81"/>
      <c r="CU30" s="93"/>
      <c r="CV30" s="93"/>
      <c r="CW30" s="93"/>
      <c r="CX30" s="94"/>
      <c r="CY30" s="81"/>
      <c r="CZ30" s="75"/>
      <c r="DA30" s="81"/>
      <c r="DB30" s="81"/>
      <c r="DC30" s="93"/>
      <c r="DD30" s="93"/>
      <c r="DE30" s="93"/>
      <c r="DF30" s="94"/>
      <c r="DG30" s="81"/>
      <c r="DH30" s="75"/>
      <c r="DI30" s="81"/>
      <c r="DJ30" s="81"/>
      <c r="DK30" s="93"/>
      <c r="DL30" s="93"/>
      <c r="DM30" s="93"/>
      <c r="DN30" s="94"/>
      <c r="DO30" s="95"/>
      <c r="DP30" s="96"/>
      <c r="DQ30" s="95"/>
      <c r="DR30" s="97"/>
      <c r="DS30" s="98"/>
      <c r="DT30" s="99"/>
      <c r="DU30" s="99"/>
      <c r="DV30" s="100"/>
      <c r="DW30" s="95"/>
      <c r="DX30" s="96"/>
      <c r="DY30" s="95"/>
      <c r="DZ30" s="97"/>
      <c r="EA30" s="98"/>
      <c r="EB30" s="99"/>
      <c r="EC30" s="99"/>
      <c r="ED30" s="100"/>
      <c r="EE30" s="95"/>
      <c r="EF30" s="96"/>
      <c r="EG30" s="95"/>
      <c r="EH30" s="97"/>
      <c r="EI30" s="98"/>
      <c r="EJ30" s="99"/>
      <c r="EK30" s="99"/>
      <c r="EL30" s="100"/>
    </row>
    <row r="31" spans="1:142">
      <c r="A31" s="75">
        <v>28</v>
      </c>
      <c r="B31" s="75" t="s">
        <v>51</v>
      </c>
      <c r="F31" s="76"/>
      <c r="G31" s="77">
        <v>45</v>
      </c>
      <c r="H31" s="90">
        <v>0</v>
      </c>
      <c r="I31" s="77">
        <v>0</v>
      </c>
      <c r="J31" s="77">
        <v>16</v>
      </c>
      <c r="K31" s="91">
        <f t="shared" si="0"/>
        <v>4500</v>
      </c>
      <c r="L31" s="91">
        <f t="shared" si="0"/>
        <v>0</v>
      </c>
      <c r="M31" s="91">
        <f t="shared" si="1"/>
        <v>0</v>
      </c>
      <c r="N31" s="92">
        <f t="shared" si="1"/>
        <v>4800</v>
      </c>
      <c r="O31" s="77">
        <v>25</v>
      </c>
      <c r="P31" s="90">
        <v>0</v>
      </c>
      <c r="Q31" s="77">
        <v>0</v>
      </c>
      <c r="R31" s="77">
        <v>20</v>
      </c>
      <c r="S31" s="91">
        <f t="shared" si="2"/>
        <v>2500</v>
      </c>
      <c r="T31" s="91">
        <f t="shared" si="2"/>
        <v>0</v>
      </c>
      <c r="U31" s="91">
        <f t="shared" si="3"/>
        <v>0</v>
      </c>
      <c r="V31" s="92">
        <f t="shared" si="3"/>
        <v>6000</v>
      </c>
      <c r="W31" s="77">
        <v>18</v>
      </c>
      <c r="X31" s="90">
        <v>0</v>
      </c>
      <c r="Y31" s="77">
        <v>0</v>
      </c>
      <c r="Z31" s="77">
        <v>20</v>
      </c>
      <c r="AA31" s="91">
        <f t="shared" si="4"/>
        <v>1800</v>
      </c>
      <c r="AB31" s="91">
        <f t="shared" si="4"/>
        <v>0</v>
      </c>
      <c r="AC31" s="91">
        <f t="shared" si="5"/>
        <v>0</v>
      </c>
      <c r="AD31" s="92">
        <f t="shared" si="5"/>
        <v>6000</v>
      </c>
      <c r="AE31" s="77">
        <v>20</v>
      </c>
      <c r="AF31" s="90">
        <v>0</v>
      </c>
      <c r="AG31" s="77">
        <v>0</v>
      </c>
      <c r="AH31" s="77">
        <v>20</v>
      </c>
      <c r="AI31" s="91">
        <f t="shared" si="6"/>
        <v>2000</v>
      </c>
      <c r="AJ31" s="91">
        <f t="shared" si="6"/>
        <v>0</v>
      </c>
      <c r="AK31" s="91">
        <f t="shared" si="7"/>
        <v>0</v>
      </c>
      <c r="AL31" s="92">
        <f t="shared" si="7"/>
        <v>6000</v>
      </c>
      <c r="AM31" s="77">
        <v>30</v>
      </c>
      <c r="AN31" s="90">
        <v>0</v>
      </c>
      <c r="AO31" s="77">
        <v>0</v>
      </c>
      <c r="AP31" s="77">
        <v>16</v>
      </c>
      <c r="AQ31" s="91">
        <f t="shared" si="18"/>
        <v>3000</v>
      </c>
      <c r="AR31" s="91">
        <f t="shared" si="18"/>
        <v>0</v>
      </c>
      <c r="AS31" s="91">
        <f t="shared" si="19"/>
        <v>0</v>
      </c>
      <c r="AT31" s="92">
        <f t="shared" si="19"/>
        <v>4800</v>
      </c>
      <c r="AU31" s="12">
        <v>36</v>
      </c>
      <c r="AV31" s="6">
        <v>0</v>
      </c>
      <c r="AW31" s="12">
        <v>0</v>
      </c>
      <c r="AX31" s="12">
        <v>20</v>
      </c>
      <c r="AY31" s="17">
        <f t="shared" si="10"/>
        <v>3600</v>
      </c>
      <c r="AZ31" s="17">
        <f t="shared" si="10"/>
        <v>0</v>
      </c>
      <c r="BA31" s="17">
        <f t="shared" si="11"/>
        <v>0</v>
      </c>
      <c r="BB31" s="25">
        <f t="shared" si="11"/>
        <v>6000</v>
      </c>
      <c r="BC31" s="12">
        <v>39</v>
      </c>
      <c r="BD31" s="6">
        <v>0</v>
      </c>
      <c r="BE31" s="12">
        <v>0</v>
      </c>
      <c r="BF31" s="12">
        <v>20</v>
      </c>
      <c r="BG31" s="17">
        <f t="shared" si="12"/>
        <v>3900</v>
      </c>
      <c r="BH31" s="17">
        <f t="shared" si="12"/>
        <v>0</v>
      </c>
      <c r="BI31" s="17">
        <f t="shared" si="13"/>
        <v>0</v>
      </c>
      <c r="BJ31" s="25">
        <f t="shared" si="13"/>
        <v>6000</v>
      </c>
      <c r="BK31" s="12">
        <v>49</v>
      </c>
      <c r="BL31" s="6">
        <v>0</v>
      </c>
      <c r="BM31" s="12">
        <v>0</v>
      </c>
      <c r="BN31" s="12">
        <v>20</v>
      </c>
      <c r="BO31" s="17">
        <f t="shared" si="14"/>
        <v>4900</v>
      </c>
      <c r="BP31" s="17">
        <f t="shared" si="14"/>
        <v>0</v>
      </c>
      <c r="BQ31" s="17">
        <f t="shared" si="15"/>
        <v>0</v>
      </c>
      <c r="BR31" s="25">
        <f t="shared" si="15"/>
        <v>6000</v>
      </c>
      <c r="BS31" s="12">
        <v>55</v>
      </c>
      <c r="BT31" s="6">
        <v>0</v>
      </c>
      <c r="BU31" s="12">
        <v>0</v>
      </c>
      <c r="BV31" s="12">
        <v>20</v>
      </c>
      <c r="BW31" s="17">
        <f t="shared" si="16"/>
        <v>5500</v>
      </c>
      <c r="BX31" s="17">
        <f t="shared" si="16"/>
        <v>0</v>
      </c>
      <c r="BY31" s="17">
        <f t="shared" si="17"/>
        <v>0</v>
      </c>
      <c r="BZ31" s="25">
        <f t="shared" si="17"/>
        <v>6000</v>
      </c>
      <c r="CA31" s="81"/>
      <c r="CB31" s="75"/>
      <c r="CC31" s="81"/>
      <c r="CD31" s="81"/>
      <c r="CE31" s="93"/>
      <c r="CF31" s="93"/>
      <c r="CG31" s="93"/>
      <c r="CH31" s="94"/>
      <c r="CI31" s="81"/>
      <c r="CJ31" s="75"/>
      <c r="CK31" s="81"/>
      <c r="CL31" s="81"/>
      <c r="CM31" s="93"/>
      <c r="CN31" s="93"/>
      <c r="CO31" s="93"/>
      <c r="CP31" s="94"/>
      <c r="CQ31" s="81"/>
      <c r="CR31" s="75"/>
      <c r="CS31" s="81"/>
      <c r="CT31" s="81"/>
      <c r="CU31" s="93"/>
      <c r="CV31" s="93"/>
      <c r="CW31" s="93"/>
      <c r="CX31" s="94"/>
      <c r="CY31" s="81"/>
      <c r="CZ31" s="75"/>
      <c r="DA31" s="81"/>
      <c r="DB31" s="81"/>
      <c r="DC31" s="93"/>
      <c r="DD31" s="93"/>
      <c r="DE31" s="93"/>
      <c r="DF31" s="94"/>
      <c r="DG31" s="81"/>
      <c r="DH31" s="75"/>
      <c r="DI31" s="81"/>
      <c r="DJ31" s="81"/>
      <c r="DK31" s="93"/>
      <c r="DL31" s="93"/>
      <c r="DM31" s="93"/>
      <c r="DN31" s="94"/>
      <c r="DO31" s="95"/>
      <c r="DP31" s="96"/>
      <c r="DQ31" s="95"/>
      <c r="DR31" s="97"/>
      <c r="DS31" s="98"/>
      <c r="DT31" s="99"/>
      <c r="DU31" s="99"/>
      <c r="DV31" s="100"/>
      <c r="DW31" s="95"/>
      <c r="DX31" s="96"/>
      <c r="DY31" s="95"/>
      <c r="DZ31" s="97"/>
      <c r="EA31" s="98"/>
      <c r="EB31" s="99"/>
      <c r="EC31" s="99"/>
      <c r="ED31" s="100"/>
      <c r="EE31" s="95"/>
      <c r="EF31" s="96"/>
      <c r="EG31" s="95"/>
      <c r="EH31" s="97"/>
      <c r="EI31" s="98"/>
      <c r="EJ31" s="99"/>
      <c r="EK31" s="99"/>
      <c r="EL31" s="100"/>
    </row>
    <row r="32" spans="1:142">
      <c r="A32" s="75">
        <v>29</v>
      </c>
      <c r="B32" s="75" t="s">
        <v>52</v>
      </c>
      <c r="F32" s="76"/>
      <c r="G32" s="77">
        <v>35</v>
      </c>
      <c r="H32" s="90">
        <v>0</v>
      </c>
      <c r="I32" s="77">
        <v>0</v>
      </c>
      <c r="J32" s="77">
        <v>15</v>
      </c>
      <c r="K32" s="91">
        <f t="shared" si="0"/>
        <v>3500</v>
      </c>
      <c r="L32" s="91">
        <f t="shared" si="0"/>
        <v>0</v>
      </c>
      <c r="M32" s="91">
        <f t="shared" si="1"/>
        <v>0</v>
      </c>
      <c r="N32" s="92">
        <f t="shared" si="1"/>
        <v>4500</v>
      </c>
      <c r="O32" s="101">
        <v>52</v>
      </c>
      <c r="P32" s="90">
        <v>0</v>
      </c>
      <c r="Q32" s="77">
        <v>0</v>
      </c>
      <c r="R32" s="77">
        <v>15</v>
      </c>
      <c r="S32" s="91">
        <f t="shared" si="2"/>
        <v>5200</v>
      </c>
      <c r="T32" s="91">
        <f t="shared" si="2"/>
        <v>0</v>
      </c>
      <c r="U32" s="91">
        <f t="shared" si="3"/>
        <v>0</v>
      </c>
      <c r="V32" s="92">
        <f t="shared" si="3"/>
        <v>4500</v>
      </c>
      <c r="W32" s="101">
        <v>55</v>
      </c>
      <c r="X32" s="90">
        <v>0</v>
      </c>
      <c r="Y32" s="77">
        <v>0</v>
      </c>
      <c r="Z32" s="77">
        <v>12</v>
      </c>
      <c r="AA32" s="91">
        <f t="shared" si="4"/>
        <v>5500</v>
      </c>
      <c r="AB32" s="91">
        <f t="shared" si="4"/>
        <v>0</v>
      </c>
      <c r="AC32" s="91">
        <f t="shared" si="5"/>
        <v>0</v>
      </c>
      <c r="AD32" s="92">
        <f t="shared" si="5"/>
        <v>3600</v>
      </c>
      <c r="AE32" s="101">
        <v>46</v>
      </c>
      <c r="AF32" s="90">
        <v>0</v>
      </c>
      <c r="AG32" s="77">
        <v>0</v>
      </c>
      <c r="AH32" s="77">
        <v>13</v>
      </c>
      <c r="AI32" s="91">
        <f t="shared" si="6"/>
        <v>4600</v>
      </c>
      <c r="AJ32" s="91">
        <f t="shared" si="6"/>
        <v>0</v>
      </c>
      <c r="AK32" s="91">
        <f t="shared" si="7"/>
        <v>0</v>
      </c>
      <c r="AL32" s="92">
        <f t="shared" si="7"/>
        <v>3900</v>
      </c>
      <c r="AM32" s="77">
        <v>45</v>
      </c>
      <c r="AN32" s="90">
        <v>0</v>
      </c>
      <c r="AO32" s="77">
        <v>0</v>
      </c>
      <c r="AP32" s="77">
        <v>15</v>
      </c>
      <c r="AQ32" s="91">
        <f t="shared" si="18"/>
        <v>4500</v>
      </c>
      <c r="AR32" s="91">
        <f t="shared" si="18"/>
        <v>0</v>
      </c>
      <c r="AS32" s="91">
        <f t="shared" si="19"/>
        <v>0</v>
      </c>
      <c r="AT32" s="92">
        <f t="shared" si="19"/>
        <v>4500</v>
      </c>
      <c r="AU32" s="12">
        <v>45</v>
      </c>
      <c r="AV32" s="6">
        <v>0</v>
      </c>
      <c r="AW32" s="12">
        <v>0</v>
      </c>
      <c r="AX32" s="12">
        <v>15</v>
      </c>
      <c r="AY32" s="17">
        <f t="shared" si="10"/>
        <v>4500</v>
      </c>
      <c r="AZ32" s="17">
        <f t="shared" si="10"/>
        <v>0</v>
      </c>
      <c r="BA32" s="17">
        <f t="shared" si="11"/>
        <v>0</v>
      </c>
      <c r="BB32" s="25">
        <f t="shared" si="11"/>
        <v>4500</v>
      </c>
      <c r="BC32" s="12">
        <v>45</v>
      </c>
      <c r="BD32" s="6">
        <v>0</v>
      </c>
      <c r="BE32" s="12">
        <v>0</v>
      </c>
      <c r="BF32" s="12">
        <v>16</v>
      </c>
      <c r="BG32" s="17">
        <f t="shared" si="12"/>
        <v>4500</v>
      </c>
      <c r="BH32" s="17">
        <f t="shared" si="12"/>
        <v>0</v>
      </c>
      <c r="BI32" s="17">
        <f t="shared" si="13"/>
        <v>0</v>
      </c>
      <c r="BJ32" s="25">
        <f t="shared" si="13"/>
        <v>4800</v>
      </c>
      <c r="BK32" s="12">
        <v>60</v>
      </c>
      <c r="BL32" s="6">
        <v>0</v>
      </c>
      <c r="BM32" s="12">
        <v>0</v>
      </c>
      <c r="BN32" s="12">
        <v>18</v>
      </c>
      <c r="BO32" s="17">
        <f t="shared" si="14"/>
        <v>6000</v>
      </c>
      <c r="BP32" s="17">
        <f t="shared" si="14"/>
        <v>0</v>
      </c>
      <c r="BQ32" s="17">
        <f t="shared" si="15"/>
        <v>0</v>
      </c>
      <c r="BR32" s="25">
        <f t="shared" si="15"/>
        <v>5400</v>
      </c>
      <c r="BS32" s="12">
        <v>58</v>
      </c>
      <c r="BT32" s="6">
        <v>0</v>
      </c>
      <c r="BU32" s="12">
        <v>0</v>
      </c>
      <c r="BV32" s="12">
        <v>18</v>
      </c>
      <c r="BW32" s="17">
        <f t="shared" si="16"/>
        <v>5800</v>
      </c>
      <c r="BX32" s="17">
        <f t="shared" si="16"/>
        <v>0</v>
      </c>
      <c r="BY32" s="17">
        <f t="shared" si="17"/>
        <v>0</v>
      </c>
      <c r="BZ32" s="25">
        <f t="shared" si="17"/>
        <v>5400</v>
      </c>
      <c r="CA32" s="81"/>
      <c r="CB32" s="75"/>
      <c r="CC32" s="81"/>
      <c r="CD32" s="81"/>
      <c r="CE32" s="93"/>
      <c r="CF32" s="93"/>
      <c r="CG32" s="93"/>
      <c r="CH32" s="94"/>
      <c r="CI32" s="81"/>
      <c r="CJ32" s="75"/>
      <c r="CK32" s="81"/>
      <c r="CL32" s="81"/>
      <c r="CM32" s="93"/>
      <c r="CN32" s="93"/>
      <c r="CO32" s="93"/>
      <c r="CP32" s="94"/>
      <c r="CQ32" s="81"/>
      <c r="CR32" s="75"/>
      <c r="CS32" s="81"/>
      <c r="CT32" s="81"/>
      <c r="CU32" s="93"/>
      <c r="CV32" s="93"/>
      <c r="CW32" s="93"/>
      <c r="CX32" s="94"/>
      <c r="CY32" s="81"/>
      <c r="CZ32" s="75"/>
      <c r="DA32" s="81"/>
      <c r="DB32" s="81"/>
      <c r="DC32" s="93"/>
      <c r="DD32" s="93"/>
      <c r="DE32" s="93"/>
      <c r="DF32" s="94"/>
      <c r="DG32" s="81"/>
      <c r="DH32" s="75"/>
      <c r="DI32" s="81"/>
      <c r="DJ32" s="81"/>
      <c r="DK32" s="93"/>
      <c r="DL32" s="93"/>
      <c r="DM32" s="93"/>
      <c r="DN32" s="94"/>
      <c r="DO32" s="95"/>
      <c r="DP32" s="96"/>
      <c r="DQ32" s="95"/>
      <c r="DR32" s="97"/>
      <c r="DS32" s="98"/>
      <c r="DT32" s="99"/>
      <c r="DU32" s="99"/>
      <c r="DV32" s="100"/>
      <c r="DW32" s="95"/>
      <c r="DX32" s="96"/>
      <c r="DY32" s="95"/>
      <c r="DZ32" s="97"/>
      <c r="EA32" s="98"/>
      <c r="EB32" s="99"/>
      <c r="EC32" s="99"/>
      <c r="ED32" s="100"/>
      <c r="EE32" s="95"/>
      <c r="EF32" s="96"/>
      <c r="EG32" s="95"/>
      <c r="EH32" s="97"/>
      <c r="EI32" s="98"/>
      <c r="EJ32" s="99"/>
      <c r="EK32" s="99"/>
      <c r="EL32" s="100"/>
    </row>
    <row r="33" spans="1:142">
      <c r="A33" s="75">
        <v>30</v>
      </c>
      <c r="B33" s="75" t="s">
        <v>53</v>
      </c>
      <c r="F33" s="76"/>
      <c r="G33" s="77">
        <v>30</v>
      </c>
      <c r="H33" s="90">
        <v>0</v>
      </c>
      <c r="I33" s="77">
        <v>0</v>
      </c>
      <c r="J33" s="77">
        <v>15</v>
      </c>
      <c r="K33" s="91">
        <f t="shared" si="0"/>
        <v>3000</v>
      </c>
      <c r="L33" s="91">
        <f t="shared" si="0"/>
        <v>0</v>
      </c>
      <c r="M33" s="91">
        <f t="shared" si="1"/>
        <v>0</v>
      </c>
      <c r="N33" s="92">
        <f t="shared" si="1"/>
        <v>4500</v>
      </c>
      <c r="O33" s="77">
        <v>35</v>
      </c>
      <c r="P33" s="90">
        <v>0</v>
      </c>
      <c r="Q33" s="77">
        <v>0</v>
      </c>
      <c r="R33" s="77">
        <v>12</v>
      </c>
      <c r="S33" s="91">
        <f t="shared" si="2"/>
        <v>3500</v>
      </c>
      <c r="T33" s="91">
        <f t="shared" si="2"/>
        <v>0</v>
      </c>
      <c r="U33" s="91">
        <f t="shared" si="3"/>
        <v>0</v>
      </c>
      <c r="V33" s="92">
        <f t="shared" si="3"/>
        <v>3600</v>
      </c>
      <c r="W33" s="77">
        <v>33</v>
      </c>
      <c r="X33" s="90">
        <v>0</v>
      </c>
      <c r="Y33" s="77">
        <v>0</v>
      </c>
      <c r="Z33" s="77">
        <v>18</v>
      </c>
      <c r="AA33" s="91">
        <f t="shared" si="4"/>
        <v>3300</v>
      </c>
      <c r="AB33" s="91">
        <f t="shared" si="4"/>
        <v>0</v>
      </c>
      <c r="AC33" s="91">
        <f t="shared" si="5"/>
        <v>0</v>
      </c>
      <c r="AD33" s="92">
        <f t="shared" si="5"/>
        <v>5400</v>
      </c>
      <c r="AE33" s="77">
        <v>33</v>
      </c>
      <c r="AF33" s="90">
        <v>0</v>
      </c>
      <c r="AG33" s="77">
        <v>0</v>
      </c>
      <c r="AH33" s="77">
        <v>18</v>
      </c>
      <c r="AI33" s="91">
        <f t="shared" si="6"/>
        <v>3300</v>
      </c>
      <c r="AJ33" s="91">
        <f t="shared" si="6"/>
        <v>0</v>
      </c>
      <c r="AK33" s="91">
        <f t="shared" si="7"/>
        <v>0</v>
      </c>
      <c r="AL33" s="92">
        <f t="shared" si="7"/>
        <v>5400</v>
      </c>
      <c r="AM33" s="77">
        <v>55</v>
      </c>
      <c r="AN33" s="90">
        <v>0</v>
      </c>
      <c r="AO33" s="77">
        <v>0</v>
      </c>
      <c r="AP33" s="77">
        <v>15</v>
      </c>
      <c r="AQ33" s="91">
        <f t="shared" si="18"/>
        <v>5500</v>
      </c>
      <c r="AR33" s="91">
        <f t="shared" si="18"/>
        <v>0</v>
      </c>
      <c r="AS33" s="91">
        <f t="shared" si="19"/>
        <v>0</v>
      </c>
      <c r="AT33" s="92">
        <f t="shared" si="19"/>
        <v>4500</v>
      </c>
      <c r="AU33" s="12">
        <v>50</v>
      </c>
      <c r="AV33" s="6">
        <v>0</v>
      </c>
      <c r="AW33" s="12">
        <v>0</v>
      </c>
      <c r="AX33" s="12">
        <v>15</v>
      </c>
      <c r="AY33" s="17">
        <f t="shared" si="10"/>
        <v>5000</v>
      </c>
      <c r="AZ33" s="17">
        <f t="shared" si="10"/>
        <v>0</v>
      </c>
      <c r="BA33" s="17">
        <f t="shared" si="11"/>
        <v>0</v>
      </c>
      <c r="BB33" s="25">
        <f t="shared" si="11"/>
        <v>4500</v>
      </c>
      <c r="BC33" s="12">
        <v>53</v>
      </c>
      <c r="BD33" s="6">
        <v>0</v>
      </c>
      <c r="BE33" s="12">
        <v>0</v>
      </c>
      <c r="BF33" s="12">
        <v>19</v>
      </c>
      <c r="BG33" s="17">
        <f t="shared" si="12"/>
        <v>5300</v>
      </c>
      <c r="BH33" s="17">
        <f t="shared" si="12"/>
        <v>0</v>
      </c>
      <c r="BI33" s="17">
        <f t="shared" si="13"/>
        <v>0</v>
      </c>
      <c r="BJ33" s="25">
        <f t="shared" si="13"/>
        <v>5700</v>
      </c>
      <c r="BK33" s="12">
        <v>53</v>
      </c>
      <c r="BL33" s="6">
        <v>0</v>
      </c>
      <c r="BM33" s="12">
        <v>0</v>
      </c>
      <c r="BN33" s="12">
        <v>19</v>
      </c>
      <c r="BO33" s="17">
        <f t="shared" si="14"/>
        <v>5300</v>
      </c>
      <c r="BP33" s="17">
        <f t="shared" si="14"/>
        <v>0</v>
      </c>
      <c r="BQ33" s="17">
        <f t="shared" si="15"/>
        <v>0</v>
      </c>
      <c r="BR33" s="25">
        <f t="shared" si="15"/>
        <v>5700</v>
      </c>
      <c r="BS33" s="12">
        <v>53</v>
      </c>
      <c r="BT33" s="6">
        <v>0</v>
      </c>
      <c r="BU33" s="12">
        <v>0</v>
      </c>
      <c r="BV33" s="12">
        <v>19</v>
      </c>
      <c r="BW33" s="17">
        <f t="shared" si="16"/>
        <v>5300</v>
      </c>
      <c r="BX33" s="17">
        <f t="shared" si="16"/>
        <v>0</v>
      </c>
      <c r="BY33" s="17">
        <f t="shared" si="17"/>
        <v>0</v>
      </c>
      <c r="BZ33" s="25">
        <f t="shared" si="17"/>
        <v>5700</v>
      </c>
      <c r="CA33" s="81"/>
      <c r="CB33" s="75"/>
      <c r="CC33" s="81"/>
      <c r="CD33" s="81"/>
      <c r="CE33" s="93"/>
      <c r="CF33" s="93"/>
      <c r="CG33" s="93"/>
      <c r="CH33" s="94"/>
      <c r="CI33" s="81"/>
      <c r="CJ33" s="75"/>
      <c r="CK33" s="81"/>
      <c r="CL33" s="81"/>
      <c r="CM33" s="93"/>
      <c r="CN33" s="93"/>
      <c r="CO33" s="93"/>
      <c r="CP33" s="94"/>
      <c r="CQ33" s="81"/>
      <c r="CR33" s="75"/>
      <c r="CS33" s="81"/>
      <c r="CT33" s="81"/>
      <c r="CU33" s="93"/>
      <c r="CV33" s="93"/>
      <c r="CW33" s="93"/>
      <c r="CX33" s="94"/>
      <c r="CY33" s="81"/>
      <c r="CZ33" s="75"/>
      <c r="DA33" s="81"/>
      <c r="DB33" s="81"/>
      <c r="DC33" s="93"/>
      <c r="DD33" s="93"/>
      <c r="DE33" s="93"/>
      <c r="DF33" s="94"/>
      <c r="DG33" s="81"/>
      <c r="DH33" s="75"/>
      <c r="DI33" s="81"/>
      <c r="DJ33" s="81"/>
      <c r="DK33" s="93"/>
      <c r="DL33" s="93"/>
      <c r="DM33" s="93"/>
      <c r="DN33" s="94"/>
      <c r="DO33" s="95"/>
      <c r="DP33" s="96"/>
      <c r="DQ33" s="95"/>
      <c r="DR33" s="97"/>
      <c r="DS33" s="98"/>
      <c r="DT33" s="99"/>
      <c r="DU33" s="99"/>
      <c r="DV33" s="100"/>
      <c r="DW33" s="95"/>
      <c r="DX33" s="96"/>
      <c r="DY33" s="95"/>
      <c r="DZ33" s="97"/>
      <c r="EA33" s="98"/>
      <c r="EB33" s="99"/>
      <c r="EC33" s="99"/>
      <c r="ED33" s="100"/>
      <c r="EE33" s="95"/>
      <c r="EF33" s="96"/>
      <c r="EG33" s="95"/>
      <c r="EH33" s="97"/>
      <c r="EI33" s="98"/>
      <c r="EJ33" s="99"/>
      <c r="EK33" s="99"/>
      <c r="EL33" s="100"/>
    </row>
    <row r="34" spans="1:142">
      <c r="A34" s="75">
        <v>31</v>
      </c>
      <c r="B34" s="75" t="s">
        <v>54</v>
      </c>
      <c r="F34" s="76"/>
      <c r="G34" s="77">
        <v>40</v>
      </c>
      <c r="H34" s="90">
        <v>0</v>
      </c>
      <c r="I34" s="77">
        <v>0</v>
      </c>
      <c r="J34" s="77">
        <v>15</v>
      </c>
      <c r="K34" s="91">
        <f t="shared" si="0"/>
        <v>4000</v>
      </c>
      <c r="L34" s="91">
        <f t="shared" si="0"/>
        <v>0</v>
      </c>
      <c r="M34" s="91">
        <f t="shared" si="1"/>
        <v>0</v>
      </c>
      <c r="N34" s="92">
        <f t="shared" si="1"/>
        <v>4500</v>
      </c>
      <c r="O34" s="77">
        <v>30</v>
      </c>
      <c r="P34" s="90">
        <v>0</v>
      </c>
      <c r="Q34" s="77">
        <v>0</v>
      </c>
      <c r="R34" s="77">
        <v>15</v>
      </c>
      <c r="S34" s="91">
        <f t="shared" si="2"/>
        <v>3000</v>
      </c>
      <c r="T34" s="91">
        <f t="shared" si="2"/>
        <v>0</v>
      </c>
      <c r="U34" s="91">
        <f t="shared" si="3"/>
        <v>0</v>
      </c>
      <c r="V34" s="92">
        <f t="shared" si="3"/>
        <v>4500</v>
      </c>
      <c r="W34" s="77">
        <v>35</v>
      </c>
      <c r="X34" s="90">
        <v>0</v>
      </c>
      <c r="Y34" s="77">
        <v>0</v>
      </c>
      <c r="Z34" s="77">
        <v>16</v>
      </c>
      <c r="AA34" s="91">
        <f t="shared" si="4"/>
        <v>3500</v>
      </c>
      <c r="AB34" s="91">
        <f t="shared" si="4"/>
        <v>0</v>
      </c>
      <c r="AC34" s="91">
        <f t="shared" si="5"/>
        <v>0</v>
      </c>
      <c r="AD34" s="92">
        <f t="shared" si="5"/>
        <v>4800</v>
      </c>
      <c r="AE34" s="77">
        <v>35</v>
      </c>
      <c r="AF34" s="90">
        <v>0</v>
      </c>
      <c r="AG34" s="77">
        <v>0</v>
      </c>
      <c r="AH34" s="77">
        <v>16</v>
      </c>
      <c r="AI34" s="91">
        <f t="shared" si="6"/>
        <v>3500</v>
      </c>
      <c r="AJ34" s="91">
        <f t="shared" si="6"/>
        <v>0</v>
      </c>
      <c r="AK34" s="91">
        <f t="shared" si="7"/>
        <v>0</v>
      </c>
      <c r="AL34" s="92">
        <f t="shared" si="7"/>
        <v>4800</v>
      </c>
      <c r="AM34" s="77">
        <v>50</v>
      </c>
      <c r="AN34" s="90">
        <v>0</v>
      </c>
      <c r="AO34" s="77">
        <v>0</v>
      </c>
      <c r="AP34" s="77">
        <v>15</v>
      </c>
      <c r="AQ34" s="91">
        <f t="shared" si="18"/>
        <v>5000</v>
      </c>
      <c r="AR34" s="91">
        <f t="shared" si="18"/>
        <v>0</v>
      </c>
      <c r="AS34" s="91">
        <f t="shared" si="19"/>
        <v>0</v>
      </c>
      <c r="AT34" s="92">
        <f t="shared" si="19"/>
        <v>4500</v>
      </c>
      <c r="AU34" s="12">
        <v>52</v>
      </c>
      <c r="AV34" s="6">
        <v>0</v>
      </c>
      <c r="AW34" s="12">
        <v>0</v>
      </c>
      <c r="AX34" s="12">
        <v>20</v>
      </c>
      <c r="AY34" s="17">
        <f t="shared" si="10"/>
        <v>5200</v>
      </c>
      <c r="AZ34" s="17">
        <f t="shared" si="10"/>
        <v>0</v>
      </c>
      <c r="BA34" s="17">
        <f t="shared" si="11"/>
        <v>0</v>
      </c>
      <c r="BB34" s="25">
        <f t="shared" si="11"/>
        <v>6000</v>
      </c>
      <c r="BC34" s="12">
        <v>51</v>
      </c>
      <c r="BD34" s="6">
        <v>0</v>
      </c>
      <c r="BE34" s="12">
        <v>0</v>
      </c>
      <c r="BF34" s="12">
        <v>20</v>
      </c>
      <c r="BG34" s="17">
        <f t="shared" si="12"/>
        <v>5100</v>
      </c>
      <c r="BH34" s="17">
        <f t="shared" si="12"/>
        <v>0</v>
      </c>
      <c r="BI34" s="17">
        <f t="shared" si="13"/>
        <v>0</v>
      </c>
      <c r="BJ34" s="25">
        <f t="shared" si="13"/>
        <v>6000</v>
      </c>
      <c r="BK34" s="12">
        <v>51</v>
      </c>
      <c r="BL34" s="6">
        <v>0</v>
      </c>
      <c r="BM34" s="12">
        <v>0</v>
      </c>
      <c r="BN34" s="12">
        <v>20</v>
      </c>
      <c r="BO34" s="17">
        <f t="shared" si="14"/>
        <v>5100</v>
      </c>
      <c r="BP34" s="17">
        <f t="shared" si="14"/>
        <v>0</v>
      </c>
      <c r="BQ34" s="17">
        <f t="shared" si="15"/>
        <v>0</v>
      </c>
      <c r="BR34" s="25">
        <f t="shared" si="15"/>
        <v>6000</v>
      </c>
      <c r="BS34" s="12">
        <v>51</v>
      </c>
      <c r="BT34" s="6">
        <v>0</v>
      </c>
      <c r="BU34" s="12">
        <v>0</v>
      </c>
      <c r="BV34" s="12">
        <v>20</v>
      </c>
      <c r="BW34" s="17">
        <f t="shared" si="16"/>
        <v>5100</v>
      </c>
      <c r="BX34" s="17">
        <f t="shared" si="16"/>
        <v>0</v>
      </c>
      <c r="BY34" s="17">
        <f t="shared" si="17"/>
        <v>0</v>
      </c>
      <c r="BZ34" s="25">
        <f t="shared" si="17"/>
        <v>6000</v>
      </c>
      <c r="CA34" s="81"/>
      <c r="CB34" s="75"/>
      <c r="CC34" s="81"/>
      <c r="CD34" s="81"/>
      <c r="CE34" s="93"/>
      <c r="CF34" s="93"/>
      <c r="CG34" s="93"/>
      <c r="CH34" s="94"/>
      <c r="CI34" s="81"/>
      <c r="CJ34" s="75"/>
      <c r="CK34" s="81"/>
      <c r="CL34" s="81"/>
      <c r="CM34" s="93"/>
      <c r="CN34" s="93"/>
      <c r="CO34" s="93"/>
      <c r="CP34" s="94"/>
      <c r="CQ34" s="81"/>
      <c r="CR34" s="75"/>
      <c r="CS34" s="81"/>
      <c r="CT34" s="81"/>
      <c r="CU34" s="93"/>
      <c r="CV34" s="93"/>
      <c r="CW34" s="93"/>
      <c r="CX34" s="94"/>
      <c r="CY34" s="81"/>
      <c r="CZ34" s="75"/>
      <c r="DA34" s="81"/>
      <c r="DB34" s="81"/>
      <c r="DC34" s="93"/>
      <c r="DD34" s="93"/>
      <c r="DE34" s="93"/>
      <c r="DF34" s="94"/>
      <c r="DG34" s="81"/>
      <c r="DH34" s="75"/>
      <c r="DI34" s="81"/>
      <c r="DJ34" s="81"/>
      <c r="DK34" s="93"/>
      <c r="DL34" s="93"/>
      <c r="DM34" s="93"/>
      <c r="DN34" s="94"/>
      <c r="DO34" s="95"/>
      <c r="DP34" s="96"/>
      <c r="DQ34" s="95"/>
      <c r="DR34" s="97"/>
      <c r="DS34" s="98"/>
      <c r="DT34" s="99"/>
      <c r="DU34" s="99"/>
      <c r="DV34" s="100"/>
      <c r="DW34" s="95"/>
      <c r="DX34" s="96"/>
      <c r="DY34" s="95"/>
      <c r="DZ34" s="97"/>
      <c r="EA34" s="98"/>
      <c r="EB34" s="99"/>
      <c r="EC34" s="99"/>
      <c r="ED34" s="100"/>
      <c r="EE34" s="95"/>
      <c r="EF34" s="96"/>
      <c r="EG34" s="95"/>
      <c r="EH34" s="97"/>
      <c r="EI34" s="98"/>
      <c r="EJ34" s="99"/>
      <c r="EK34" s="99"/>
      <c r="EL34" s="100"/>
    </row>
    <row r="35" spans="1:142">
      <c r="A35" s="75">
        <v>32</v>
      </c>
      <c r="B35" s="75" t="s">
        <v>55</v>
      </c>
      <c r="F35" s="76"/>
      <c r="G35" s="77">
        <v>30</v>
      </c>
      <c r="H35" s="90">
        <v>0</v>
      </c>
      <c r="I35" s="77">
        <v>0</v>
      </c>
      <c r="J35" s="77">
        <v>20</v>
      </c>
      <c r="K35" s="91">
        <f t="shared" si="0"/>
        <v>3000</v>
      </c>
      <c r="L35" s="91">
        <f t="shared" si="0"/>
        <v>0</v>
      </c>
      <c r="M35" s="91">
        <f t="shared" si="1"/>
        <v>0</v>
      </c>
      <c r="N35" s="92">
        <f t="shared" si="1"/>
        <v>6000</v>
      </c>
      <c r="O35" s="77">
        <v>50</v>
      </c>
      <c r="P35" s="90">
        <v>0</v>
      </c>
      <c r="Q35" s="77">
        <v>0</v>
      </c>
      <c r="R35" s="77">
        <v>20</v>
      </c>
      <c r="S35" s="91">
        <f t="shared" si="2"/>
        <v>5000</v>
      </c>
      <c r="T35" s="91">
        <f t="shared" si="2"/>
        <v>0</v>
      </c>
      <c r="U35" s="91">
        <f t="shared" si="3"/>
        <v>0</v>
      </c>
      <c r="V35" s="92">
        <f t="shared" si="3"/>
        <v>6000</v>
      </c>
      <c r="W35" s="77">
        <v>44</v>
      </c>
      <c r="X35" s="90">
        <v>0</v>
      </c>
      <c r="Y35" s="77">
        <v>0</v>
      </c>
      <c r="Z35" s="77">
        <v>20</v>
      </c>
      <c r="AA35" s="91">
        <f t="shared" si="4"/>
        <v>4400</v>
      </c>
      <c r="AB35" s="91">
        <f t="shared" si="4"/>
        <v>0</v>
      </c>
      <c r="AC35" s="91">
        <f t="shared" si="5"/>
        <v>0</v>
      </c>
      <c r="AD35" s="92">
        <f t="shared" si="5"/>
        <v>6000</v>
      </c>
      <c r="AE35" s="77">
        <v>44</v>
      </c>
      <c r="AF35" s="90">
        <v>0</v>
      </c>
      <c r="AG35" s="77">
        <v>0</v>
      </c>
      <c r="AH35" s="77">
        <v>20</v>
      </c>
      <c r="AI35" s="91">
        <f t="shared" si="6"/>
        <v>4400</v>
      </c>
      <c r="AJ35" s="91">
        <f t="shared" si="6"/>
        <v>0</v>
      </c>
      <c r="AK35" s="91">
        <f t="shared" si="7"/>
        <v>0</v>
      </c>
      <c r="AL35" s="92">
        <f t="shared" si="7"/>
        <v>6000</v>
      </c>
      <c r="AM35" s="77">
        <v>40</v>
      </c>
      <c r="AN35" s="90">
        <v>0</v>
      </c>
      <c r="AO35" s="77">
        <v>0</v>
      </c>
      <c r="AP35" s="77">
        <v>20</v>
      </c>
      <c r="AQ35" s="91">
        <f t="shared" si="18"/>
        <v>4000</v>
      </c>
      <c r="AR35" s="91">
        <f t="shared" si="18"/>
        <v>0</v>
      </c>
      <c r="AS35" s="91">
        <f t="shared" si="19"/>
        <v>0</v>
      </c>
      <c r="AT35" s="92">
        <f t="shared" si="19"/>
        <v>6000</v>
      </c>
      <c r="AU35" s="12">
        <v>42</v>
      </c>
      <c r="AV35" s="6">
        <v>0</v>
      </c>
      <c r="AW35" s="12">
        <v>0</v>
      </c>
      <c r="AX35" s="12">
        <v>20</v>
      </c>
      <c r="AY35" s="17">
        <f t="shared" si="10"/>
        <v>4200</v>
      </c>
      <c r="AZ35" s="17">
        <f t="shared" si="10"/>
        <v>0</v>
      </c>
      <c r="BA35" s="17">
        <f t="shared" si="11"/>
        <v>0</v>
      </c>
      <c r="BB35" s="25">
        <f t="shared" si="11"/>
        <v>6000</v>
      </c>
      <c r="BC35" s="12">
        <v>44</v>
      </c>
      <c r="BD35" s="6">
        <v>0</v>
      </c>
      <c r="BE35" s="12">
        <v>0</v>
      </c>
      <c r="BF35" s="12">
        <v>20</v>
      </c>
      <c r="BG35" s="17">
        <f t="shared" si="12"/>
        <v>4400</v>
      </c>
      <c r="BH35" s="17">
        <f t="shared" si="12"/>
        <v>0</v>
      </c>
      <c r="BI35" s="17">
        <f t="shared" si="13"/>
        <v>0</v>
      </c>
      <c r="BJ35" s="25">
        <f t="shared" si="13"/>
        <v>6000</v>
      </c>
      <c r="BK35" s="12">
        <v>52</v>
      </c>
      <c r="BL35" s="6">
        <v>0</v>
      </c>
      <c r="BM35" s="12">
        <v>0</v>
      </c>
      <c r="BN35" s="12">
        <v>20</v>
      </c>
      <c r="BO35" s="17">
        <f t="shared" si="14"/>
        <v>5200</v>
      </c>
      <c r="BP35" s="17">
        <f t="shared" si="14"/>
        <v>0</v>
      </c>
      <c r="BQ35" s="17">
        <f t="shared" si="15"/>
        <v>0</v>
      </c>
      <c r="BR35" s="25">
        <f t="shared" si="15"/>
        <v>6000</v>
      </c>
      <c r="BS35" s="12">
        <v>56</v>
      </c>
      <c r="BT35" s="6">
        <v>0</v>
      </c>
      <c r="BU35" s="12">
        <v>0</v>
      </c>
      <c r="BV35" s="12">
        <v>20</v>
      </c>
      <c r="BW35" s="17">
        <f t="shared" si="16"/>
        <v>5600</v>
      </c>
      <c r="BX35" s="17">
        <f t="shared" si="16"/>
        <v>0</v>
      </c>
      <c r="BY35" s="17">
        <f t="shared" si="17"/>
        <v>0</v>
      </c>
      <c r="BZ35" s="25">
        <f t="shared" si="17"/>
        <v>6000</v>
      </c>
      <c r="CA35" s="81"/>
      <c r="CB35" s="75"/>
      <c r="CC35" s="81"/>
      <c r="CD35" s="81"/>
      <c r="CE35" s="93"/>
      <c r="CF35" s="93"/>
      <c r="CG35" s="93"/>
      <c r="CH35" s="94"/>
      <c r="CI35" s="81"/>
      <c r="CJ35" s="75"/>
      <c r="CK35" s="81"/>
      <c r="CL35" s="81"/>
      <c r="CM35" s="93"/>
      <c r="CN35" s="93"/>
      <c r="CO35" s="93"/>
      <c r="CP35" s="94"/>
      <c r="CQ35" s="81"/>
      <c r="CR35" s="75"/>
      <c r="CS35" s="81"/>
      <c r="CT35" s="81"/>
      <c r="CU35" s="93"/>
      <c r="CV35" s="93"/>
      <c r="CW35" s="93"/>
      <c r="CX35" s="94"/>
      <c r="CY35" s="81"/>
      <c r="CZ35" s="75"/>
      <c r="DA35" s="81"/>
      <c r="DB35" s="81"/>
      <c r="DC35" s="93"/>
      <c r="DD35" s="93"/>
      <c r="DE35" s="93"/>
      <c r="DF35" s="94"/>
      <c r="DG35" s="81"/>
      <c r="DH35" s="75"/>
      <c r="DI35" s="81"/>
      <c r="DJ35" s="81"/>
      <c r="DK35" s="93"/>
      <c r="DL35" s="93"/>
      <c r="DM35" s="93"/>
      <c r="DN35" s="94"/>
      <c r="DO35" s="95"/>
      <c r="DP35" s="96"/>
      <c r="DQ35" s="95"/>
      <c r="DR35" s="97"/>
      <c r="DS35" s="98"/>
      <c r="DT35" s="99"/>
      <c r="DU35" s="99"/>
      <c r="DV35" s="100"/>
      <c r="DW35" s="95"/>
      <c r="DX35" s="96"/>
      <c r="DY35" s="95"/>
      <c r="DZ35" s="97"/>
      <c r="EA35" s="98"/>
      <c r="EB35" s="99"/>
      <c r="EC35" s="99"/>
      <c r="ED35" s="100"/>
      <c r="EE35" s="95"/>
      <c r="EF35" s="96"/>
      <c r="EG35" s="95"/>
      <c r="EH35" s="97"/>
      <c r="EI35" s="98"/>
      <c r="EJ35" s="99"/>
      <c r="EK35" s="99"/>
      <c r="EL35" s="100"/>
    </row>
    <row r="36" spans="1:142">
      <c r="A36" s="75">
        <v>33</v>
      </c>
      <c r="B36" s="75" t="s">
        <v>57</v>
      </c>
      <c r="F36" s="76"/>
      <c r="G36" s="77">
        <v>28.5</v>
      </c>
      <c r="H36" s="90">
        <v>0</v>
      </c>
      <c r="I36" s="77">
        <v>0</v>
      </c>
      <c r="J36" s="77">
        <v>18.600000000000001</v>
      </c>
      <c r="K36" s="91">
        <f t="shared" si="0"/>
        <v>2850</v>
      </c>
      <c r="L36" s="91">
        <f t="shared" si="0"/>
        <v>0</v>
      </c>
      <c r="M36" s="91">
        <f t="shared" si="1"/>
        <v>0</v>
      </c>
      <c r="N36" s="92">
        <f t="shared" si="1"/>
        <v>5580</v>
      </c>
      <c r="O36" s="77">
        <v>55</v>
      </c>
      <c r="P36" s="90">
        <v>0</v>
      </c>
      <c r="Q36" s="77">
        <v>0</v>
      </c>
      <c r="R36" s="77">
        <v>20</v>
      </c>
      <c r="S36" s="91">
        <f t="shared" si="2"/>
        <v>5500</v>
      </c>
      <c r="T36" s="91">
        <f t="shared" si="2"/>
        <v>0</v>
      </c>
      <c r="U36" s="91">
        <f t="shared" si="3"/>
        <v>0</v>
      </c>
      <c r="V36" s="92">
        <f t="shared" si="3"/>
        <v>6000</v>
      </c>
      <c r="W36" s="77">
        <v>55</v>
      </c>
      <c r="X36" s="90">
        <v>0</v>
      </c>
      <c r="Y36" s="77">
        <v>0</v>
      </c>
      <c r="Z36" s="77">
        <v>10</v>
      </c>
      <c r="AA36" s="91">
        <f t="shared" si="4"/>
        <v>5500</v>
      </c>
      <c r="AB36" s="91">
        <f t="shared" si="4"/>
        <v>0</v>
      </c>
      <c r="AC36" s="91">
        <f t="shared" si="5"/>
        <v>0</v>
      </c>
      <c r="AD36" s="92">
        <f t="shared" si="5"/>
        <v>3000</v>
      </c>
      <c r="AE36" s="77">
        <v>55</v>
      </c>
      <c r="AF36" s="90">
        <v>0</v>
      </c>
      <c r="AG36" s="77">
        <v>0</v>
      </c>
      <c r="AH36" s="77">
        <v>10</v>
      </c>
      <c r="AI36" s="91">
        <f t="shared" si="6"/>
        <v>5500</v>
      </c>
      <c r="AJ36" s="91">
        <f t="shared" si="6"/>
        <v>0</v>
      </c>
      <c r="AK36" s="91">
        <f t="shared" si="7"/>
        <v>0</v>
      </c>
      <c r="AL36" s="92">
        <f t="shared" si="7"/>
        <v>3000</v>
      </c>
      <c r="AM36" s="77">
        <v>45</v>
      </c>
      <c r="AN36" s="90">
        <v>0</v>
      </c>
      <c r="AO36" s="77">
        <v>0</v>
      </c>
      <c r="AP36" s="77">
        <v>20</v>
      </c>
      <c r="AQ36" s="91">
        <f t="shared" si="18"/>
        <v>4500</v>
      </c>
      <c r="AR36" s="91">
        <f t="shared" si="18"/>
        <v>0</v>
      </c>
      <c r="AS36" s="91">
        <f t="shared" si="19"/>
        <v>0</v>
      </c>
      <c r="AT36" s="92">
        <f t="shared" si="19"/>
        <v>6000</v>
      </c>
      <c r="AU36" s="12">
        <v>55</v>
      </c>
      <c r="AV36" s="6">
        <v>0</v>
      </c>
      <c r="AW36" s="12">
        <v>0</v>
      </c>
      <c r="AX36" s="12">
        <v>20</v>
      </c>
      <c r="AY36" s="17">
        <f t="shared" si="10"/>
        <v>5500</v>
      </c>
      <c r="AZ36" s="17">
        <f t="shared" si="10"/>
        <v>0</v>
      </c>
      <c r="BA36" s="17">
        <f t="shared" si="11"/>
        <v>0</v>
      </c>
      <c r="BB36" s="25">
        <f t="shared" si="11"/>
        <v>6000</v>
      </c>
      <c r="BC36" s="12">
        <v>55</v>
      </c>
      <c r="BD36" s="6">
        <v>0</v>
      </c>
      <c r="BE36" s="12">
        <v>0</v>
      </c>
      <c r="BF36" s="12">
        <v>20</v>
      </c>
      <c r="BG36" s="17">
        <f t="shared" si="12"/>
        <v>5500</v>
      </c>
      <c r="BH36" s="17">
        <f t="shared" si="12"/>
        <v>0</v>
      </c>
      <c r="BI36" s="17">
        <f t="shared" si="13"/>
        <v>0</v>
      </c>
      <c r="BJ36" s="25">
        <f t="shared" si="13"/>
        <v>6000</v>
      </c>
      <c r="BK36" s="12">
        <v>55</v>
      </c>
      <c r="BL36" s="6">
        <v>0</v>
      </c>
      <c r="BM36" s="12">
        <v>0</v>
      </c>
      <c r="BN36" s="12">
        <v>20</v>
      </c>
      <c r="BO36" s="17">
        <f t="shared" si="14"/>
        <v>5500</v>
      </c>
      <c r="BP36" s="17">
        <f t="shared" si="14"/>
        <v>0</v>
      </c>
      <c r="BQ36" s="17">
        <f t="shared" si="15"/>
        <v>0</v>
      </c>
      <c r="BR36" s="25">
        <f t="shared" si="15"/>
        <v>6000</v>
      </c>
      <c r="BS36" s="12">
        <v>60</v>
      </c>
      <c r="BT36" s="6">
        <v>0</v>
      </c>
      <c r="BU36" s="12">
        <v>0</v>
      </c>
      <c r="BV36" s="12">
        <v>15</v>
      </c>
      <c r="BW36" s="17">
        <f t="shared" si="16"/>
        <v>6000</v>
      </c>
      <c r="BX36" s="17">
        <f t="shared" si="16"/>
        <v>0</v>
      </c>
      <c r="BY36" s="17">
        <f t="shared" si="17"/>
        <v>0</v>
      </c>
      <c r="BZ36" s="25">
        <f t="shared" si="17"/>
        <v>4500</v>
      </c>
      <c r="CA36" s="81"/>
      <c r="CB36" s="75"/>
      <c r="CC36" s="81"/>
      <c r="CD36" s="81"/>
      <c r="CE36" s="93"/>
      <c r="CF36" s="93"/>
      <c r="CG36" s="93"/>
      <c r="CH36" s="94"/>
      <c r="CI36" s="81"/>
      <c r="CJ36" s="75"/>
      <c r="CK36" s="81"/>
      <c r="CL36" s="81"/>
      <c r="CM36" s="93"/>
      <c r="CN36" s="93"/>
      <c r="CO36" s="93"/>
      <c r="CP36" s="94"/>
      <c r="CQ36" s="81"/>
      <c r="CR36" s="75"/>
      <c r="CS36" s="81"/>
      <c r="CT36" s="81"/>
      <c r="CU36" s="93"/>
      <c r="CV36" s="93"/>
      <c r="CW36" s="93"/>
      <c r="CX36" s="94"/>
      <c r="CY36" s="81"/>
      <c r="CZ36" s="75"/>
      <c r="DA36" s="81"/>
      <c r="DB36" s="81"/>
      <c r="DC36" s="93"/>
      <c r="DD36" s="93"/>
      <c r="DE36" s="93"/>
      <c r="DF36" s="94"/>
      <c r="DG36" s="81"/>
      <c r="DH36" s="75"/>
      <c r="DI36" s="81"/>
      <c r="DJ36" s="81"/>
      <c r="DK36" s="93"/>
      <c r="DL36" s="93"/>
      <c r="DM36" s="93"/>
      <c r="DN36" s="94"/>
      <c r="DO36" s="95"/>
      <c r="DP36" s="96"/>
      <c r="DQ36" s="95"/>
      <c r="DR36" s="97"/>
      <c r="DS36" s="98"/>
      <c r="DT36" s="99"/>
      <c r="DU36" s="99"/>
      <c r="DV36" s="100"/>
      <c r="DW36" s="95"/>
      <c r="DX36" s="96"/>
      <c r="DY36" s="95"/>
      <c r="DZ36" s="97"/>
      <c r="EA36" s="98"/>
      <c r="EB36" s="99"/>
      <c r="EC36" s="99"/>
      <c r="ED36" s="100"/>
      <c r="EE36" s="95"/>
      <c r="EF36" s="96"/>
      <c r="EG36" s="95"/>
      <c r="EH36" s="97"/>
      <c r="EI36" s="98"/>
      <c r="EJ36" s="99"/>
      <c r="EK36" s="99"/>
      <c r="EL36" s="100"/>
    </row>
    <row r="37" spans="1:142">
      <c r="A37" s="75">
        <v>34</v>
      </c>
      <c r="B37" s="75" t="s">
        <v>58</v>
      </c>
      <c r="F37" s="76"/>
      <c r="G37" s="77">
        <v>25</v>
      </c>
      <c r="H37" s="90">
        <v>0</v>
      </c>
      <c r="I37" s="77">
        <v>0</v>
      </c>
      <c r="J37" s="77">
        <v>10</v>
      </c>
      <c r="K37" s="91">
        <f t="shared" si="0"/>
        <v>2500</v>
      </c>
      <c r="L37" s="91">
        <f t="shared" si="0"/>
        <v>0</v>
      </c>
      <c r="M37" s="91">
        <f t="shared" si="1"/>
        <v>0</v>
      </c>
      <c r="N37" s="92">
        <f t="shared" si="1"/>
        <v>3000</v>
      </c>
      <c r="O37" s="77">
        <v>40</v>
      </c>
      <c r="P37" s="90">
        <v>0</v>
      </c>
      <c r="Q37" s="77">
        <v>0</v>
      </c>
      <c r="R37" s="77">
        <v>6</v>
      </c>
      <c r="S37" s="91">
        <f t="shared" si="2"/>
        <v>4000</v>
      </c>
      <c r="T37" s="91">
        <f t="shared" si="2"/>
        <v>0</v>
      </c>
      <c r="U37" s="91">
        <f t="shared" si="3"/>
        <v>0</v>
      </c>
      <c r="V37" s="92">
        <f t="shared" si="3"/>
        <v>1800</v>
      </c>
      <c r="W37" s="77">
        <v>40</v>
      </c>
      <c r="X37" s="90">
        <v>0</v>
      </c>
      <c r="Y37" s="77">
        <v>0</v>
      </c>
      <c r="Z37" s="77">
        <v>6</v>
      </c>
      <c r="AA37" s="91">
        <f t="shared" si="4"/>
        <v>4000</v>
      </c>
      <c r="AB37" s="91">
        <f t="shared" si="4"/>
        <v>0</v>
      </c>
      <c r="AC37" s="91">
        <f t="shared" si="5"/>
        <v>0</v>
      </c>
      <c r="AD37" s="92">
        <f t="shared" si="5"/>
        <v>1800</v>
      </c>
      <c r="AE37" s="77">
        <v>40</v>
      </c>
      <c r="AF37" s="90">
        <v>0</v>
      </c>
      <c r="AG37" s="77">
        <v>0</v>
      </c>
      <c r="AH37" s="77">
        <v>6</v>
      </c>
      <c r="AI37" s="91">
        <f t="shared" si="6"/>
        <v>4000</v>
      </c>
      <c r="AJ37" s="91">
        <f t="shared" si="6"/>
        <v>0</v>
      </c>
      <c r="AK37" s="91">
        <f t="shared" si="7"/>
        <v>0</v>
      </c>
      <c r="AL37" s="92">
        <f t="shared" si="7"/>
        <v>1800</v>
      </c>
      <c r="AM37" s="102">
        <v>55</v>
      </c>
      <c r="AN37" s="90">
        <v>0</v>
      </c>
      <c r="AO37" s="77">
        <v>0</v>
      </c>
      <c r="AP37" s="77">
        <v>20</v>
      </c>
      <c r="AQ37" s="91">
        <f t="shared" si="18"/>
        <v>5500</v>
      </c>
      <c r="AR37" s="91">
        <f t="shared" si="18"/>
        <v>0</v>
      </c>
      <c r="AS37" s="91">
        <f t="shared" si="19"/>
        <v>0</v>
      </c>
      <c r="AT37" s="92">
        <f t="shared" si="19"/>
        <v>6000</v>
      </c>
      <c r="AU37">
        <v>60</v>
      </c>
      <c r="AV37" s="6">
        <v>0</v>
      </c>
      <c r="AW37" s="12">
        <v>0</v>
      </c>
      <c r="AX37" s="12">
        <v>15</v>
      </c>
      <c r="AY37" s="17">
        <f t="shared" si="10"/>
        <v>6000</v>
      </c>
      <c r="AZ37" s="17">
        <f t="shared" si="10"/>
        <v>0</v>
      </c>
      <c r="BA37" s="17">
        <f t="shared" si="11"/>
        <v>0</v>
      </c>
      <c r="BB37" s="25">
        <f t="shared" si="11"/>
        <v>4500</v>
      </c>
      <c r="BC37">
        <v>62</v>
      </c>
      <c r="BD37" s="6">
        <v>0</v>
      </c>
      <c r="BE37" s="12">
        <v>0</v>
      </c>
      <c r="BF37" s="12">
        <v>14</v>
      </c>
      <c r="BG37" s="17">
        <f t="shared" si="12"/>
        <v>6200</v>
      </c>
      <c r="BH37" s="17">
        <f t="shared" si="12"/>
        <v>0</v>
      </c>
      <c r="BI37" s="17">
        <f t="shared" si="13"/>
        <v>0</v>
      </c>
      <c r="BJ37" s="25">
        <f t="shared" si="13"/>
        <v>4200</v>
      </c>
      <c r="BK37">
        <v>62</v>
      </c>
      <c r="BL37" s="6">
        <v>0</v>
      </c>
      <c r="BM37" s="12">
        <v>0</v>
      </c>
      <c r="BN37" s="12">
        <v>16</v>
      </c>
      <c r="BO37" s="17">
        <f t="shared" si="14"/>
        <v>6200</v>
      </c>
      <c r="BP37" s="17">
        <f t="shared" si="14"/>
        <v>0</v>
      </c>
      <c r="BQ37" s="17">
        <f t="shared" si="15"/>
        <v>0</v>
      </c>
      <c r="BR37" s="25">
        <f t="shared" si="15"/>
        <v>4800</v>
      </c>
      <c r="BS37">
        <v>64</v>
      </c>
      <c r="BT37" s="6">
        <v>0</v>
      </c>
      <c r="BU37" s="12">
        <v>0</v>
      </c>
      <c r="BV37" s="12">
        <v>18</v>
      </c>
      <c r="BW37" s="17">
        <f t="shared" si="16"/>
        <v>6400</v>
      </c>
      <c r="BX37" s="17">
        <f t="shared" si="16"/>
        <v>0</v>
      </c>
      <c r="BY37" s="17">
        <f t="shared" si="17"/>
        <v>0</v>
      </c>
      <c r="BZ37" s="25">
        <f t="shared" si="17"/>
        <v>5400</v>
      </c>
      <c r="CB37" s="75"/>
      <c r="CC37" s="81"/>
      <c r="CD37" s="81"/>
      <c r="CE37" s="93"/>
      <c r="CF37" s="93"/>
      <c r="CG37" s="93"/>
      <c r="CH37" s="94"/>
      <c r="CJ37" s="75"/>
      <c r="CK37" s="81"/>
      <c r="CL37" s="81"/>
      <c r="CM37" s="93"/>
      <c r="CN37" s="93"/>
      <c r="CO37" s="93"/>
      <c r="CP37" s="94"/>
      <c r="CR37" s="75"/>
      <c r="CS37" s="81"/>
      <c r="CT37" s="81"/>
      <c r="CU37" s="93"/>
      <c r="CV37" s="93"/>
      <c r="CW37" s="93"/>
      <c r="CX37" s="94"/>
      <c r="CZ37" s="75"/>
      <c r="DA37" s="81"/>
      <c r="DB37" s="81"/>
      <c r="DC37" s="93"/>
      <c r="DD37" s="93"/>
      <c r="DE37" s="93"/>
      <c r="DF37" s="94"/>
      <c r="DH37" s="75"/>
      <c r="DI37" s="81"/>
      <c r="DJ37" s="81"/>
      <c r="DK37" s="93"/>
      <c r="DL37" s="93"/>
      <c r="DM37" s="93"/>
      <c r="DN37" s="94"/>
      <c r="DP37" s="96"/>
      <c r="DQ37" s="95"/>
      <c r="DR37" s="97"/>
      <c r="DS37" s="98"/>
      <c r="DT37" s="99"/>
      <c r="DU37" s="99"/>
      <c r="DV37" s="100"/>
      <c r="DX37" s="96"/>
      <c r="DY37" s="95"/>
      <c r="DZ37" s="97"/>
      <c r="EA37" s="98"/>
      <c r="EB37" s="99"/>
      <c r="EC37" s="99"/>
      <c r="ED37" s="100"/>
      <c r="EF37" s="96"/>
      <c r="EG37" s="95"/>
      <c r="EH37" s="97"/>
      <c r="EI37" s="98"/>
      <c r="EJ37" s="99"/>
      <c r="EK37" s="99"/>
      <c r="EL37" s="100"/>
    </row>
    <row r="38" spans="1:142">
      <c r="A38" s="75">
        <v>35</v>
      </c>
      <c r="B38" s="75" t="s">
        <v>59</v>
      </c>
      <c r="F38" s="76"/>
      <c r="G38" s="77">
        <v>30</v>
      </c>
      <c r="H38" s="90">
        <v>0</v>
      </c>
      <c r="I38" s="77">
        <v>0</v>
      </c>
      <c r="J38" s="77">
        <v>5</v>
      </c>
      <c r="K38" s="91">
        <f t="shared" si="0"/>
        <v>3000</v>
      </c>
      <c r="L38" s="91">
        <f t="shared" si="0"/>
        <v>0</v>
      </c>
      <c r="M38" s="91">
        <f t="shared" si="1"/>
        <v>0</v>
      </c>
      <c r="N38" s="92">
        <f t="shared" si="1"/>
        <v>1500</v>
      </c>
      <c r="O38" s="77">
        <v>45</v>
      </c>
      <c r="P38" s="90">
        <v>0</v>
      </c>
      <c r="Q38" s="77">
        <v>0</v>
      </c>
      <c r="R38" s="77">
        <v>15</v>
      </c>
      <c r="S38" s="91">
        <f t="shared" si="2"/>
        <v>4500</v>
      </c>
      <c r="T38" s="91">
        <f t="shared" si="2"/>
        <v>0</v>
      </c>
      <c r="U38" s="91">
        <f t="shared" si="3"/>
        <v>0</v>
      </c>
      <c r="V38" s="92">
        <f t="shared" si="3"/>
        <v>4500</v>
      </c>
      <c r="W38" s="77">
        <v>50</v>
      </c>
      <c r="X38" s="90">
        <v>0</v>
      </c>
      <c r="Y38" s="77">
        <v>0</v>
      </c>
      <c r="Z38" s="77">
        <v>20</v>
      </c>
      <c r="AA38" s="91">
        <f t="shared" si="4"/>
        <v>5000</v>
      </c>
      <c r="AB38" s="91">
        <f t="shared" si="4"/>
        <v>0</v>
      </c>
      <c r="AC38" s="91">
        <f t="shared" si="5"/>
        <v>0</v>
      </c>
      <c r="AD38" s="92">
        <f t="shared" si="5"/>
        <v>6000</v>
      </c>
      <c r="AE38" s="77">
        <v>50</v>
      </c>
      <c r="AF38" s="90">
        <v>0</v>
      </c>
      <c r="AG38" s="77">
        <v>0</v>
      </c>
      <c r="AH38" s="77">
        <v>20</v>
      </c>
      <c r="AI38" s="91">
        <f t="shared" si="6"/>
        <v>5000</v>
      </c>
      <c r="AJ38" s="91">
        <f t="shared" si="6"/>
        <v>0</v>
      </c>
      <c r="AK38" s="91">
        <f t="shared" si="7"/>
        <v>0</v>
      </c>
      <c r="AL38" s="92">
        <f t="shared" si="7"/>
        <v>6000</v>
      </c>
      <c r="AM38" s="77">
        <v>39</v>
      </c>
      <c r="AN38" s="90">
        <v>0</v>
      </c>
      <c r="AO38" s="77">
        <v>0</v>
      </c>
      <c r="AP38" s="77">
        <v>16</v>
      </c>
      <c r="AQ38" s="91">
        <f t="shared" si="18"/>
        <v>3900</v>
      </c>
      <c r="AR38" s="91">
        <f t="shared" si="18"/>
        <v>0</v>
      </c>
      <c r="AS38" s="91">
        <f t="shared" si="19"/>
        <v>0</v>
      </c>
      <c r="AT38" s="92">
        <f t="shared" si="19"/>
        <v>4800</v>
      </c>
      <c r="AU38" s="12">
        <v>41</v>
      </c>
      <c r="AV38" s="6">
        <v>0</v>
      </c>
      <c r="AW38" s="12">
        <v>0</v>
      </c>
      <c r="AX38" s="12">
        <v>16</v>
      </c>
      <c r="AY38" s="17">
        <f t="shared" si="10"/>
        <v>4100</v>
      </c>
      <c r="AZ38" s="17">
        <f t="shared" si="10"/>
        <v>0</v>
      </c>
      <c r="BA38" s="17">
        <f t="shared" si="11"/>
        <v>0</v>
      </c>
      <c r="BB38" s="25">
        <f t="shared" si="11"/>
        <v>4800</v>
      </c>
      <c r="BC38" s="12">
        <v>40</v>
      </c>
      <c r="BD38" s="6">
        <v>0</v>
      </c>
      <c r="BE38" s="12">
        <v>0</v>
      </c>
      <c r="BF38" s="12">
        <v>20</v>
      </c>
      <c r="BG38" s="17">
        <f t="shared" si="12"/>
        <v>4000</v>
      </c>
      <c r="BH38" s="17">
        <f t="shared" si="12"/>
        <v>0</v>
      </c>
      <c r="BI38" s="17">
        <f t="shared" si="13"/>
        <v>0</v>
      </c>
      <c r="BJ38" s="25">
        <f t="shared" si="13"/>
        <v>6000</v>
      </c>
      <c r="BK38" s="12">
        <v>46</v>
      </c>
      <c r="BL38" s="6">
        <v>0</v>
      </c>
      <c r="BM38" s="12">
        <v>0</v>
      </c>
      <c r="BN38" s="12">
        <v>20</v>
      </c>
      <c r="BO38" s="17">
        <f t="shared" si="14"/>
        <v>4600</v>
      </c>
      <c r="BP38" s="17">
        <f t="shared" si="14"/>
        <v>0</v>
      </c>
      <c r="BQ38" s="17">
        <f t="shared" si="15"/>
        <v>0</v>
      </c>
      <c r="BR38" s="25">
        <f t="shared" si="15"/>
        <v>6000</v>
      </c>
      <c r="BS38" s="12">
        <v>46</v>
      </c>
      <c r="BT38" s="6">
        <v>0</v>
      </c>
      <c r="BU38" s="12">
        <v>0</v>
      </c>
      <c r="BV38" s="12">
        <v>20</v>
      </c>
      <c r="BW38" s="17">
        <f t="shared" si="16"/>
        <v>4600</v>
      </c>
      <c r="BX38" s="17">
        <f t="shared" si="16"/>
        <v>0</v>
      </c>
      <c r="BY38" s="17">
        <f t="shared" si="17"/>
        <v>0</v>
      </c>
      <c r="BZ38" s="25">
        <f t="shared" si="17"/>
        <v>6000</v>
      </c>
      <c r="CA38" s="81"/>
      <c r="CB38" s="75"/>
      <c r="CC38" s="81"/>
      <c r="CD38" s="81"/>
      <c r="CE38" s="93"/>
      <c r="CF38" s="93"/>
      <c r="CG38" s="93"/>
      <c r="CH38" s="94"/>
      <c r="CI38" s="81"/>
      <c r="CJ38" s="75"/>
      <c r="CK38" s="81"/>
      <c r="CL38" s="81"/>
      <c r="CM38" s="93"/>
      <c r="CN38" s="93"/>
      <c r="CO38" s="93"/>
      <c r="CP38" s="94"/>
      <c r="CQ38" s="81"/>
      <c r="CR38" s="75"/>
      <c r="CS38" s="81"/>
      <c r="CT38" s="81"/>
      <c r="CU38" s="93"/>
      <c r="CV38" s="93"/>
      <c r="CW38" s="93"/>
      <c r="CX38" s="94"/>
      <c r="CY38" s="81"/>
      <c r="CZ38" s="75"/>
      <c r="DA38" s="81"/>
      <c r="DB38" s="81"/>
      <c r="DC38" s="93"/>
      <c r="DD38" s="93"/>
      <c r="DE38" s="93"/>
      <c r="DF38" s="94"/>
      <c r="DG38" s="81"/>
      <c r="DH38" s="75"/>
      <c r="DI38" s="81"/>
      <c r="DJ38" s="81"/>
      <c r="DK38" s="93"/>
      <c r="DL38" s="93"/>
      <c r="DM38" s="93"/>
      <c r="DN38" s="94"/>
      <c r="DO38" s="81"/>
      <c r="DP38" s="96"/>
      <c r="DQ38" s="95"/>
      <c r="DR38" s="97"/>
      <c r="DS38" s="98"/>
      <c r="DT38" s="99"/>
      <c r="DU38" s="99"/>
      <c r="DV38" s="100"/>
      <c r="DW38" s="81"/>
      <c r="DX38" s="96"/>
      <c r="DY38" s="95"/>
      <c r="DZ38" s="97"/>
      <c r="EA38" s="98"/>
      <c r="EB38" s="99"/>
      <c r="EC38" s="99"/>
      <c r="ED38" s="100"/>
      <c r="EE38" s="81"/>
      <c r="EF38" s="96"/>
      <c r="EG38" s="95"/>
      <c r="EH38" s="97"/>
      <c r="EI38" s="98"/>
      <c r="EJ38" s="99"/>
      <c r="EK38" s="99"/>
      <c r="EL38" s="100"/>
    </row>
    <row r="39" spans="1:142">
      <c r="A39" s="75">
        <v>36</v>
      </c>
      <c r="B39" s="75" t="s">
        <v>60</v>
      </c>
      <c r="F39" s="76"/>
      <c r="G39" s="77">
        <v>30</v>
      </c>
      <c r="H39" s="90">
        <v>0</v>
      </c>
      <c r="I39" s="77">
        <v>0</v>
      </c>
      <c r="J39" s="77">
        <v>12</v>
      </c>
      <c r="K39" s="91">
        <f t="shared" si="0"/>
        <v>3000</v>
      </c>
      <c r="L39" s="91">
        <f t="shared" si="0"/>
        <v>0</v>
      </c>
      <c r="M39" s="91">
        <f t="shared" si="1"/>
        <v>0</v>
      </c>
      <c r="N39" s="92">
        <f t="shared" si="1"/>
        <v>3600</v>
      </c>
      <c r="O39" s="77">
        <v>25</v>
      </c>
      <c r="P39" s="90">
        <v>0</v>
      </c>
      <c r="Q39" s="77">
        <v>0</v>
      </c>
      <c r="R39" s="77">
        <v>20</v>
      </c>
      <c r="S39" s="91">
        <f t="shared" si="2"/>
        <v>2500</v>
      </c>
      <c r="T39" s="91">
        <f t="shared" si="2"/>
        <v>0</v>
      </c>
      <c r="U39" s="91">
        <f t="shared" si="3"/>
        <v>0</v>
      </c>
      <c r="V39" s="92">
        <f t="shared" si="3"/>
        <v>6000</v>
      </c>
      <c r="W39" s="77">
        <v>35</v>
      </c>
      <c r="X39" s="90">
        <v>0</v>
      </c>
      <c r="Y39" s="77">
        <v>0</v>
      </c>
      <c r="Z39" s="77">
        <v>20</v>
      </c>
      <c r="AA39" s="91">
        <f t="shared" si="4"/>
        <v>3500</v>
      </c>
      <c r="AB39" s="91">
        <f t="shared" si="4"/>
        <v>0</v>
      </c>
      <c r="AC39" s="91">
        <f t="shared" si="5"/>
        <v>0</v>
      </c>
      <c r="AD39" s="92">
        <f t="shared" si="5"/>
        <v>6000</v>
      </c>
      <c r="AE39" s="77">
        <v>35</v>
      </c>
      <c r="AF39" s="90">
        <v>0</v>
      </c>
      <c r="AG39" s="77">
        <v>0</v>
      </c>
      <c r="AH39" s="77">
        <v>20</v>
      </c>
      <c r="AI39" s="91">
        <f t="shared" si="6"/>
        <v>3500</v>
      </c>
      <c r="AJ39" s="91">
        <f t="shared" si="6"/>
        <v>0</v>
      </c>
      <c r="AK39" s="91">
        <f t="shared" si="7"/>
        <v>0</v>
      </c>
      <c r="AL39" s="92">
        <f t="shared" si="7"/>
        <v>6000</v>
      </c>
      <c r="AM39" s="77">
        <v>42</v>
      </c>
      <c r="AN39" s="90">
        <v>0</v>
      </c>
      <c r="AO39" s="77">
        <v>0</v>
      </c>
      <c r="AP39" s="77">
        <v>10</v>
      </c>
      <c r="AQ39" s="91">
        <f t="shared" si="18"/>
        <v>4200</v>
      </c>
      <c r="AR39" s="91">
        <f t="shared" si="18"/>
        <v>0</v>
      </c>
      <c r="AS39" s="91">
        <f t="shared" si="19"/>
        <v>0</v>
      </c>
      <c r="AT39" s="92">
        <f t="shared" si="19"/>
        <v>3000</v>
      </c>
      <c r="AU39" s="12">
        <v>48</v>
      </c>
      <c r="AV39" s="6">
        <v>0</v>
      </c>
      <c r="AW39" s="12">
        <v>0</v>
      </c>
      <c r="AX39" s="12">
        <v>10</v>
      </c>
      <c r="AY39" s="17">
        <f t="shared" si="10"/>
        <v>4800</v>
      </c>
      <c r="AZ39" s="17">
        <f t="shared" si="10"/>
        <v>0</v>
      </c>
      <c r="BA39" s="17">
        <f t="shared" si="11"/>
        <v>0</v>
      </c>
      <c r="BB39" s="25">
        <f t="shared" si="11"/>
        <v>3000</v>
      </c>
      <c r="BC39" s="12">
        <v>48</v>
      </c>
      <c r="BD39" s="6">
        <v>0</v>
      </c>
      <c r="BE39" s="12">
        <v>0</v>
      </c>
      <c r="BF39" s="12">
        <v>17</v>
      </c>
      <c r="BG39" s="17">
        <f t="shared" si="12"/>
        <v>4800</v>
      </c>
      <c r="BH39" s="17">
        <f t="shared" si="12"/>
        <v>0</v>
      </c>
      <c r="BI39" s="17">
        <f t="shared" si="13"/>
        <v>0</v>
      </c>
      <c r="BJ39" s="25">
        <f t="shared" si="13"/>
        <v>5100</v>
      </c>
      <c r="BK39" s="12">
        <v>50</v>
      </c>
      <c r="BL39" s="6">
        <v>0</v>
      </c>
      <c r="BM39" s="12">
        <v>0</v>
      </c>
      <c r="BN39" s="12">
        <v>20</v>
      </c>
      <c r="BO39" s="17">
        <f t="shared" si="14"/>
        <v>5000</v>
      </c>
      <c r="BP39" s="17">
        <f t="shared" si="14"/>
        <v>0</v>
      </c>
      <c r="BQ39" s="17">
        <f t="shared" si="15"/>
        <v>0</v>
      </c>
      <c r="BR39" s="25">
        <f t="shared" si="15"/>
        <v>6000</v>
      </c>
      <c r="BS39" s="12">
        <v>50</v>
      </c>
      <c r="BT39" s="6">
        <v>0</v>
      </c>
      <c r="BU39" s="12">
        <v>0</v>
      </c>
      <c r="BV39" s="12">
        <v>20</v>
      </c>
      <c r="BW39" s="17">
        <f t="shared" si="16"/>
        <v>5000</v>
      </c>
      <c r="BX39" s="17">
        <f t="shared" si="16"/>
        <v>0</v>
      </c>
      <c r="BY39" s="17">
        <f t="shared" si="17"/>
        <v>0</v>
      </c>
      <c r="BZ39" s="25">
        <f t="shared" si="17"/>
        <v>6000</v>
      </c>
      <c r="CA39" s="81"/>
      <c r="CB39" s="75"/>
      <c r="CC39" s="81"/>
      <c r="CD39" s="81"/>
      <c r="CE39" s="93"/>
      <c r="CF39" s="93"/>
      <c r="CG39" s="93"/>
      <c r="CH39" s="94"/>
      <c r="CI39" s="81"/>
      <c r="CJ39" s="75"/>
      <c r="CK39" s="81"/>
      <c r="CL39" s="81"/>
      <c r="CM39" s="93"/>
      <c r="CN39" s="93"/>
      <c r="CO39" s="93"/>
      <c r="CP39" s="94"/>
      <c r="CQ39" s="81"/>
      <c r="CR39" s="75"/>
      <c r="CS39" s="81"/>
      <c r="CT39" s="81"/>
      <c r="CU39" s="93"/>
      <c r="CV39" s="93"/>
      <c r="CW39" s="93"/>
      <c r="CX39" s="94"/>
      <c r="CY39" s="81"/>
      <c r="CZ39" s="75"/>
      <c r="DA39" s="81"/>
      <c r="DB39" s="81"/>
      <c r="DC39" s="93"/>
      <c r="DD39" s="93"/>
      <c r="DE39" s="93"/>
      <c r="DF39" s="94"/>
      <c r="DG39" s="81"/>
      <c r="DH39" s="75"/>
      <c r="DI39" s="81"/>
      <c r="DJ39" s="81"/>
      <c r="DK39" s="93"/>
      <c r="DL39" s="93"/>
      <c r="DM39" s="93"/>
      <c r="DN39" s="94"/>
      <c r="DO39" s="95"/>
      <c r="DP39" s="96"/>
      <c r="DQ39" s="95"/>
      <c r="DR39" s="97"/>
      <c r="DS39" s="98"/>
      <c r="DT39" s="99"/>
      <c r="DU39" s="99"/>
      <c r="DV39" s="100"/>
      <c r="DW39" s="95"/>
      <c r="DX39" s="96"/>
      <c r="DY39" s="95"/>
      <c r="DZ39" s="97"/>
      <c r="EA39" s="98"/>
      <c r="EB39" s="99"/>
      <c r="EC39" s="99"/>
      <c r="ED39" s="100"/>
      <c r="EE39" s="95"/>
      <c r="EF39" s="96"/>
      <c r="EG39" s="95"/>
      <c r="EH39" s="97"/>
      <c r="EI39" s="98"/>
      <c r="EJ39" s="99"/>
      <c r="EK39" s="99"/>
      <c r="EL39" s="100"/>
    </row>
    <row r="40" spans="1:142">
      <c r="A40" s="75">
        <v>37</v>
      </c>
      <c r="B40" s="75" t="s">
        <v>61</v>
      </c>
      <c r="F40" s="76"/>
      <c r="G40" s="77">
        <v>22</v>
      </c>
      <c r="H40" s="90">
        <v>0</v>
      </c>
      <c r="I40" s="77">
        <v>0</v>
      </c>
      <c r="J40" s="77">
        <v>10</v>
      </c>
      <c r="K40" s="91">
        <f t="shared" si="0"/>
        <v>2200</v>
      </c>
      <c r="L40" s="91">
        <f t="shared" si="0"/>
        <v>0</v>
      </c>
      <c r="M40" s="91">
        <f t="shared" si="1"/>
        <v>0</v>
      </c>
      <c r="N40" s="92">
        <f t="shared" si="1"/>
        <v>3000</v>
      </c>
      <c r="O40" s="77">
        <v>25</v>
      </c>
      <c r="P40" s="90">
        <v>0</v>
      </c>
      <c r="Q40" s="77">
        <v>0</v>
      </c>
      <c r="R40" s="77">
        <v>6</v>
      </c>
      <c r="S40" s="91">
        <f t="shared" si="2"/>
        <v>2500</v>
      </c>
      <c r="T40" s="91">
        <f t="shared" si="2"/>
        <v>0</v>
      </c>
      <c r="U40" s="91">
        <f t="shared" si="3"/>
        <v>0</v>
      </c>
      <c r="V40" s="92">
        <f t="shared" si="3"/>
        <v>1800</v>
      </c>
      <c r="W40" s="77">
        <v>40</v>
      </c>
      <c r="X40" s="90">
        <v>0</v>
      </c>
      <c r="Y40" s="77">
        <v>0</v>
      </c>
      <c r="Z40" s="77">
        <v>8</v>
      </c>
      <c r="AA40" s="91">
        <f t="shared" si="4"/>
        <v>4000</v>
      </c>
      <c r="AB40" s="91">
        <f t="shared" si="4"/>
        <v>0</v>
      </c>
      <c r="AC40" s="91">
        <f t="shared" si="5"/>
        <v>0</v>
      </c>
      <c r="AD40" s="92">
        <f t="shared" si="5"/>
        <v>2400</v>
      </c>
      <c r="AE40" s="77">
        <v>40</v>
      </c>
      <c r="AF40" s="90">
        <v>0</v>
      </c>
      <c r="AG40" s="77">
        <v>0</v>
      </c>
      <c r="AH40" s="77">
        <v>20</v>
      </c>
      <c r="AI40" s="91">
        <f t="shared" si="6"/>
        <v>4000</v>
      </c>
      <c r="AJ40" s="91">
        <f t="shared" si="6"/>
        <v>0</v>
      </c>
      <c r="AK40" s="91">
        <f t="shared" si="7"/>
        <v>0</v>
      </c>
      <c r="AL40" s="92">
        <f t="shared" si="7"/>
        <v>6000</v>
      </c>
      <c r="AM40" s="77">
        <v>60</v>
      </c>
      <c r="AN40" s="90">
        <v>0</v>
      </c>
      <c r="AO40" s="77">
        <v>0</v>
      </c>
      <c r="AP40" s="77">
        <v>20</v>
      </c>
      <c r="AQ40" s="91">
        <f t="shared" si="18"/>
        <v>6000</v>
      </c>
      <c r="AR40" s="91">
        <f t="shared" si="18"/>
        <v>0</v>
      </c>
      <c r="AS40" s="91">
        <f t="shared" si="19"/>
        <v>0</v>
      </c>
      <c r="AT40" s="92">
        <f t="shared" si="19"/>
        <v>6000</v>
      </c>
      <c r="AU40" s="12">
        <v>60</v>
      </c>
      <c r="AV40" s="6">
        <v>0</v>
      </c>
      <c r="AW40" s="12">
        <v>0</v>
      </c>
      <c r="AX40" s="12">
        <v>18</v>
      </c>
      <c r="AY40" s="17">
        <f t="shared" si="10"/>
        <v>6000</v>
      </c>
      <c r="AZ40" s="17">
        <f t="shared" si="10"/>
        <v>0</v>
      </c>
      <c r="BA40" s="17">
        <f t="shared" si="11"/>
        <v>0</v>
      </c>
      <c r="BB40" s="25">
        <f t="shared" si="11"/>
        <v>5400</v>
      </c>
      <c r="BC40" s="12">
        <v>60</v>
      </c>
      <c r="BD40" s="6">
        <v>0</v>
      </c>
      <c r="BE40" s="12">
        <v>0</v>
      </c>
      <c r="BF40" s="12">
        <v>18</v>
      </c>
      <c r="BG40" s="17">
        <f t="shared" si="12"/>
        <v>6000</v>
      </c>
      <c r="BH40" s="17">
        <f t="shared" si="12"/>
        <v>0</v>
      </c>
      <c r="BI40" s="17">
        <f t="shared" si="13"/>
        <v>0</v>
      </c>
      <c r="BJ40" s="25">
        <f t="shared" si="13"/>
        <v>5400</v>
      </c>
      <c r="BK40" s="12">
        <v>62</v>
      </c>
      <c r="BL40" s="6">
        <v>0</v>
      </c>
      <c r="BM40" s="12">
        <v>0</v>
      </c>
      <c r="BN40" s="12">
        <v>18</v>
      </c>
      <c r="BO40" s="17">
        <f t="shared" si="14"/>
        <v>6200</v>
      </c>
      <c r="BP40" s="17">
        <f t="shared" si="14"/>
        <v>0</v>
      </c>
      <c r="BQ40" s="17">
        <f t="shared" si="15"/>
        <v>0</v>
      </c>
      <c r="BR40" s="25">
        <f t="shared" si="15"/>
        <v>5400</v>
      </c>
      <c r="BS40" s="12">
        <v>62</v>
      </c>
      <c r="BT40" s="6">
        <v>0</v>
      </c>
      <c r="BU40" s="12">
        <v>0</v>
      </c>
      <c r="BV40" s="12">
        <v>18</v>
      </c>
      <c r="BW40" s="17">
        <f t="shared" si="16"/>
        <v>6200</v>
      </c>
      <c r="BX40" s="17">
        <f t="shared" si="16"/>
        <v>0</v>
      </c>
      <c r="BY40" s="17">
        <f t="shared" si="17"/>
        <v>0</v>
      </c>
      <c r="BZ40" s="25">
        <f t="shared" si="17"/>
        <v>5400</v>
      </c>
      <c r="CA40" s="81"/>
      <c r="CB40" s="75"/>
      <c r="CC40" s="81"/>
      <c r="CD40" s="81"/>
      <c r="CE40" s="93"/>
      <c r="CF40" s="93"/>
      <c r="CG40" s="93"/>
      <c r="CH40" s="94"/>
      <c r="CI40" s="81"/>
      <c r="CJ40" s="75"/>
      <c r="CK40" s="81"/>
      <c r="CL40" s="81"/>
      <c r="CM40" s="93"/>
      <c r="CN40" s="93"/>
      <c r="CO40" s="93"/>
      <c r="CP40" s="94"/>
      <c r="CQ40" s="81"/>
      <c r="CR40" s="75"/>
      <c r="CS40" s="81"/>
      <c r="CT40" s="81"/>
      <c r="CU40" s="93"/>
      <c r="CV40" s="93"/>
      <c r="CW40" s="93"/>
      <c r="CX40" s="94"/>
      <c r="CY40" s="81"/>
      <c r="CZ40" s="75"/>
      <c r="DA40" s="81"/>
      <c r="DB40" s="81"/>
      <c r="DC40" s="93"/>
      <c r="DD40" s="93"/>
      <c r="DE40" s="93"/>
      <c r="DF40" s="94"/>
      <c r="DG40" s="81"/>
      <c r="DH40" s="75"/>
      <c r="DI40" s="81"/>
      <c r="DJ40" s="81"/>
      <c r="DK40" s="93"/>
      <c r="DL40" s="93"/>
      <c r="DM40" s="93"/>
      <c r="DN40" s="94"/>
      <c r="DO40" s="95"/>
      <c r="DP40" s="96"/>
      <c r="DQ40" s="95"/>
      <c r="DR40" s="97"/>
      <c r="DS40" s="98"/>
      <c r="DT40" s="99"/>
      <c r="DU40" s="99"/>
      <c r="DV40" s="100"/>
      <c r="DW40" s="95"/>
      <c r="DX40" s="96"/>
      <c r="DY40" s="95"/>
      <c r="DZ40" s="97"/>
      <c r="EA40" s="98"/>
      <c r="EB40" s="99"/>
      <c r="EC40" s="99"/>
      <c r="ED40" s="100"/>
      <c r="EE40" s="95"/>
      <c r="EF40" s="96"/>
      <c r="EG40" s="95"/>
      <c r="EH40" s="97"/>
      <c r="EI40" s="98"/>
      <c r="EJ40" s="99"/>
      <c r="EK40" s="99"/>
      <c r="EL40" s="100"/>
    </row>
    <row r="41" spans="1:142">
      <c r="A41" s="75">
        <v>38</v>
      </c>
      <c r="B41" s="75" t="s">
        <v>62</v>
      </c>
      <c r="F41" s="76"/>
      <c r="G41" s="77">
        <v>48</v>
      </c>
      <c r="H41" s="90">
        <v>0</v>
      </c>
      <c r="I41" s="77">
        <v>0</v>
      </c>
      <c r="J41" s="77">
        <v>16</v>
      </c>
      <c r="K41" s="91">
        <f t="shared" si="0"/>
        <v>4800</v>
      </c>
      <c r="L41" s="91">
        <f t="shared" si="0"/>
        <v>0</v>
      </c>
      <c r="M41" s="91">
        <f t="shared" si="1"/>
        <v>0</v>
      </c>
      <c r="N41" s="92">
        <f t="shared" si="1"/>
        <v>4800</v>
      </c>
      <c r="O41" s="77">
        <v>50</v>
      </c>
      <c r="P41" s="90">
        <v>0</v>
      </c>
      <c r="Q41" s="77">
        <v>0</v>
      </c>
      <c r="R41" s="77">
        <v>20</v>
      </c>
      <c r="S41" s="91">
        <f t="shared" si="2"/>
        <v>5000</v>
      </c>
      <c r="T41" s="91">
        <f t="shared" si="2"/>
        <v>0</v>
      </c>
      <c r="U41" s="91">
        <f t="shared" si="3"/>
        <v>0</v>
      </c>
      <c r="V41" s="92">
        <f t="shared" si="3"/>
        <v>6000</v>
      </c>
      <c r="W41" s="77">
        <v>42</v>
      </c>
      <c r="X41" s="90">
        <v>0</v>
      </c>
      <c r="Y41" s="77">
        <v>0</v>
      </c>
      <c r="Z41" s="77">
        <v>20</v>
      </c>
      <c r="AA41" s="91">
        <f t="shared" si="4"/>
        <v>4200</v>
      </c>
      <c r="AB41" s="91">
        <f t="shared" si="4"/>
        <v>0</v>
      </c>
      <c r="AC41" s="91">
        <f t="shared" si="5"/>
        <v>0</v>
      </c>
      <c r="AD41" s="92">
        <f t="shared" si="5"/>
        <v>6000</v>
      </c>
      <c r="AE41" s="77">
        <v>42</v>
      </c>
      <c r="AF41" s="90">
        <v>0</v>
      </c>
      <c r="AG41" s="77">
        <v>0</v>
      </c>
      <c r="AH41" s="77">
        <v>20</v>
      </c>
      <c r="AI41" s="91">
        <f t="shared" si="6"/>
        <v>4200</v>
      </c>
      <c r="AJ41" s="91">
        <f t="shared" si="6"/>
        <v>0</v>
      </c>
      <c r="AK41" s="91">
        <f t="shared" si="7"/>
        <v>0</v>
      </c>
      <c r="AL41" s="92">
        <f t="shared" si="7"/>
        <v>6000</v>
      </c>
      <c r="AM41" s="77">
        <v>42</v>
      </c>
      <c r="AN41" s="90">
        <v>0</v>
      </c>
      <c r="AO41" s="77">
        <v>0</v>
      </c>
      <c r="AP41" s="77">
        <v>15</v>
      </c>
      <c r="AQ41" s="91">
        <f t="shared" si="18"/>
        <v>4200</v>
      </c>
      <c r="AR41" s="91">
        <f t="shared" si="18"/>
        <v>0</v>
      </c>
      <c r="AS41" s="91">
        <f t="shared" si="19"/>
        <v>0</v>
      </c>
      <c r="AT41" s="92">
        <f t="shared" si="19"/>
        <v>4500</v>
      </c>
      <c r="AU41" s="12">
        <v>42</v>
      </c>
      <c r="AV41" s="6">
        <v>0</v>
      </c>
      <c r="AW41" s="12">
        <v>0</v>
      </c>
      <c r="AX41" s="12">
        <v>20</v>
      </c>
      <c r="AY41" s="17">
        <f t="shared" si="10"/>
        <v>4200</v>
      </c>
      <c r="AZ41" s="17">
        <f t="shared" si="10"/>
        <v>0</v>
      </c>
      <c r="BA41" s="17">
        <f t="shared" si="11"/>
        <v>0</v>
      </c>
      <c r="BB41" s="25">
        <f t="shared" si="11"/>
        <v>6000</v>
      </c>
      <c r="BC41" s="12">
        <v>38</v>
      </c>
      <c r="BD41" s="6">
        <v>0</v>
      </c>
      <c r="BE41" s="12">
        <v>0</v>
      </c>
      <c r="BF41" s="12">
        <v>20</v>
      </c>
      <c r="BG41" s="17">
        <f t="shared" si="12"/>
        <v>3800</v>
      </c>
      <c r="BH41" s="17">
        <f t="shared" si="12"/>
        <v>0</v>
      </c>
      <c r="BI41" s="17">
        <f t="shared" si="13"/>
        <v>0</v>
      </c>
      <c r="BJ41" s="25">
        <f t="shared" si="13"/>
        <v>6000</v>
      </c>
      <c r="BK41" s="12">
        <v>48</v>
      </c>
      <c r="BL41" s="6">
        <v>0</v>
      </c>
      <c r="BM41" s="12">
        <v>0</v>
      </c>
      <c r="BN41" s="12">
        <v>20</v>
      </c>
      <c r="BO41" s="17">
        <f t="shared" si="14"/>
        <v>4800</v>
      </c>
      <c r="BP41" s="17">
        <f t="shared" si="14"/>
        <v>0</v>
      </c>
      <c r="BQ41" s="17">
        <f t="shared" si="15"/>
        <v>0</v>
      </c>
      <c r="BR41" s="25">
        <f t="shared" si="15"/>
        <v>6000</v>
      </c>
      <c r="BS41" s="12">
        <v>51</v>
      </c>
      <c r="BT41" s="6">
        <v>0</v>
      </c>
      <c r="BU41" s="12">
        <v>0</v>
      </c>
      <c r="BV41" s="12">
        <v>20</v>
      </c>
      <c r="BW41" s="17">
        <f t="shared" si="16"/>
        <v>5100</v>
      </c>
      <c r="BX41" s="17">
        <f t="shared" si="16"/>
        <v>0</v>
      </c>
      <c r="BY41" s="17">
        <f t="shared" si="17"/>
        <v>0</v>
      </c>
      <c r="BZ41" s="25">
        <f t="shared" si="17"/>
        <v>6000</v>
      </c>
      <c r="CA41" s="81"/>
      <c r="CB41" s="75"/>
      <c r="CC41" s="81"/>
      <c r="CD41" s="81"/>
      <c r="CE41" s="93"/>
      <c r="CF41" s="93"/>
      <c r="CG41" s="93"/>
      <c r="CH41" s="94"/>
      <c r="CI41" s="81"/>
      <c r="CJ41" s="75"/>
      <c r="CK41" s="81"/>
      <c r="CL41" s="81"/>
      <c r="CM41" s="93"/>
      <c r="CN41" s="93"/>
      <c r="CO41" s="93"/>
      <c r="CP41" s="94"/>
      <c r="CQ41" s="81"/>
      <c r="CR41" s="75"/>
      <c r="CS41" s="81"/>
      <c r="CT41" s="81"/>
      <c r="CU41" s="93"/>
      <c r="CV41" s="93"/>
      <c r="CW41" s="93"/>
      <c r="CX41" s="94"/>
      <c r="CY41" s="81"/>
      <c r="CZ41" s="75"/>
      <c r="DA41" s="81"/>
      <c r="DB41" s="81"/>
      <c r="DC41" s="93"/>
      <c r="DD41" s="93"/>
      <c r="DE41" s="93"/>
      <c r="DF41" s="94"/>
      <c r="DG41" s="81"/>
      <c r="DH41" s="75"/>
      <c r="DI41" s="81"/>
      <c r="DJ41" s="81"/>
      <c r="DK41" s="93"/>
      <c r="DL41" s="93"/>
      <c r="DM41" s="93"/>
      <c r="DN41" s="94"/>
      <c r="DO41" s="95"/>
      <c r="DP41" s="96"/>
      <c r="DQ41" s="95"/>
      <c r="DR41" s="97"/>
      <c r="DS41" s="98"/>
      <c r="DT41" s="99"/>
      <c r="DU41" s="99"/>
      <c r="DV41" s="100"/>
      <c r="DW41" s="95"/>
      <c r="DX41" s="96"/>
      <c r="DY41" s="95"/>
      <c r="DZ41" s="97"/>
      <c r="EA41" s="98"/>
      <c r="EB41" s="99"/>
      <c r="EC41" s="99"/>
      <c r="ED41" s="100"/>
      <c r="EE41" s="95"/>
      <c r="EF41" s="96"/>
      <c r="EG41" s="95"/>
      <c r="EH41" s="97"/>
      <c r="EI41" s="98"/>
      <c r="EJ41" s="99"/>
      <c r="EK41" s="99"/>
      <c r="EL41" s="100"/>
    </row>
    <row r="42" spans="1:142">
      <c r="A42" s="75">
        <v>39</v>
      </c>
      <c r="B42" s="75" t="s">
        <v>63</v>
      </c>
      <c r="F42" s="76"/>
      <c r="G42" s="77">
        <v>50</v>
      </c>
      <c r="H42" s="90">
        <v>0</v>
      </c>
      <c r="I42" s="77">
        <v>0</v>
      </c>
      <c r="J42" s="77">
        <v>15</v>
      </c>
      <c r="K42" s="91">
        <f t="shared" si="0"/>
        <v>5000</v>
      </c>
      <c r="L42" s="91">
        <f t="shared" si="0"/>
        <v>0</v>
      </c>
      <c r="M42" s="91">
        <f t="shared" si="1"/>
        <v>0</v>
      </c>
      <c r="N42" s="92">
        <f t="shared" si="1"/>
        <v>4500</v>
      </c>
      <c r="O42" s="77">
        <v>55</v>
      </c>
      <c r="P42" s="90">
        <v>0</v>
      </c>
      <c r="Q42" s="77">
        <v>0</v>
      </c>
      <c r="R42" s="77">
        <v>15</v>
      </c>
      <c r="S42" s="91">
        <f t="shared" si="2"/>
        <v>5500</v>
      </c>
      <c r="T42" s="91">
        <f t="shared" si="2"/>
        <v>0</v>
      </c>
      <c r="U42" s="91">
        <f t="shared" si="3"/>
        <v>0</v>
      </c>
      <c r="V42" s="92">
        <f t="shared" si="3"/>
        <v>4500</v>
      </c>
      <c r="W42" s="77">
        <v>50</v>
      </c>
      <c r="X42" s="90">
        <v>0</v>
      </c>
      <c r="Y42" s="77">
        <v>0</v>
      </c>
      <c r="Z42" s="77">
        <v>20</v>
      </c>
      <c r="AA42" s="91">
        <f t="shared" si="4"/>
        <v>5000</v>
      </c>
      <c r="AB42" s="91">
        <f t="shared" si="4"/>
        <v>0</v>
      </c>
      <c r="AC42" s="91">
        <f t="shared" si="5"/>
        <v>0</v>
      </c>
      <c r="AD42" s="92">
        <f t="shared" si="5"/>
        <v>6000</v>
      </c>
      <c r="AE42" s="77">
        <v>50</v>
      </c>
      <c r="AF42" s="90">
        <v>0</v>
      </c>
      <c r="AG42" s="77">
        <v>0</v>
      </c>
      <c r="AH42" s="77">
        <v>18</v>
      </c>
      <c r="AI42" s="91">
        <f t="shared" si="6"/>
        <v>5000</v>
      </c>
      <c r="AJ42" s="91">
        <f t="shared" si="6"/>
        <v>0</v>
      </c>
      <c r="AK42" s="91">
        <f t="shared" si="7"/>
        <v>0</v>
      </c>
      <c r="AL42" s="92">
        <f t="shared" si="7"/>
        <v>5400</v>
      </c>
      <c r="AM42" s="77">
        <v>52</v>
      </c>
      <c r="AN42" s="90">
        <v>0</v>
      </c>
      <c r="AO42" s="77">
        <v>0</v>
      </c>
      <c r="AP42" s="77">
        <v>17</v>
      </c>
      <c r="AQ42" s="91">
        <f t="shared" si="18"/>
        <v>5200</v>
      </c>
      <c r="AR42" s="91">
        <f t="shared" si="18"/>
        <v>0</v>
      </c>
      <c r="AS42" s="91">
        <f t="shared" si="19"/>
        <v>0</v>
      </c>
      <c r="AT42" s="92">
        <f t="shared" si="19"/>
        <v>5100</v>
      </c>
      <c r="AU42" s="12">
        <v>52</v>
      </c>
      <c r="AV42" s="6">
        <v>0</v>
      </c>
      <c r="AW42" s="12">
        <v>0</v>
      </c>
      <c r="AX42" s="12">
        <v>20</v>
      </c>
      <c r="AY42" s="17">
        <f t="shared" si="10"/>
        <v>5200</v>
      </c>
      <c r="AZ42" s="17">
        <f t="shared" si="10"/>
        <v>0</v>
      </c>
      <c r="BA42" s="17">
        <f t="shared" si="11"/>
        <v>0</v>
      </c>
      <c r="BB42" s="25">
        <f t="shared" si="11"/>
        <v>6000</v>
      </c>
      <c r="BC42" s="12">
        <v>52</v>
      </c>
      <c r="BD42" s="6">
        <v>0</v>
      </c>
      <c r="BE42" s="12">
        <v>0</v>
      </c>
      <c r="BF42" s="12">
        <v>20</v>
      </c>
      <c r="BG42" s="17">
        <f t="shared" si="12"/>
        <v>5200</v>
      </c>
      <c r="BH42" s="17">
        <f t="shared" si="12"/>
        <v>0</v>
      </c>
      <c r="BI42" s="17">
        <f t="shared" si="13"/>
        <v>0</v>
      </c>
      <c r="BJ42" s="25">
        <f t="shared" si="13"/>
        <v>6000</v>
      </c>
      <c r="BK42" s="12">
        <v>52</v>
      </c>
      <c r="BL42" s="6">
        <v>0</v>
      </c>
      <c r="BM42" s="12">
        <v>0</v>
      </c>
      <c r="BN42" s="12">
        <v>20</v>
      </c>
      <c r="BO42" s="17">
        <f t="shared" si="14"/>
        <v>5200</v>
      </c>
      <c r="BP42" s="17">
        <f t="shared" si="14"/>
        <v>0</v>
      </c>
      <c r="BQ42" s="17">
        <f t="shared" si="15"/>
        <v>0</v>
      </c>
      <c r="BR42" s="25">
        <f t="shared" si="15"/>
        <v>6000</v>
      </c>
      <c r="BS42" s="12">
        <v>52</v>
      </c>
      <c r="BT42" s="6">
        <v>0</v>
      </c>
      <c r="BU42" s="12">
        <v>0</v>
      </c>
      <c r="BV42" s="12">
        <v>20</v>
      </c>
      <c r="BW42" s="17">
        <f t="shared" si="16"/>
        <v>5200</v>
      </c>
      <c r="BX42" s="17">
        <f t="shared" si="16"/>
        <v>0</v>
      </c>
      <c r="BY42" s="17">
        <f t="shared" si="17"/>
        <v>0</v>
      </c>
      <c r="BZ42" s="25">
        <f t="shared" si="17"/>
        <v>6000</v>
      </c>
      <c r="CA42" s="81"/>
      <c r="CB42" s="75"/>
      <c r="CC42" s="81"/>
      <c r="CD42" s="81"/>
      <c r="CE42" s="93"/>
      <c r="CF42" s="93"/>
      <c r="CG42" s="93"/>
      <c r="CH42" s="94"/>
      <c r="CI42" s="81"/>
      <c r="CJ42" s="75"/>
      <c r="CK42" s="81"/>
      <c r="CL42" s="81"/>
      <c r="CM42" s="93"/>
      <c r="CN42" s="93"/>
      <c r="CO42" s="93"/>
      <c r="CP42" s="94"/>
      <c r="CQ42" s="81"/>
      <c r="CR42" s="75"/>
      <c r="CS42" s="81"/>
      <c r="CT42" s="81"/>
      <c r="CU42" s="93"/>
      <c r="CV42" s="93"/>
      <c r="CW42" s="93"/>
      <c r="CX42" s="94"/>
      <c r="CY42" s="81"/>
      <c r="CZ42" s="75"/>
      <c r="DA42" s="81"/>
      <c r="DB42" s="81"/>
      <c r="DC42" s="93"/>
      <c r="DD42" s="93"/>
      <c r="DE42" s="93"/>
      <c r="DF42" s="94"/>
      <c r="DG42" s="81"/>
      <c r="DH42" s="75"/>
      <c r="DI42" s="81"/>
      <c r="DJ42" s="81"/>
      <c r="DK42" s="93"/>
      <c r="DL42" s="93"/>
      <c r="DM42" s="93"/>
      <c r="DN42" s="94"/>
      <c r="DO42" s="95"/>
      <c r="DP42" s="96"/>
      <c r="DQ42" s="95"/>
      <c r="DR42" s="97"/>
      <c r="DS42" s="98"/>
      <c r="DT42" s="99"/>
      <c r="DU42" s="99"/>
      <c r="DV42" s="100"/>
      <c r="DW42" s="95"/>
      <c r="DX42" s="96"/>
      <c r="DY42" s="95"/>
      <c r="DZ42" s="97"/>
      <c r="EA42" s="98"/>
      <c r="EB42" s="99"/>
      <c r="EC42" s="99"/>
      <c r="ED42" s="100"/>
      <c r="EE42" s="95"/>
      <c r="EF42" s="96"/>
      <c r="EG42" s="95"/>
      <c r="EH42" s="97"/>
      <c r="EI42" s="98"/>
      <c r="EJ42" s="99"/>
      <c r="EK42" s="99"/>
      <c r="EL42" s="100"/>
    </row>
    <row r="43" spans="1:142">
      <c r="A43" s="75">
        <v>40</v>
      </c>
      <c r="B43" s="75" t="s">
        <v>64</v>
      </c>
      <c r="F43" s="76"/>
      <c r="G43" s="77">
        <v>32</v>
      </c>
      <c r="H43" s="90">
        <v>35</v>
      </c>
      <c r="I43" s="77">
        <v>0</v>
      </c>
      <c r="J43" s="77">
        <v>15</v>
      </c>
      <c r="K43" s="91">
        <f t="shared" si="0"/>
        <v>3200</v>
      </c>
      <c r="L43" s="91">
        <f>H43*100</f>
        <v>3500</v>
      </c>
      <c r="M43" s="91">
        <f t="shared" si="1"/>
        <v>0</v>
      </c>
      <c r="N43" s="92">
        <f t="shared" si="1"/>
        <v>4500</v>
      </c>
      <c r="O43" s="77">
        <v>35</v>
      </c>
      <c r="P43" s="90">
        <v>35</v>
      </c>
      <c r="Q43" s="77">
        <v>0</v>
      </c>
      <c r="R43" s="77">
        <v>15</v>
      </c>
      <c r="S43" s="91">
        <f t="shared" si="2"/>
        <v>3500</v>
      </c>
      <c r="T43" s="91">
        <f>P43*100</f>
        <v>3500</v>
      </c>
      <c r="U43" s="91">
        <f t="shared" si="3"/>
        <v>0</v>
      </c>
      <c r="V43" s="92">
        <f t="shared" si="3"/>
        <v>4500</v>
      </c>
      <c r="W43" s="77">
        <v>35</v>
      </c>
      <c r="X43" s="90">
        <v>40</v>
      </c>
      <c r="Y43" s="77">
        <v>0</v>
      </c>
      <c r="Z43" s="77">
        <v>15</v>
      </c>
      <c r="AA43" s="91">
        <f t="shared" si="4"/>
        <v>3500</v>
      </c>
      <c r="AB43" s="91">
        <f>X43*100</f>
        <v>4000</v>
      </c>
      <c r="AC43" s="91">
        <f t="shared" si="5"/>
        <v>0</v>
      </c>
      <c r="AD43" s="92">
        <f t="shared" si="5"/>
        <v>4500</v>
      </c>
      <c r="AE43" s="77">
        <v>36</v>
      </c>
      <c r="AF43" s="90">
        <v>40</v>
      </c>
      <c r="AG43" s="77">
        <v>0</v>
      </c>
      <c r="AH43" s="77">
        <v>16</v>
      </c>
      <c r="AI43" s="91">
        <f t="shared" si="6"/>
        <v>3600</v>
      </c>
      <c r="AJ43" s="91">
        <f>AF43*100</f>
        <v>4000</v>
      </c>
      <c r="AK43" s="91">
        <f t="shared" si="7"/>
        <v>0</v>
      </c>
      <c r="AL43" s="92">
        <f t="shared" si="7"/>
        <v>4800</v>
      </c>
      <c r="AM43" s="77">
        <v>40</v>
      </c>
      <c r="AN43" s="90">
        <v>60</v>
      </c>
      <c r="AO43" s="77">
        <v>0</v>
      </c>
      <c r="AP43" s="77">
        <v>0</v>
      </c>
      <c r="AQ43" s="91">
        <f t="shared" si="18"/>
        <v>4000</v>
      </c>
      <c r="AR43" s="91">
        <f>AN43*100</f>
        <v>6000</v>
      </c>
      <c r="AS43" s="91">
        <f t="shared" si="19"/>
        <v>0</v>
      </c>
      <c r="AT43" s="92">
        <f t="shared" si="19"/>
        <v>0</v>
      </c>
      <c r="AU43" s="12">
        <v>60</v>
      </c>
      <c r="AV43" s="6">
        <v>48</v>
      </c>
      <c r="AW43" s="12">
        <v>0</v>
      </c>
      <c r="AX43" s="12">
        <v>10</v>
      </c>
      <c r="AY43" s="17">
        <f t="shared" si="10"/>
        <v>6000</v>
      </c>
      <c r="AZ43" s="17">
        <f t="shared" si="10"/>
        <v>4800</v>
      </c>
      <c r="BA43" s="17">
        <f t="shared" si="11"/>
        <v>0</v>
      </c>
      <c r="BB43" s="25">
        <f t="shared" si="11"/>
        <v>3000</v>
      </c>
      <c r="BC43" s="12">
        <v>64</v>
      </c>
      <c r="BD43" s="6">
        <v>48</v>
      </c>
      <c r="BE43" s="12">
        <v>0</v>
      </c>
      <c r="BF43" s="12">
        <v>5</v>
      </c>
      <c r="BG43" s="17">
        <f t="shared" si="12"/>
        <v>6400</v>
      </c>
      <c r="BH43" s="17">
        <f t="shared" si="12"/>
        <v>4800</v>
      </c>
      <c r="BI43" s="17">
        <f t="shared" si="13"/>
        <v>0</v>
      </c>
      <c r="BJ43" s="25">
        <f t="shared" si="13"/>
        <v>1500</v>
      </c>
      <c r="BK43" s="12">
        <v>54</v>
      </c>
      <c r="BL43" s="6">
        <v>50</v>
      </c>
      <c r="BM43" s="12">
        <v>0</v>
      </c>
      <c r="BN43" s="12">
        <v>10</v>
      </c>
      <c r="BO43" s="17">
        <f t="shared" si="14"/>
        <v>5400</v>
      </c>
      <c r="BP43" s="17">
        <f t="shared" si="14"/>
        <v>5000</v>
      </c>
      <c r="BQ43" s="17">
        <f t="shared" si="15"/>
        <v>0</v>
      </c>
      <c r="BR43" s="25">
        <f t="shared" si="15"/>
        <v>3000</v>
      </c>
      <c r="BS43" s="12">
        <v>40</v>
      </c>
      <c r="BT43" s="6">
        <v>55</v>
      </c>
      <c r="BU43" s="12">
        <v>0</v>
      </c>
      <c r="BV43" s="12">
        <v>12</v>
      </c>
      <c r="BW43" s="17">
        <f t="shared" si="16"/>
        <v>4000</v>
      </c>
      <c r="BX43" s="17">
        <f t="shared" si="16"/>
        <v>5500</v>
      </c>
      <c r="BY43" s="17">
        <f t="shared" si="17"/>
        <v>0</v>
      </c>
      <c r="BZ43" s="25">
        <f t="shared" si="17"/>
        <v>3600</v>
      </c>
      <c r="CA43" s="81"/>
      <c r="CB43" s="75"/>
      <c r="CC43" s="81"/>
      <c r="CD43" s="81"/>
      <c r="CE43" s="93"/>
      <c r="CF43" s="93"/>
      <c r="CG43" s="93"/>
      <c r="CH43" s="94"/>
      <c r="CI43" s="81"/>
      <c r="CJ43" s="75"/>
      <c r="CK43" s="81"/>
      <c r="CL43" s="81"/>
      <c r="CM43" s="93"/>
      <c r="CN43" s="93"/>
      <c r="CO43" s="93"/>
      <c r="CP43" s="94"/>
      <c r="CQ43" s="81"/>
      <c r="CR43" s="75"/>
      <c r="CS43" s="81"/>
      <c r="CT43" s="81"/>
      <c r="CU43" s="93"/>
      <c r="CV43" s="93"/>
      <c r="CW43" s="93"/>
      <c r="CX43" s="94"/>
      <c r="CY43" s="81"/>
      <c r="CZ43" s="75"/>
      <c r="DA43" s="81"/>
      <c r="DB43" s="81"/>
      <c r="DC43" s="93"/>
      <c r="DD43" s="93"/>
      <c r="DE43" s="93"/>
      <c r="DF43" s="94"/>
      <c r="DG43" s="81"/>
      <c r="DH43" s="75"/>
      <c r="DI43" s="81"/>
      <c r="DJ43" s="81"/>
      <c r="DK43" s="93"/>
      <c r="DL43" s="93"/>
      <c r="DM43" s="93"/>
      <c r="DN43" s="94"/>
      <c r="DO43" s="95"/>
      <c r="DP43" s="96"/>
      <c r="DQ43" s="95"/>
      <c r="DR43" s="97"/>
      <c r="DS43" s="98"/>
      <c r="DT43" s="99"/>
      <c r="DU43" s="99"/>
      <c r="DV43" s="100"/>
      <c r="DW43" s="95"/>
      <c r="DX43" s="96"/>
      <c r="DY43" s="95"/>
      <c r="DZ43" s="97"/>
      <c r="EA43" s="98"/>
      <c r="EB43" s="99"/>
      <c r="EC43" s="99"/>
      <c r="ED43" s="100"/>
      <c r="EE43" s="95"/>
      <c r="EF43" s="96"/>
      <c r="EG43" s="95"/>
      <c r="EH43" s="97"/>
      <c r="EI43" s="98"/>
      <c r="EJ43" s="99"/>
      <c r="EK43" s="99"/>
      <c r="EL43" s="100"/>
    </row>
    <row r="44" spans="1:142">
      <c r="A44" s="75">
        <v>41</v>
      </c>
      <c r="B44" s="75" t="s">
        <v>66</v>
      </c>
      <c r="F44" s="76"/>
      <c r="G44" s="77">
        <v>32</v>
      </c>
      <c r="H44" s="90">
        <v>0</v>
      </c>
      <c r="I44" s="77">
        <v>0</v>
      </c>
      <c r="J44" s="77">
        <v>12</v>
      </c>
      <c r="K44" s="91">
        <f t="shared" si="0"/>
        <v>3200</v>
      </c>
      <c r="L44" s="91">
        <f>H44*100</f>
        <v>0</v>
      </c>
      <c r="M44" s="91">
        <f t="shared" si="1"/>
        <v>0</v>
      </c>
      <c r="N44" s="92">
        <f t="shared" si="1"/>
        <v>3600</v>
      </c>
      <c r="O44" s="77">
        <v>47</v>
      </c>
      <c r="P44" s="90">
        <v>0</v>
      </c>
      <c r="Q44" s="77">
        <v>0</v>
      </c>
      <c r="R44" s="77">
        <v>20</v>
      </c>
      <c r="S44" s="91">
        <f t="shared" si="2"/>
        <v>4700</v>
      </c>
      <c r="T44" s="91">
        <f>P44*100</f>
        <v>0</v>
      </c>
      <c r="U44" s="91">
        <f t="shared" si="3"/>
        <v>0</v>
      </c>
      <c r="V44" s="92">
        <f t="shared" si="3"/>
        <v>6000</v>
      </c>
      <c r="W44" s="77">
        <v>44</v>
      </c>
      <c r="X44" s="90">
        <v>0</v>
      </c>
      <c r="Y44" s="77">
        <v>0</v>
      </c>
      <c r="Z44" s="77">
        <v>20</v>
      </c>
      <c r="AA44" s="91">
        <f t="shared" si="4"/>
        <v>4400</v>
      </c>
      <c r="AB44" s="91">
        <f>X44*100</f>
        <v>0</v>
      </c>
      <c r="AC44" s="91">
        <f t="shared" si="5"/>
        <v>0</v>
      </c>
      <c r="AD44" s="92">
        <f t="shared" si="5"/>
        <v>6000</v>
      </c>
      <c r="AE44" s="77">
        <v>44</v>
      </c>
      <c r="AF44" s="90">
        <v>0</v>
      </c>
      <c r="AG44" s="77">
        <v>0</v>
      </c>
      <c r="AH44" s="77">
        <v>20</v>
      </c>
      <c r="AI44" s="91">
        <f t="shared" si="6"/>
        <v>4400</v>
      </c>
      <c r="AJ44" s="91">
        <f>AF44*100</f>
        <v>0</v>
      </c>
      <c r="AK44" s="91">
        <f t="shared" si="7"/>
        <v>0</v>
      </c>
      <c r="AL44" s="92">
        <f t="shared" si="7"/>
        <v>6000</v>
      </c>
      <c r="AM44" s="77">
        <v>40</v>
      </c>
      <c r="AN44" s="90">
        <v>0</v>
      </c>
      <c r="AO44" s="77">
        <v>0</v>
      </c>
      <c r="AP44" s="77">
        <v>10</v>
      </c>
      <c r="AQ44" s="91">
        <f t="shared" si="18"/>
        <v>4000</v>
      </c>
      <c r="AR44" s="91">
        <f>AN44*100</f>
        <v>0</v>
      </c>
      <c r="AS44" s="91">
        <f t="shared" si="19"/>
        <v>0</v>
      </c>
      <c r="AT44" s="92">
        <f t="shared" si="19"/>
        <v>3000</v>
      </c>
      <c r="AU44" s="12">
        <v>45</v>
      </c>
      <c r="AV44" s="6">
        <v>0</v>
      </c>
      <c r="AW44" s="12">
        <v>0</v>
      </c>
      <c r="AX44" s="12">
        <v>14</v>
      </c>
      <c r="AY44" s="17">
        <f t="shared" si="10"/>
        <v>4500</v>
      </c>
      <c r="AZ44" s="17">
        <f t="shared" si="10"/>
        <v>0</v>
      </c>
      <c r="BA44" s="17">
        <f t="shared" si="11"/>
        <v>0</v>
      </c>
      <c r="BB44" s="25">
        <f t="shared" si="11"/>
        <v>4200</v>
      </c>
      <c r="BC44" s="12">
        <v>45</v>
      </c>
      <c r="BD44" s="6">
        <v>0</v>
      </c>
      <c r="BE44" s="12">
        <v>0</v>
      </c>
      <c r="BF44" s="12">
        <v>18</v>
      </c>
      <c r="BG44" s="17">
        <f t="shared" si="12"/>
        <v>4500</v>
      </c>
      <c r="BH44" s="17">
        <f t="shared" si="12"/>
        <v>0</v>
      </c>
      <c r="BI44" s="17">
        <f t="shared" si="13"/>
        <v>0</v>
      </c>
      <c r="BJ44" s="25">
        <f t="shared" si="13"/>
        <v>5400</v>
      </c>
      <c r="BK44" s="12">
        <v>55</v>
      </c>
      <c r="BL44" s="6">
        <v>0</v>
      </c>
      <c r="BM44" s="12">
        <v>0</v>
      </c>
      <c r="BN44" s="12">
        <v>18</v>
      </c>
      <c r="BO44" s="17">
        <f t="shared" si="14"/>
        <v>5500</v>
      </c>
      <c r="BP44" s="17">
        <f t="shared" si="14"/>
        <v>0</v>
      </c>
      <c r="BQ44" s="17">
        <f t="shared" si="15"/>
        <v>0</v>
      </c>
      <c r="BR44" s="25">
        <f t="shared" si="15"/>
        <v>5400</v>
      </c>
      <c r="BS44" s="12">
        <v>55</v>
      </c>
      <c r="BT44" s="6">
        <v>0</v>
      </c>
      <c r="BU44" s="12">
        <v>0</v>
      </c>
      <c r="BV44" s="12">
        <v>18</v>
      </c>
      <c r="BW44" s="17">
        <f t="shared" si="16"/>
        <v>5500</v>
      </c>
      <c r="BX44" s="17">
        <f t="shared" si="16"/>
        <v>0</v>
      </c>
      <c r="BY44" s="17">
        <f t="shared" si="17"/>
        <v>0</v>
      </c>
      <c r="BZ44" s="25">
        <f t="shared" si="17"/>
        <v>5400</v>
      </c>
      <c r="CA44" s="81"/>
      <c r="CB44" s="75"/>
      <c r="CC44" s="81"/>
      <c r="CD44" s="81"/>
      <c r="CE44" s="93"/>
      <c r="CF44" s="93"/>
      <c r="CG44" s="93"/>
      <c r="CH44" s="94"/>
      <c r="CI44" s="81"/>
      <c r="CJ44" s="75"/>
      <c r="CK44" s="81"/>
      <c r="CL44" s="81"/>
      <c r="CM44" s="93"/>
      <c r="CN44" s="93"/>
      <c r="CO44" s="93"/>
      <c r="CP44" s="94"/>
      <c r="CQ44" s="81"/>
      <c r="CR44" s="75"/>
      <c r="CS44" s="81"/>
      <c r="CT44" s="81"/>
      <c r="CU44" s="93"/>
      <c r="CV44" s="93"/>
      <c r="CW44" s="93"/>
      <c r="CX44" s="94"/>
      <c r="CY44" s="81"/>
      <c r="CZ44" s="75"/>
      <c r="DA44" s="81"/>
      <c r="DB44" s="81"/>
      <c r="DC44" s="93"/>
      <c r="DD44" s="93"/>
      <c r="DE44" s="93"/>
      <c r="DF44" s="94"/>
      <c r="DG44" s="81"/>
      <c r="DH44" s="75"/>
      <c r="DI44" s="81"/>
      <c r="DJ44" s="81"/>
      <c r="DK44" s="93"/>
      <c r="DL44" s="93"/>
      <c r="DM44" s="93"/>
      <c r="DN44" s="94"/>
      <c r="DO44" s="95"/>
      <c r="DP44" s="96"/>
      <c r="DQ44" s="95"/>
      <c r="DR44" s="97"/>
      <c r="DS44" s="98"/>
      <c r="DT44" s="99"/>
      <c r="DU44" s="99"/>
      <c r="DV44" s="100"/>
      <c r="DW44" s="95"/>
      <c r="DX44" s="96"/>
      <c r="DY44" s="95"/>
      <c r="DZ44" s="97"/>
      <c r="EA44" s="98"/>
      <c r="EB44" s="99"/>
      <c r="EC44" s="99"/>
      <c r="ED44" s="100"/>
      <c r="EE44" s="95"/>
      <c r="EF44" s="96"/>
      <c r="EG44" s="95"/>
      <c r="EH44" s="97"/>
      <c r="EI44" s="98"/>
      <c r="EJ44" s="99"/>
      <c r="EK44" s="99"/>
      <c r="EL44" s="100"/>
    </row>
    <row r="45" spans="1:142">
      <c r="A45" s="75">
        <v>42</v>
      </c>
      <c r="B45" s="75" t="s">
        <v>67</v>
      </c>
      <c r="F45" s="76"/>
      <c r="G45" s="77">
        <v>45</v>
      </c>
      <c r="H45" s="90">
        <v>0</v>
      </c>
      <c r="I45" s="77">
        <v>0</v>
      </c>
      <c r="J45" s="77">
        <v>20</v>
      </c>
      <c r="K45" s="91">
        <f t="shared" si="0"/>
        <v>4500</v>
      </c>
      <c r="L45" s="91">
        <f t="shared" si="0"/>
        <v>0</v>
      </c>
      <c r="M45" s="91">
        <f t="shared" si="1"/>
        <v>0</v>
      </c>
      <c r="N45" s="92">
        <f t="shared" si="1"/>
        <v>6000</v>
      </c>
      <c r="O45" s="77">
        <v>30</v>
      </c>
      <c r="P45" s="90">
        <v>0</v>
      </c>
      <c r="Q45" s="77">
        <v>0</v>
      </c>
      <c r="R45" s="77">
        <v>20</v>
      </c>
      <c r="S45" s="91">
        <f t="shared" si="2"/>
        <v>3000</v>
      </c>
      <c r="T45" s="91">
        <f t="shared" si="2"/>
        <v>0</v>
      </c>
      <c r="U45" s="91">
        <f t="shared" si="3"/>
        <v>0</v>
      </c>
      <c r="V45" s="92">
        <f t="shared" si="3"/>
        <v>6000</v>
      </c>
      <c r="W45" s="77">
        <v>30</v>
      </c>
      <c r="X45" s="90">
        <v>0</v>
      </c>
      <c r="Y45" s="77">
        <v>0</v>
      </c>
      <c r="Z45" s="77">
        <v>20</v>
      </c>
      <c r="AA45" s="91">
        <f t="shared" si="4"/>
        <v>3000</v>
      </c>
      <c r="AB45" s="91">
        <f t="shared" si="4"/>
        <v>0</v>
      </c>
      <c r="AC45" s="91">
        <f t="shared" si="5"/>
        <v>0</v>
      </c>
      <c r="AD45" s="92">
        <f t="shared" si="5"/>
        <v>6000</v>
      </c>
      <c r="AE45" s="77">
        <v>30</v>
      </c>
      <c r="AF45" s="90">
        <v>0</v>
      </c>
      <c r="AG45" s="77">
        <v>0</v>
      </c>
      <c r="AH45" s="77">
        <v>20</v>
      </c>
      <c r="AI45" s="91">
        <f t="shared" si="6"/>
        <v>3000</v>
      </c>
      <c r="AJ45" s="91">
        <f t="shared" si="6"/>
        <v>0</v>
      </c>
      <c r="AK45" s="91">
        <f t="shared" si="7"/>
        <v>0</v>
      </c>
      <c r="AL45" s="92">
        <f t="shared" si="7"/>
        <v>6000</v>
      </c>
      <c r="AM45" s="77">
        <v>45</v>
      </c>
      <c r="AN45" s="90">
        <v>0</v>
      </c>
      <c r="AO45" s="77">
        <v>0</v>
      </c>
      <c r="AP45" s="77">
        <v>20</v>
      </c>
      <c r="AQ45" s="91">
        <f t="shared" si="18"/>
        <v>4500</v>
      </c>
      <c r="AR45" s="91">
        <f t="shared" si="18"/>
        <v>0</v>
      </c>
      <c r="AS45" s="91">
        <f t="shared" si="19"/>
        <v>0</v>
      </c>
      <c r="AT45" s="92">
        <f t="shared" si="19"/>
        <v>6000</v>
      </c>
      <c r="AU45" s="12">
        <v>45</v>
      </c>
      <c r="AV45" s="6">
        <v>0</v>
      </c>
      <c r="AW45" s="12">
        <v>0</v>
      </c>
      <c r="AX45" s="12">
        <v>20</v>
      </c>
      <c r="AY45" s="17">
        <f t="shared" si="10"/>
        <v>4500</v>
      </c>
      <c r="AZ45" s="17">
        <f t="shared" si="10"/>
        <v>0</v>
      </c>
      <c r="BA45" s="17">
        <f t="shared" si="11"/>
        <v>0</v>
      </c>
      <c r="BB45" s="25">
        <f t="shared" si="11"/>
        <v>6000</v>
      </c>
      <c r="BC45" s="12">
        <v>48</v>
      </c>
      <c r="BD45" s="6">
        <v>0</v>
      </c>
      <c r="BE45" s="12">
        <v>0</v>
      </c>
      <c r="BF45" s="12">
        <v>20</v>
      </c>
      <c r="BG45" s="17">
        <f t="shared" si="12"/>
        <v>4800</v>
      </c>
      <c r="BH45" s="17">
        <f t="shared" si="12"/>
        <v>0</v>
      </c>
      <c r="BI45" s="17">
        <f t="shared" si="13"/>
        <v>0</v>
      </c>
      <c r="BJ45" s="25">
        <f t="shared" si="13"/>
        <v>6000</v>
      </c>
      <c r="BK45" s="12">
        <v>52</v>
      </c>
      <c r="BL45" s="6">
        <v>0</v>
      </c>
      <c r="BM45" s="12">
        <v>0</v>
      </c>
      <c r="BN45" s="12">
        <v>20</v>
      </c>
      <c r="BO45" s="17">
        <f t="shared" si="14"/>
        <v>5200</v>
      </c>
      <c r="BP45" s="17">
        <f t="shared" si="14"/>
        <v>0</v>
      </c>
      <c r="BQ45" s="17">
        <f t="shared" si="15"/>
        <v>0</v>
      </c>
      <c r="BR45" s="25">
        <f t="shared" si="15"/>
        <v>6000</v>
      </c>
      <c r="BS45" s="12">
        <v>56</v>
      </c>
      <c r="BT45" s="6">
        <v>0</v>
      </c>
      <c r="BU45" s="12">
        <v>0</v>
      </c>
      <c r="BV45" s="12">
        <v>20</v>
      </c>
      <c r="BW45" s="17">
        <f t="shared" si="16"/>
        <v>5600</v>
      </c>
      <c r="BX45" s="17">
        <f t="shared" si="16"/>
        <v>0</v>
      </c>
      <c r="BY45" s="17">
        <f t="shared" si="17"/>
        <v>0</v>
      </c>
      <c r="BZ45" s="25">
        <f t="shared" si="17"/>
        <v>6000</v>
      </c>
      <c r="CA45" s="81"/>
      <c r="CB45" s="75"/>
      <c r="CC45" s="81"/>
      <c r="CD45" s="81"/>
      <c r="CE45" s="93"/>
      <c r="CF45" s="93"/>
      <c r="CG45" s="93"/>
      <c r="CH45" s="94"/>
      <c r="CI45" s="81"/>
      <c r="CJ45" s="75"/>
      <c r="CK45" s="81"/>
      <c r="CL45" s="81"/>
      <c r="CM45" s="93"/>
      <c r="CN45" s="93"/>
      <c r="CO45" s="93"/>
      <c r="CP45" s="94"/>
      <c r="CQ45" s="81"/>
      <c r="CR45" s="75"/>
      <c r="CS45" s="81"/>
      <c r="CT45" s="81"/>
      <c r="CU45" s="93"/>
      <c r="CV45" s="93"/>
      <c r="CW45" s="93"/>
      <c r="CX45" s="94"/>
      <c r="CY45" s="81"/>
      <c r="CZ45" s="75"/>
      <c r="DA45" s="81"/>
      <c r="DB45" s="81"/>
      <c r="DC45" s="93"/>
      <c r="DD45" s="93"/>
      <c r="DE45" s="93"/>
      <c r="DF45" s="94"/>
      <c r="DG45" s="81"/>
      <c r="DH45" s="75"/>
      <c r="DI45" s="81"/>
      <c r="DJ45" s="81"/>
      <c r="DK45" s="93"/>
      <c r="DL45" s="93"/>
      <c r="DM45" s="93"/>
      <c r="DN45" s="94"/>
      <c r="DO45" s="95"/>
      <c r="DP45" s="96"/>
      <c r="DQ45" s="95"/>
      <c r="DR45" s="97"/>
      <c r="DS45" s="98"/>
      <c r="DT45" s="99"/>
      <c r="DU45" s="99"/>
      <c r="DV45" s="100"/>
      <c r="DW45" s="95"/>
      <c r="DX45" s="96"/>
      <c r="DY45" s="95"/>
      <c r="DZ45" s="97"/>
      <c r="EA45" s="98"/>
      <c r="EB45" s="99"/>
      <c r="EC45" s="99"/>
      <c r="ED45" s="100"/>
      <c r="EE45" s="95"/>
      <c r="EF45" s="96"/>
      <c r="EG45" s="95"/>
      <c r="EH45" s="97"/>
      <c r="EI45" s="98"/>
      <c r="EJ45" s="99"/>
      <c r="EK45" s="99"/>
      <c r="EL45" s="100"/>
    </row>
    <row r="46" spans="1:142">
      <c r="A46" s="75">
        <v>43</v>
      </c>
      <c r="B46" s="75" t="s">
        <v>68</v>
      </c>
      <c r="F46" s="76"/>
      <c r="G46" s="77">
        <v>32</v>
      </c>
      <c r="H46" s="90">
        <v>0</v>
      </c>
      <c r="I46" s="77">
        <v>0</v>
      </c>
      <c r="J46" s="77">
        <v>20</v>
      </c>
      <c r="K46" s="91">
        <f t="shared" si="0"/>
        <v>3200</v>
      </c>
      <c r="L46" s="91">
        <f t="shared" si="0"/>
        <v>0</v>
      </c>
      <c r="M46" s="91">
        <f t="shared" si="1"/>
        <v>0</v>
      </c>
      <c r="N46" s="92">
        <f t="shared" si="1"/>
        <v>6000</v>
      </c>
      <c r="O46" s="77">
        <v>25</v>
      </c>
      <c r="P46" s="90">
        <v>0</v>
      </c>
      <c r="Q46" s="77">
        <v>0</v>
      </c>
      <c r="R46" s="77">
        <v>20</v>
      </c>
      <c r="S46" s="91">
        <f t="shared" si="2"/>
        <v>2500</v>
      </c>
      <c r="T46" s="91">
        <f t="shared" si="2"/>
        <v>0</v>
      </c>
      <c r="U46" s="91">
        <f t="shared" si="3"/>
        <v>0</v>
      </c>
      <c r="V46" s="92">
        <f t="shared" si="3"/>
        <v>6000</v>
      </c>
      <c r="W46" s="77">
        <v>45</v>
      </c>
      <c r="X46" s="90">
        <v>0</v>
      </c>
      <c r="Y46" s="77">
        <v>0</v>
      </c>
      <c r="Z46" s="77">
        <v>15</v>
      </c>
      <c r="AA46" s="91">
        <f t="shared" si="4"/>
        <v>4500</v>
      </c>
      <c r="AB46" s="91">
        <f t="shared" si="4"/>
        <v>0</v>
      </c>
      <c r="AC46" s="91">
        <f t="shared" si="5"/>
        <v>0</v>
      </c>
      <c r="AD46" s="92">
        <f t="shared" si="5"/>
        <v>4500</v>
      </c>
      <c r="AE46" s="77">
        <v>43</v>
      </c>
      <c r="AF46" s="90">
        <v>0</v>
      </c>
      <c r="AG46" s="77">
        <v>0</v>
      </c>
      <c r="AH46" s="77">
        <v>12</v>
      </c>
      <c r="AI46" s="91">
        <f t="shared" si="6"/>
        <v>4300</v>
      </c>
      <c r="AJ46" s="91">
        <f t="shared" si="6"/>
        <v>0</v>
      </c>
      <c r="AK46" s="91">
        <f t="shared" si="7"/>
        <v>0</v>
      </c>
      <c r="AL46" s="92">
        <f t="shared" si="7"/>
        <v>3600</v>
      </c>
      <c r="AM46" s="77">
        <v>38</v>
      </c>
      <c r="AN46" s="90">
        <v>0</v>
      </c>
      <c r="AO46" s="77">
        <v>0</v>
      </c>
      <c r="AP46" s="77">
        <v>15</v>
      </c>
      <c r="AQ46" s="91">
        <f t="shared" si="18"/>
        <v>3800</v>
      </c>
      <c r="AR46" s="91">
        <f t="shared" si="18"/>
        <v>0</v>
      </c>
      <c r="AS46" s="91">
        <f t="shared" si="19"/>
        <v>0</v>
      </c>
      <c r="AT46" s="92">
        <f t="shared" si="19"/>
        <v>4500</v>
      </c>
      <c r="AU46" s="12">
        <v>49</v>
      </c>
      <c r="AV46" s="6">
        <v>0</v>
      </c>
      <c r="AW46" s="12">
        <v>0</v>
      </c>
      <c r="AX46" s="12">
        <v>15</v>
      </c>
      <c r="AY46" s="17">
        <f t="shared" si="10"/>
        <v>4900</v>
      </c>
      <c r="AZ46" s="17">
        <f t="shared" si="10"/>
        <v>0</v>
      </c>
      <c r="BA46" s="17">
        <f t="shared" si="11"/>
        <v>0</v>
      </c>
      <c r="BB46" s="25">
        <f t="shared" si="11"/>
        <v>4500</v>
      </c>
      <c r="BC46" s="12">
        <v>50</v>
      </c>
      <c r="BD46" s="6">
        <v>0</v>
      </c>
      <c r="BE46" s="12">
        <v>0</v>
      </c>
      <c r="BF46" s="12">
        <v>15</v>
      </c>
      <c r="BG46" s="17">
        <f t="shared" si="12"/>
        <v>5000</v>
      </c>
      <c r="BH46" s="17">
        <f t="shared" si="12"/>
        <v>0</v>
      </c>
      <c r="BI46" s="17">
        <f t="shared" si="13"/>
        <v>0</v>
      </c>
      <c r="BJ46" s="25">
        <f t="shared" si="13"/>
        <v>4500</v>
      </c>
      <c r="BK46" s="12">
        <v>55</v>
      </c>
      <c r="BL46" s="6">
        <v>0</v>
      </c>
      <c r="BM46" s="12">
        <v>0</v>
      </c>
      <c r="BN46" s="12">
        <v>15</v>
      </c>
      <c r="BO46" s="17">
        <f t="shared" si="14"/>
        <v>5500</v>
      </c>
      <c r="BP46" s="17">
        <f t="shared" si="14"/>
        <v>0</v>
      </c>
      <c r="BQ46" s="17">
        <f t="shared" si="15"/>
        <v>0</v>
      </c>
      <c r="BR46" s="25">
        <f t="shared" si="15"/>
        <v>4500</v>
      </c>
      <c r="BS46" s="12">
        <v>55</v>
      </c>
      <c r="BT46" s="6">
        <v>0</v>
      </c>
      <c r="BU46" s="12">
        <v>0</v>
      </c>
      <c r="BV46" s="12">
        <v>15</v>
      </c>
      <c r="BW46" s="17">
        <f t="shared" si="16"/>
        <v>5500</v>
      </c>
      <c r="BX46" s="17">
        <f t="shared" si="16"/>
        <v>0</v>
      </c>
      <c r="BY46" s="17">
        <f t="shared" si="17"/>
        <v>0</v>
      </c>
      <c r="BZ46" s="25">
        <f t="shared" si="17"/>
        <v>4500</v>
      </c>
      <c r="CA46" s="81"/>
      <c r="CB46" s="75"/>
      <c r="CC46" s="81"/>
      <c r="CD46" s="81"/>
      <c r="CE46" s="93"/>
      <c r="CF46" s="93"/>
      <c r="CG46" s="93"/>
      <c r="CH46" s="94"/>
      <c r="CI46" s="81"/>
      <c r="CJ46" s="75"/>
      <c r="CK46" s="81"/>
      <c r="CL46" s="81"/>
      <c r="CM46" s="93"/>
      <c r="CN46" s="93"/>
      <c r="CO46" s="93"/>
      <c r="CP46" s="94"/>
      <c r="CQ46" s="81"/>
      <c r="CR46" s="75"/>
      <c r="CS46" s="81"/>
      <c r="CT46" s="81"/>
      <c r="CU46" s="93"/>
      <c r="CV46" s="93"/>
      <c r="CW46" s="93"/>
      <c r="CX46" s="94"/>
      <c r="CY46" s="81"/>
      <c r="CZ46" s="75"/>
      <c r="DA46" s="81"/>
      <c r="DB46" s="81"/>
      <c r="DC46" s="93"/>
      <c r="DD46" s="93"/>
      <c r="DE46" s="93"/>
      <c r="DF46" s="94"/>
      <c r="DG46" s="81"/>
      <c r="DH46" s="75"/>
      <c r="DI46" s="81"/>
      <c r="DJ46" s="81"/>
      <c r="DK46" s="93"/>
      <c r="DL46" s="93"/>
      <c r="DM46" s="93"/>
      <c r="DN46" s="94"/>
      <c r="DO46" s="95"/>
      <c r="DP46" s="96"/>
      <c r="DQ46" s="95"/>
      <c r="DR46" s="97"/>
      <c r="DS46" s="98"/>
      <c r="DT46" s="99"/>
      <c r="DU46" s="99"/>
      <c r="DV46" s="100"/>
      <c r="DW46" s="95"/>
      <c r="DX46" s="96"/>
      <c r="DY46" s="95"/>
      <c r="DZ46" s="97"/>
      <c r="EA46" s="98"/>
      <c r="EB46" s="99"/>
      <c r="EC46" s="99"/>
      <c r="ED46" s="100"/>
      <c r="EE46" s="95"/>
      <c r="EF46" s="96"/>
      <c r="EG46" s="95"/>
      <c r="EH46" s="97"/>
      <c r="EI46" s="98"/>
      <c r="EJ46" s="99"/>
      <c r="EK46" s="99"/>
      <c r="EL46" s="100"/>
    </row>
    <row r="47" spans="1:142">
      <c r="A47" s="75">
        <v>44</v>
      </c>
      <c r="B47" s="75" t="s">
        <v>69</v>
      </c>
      <c r="F47" s="76"/>
      <c r="G47" s="77">
        <v>20</v>
      </c>
      <c r="H47" s="90">
        <v>0</v>
      </c>
      <c r="I47" s="77">
        <v>0</v>
      </c>
      <c r="J47" s="77">
        <v>15</v>
      </c>
      <c r="K47" s="91">
        <f t="shared" si="0"/>
        <v>2000</v>
      </c>
      <c r="L47" s="91">
        <f t="shared" si="0"/>
        <v>0</v>
      </c>
      <c r="M47" s="91">
        <f t="shared" si="1"/>
        <v>0</v>
      </c>
      <c r="N47" s="92">
        <f t="shared" si="1"/>
        <v>4500</v>
      </c>
      <c r="O47" s="77">
        <v>50</v>
      </c>
      <c r="P47" s="90">
        <v>0</v>
      </c>
      <c r="Q47" s="77">
        <v>0</v>
      </c>
      <c r="R47" s="77">
        <v>15</v>
      </c>
      <c r="S47" s="91">
        <f t="shared" si="2"/>
        <v>5000</v>
      </c>
      <c r="T47" s="91">
        <f t="shared" si="2"/>
        <v>0</v>
      </c>
      <c r="U47" s="91">
        <f t="shared" si="3"/>
        <v>0</v>
      </c>
      <c r="V47" s="92">
        <f t="shared" si="3"/>
        <v>4500</v>
      </c>
      <c r="W47" s="77">
        <v>45</v>
      </c>
      <c r="X47" s="90">
        <v>0</v>
      </c>
      <c r="Y47" s="77">
        <v>0</v>
      </c>
      <c r="Z47" s="77">
        <v>15</v>
      </c>
      <c r="AA47" s="91">
        <f t="shared" si="4"/>
        <v>4500</v>
      </c>
      <c r="AB47" s="91">
        <f t="shared" si="4"/>
        <v>0</v>
      </c>
      <c r="AC47" s="91">
        <f t="shared" si="5"/>
        <v>0</v>
      </c>
      <c r="AD47" s="92">
        <f t="shared" si="5"/>
        <v>4500</v>
      </c>
      <c r="AE47" s="77">
        <v>50</v>
      </c>
      <c r="AF47" s="90">
        <v>0</v>
      </c>
      <c r="AG47" s="77">
        <v>0</v>
      </c>
      <c r="AH47" s="77">
        <v>15</v>
      </c>
      <c r="AI47" s="91">
        <f t="shared" si="6"/>
        <v>5000</v>
      </c>
      <c r="AJ47" s="91">
        <f t="shared" si="6"/>
        <v>0</v>
      </c>
      <c r="AK47" s="91">
        <f t="shared" si="7"/>
        <v>0</v>
      </c>
      <c r="AL47" s="92">
        <f t="shared" si="7"/>
        <v>4500</v>
      </c>
      <c r="AM47" s="77">
        <v>52</v>
      </c>
      <c r="AN47" s="90">
        <v>0</v>
      </c>
      <c r="AO47" s="77">
        <v>0</v>
      </c>
      <c r="AP47" s="77">
        <v>8</v>
      </c>
      <c r="AQ47" s="91">
        <f t="shared" si="18"/>
        <v>5200</v>
      </c>
      <c r="AR47" s="91">
        <f t="shared" si="18"/>
        <v>0</v>
      </c>
      <c r="AS47" s="91">
        <f t="shared" si="19"/>
        <v>0</v>
      </c>
      <c r="AT47" s="92">
        <f t="shared" si="19"/>
        <v>2400</v>
      </c>
      <c r="AU47" s="12">
        <v>52</v>
      </c>
      <c r="AV47" s="6">
        <v>0</v>
      </c>
      <c r="AW47" s="12">
        <v>0</v>
      </c>
      <c r="AX47" s="12">
        <v>10</v>
      </c>
      <c r="AY47" s="17">
        <f t="shared" si="10"/>
        <v>5200</v>
      </c>
      <c r="AZ47" s="17">
        <f t="shared" si="10"/>
        <v>0</v>
      </c>
      <c r="BA47" s="17">
        <f t="shared" si="11"/>
        <v>0</v>
      </c>
      <c r="BB47" s="25">
        <f t="shared" si="11"/>
        <v>3000</v>
      </c>
      <c r="BC47" s="12">
        <v>52</v>
      </c>
      <c r="BD47" s="6">
        <v>0</v>
      </c>
      <c r="BE47" s="12">
        <v>0</v>
      </c>
      <c r="BF47" s="12">
        <v>12</v>
      </c>
      <c r="BG47" s="17">
        <f t="shared" si="12"/>
        <v>5200</v>
      </c>
      <c r="BH47" s="17">
        <f t="shared" si="12"/>
        <v>0</v>
      </c>
      <c r="BI47" s="17">
        <f t="shared" si="13"/>
        <v>0</v>
      </c>
      <c r="BJ47" s="25">
        <f t="shared" si="13"/>
        <v>3600</v>
      </c>
      <c r="BK47" s="12">
        <v>60</v>
      </c>
      <c r="BL47" s="6">
        <v>0</v>
      </c>
      <c r="BM47" s="12">
        <v>0</v>
      </c>
      <c r="BN47" s="12">
        <v>20</v>
      </c>
      <c r="BO47" s="17">
        <f t="shared" si="14"/>
        <v>6000</v>
      </c>
      <c r="BP47" s="17">
        <f t="shared" si="14"/>
        <v>0</v>
      </c>
      <c r="BQ47" s="17">
        <f t="shared" si="15"/>
        <v>0</v>
      </c>
      <c r="BR47" s="25">
        <f t="shared" si="15"/>
        <v>6000</v>
      </c>
      <c r="BS47" s="12">
        <v>60</v>
      </c>
      <c r="BT47" s="6">
        <v>0</v>
      </c>
      <c r="BU47" s="12">
        <v>0</v>
      </c>
      <c r="BV47" s="12">
        <v>20</v>
      </c>
      <c r="BW47" s="17">
        <f t="shared" si="16"/>
        <v>6000</v>
      </c>
      <c r="BX47" s="17">
        <f t="shared" si="16"/>
        <v>0</v>
      </c>
      <c r="BY47" s="17">
        <f t="shared" si="17"/>
        <v>0</v>
      </c>
      <c r="BZ47" s="25">
        <f t="shared" si="17"/>
        <v>6000</v>
      </c>
      <c r="CA47" s="81"/>
      <c r="CB47" s="75"/>
      <c r="CC47" s="81"/>
      <c r="CD47" s="81"/>
      <c r="CE47" s="93"/>
      <c r="CF47" s="93"/>
      <c r="CG47" s="93"/>
      <c r="CH47" s="94"/>
      <c r="CI47" s="81"/>
      <c r="CJ47" s="75"/>
      <c r="CK47" s="81"/>
      <c r="CL47" s="81"/>
      <c r="CM47" s="93"/>
      <c r="CN47" s="93"/>
      <c r="CO47" s="93"/>
      <c r="CP47" s="94"/>
      <c r="CQ47" s="81"/>
      <c r="CR47" s="75"/>
      <c r="CS47" s="81"/>
      <c r="CT47" s="81"/>
      <c r="CU47" s="93"/>
      <c r="CV47" s="93"/>
      <c r="CW47" s="93"/>
      <c r="CX47" s="94"/>
      <c r="CY47" s="81"/>
      <c r="CZ47" s="75"/>
      <c r="DA47" s="81"/>
      <c r="DB47" s="81"/>
      <c r="DC47" s="93"/>
      <c r="DD47" s="93"/>
      <c r="DE47" s="93"/>
      <c r="DF47" s="94"/>
      <c r="DG47" s="81"/>
      <c r="DH47" s="75"/>
      <c r="DI47" s="81"/>
      <c r="DJ47" s="81"/>
      <c r="DK47" s="93"/>
      <c r="DL47" s="93"/>
      <c r="DM47" s="93"/>
      <c r="DN47" s="94"/>
      <c r="DO47" s="95"/>
      <c r="DP47" s="96"/>
      <c r="DQ47" s="95"/>
      <c r="DR47" s="97"/>
      <c r="DS47" s="98"/>
      <c r="DT47" s="99"/>
      <c r="DU47" s="99"/>
      <c r="DV47" s="100"/>
      <c r="DW47" s="95"/>
      <c r="DX47" s="96"/>
      <c r="DY47" s="95"/>
      <c r="DZ47" s="97"/>
      <c r="EA47" s="98"/>
      <c r="EB47" s="99"/>
      <c r="EC47" s="99"/>
      <c r="ED47" s="100"/>
      <c r="EE47" s="95"/>
      <c r="EF47" s="96"/>
      <c r="EG47" s="95"/>
      <c r="EH47" s="97"/>
      <c r="EI47" s="98"/>
      <c r="EJ47" s="99"/>
      <c r="EK47" s="99"/>
      <c r="EL47" s="100"/>
    </row>
    <row r="48" spans="1:142">
      <c r="A48" s="75">
        <v>45</v>
      </c>
      <c r="B48" s="75" t="s">
        <v>70</v>
      </c>
      <c r="F48" s="76"/>
      <c r="G48" s="77">
        <v>45</v>
      </c>
      <c r="H48" s="90">
        <v>0</v>
      </c>
      <c r="I48" s="77">
        <v>0</v>
      </c>
      <c r="J48" s="77">
        <v>18</v>
      </c>
      <c r="K48" s="91">
        <f t="shared" si="0"/>
        <v>4500</v>
      </c>
      <c r="L48" s="91">
        <f t="shared" si="0"/>
        <v>0</v>
      </c>
      <c r="M48" s="91">
        <f t="shared" si="1"/>
        <v>0</v>
      </c>
      <c r="N48" s="92">
        <f t="shared" si="1"/>
        <v>5400</v>
      </c>
      <c r="O48" s="77">
        <v>30</v>
      </c>
      <c r="P48" s="90">
        <v>0</v>
      </c>
      <c r="Q48" s="77">
        <v>0</v>
      </c>
      <c r="R48" s="77">
        <v>16</v>
      </c>
      <c r="S48" s="91">
        <f t="shared" si="2"/>
        <v>3000</v>
      </c>
      <c r="T48" s="91">
        <f t="shared" si="2"/>
        <v>0</v>
      </c>
      <c r="U48" s="91">
        <f t="shared" si="3"/>
        <v>0</v>
      </c>
      <c r="V48" s="92">
        <f t="shared" si="3"/>
        <v>4800</v>
      </c>
      <c r="W48" s="77">
        <v>31</v>
      </c>
      <c r="X48" s="90">
        <v>0</v>
      </c>
      <c r="Y48" s="77">
        <v>0</v>
      </c>
      <c r="Z48" s="77">
        <v>20</v>
      </c>
      <c r="AA48" s="91">
        <f t="shared" si="4"/>
        <v>3100</v>
      </c>
      <c r="AB48" s="91">
        <f t="shared" si="4"/>
        <v>0</v>
      </c>
      <c r="AC48" s="91">
        <f t="shared" si="5"/>
        <v>0</v>
      </c>
      <c r="AD48" s="92">
        <f t="shared" si="5"/>
        <v>6000</v>
      </c>
      <c r="AE48" s="77">
        <v>35</v>
      </c>
      <c r="AF48" s="90">
        <v>0</v>
      </c>
      <c r="AG48" s="77">
        <v>0</v>
      </c>
      <c r="AH48" s="77">
        <v>18</v>
      </c>
      <c r="AI48" s="91">
        <f t="shared" si="6"/>
        <v>3500</v>
      </c>
      <c r="AJ48" s="91">
        <f t="shared" si="6"/>
        <v>0</v>
      </c>
      <c r="AK48" s="91">
        <f t="shared" si="7"/>
        <v>0</v>
      </c>
      <c r="AL48" s="92">
        <f t="shared" si="7"/>
        <v>5400</v>
      </c>
      <c r="AM48" s="77">
        <v>42</v>
      </c>
      <c r="AN48" s="90">
        <v>0</v>
      </c>
      <c r="AO48" s="77">
        <v>0</v>
      </c>
      <c r="AP48" s="77">
        <v>20</v>
      </c>
      <c r="AQ48" s="91">
        <f t="shared" si="18"/>
        <v>4200</v>
      </c>
      <c r="AR48" s="91">
        <f t="shared" si="18"/>
        <v>0</v>
      </c>
      <c r="AS48" s="91">
        <f t="shared" si="19"/>
        <v>0</v>
      </c>
      <c r="AT48" s="92">
        <f t="shared" si="19"/>
        <v>6000</v>
      </c>
      <c r="AU48" s="12">
        <v>34</v>
      </c>
      <c r="AV48" s="6">
        <v>0</v>
      </c>
      <c r="AW48" s="12">
        <v>0</v>
      </c>
      <c r="AX48" s="12">
        <v>19</v>
      </c>
      <c r="AY48" s="17">
        <f t="shared" si="10"/>
        <v>3400</v>
      </c>
      <c r="AZ48" s="17">
        <f t="shared" si="10"/>
        <v>0</v>
      </c>
      <c r="BA48" s="17">
        <f t="shared" si="11"/>
        <v>0</v>
      </c>
      <c r="BB48" s="25">
        <f t="shared" si="11"/>
        <v>5700</v>
      </c>
      <c r="BC48" s="12">
        <v>36</v>
      </c>
      <c r="BD48" s="6">
        <v>0</v>
      </c>
      <c r="BE48" s="12">
        <v>0</v>
      </c>
      <c r="BF48" s="12">
        <v>20</v>
      </c>
      <c r="BG48" s="17">
        <f t="shared" si="12"/>
        <v>3600</v>
      </c>
      <c r="BH48" s="17">
        <f t="shared" si="12"/>
        <v>0</v>
      </c>
      <c r="BI48" s="17">
        <f t="shared" si="13"/>
        <v>0</v>
      </c>
      <c r="BJ48" s="25">
        <f t="shared" si="13"/>
        <v>6000</v>
      </c>
      <c r="BK48" s="12">
        <v>39</v>
      </c>
      <c r="BL48" s="6">
        <v>0</v>
      </c>
      <c r="BM48" s="12">
        <v>0</v>
      </c>
      <c r="BN48" s="12">
        <v>18</v>
      </c>
      <c r="BO48" s="17">
        <f t="shared" si="14"/>
        <v>3900</v>
      </c>
      <c r="BP48" s="17">
        <f t="shared" si="14"/>
        <v>0</v>
      </c>
      <c r="BQ48" s="17">
        <f t="shared" si="15"/>
        <v>0</v>
      </c>
      <c r="BR48" s="25">
        <f t="shared" si="15"/>
        <v>5400</v>
      </c>
      <c r="BS48" s="12">
        <v>39</v>
      </c>
      <c r="BT48" s="6">
        <v>0</v>
      </c>
      <c r="BU48" s="12">
        <v>0</v>
      </c>
      <c r="BV48" s="12">
        <v>18</v>
      </c>
      <c r="BW48" s="17">
        <f t="shared" si="16"/>
        <v>3900</v>
      </c>
      <c r="BX48" s="17">
        <f t="shared" si="16"/>
        <v>0</v>
      </c>
      <c r="BY48" s="17">
        <f t="shared" si="17"/>
        <v>0</v>
      </c>
      <c r="BZ48" s="25">
        <f t="shared" si="17"/>
        <v>5400</v>
      </c>
      <c r="CA48" s="81"/>
      <c r="CB48" s="75"/>
      <c r="CC48" s="81"/>
      <c r="CD48" s="81"/>
      <c r="CE48" s="93"/>
      <c r="CF48" s="93"/>
      <c r="CG48" s="93"/>
      <c r="CH48" s="94"/>
      <c r="CI48" s="81"/>
      <c r="CJ48" s="75"/>
      <c r="CK48" s="81"/>
      <c r="CL48" s="81"/>
      <c r="CM48" s="93"/>
      <c r="CN48" s="93"/>
      <c r="CO48" s="93"/>
      <c r="CP48" s="94"/>
      <c r="CQ48" s="81"/>
      <c r="CR48" s="75"/>
      <c r="CS48" s="81"/>
      <c r="CT48" s="81"/>
      <c r="CU48" s="93"/>
      <c r="CV48" s="93"/>
      <c r="CW48" s="93"/>
      <c r="CX48" s="94"/>
      <c r="CY48" s="81"/>
      <c r="CZ48" s="75"/>
      <c r="DA48" s="81"/>
      <c r="DB48" s="81"/>
      <c r="DC48" s="93"/>
      <c r="DD48" s="93"/>
      <c r="DE48" s="93"/>
      <c r="DF48" s="94"/>
      <c r="DG48" s="81"/>
      <c r="DH48" s="75"/>
      <c r="DI48" s="81"/>
      <c r="DJ48" s="81"/>
      <c r="DK48" s="93"/>
      <c r="DL48" s="93"/>
      <c r="DM48" s="93"/>
      <c r="DN48" s="94"/>
      <c r="DO48" s="95"/>
      <c r="DP48" s="96"/>
      <c r="DQ48" s="95"/>
      <c r="DR48" s="97"/>
      <c r="DS48" s="98"/>
      <c r="DT48" s="99"/>
      <c r="DU48" s="99"/>
      <c r="DV48" s="100"/>
      <c r="DW48" s="95"/>
      <c r="DX48" s="96"/>
      <c r="DY48" s="95"/>
      <c r="DZ48" s="97"/>
      <c r="EA48" s="98"/>
      <c r="EB48" s="99"/>
      <c r="EC48" s="99"/>
      <c r="ED48" s="100"/>
      <c r="EE48" s="95"/>
      <c r="EF48" s="96"/>
      <c r="EG48" s="95"/>
      <c r="EH48" s="97"/>
      <c r="EI48" s="98"/>
      <c r="EJ48" s="99"/>
      <c r="EK48" s="99"/>
      <c r="EL48" s="100"/>
    </row>
    <row r="49" spans="1:142">
      <c r="A49" s="75">
        <v>46</v>
      </c>
      <c r="B49" s="75" t="s">
        <v>71</v>
      </c>
      <c r="F49" s="76"/>
      <c r="G49" s="77">
        <v>30</v>
      </c>
      <c r="H49" s="90">
        <v>0</v>
      </c>
      <c r="I49" s="77">
        <v>0</v>
      </c>
      <c r="J49" s="77">
        <v>12</v>
      </c>
      <c r="K49" s="91">
        <f t="shared" si="0"/>
        <v>3000</v>
      </c>
      <c r="L49" s="91">
        <f t="shared" si="0"/>
        <v>0</v>
      </c>
      <c r="M49" s="91">
        <f t="shared" si="1"/>
        <v>0</v>
      </c>
      <c r="N49" s="92">
        <f t="shared" si="1"/>
        <v>3600</v>
      </c>
      <c r="O49" s="77">
        <v>35</v>
      </c>
      <c r="P49" s="90">
        <v>0</v>
      </c>
      <c r="Q49" s="77">
        <v>0</v>
      </c>
      <c r="R49" s="77">
        <v>15</v>
      </c>
      <c r="S49" s="91">
        <f t="shared" si="2"/>
        <v>3500</v>
      </c>
      <c r="T49" s="91">
        <f t="shared" si="2"/>
        <v>0</v>
      </c>
      <c r="U49" s="91">
        <f t="shared" si="3"/>
        <v>0</v>
      </c>
      <c r="V49" s="92">
        <f t="shared" si="3"/>
        <v>4500</v>
      </c>
      <c r="W49" s="77">
        <v>40</v>
      </c>
      <c r="X49" s="90">
        <v>0</v>
      </c>
      <c r="Y49" s="77">
        <v>0</v>
      </c>
      <c r="Z49" s="77">
        <v>18</v>
      </c>
      <c r="AA49" s="91">
        <f t="shared" si="4"/>
        <v>4000</v>
      </c>
      <c r="AB49" s="91">
        <f t="shared" si="4"/>
        <v>0</v>
      </c>
      <c r="AC49" s="91">
        <f t="shared" si="5"/>
        <v>0</v>
      </c>
      <c r="AD49" s="92">
        <f t="shared" si="5"/>
        <v>5400</v>
      </c>
      <c r="AE49" s="77">
        <v>42</v>
      </c>
      <c r="AF49" s="90">
        <v>0</v>
      </c>
      <c r="AG49" s="77">
        <v>0</v>
      </c>
      <c r="AH49" s="77">
        <v>18</v>
      </c>
      <c r="AI49" s="91">
        <f t="shared" si="6"/>
        <v>4200</v>
      </c>
      <c r="AJ49" s="91">
        <f t="shared" si="6"/>
        <v>0</v>
      </c>
      <c r="AK49" s="91">
        <f t="shared" si="7"/>
        <v>0</v>
      </c>
      <c r="AL49" s="92">
        <f t="shared" si="7"/>
        <v>5400</v>
      </c>
      <c r="AM49" s="77">
        <v>33</v>
      </c>
      <c r="AN49" s="90">
        <v>0</v>
      </c>
      <c r="AO49" s="77">
        <v>0</v>
      </c>
      <c r="AP49" s="77">
        <v>20</v>
      </c>
      <c r="AQ49" s="91">
        <f t="shared" si="18"/>
        <v>3300</v>
      </c>
      <c r="AR49" s="91">
        <f t="shared" si="18"/>
        <v>0</v>
      </c>
      <c r="AS49" s="91">
        <f t="shared" si="19"/>
        <v>0</v>
      </c>
      <c r="AT49" s="92">
        <f t="shared" si="19"/>
        <v>6000</v>
      </c>
      <c r="AU49" s="12">
        <v>43</v>
      </c>
      <c r="AV49" s="6">
        <v>0</v>
      </c>
      <c r="AW49" s="12">
        <v>0</v>
      </c>
      <c r="AX49" s="12">
        <v>20</v>
      </c>
      <c r="AY49" s="17">
        <f t="shared" si="10"/>
        <v>4300</v>
      </c>
      <c r="AZ49" s="17">
        <f t="shared" si="10"/>
        <v>0</v>
      </c>
      <c r="BA49" s="17">
        <f t="shared" si="11"/>
        <v>0</v>
      </c>
      <c r="BB49" s="25">
        <f t="shared" si="11"/>
        <v>6000</v>
      </c>
      <c r="BC49" s="12">
        <v>45</v>
      </c>
      <c r="BD49" s="6">
        <v>0</v>
      </c>
      <c r="BE49" s="12">
        <v>0</v>
      </c>
      <c r="BF49" s="12">
        <v>20</v>
      </c>
      <c r="BG49" s="17">
        <f t="shared" si="12"/>
        <v>4500</v>
      </c>
      <c r="BH49" s="17">
        <f t="shared" si="12"/>
        <v>0</v>
      </c>
      <c r="BI49" s="17">
        <f t="shared" si="13"/>
        <v>0</v>
      </c>
      <c r="BJ49" s="25">
        <f t="shared" si="13"/>
        <v>6000</v>
      </c>
      <c r="BK49" s="12">
        <v>48</v>
      </c>
      <c r="BL49" s="6">
        <v>0</v>
      </c>
      <c r="BM49" s="12">
        <v>0</v>
      </c>
      <c r="BN49" s="12">
        <v>20</v>
      </c>
      <c r="BO49" s="17">
        <f t="shared" si="14"/>
        <v>4800</v>
      </c>
      <c r="BP49" s="17">
        <f t="shared" si="14"/>
        <v>0</v>
      </c>
      <c r="BQ49" s="17">
        <f t="shared" si="15"/>
        <v>0</v>
      </c>
      <c r="BR49" s="25">
        <f t="shared" si="15"/>
        <v>6000</v>
      </c>
      <c r="BS49" s="12">
        <v>50</v>
      </c>
      <c r="BT49" s="6">
        <v>0</v>
      </c>
      <c r="BU49" s="12">
        <v>0</v>
      </c>
      <c r="BV49" s="12">
        <v>20</v>
      </c>
      <c r="BW49" s="17">
        <f t="shared" si="16"/>
        <v>5000</v>
      </c>
      <c r="BX49" s="17">
        <f t="shared" si="16"/>
        <v>0</v>
      </c>
      <c r="BY49" s="17">
        <f t="shared" si="17"/>
        <v>0</v>
      </c>
      <c r="BZ49" s="25">
        <f t="shared" si="17"/>
        <v>6000</v>
      </c>
      <c r="CA49" s="81"/>
      <c r="CB49" s="75"/>
      <c r="CC49" s="81"/>
      <c r="CD49" s="81"/>
      <c r="CE49" s="93"/>
      <c r="CF49" s="93"/>
      <c r="CG49" s="93"/>
      <c r="CH49" s="94"/>
      <c r="CI49" s="81"/>
      <c r="CJ49" s="75"/>
      <c r="CK49" s="81"/>
      <c r="CL49" s="81"/>
      <c r="CM49" s="93"/>
      <c r="CN49" s="93"/>
      <c r="CO49" s="93"/>
      <c r="CP49" s="94"/>
      <c r="CQ49" s="81"/>
      <c r="CR49" s="75"/>
      <c r="CS49" s="81"/>
      <c r="CT49" s="81"/>
      <c r="CU49" s="93"/>
      <c r="CV49" s="93"/>
      <c r="CW49" s="93"/>
      <c r="CX49" s="94"/>
      <c r="CY49" s="81"/>
      <c r="CZ49" s="75"/>
      <c r="DA49" s="81"/>
      <c r="DB49" s="81"/>
      <c r="DC49" s="93"/>
      <c r="DD49" s="93"/>
      <c r="DE49" s="93"/>
      <c r="DF49" s="94"/>
      <c r="DG49" s="81"/>
      <c r="DH49" s="75"/>
      <c r="DI49" s="81"/>
      <c r="DJ49" s="81"/>
      <c r="DK49" s="93"/>
      <c r="DL49" s="93"/>
      <c r="DM49" s="93"/>
      <c r="DN49" s="94"/>
      <c r="DO49" s="95"/>
      <c r="DP49" s="96"/>
      <c r="DQ49" s="95"/>
      <c r="DR49" s="97"/>
      <c r="DS49" s="98"/>
      <c r="DT49" s="99"/>
      <c r="DU49" s="99"/>
      <c r="DV49" s="100"/>
      <c r="DW49" s="95"/>
      <c r="DX49" s="96"/>
      <c r="DY49" s="95"/>
      <c r="DZ49" s="97"/>
      <c r="EA49" s="98"/>
      <c r="EB49" s="99"/>
      <c r="EC49" s="99"/>
      <c r="ED49" s="100"/>
      <c r="EE49" s="95"/>
      <c r="EF49" s="96"/>
      <c r="EG49" s="95"/>
      <c r="EH49" s="97"/>
      <c r="EI49" s="98"/>
      <c r="EJ49" s="99"/>
      <c r="EK49" s="99"/>
      <c r="EL49" s="100"/>
    </row>
    <row r="50" spans="1:142">
      <c r="A50" s="75">
        <v>47</v>
      </c>
      <c r="B50" s="75" t="s">
        <v>72</v>
      </c>
      <c r="F50" s="76"/>
      <c r="G50" s="77">
        <v>32</v>
      </c>
      <c r="H50" s="90">
        <v>0</v>
      </c>
      <c r="I50" s="77">
        <v>0</v>
      </c>
      <c r="J50" s="77">
        <v>20</v>
      </c>
      <c r="K50" s="91">
        <f t="shared" si="0"/>
        <v>3200</v>
      </c>
      <c r="L50" s="91">
        <f t="shared" si="0"/>
        <v>0</v>
      </c>
      <c r="M50" s="91">
        <f t="shared" si="1"/>
        <v>0</v>
      </c>
      <c r="N50" s="92">
        <f t="shared" si="1"/>
        <v>6000</v>
      </c>
      <c r="O50" s="77">
        <v>30</v>
      </c>
      <c r="P50" s="90">
        <v>0</v>
      </c>
      <c r="Q50" s="77">
        <v>0</v>
      </c>
      <c r="R50" s="77">
        <v>20</v>
      </c>
      <c r="S50" s="91">
        <f t="shared" si="2"/>
        <v>3000</v>
      </c>
      <c r="T50" s="91">
        <f t="shared" si="2"/>
        <v>0</v>
      </c>
      <c r="U50" s="91">
        <f t="shared" si="3"/>
        <v>0</v>
      </c>
      <c r="V50" s="92">
        <f t="shared" si="3"/>
        <v>6000</v>
      </c>
      <c r="W50" s="77">
        <v>38</v>
      </c>
      <c r="X50" s="90">
        <v>0</v>
      </c>
      <c r="Y50" s="77">
        <v>0</v>
      </c>
      <c r="Z50" s="77">
        <v>12</v>
      </c>
      <c r="AA50" s="91">
        <f t="shared" si="4"/>
        <v>3800</v>
      </c>
      <c r="AB50" s="91">
        <f t="shared" si="4"/>
        <v>0</v>
      </c>
      <c r="AC50" s="91">
        <f t="shared" si="5"/>
        <v>0</v>
      </c>
      <c r="AD50" s="92">
        <f t="shared" si="5"/>
        <v>3600</v>
      </c>
      <c r="AE50" s="77">
        <v>30</v>
      </c>
      <c r="AF50" s="90">
        <v>0</v>
      </c>
      <c r="AG50" s="77">
        <v>0</v>
      </c>
      <c r="AH50" s="77">
        <v>15</v>
      </c>
      <c r="AI50" s="91">
        <f t="shared" si="6"/>
        <v>3000</v>
      </c>
      <c r="AJ50" s="91">
        <f t="shared" si="6"/>
        <v>0</v>
      </c>
      <c r="AK50" s="91">
        <f t="shared" si="7"/>
        <v>0</v>
      </c>
      <c r="AL50" s="92">
        <f t="shared" si="7"/>
        <v>4500</v>
      </c>
      <c r="AM50" s="77">
        <v>51</v>
      </c>
      <c r="AN50" s="90">
        <v>0</v>
      </c>
      <c r="AO50" s="77">
        <v>0</v>
      </c>
      <c r="AP50" s="77">
        <v>16</v>
      </c>
      <c r="AQ50" s="91">
        <f t="shared" si="18"/>
        <v>5100</v>
      </c>
      <c r="AR50" s="91">
        <f t="shared" si="18"/>
        <v>0</v>
      </c>
      <c r="AS50" s="91">
        <f t="shared" si="19"/>
        <v>0</v>
      </c>
      <c r="AT50" s="92">
        <f t="shared" si="19"/>
        <v>4800</v>
      </c>
      <c r="AU50" s="12">
        <v>51</v>
      </c>
      <c r="AV50" s="6">
        <v>0</v>
      </c>
      <c r="AW50" s="12">
        <v>0</v>
      </c>
      <c r="AX50" s="12">
        <v>15</v>
      </c>
      <c r="AY50" s="17">
        <f t="shared" si="10"/>
        <v>5100</v>
      </c>
      <c r="AZ50" s="17">
        <f t="shared" si="10"/>
        <v>0</v>
      </c>
      <c r="BA50" s="17">
        <f t="shared" si="11"/>
        <v>0</v>
      </c>
      <c r="BB50" s="25">
        <f t="shared" si="11"/>
        <v>4500</v>
      </c>
      <c r="BC50" s="12">
        <v>51</v>
      </c>
      <c r="BD50" s="6">
        <v>0</v>
      </c>
      <c r="BE50" s="12">
        <v>0</v>
      </c>
      <c r="BF50" s="12">
        <v>15</v>
      </c>
      <c r="BG50" s="17">
        <f t="shared" si="12"/>
        <v>5100</v>
      </c>
      <c r="BH50" s="17">
        <f t="shared" si="12"/>
        <v>0</v>
      </c>
      <c r="BI50" s="17">
        <f t="shared" si="13"/>
        <v>0</v>
      </c>
      <c r="BJ50" s="25">
        <f t="shared" si="13"/>
        <v>4500</v>
      </c>
      <c r="BK50" s="12">
        <v>51</v>
      </c>
      <c r="BL50" s="6">
        <v>0</v>
      </c>
      <c r="BM50" s="12">
        <v>0</v>
      </c>
      <c r="BN50" s="12">
        <v>18</v>
      </c>
      <c r="BO50" s="17">
        <f t="shared" si="14"/>
        <v>5100</v>
      </c>
      <c r="BP50" s="17">
        <f t="shared" si="14"/>
        <v>0</v>
      </c>
      <c r="BQ50" s="17">
        <f t="shared" si="15"/>
        <v>0</v>
      </c>
      <c r="BR50" s="25">
        <f t="shared" si="15"/>
        <v>5400</v>
      </c>
      <c r="BS50" s="12">
        <v>51</v>
      </c>
      <c r="BT50" s="6">
        <v>0</v>
      </c>
      <c r="BU50" s="12">
        <v>0</v>
      </c>
      <c r="BV50" s="12">
        <v>18</v>
      </c>
      <c r="BW50" s="17">
        <f t="shared" si="16"/>
        <v>5100</v>
      </c>
      <c r="BX50" s="17">
        <f t="shared" si="16"/>
        <v>0</v>
      </c>
      <c r="BY50" s="17">
        <f t="shared" si="17"/>
        <v>0</v>
      </c>
      <c r="BZ50" s="25">
        <f t="shared" si="17"/>
        <v>5400</v>
      </c>
      <c r="CA50" s="81"/>
      <c r="CB50" s="75"/>
      <c r="CC50" s="81"/>
      <c r="CD50" s="81"/>
      <c r="CE50" s="93"/>
      <c r="CF50" s="93"/>
      <c r="CG50" s="93"/>
      <c r="CH50" s="94"/>
      <c r="CI50" s="81"/>
      <c r="CJ50" s="75"/>
      <c r="CK50" s="81"/>
      <c r="CL50" s="81"/>
      <c r="CM50" s="93"/>
      <c r="CN50" s="93"/>
      <c r="CO50" s="93"/>
      <c r="CP50" s="94"/>
      <c r="CQ50" s="81"/>
      <c r="CR50" s="75"/>
      <c r="CS50" s="81"/>
      <c r="CT50" s="81"/>
      <c r="CU50" s="93"/>
      <c r="CV50" s="93"/>
      <c r="CW50" s="93"/>
      <c r="CX50" s="94"/>
      <c r="CY50" s="81"/>
      <c r="CZ50" s="75"/>
      <c r="DA50" s="81"/>
      <c r="DB50" s="81"/>
      <c r="DC50" s="93"/>
      <c r="DD50" s="93"/>
      <c r="DE50" s="93"/>
      <c r="DF50" s="94"/>
      <c r="DG50" s="81"/>
      <c r="DH50" s="75"/>
      <c r="DI50" s="81"/>
      <c r="DJ50" s="81"/>
      <c r="DK50" s="93"/>
      <c r="DL50" s="93"/>
      <c r="DM50" s="93"/>
      <c r="DN50" s="94"/>
      <c r="DO50" s="95"/>
      <c r="DP50" s="96"/>
      <c r="DQ50" s="95"/>
      <c r="DR50" s="97"/>
      <c r="DS50" s="98"/>
      <c r="DT50" s="99"/>
      <c r="DU50" s="99"/>
      <c r="DV50" s="100"/>
      <c r="DW50" s="95"/>
      <c r="DX50" s="96"/>
      <c r="DY50" s="95"/>
      <c r="DZ50" s="97"/>
      <c r="EA50" s="98"/>
      <c r="EB50" s="99"/>
      <c r="EC50" s="99"/>
      <c r="ED50" s="100"/>
      <c r="EE50" s="95"/>
      <c r="EF50" s="96"/>
      <c r="EG50" s="95"/>
      <c r="EH50" s="97"/>
      <c r="EI50" s="98"/>
      <c r="EJ50" s="99"/>
      <c r="EK50" s="99"/>
      <c r="EL50" s="100"/>
    </row>
    <row r="51" spans="1:142">
      <c r="A51" s="75">
        <v>48</v>
      </c>
      <c r="B51" s="75" t="s">
        <v>73</v>
      </c>
      <c r="F51" s="76"/>
      <c r="G51" s="77">
        <v>25</v>
      </c>
      <c r="H51" s="90">
        <v>0</v>
      </c>
      <c r="I51" s="77">
        <v>0</v>
      </c>
      <c r="J51" s="77">
        <v>20</v>
      </c>
      <c r="K51" s="91">
        <f t="shared" si="0"/>
        <v>2500</v>
      </c>
      <c r="L51" s="91">
        <f t="shared" si="0"/>
        <v>0</v>
      </c>
      <c r="M51" s="91">
        <f t="shared" si="1"/>
        <v>0</v>
      </c>
      <c r="N51" s="92">
        <f t="shared" si="1"/>
        <v>6000</v>
      </c>
      <c r="O51" s="77">
        <v>40</v>
      </c>
      <c r="P51" s="90">
        <v>0</v>
      </c>
      <c r="Q51" s="77">
        <v>0</v>
      </c>
      <c r="R51" s="77">
        <v>15</v>
      </c>
      <c r="S51" s="91">
        <f t="shared" si="2"/>
        <v>4000</v>
      </c>
      <c r="T51" s="91">
        <f t="shared" si="2"/>
        <v>0</v>
      </c>
      <c r="U51" s="91">
        <f t="shared" si="3"/>
        <v>0</v>
      </c>
      <c r="V51" s="92">
        <f t="shared" si="3"/>
        <v>4500</v>
      </c>
      <c r="W51" s="77">
        <v>45</v>
      </c>
      <c r="X51" s="90">
        <v>0</v>
      </c>
      <c r="Y51" s="77">
        <v>0</v>
      </c>
      <c r="Z51" s="77">
        <v>10</v>
      </c>
      <c r="AA51" s="91">
        <f t="shared" si="4"/>
        <v>4500</v>
      </c>
      <c r="AB51" s="91">
        <f t="shared" si="4"/>
        <v>0</v>
      </c>
      <c r="AC51" s="91">
        <f t="shared" si="5"/>
        <v>0</v>
      </c>
      <c r="AD51" s="92">
        <f t="shared" si="5"/>
        <v>3000</v>
      </c>
      <c r="AE51" s="77">
        <v>46</v>
      </c>
      <c r="AF51" s="90">
        <v>0</v>
      </c>
      <c r="AG51" s="77">
        <v>0</v>
      </c>
      <c r="AH51" s="77">
        <v>20</v>
      </c>
      <c r="AI51" s="91">
        <f t="shared" si="6"/>
        <v>4600</v>
      </c>
      <c r="AJ51" s="91">
        <f t="shared" si="6"/>
        <v>0</v>
      </c>
      <c r="AK51" s="91">
        <f t="shared" si="7"/>
        <v>0</v>
      </c>
      <c r="AL51" s="92">
        <f t="shared" si="7"/>
        <v>6000</v>
      </c>
      <c r="AM51" s="77">
        <v>48</v>
      </c>
      <c r="AN51" s="90">
        <v>0</v>
      </c>
      <c r="AO51" s="77">
        <v>0</v>
      </c>
      <c r="AP51" s="77">
        <v>18</v>
      </c>
      <c r="AQ51" s="91">
        <f t="shared" si="18"/>
        <v>4800</v>
      </c>
      <c r="AR51" s="91">
        <f t="shared" si="18"/>
        <v>0</v>
      </c>
      <c r="AS51" s="91">
        <f t="shared" si="19"/>
        <v>0</v>
      </c>
      <c r="AT51" s="92">
        <f t="shared" si="19"/>
        <v>5400</v>
      </c>
      <c r="AU51" s="12">
        <v>52</v>
      </c>
      <c r="AV51" s="6">
        <v>0</v>
      </c>
      <c r="AW51" s="12">
        <v>0</v>
      </c>
      <c r="AX51" s="12">
        <v>20</v>
      </c>
      <c r="AY51" s="17">
        <f t="shared" si="10"/>
        <v>5200</v>
      </c>
      <c r="AZ51" s="17">
        <f t="shared" si="10"/>
        <v>0</v>
      </c>
      <c r="BA51" s="17">
        <f t="shared" si="11"/>
        <v>0</v>
      </c>
      <c r="BB51" s="25">
        <f t="shared" si="11"/>
        <v>6000</v>
      </c>
      <c r="BC51" s="12">
        <v>55</v>
      </c>
      <c r="BD51" s="6">
        <v>0</v>
      </c>
      <c r="BE51" s="12">
        <v>0</v>
      </c>
      <c r="BF51" s="12">
        <v>20</v>
      </c>
      <c r="BG51" s="17">
        <f t="shared" si="12"/>
        <v>5500</v>
      </c>
      <c r="BH51" s="17">
        <f t="shared" si="12"/>
        <v>0</v>
      </c>
      <c r="BI51" s="17">
        <f t="shared" si="13"/>
        <v>0</v>
      </c>
      <c r="BJ51" s="25">
        <f t="shared" si="13"/>
        <v>6000</v>
      </c>
      <c r="BK51" s="12">
        <v>55</v>
      </c>
      <c r="BL51" s="6">
        <v>0</v>
      </c>
      <c r="BM51" s="12">
        <v>0</v>
      </c>
      <c r="BN51" s="12">
        <v>20</v>
      </c>
      <c r="BO51" s="17">
        <f t="shared" si="14"/>
        <v>5500</v>
      </c>
      <c r="BP51" s="17">
        <f t="shared" si="14"/>
        <v>0</v>
      </c>
      <c r="BQ51" s="17">
        <f t="shared" si="15"/>
        <v>0</v>
      </c>
      <c r="BR51" s="25">
        <f t="shared" si="15"/>
        <v>6000</v>
      </c>
      <c r="BS51" s="12">
        <v>55</v>
      </c>
      <c r="BT51" s="6">
        <v>0</v>
      </c>
      <c r="BU51" s="12">
        <v>0</v>
      </c>
      <c r="BV51" s="12">
        <v>20</v>
      </c>
      <c r="BW51" s="17">
        <f t="shared" si="16"/>
        <v>5500</v>
      </c>
      <c r="BX51" s="17">
        <f t="shared" si="16"/>
        <v>0</v>
      </c>
      <c r="BY51" s="17">
        <f t="shared" si="17"/>
        <v>0</v>
      </c>
      <c r="BZ51" s="25">
        <f t="shared" si="17"/>
        <v>6000</v>
      </c>
      <c r="CA51" s="81"/>
      <c r="CB51" s="75"/>
      <c r="CC51" s="81"/>
      <c r="CD51" s="81"/>
      <c r="CE51" s="93"/>
      <c r="CF51" s="93"/>
      <c r="CG51" s="93"/>
      <c r="CH51" s="94"/>
      <c r="CI51" s="81"/>
      <c r="CJ51" s="75"/>
      <c r="CK51" s="81"/>
      <c r="CL51" s="81"/>
      <c r="CM51" s="93"/>
      <c r="CN51" s="93"/>
      <c r="CO51" s="93"/>
      <c r="CP51" s="94"/>
      <c r="CQ51" s="81"/>
      <c r="CR51" s="75"/>
      <c r="CS51" s="81"/>
      <c r="CT51" s="81"/>
      <c r="CU51" s="93"/>
      <c r="CV51" s="93"/>
      <c r="CW51" s="93"/>
      <c r="CX51" s="94"/>
      <c r="CY51" s="81"/>
      <c r="CZ51" s="75"/>
      <c r="DA51" s="81"/>
      <c r="DB51" s="81"/>
      <c r="DC51" s="93"/>
      <c r="DD51" s="93"/>
      <c r="DE51" s="93"/>
      <c r="DF51" s="94"/>
      <c r="DG51" s="81"/>
      <c r="DH51" s="75"/>
      <c r="DI51" s="81"/>
      <c r="DJ51" s="81"/>
      <c r="DK51" s="93"/>
      <c r="DL51" s="93"/>
      <c r="DM51" s="93"/>
      <c r="DN51" s="94"/>
      <c r="DO51" s="95"/>
      <c r="DP51" s="96"/>
      <c r="DQ51" s="95"/>
      <c r="DR51" s="97"/>
      <c r="DS51" s="98"/>
      <c r="DT51" s="99"/>
      <c r="DU51" s="99"/>
      <c r="DV51" s="100"/>
      <c r="DW51" s="95"/>
      <c r="DX51" s="96"/>
      <c r="DY51" s="95"/>
      <c r="DZ51" s="97"/>
      <c r="EA51" s="98"/>
      <c r="EB51" s="99"/>
      <c r="EC51" s="99"/>
      <c r="ED51" s="100"/>
      <c r="EE51" s="95"/>
      <c r="EF51" s="96"/>
      <c r="EG51" s="95"/>
      <c r="EH51" s="97"/>
      <c r="EI51" s="98"/>
      <c r="EJ51" s="99"/>
      <c r="EK51" s="99"/>
      <c r="EL51" s="100"/>
    </row>
    <row r="52" spans="1:142">
      <c r="A52" s="75">
        <v>49</v>
      </c>
      <c r="B52" s="75" t="s">
        <v>74</v>
      </c>
      <c r="F52" s="76"/>
      <c r="G52" s="77">
        <v>15</v>
      </c>
      <c r="H52" s="90">
        <v>15</v>
      </c>
      <c r="I52" s="77">
        <v>0</v>
      </c>
      <c r="J52" s="77">
        <v>5</v>
      </c>
      <c r="K52" s="91">
        <f t="shared" si="0"/>
        <v>1500</v>
      </c>
      <c r="L52" s="91">
        <f>H52*100</f>
        <v>1500</v>
      </c>
      <c r="M52" s="91">
        <f t="shared" si="1"/>
        <v>0</v>
      </c>
      <c r="N52" s="92">
        <f t="shared" si="1"/>
        <v>1500</v>
      </c>
      <c r="O52" s="77">
        <v>30</v>
      </c>
      <c r="P52" s="90">
        <v>15</v>
      </c>
      <c r="Q52" s="77">
        <v>0</v>
      </c>
      <c r="R52" s="77">
        <v>8</v>
      </c>
      <c r="S52" s="91">
        <f t="shared" si="2"/>
        <v>3000</v>
      </c>
      <c r="T52" s="91">
        <f>P52*100</f>
        <v>1500</v>
      </c>
      <c r="U52" s="91">
        <f t="shared" si="3"/>
        <v>0</v>
      </c>
      <c r="V52" s="92">
        <f t="shared" si="3"/>
        <v>2400</v>
      </c>
      <c r="W52" s="77">
        <v>22</v>
      </c>
      <c r="X52" s="90">
        <v>16</v>
      </c>
      <c r="Y52" s="77">
        <v>0</v>
      </c>
      <c r="Z52" s="77">
        <v>10</v>
      </c>
      <c r="AA52" s="91">
        <f t="shared" si="4"/>
        <v>2200</v>
      </c>
      <c r="AB52" s="91">
        <f>X52*100</f>
        <v>1600</v>
      </c>
      <c r="AC52" s="91">
        <f t="shared" si="5"/>
        <v>0</v>
      </c>
      <c r="AD52" s="92">
        <f t="shared" si="5"/>
        <v>3000</v>
      </c>
      <c r="AE52" s="77">
        <v>24</v>
      </c>
      <c r="AF52" s="90">
        <v>16</v>
      </c>
      <c r="AG52" s="77">
        <v>0</v>
      </c>
      <c r="AH52" s="77">
        <v>12</v>
      </c>
      <c r="AI52" s="91">
        <f t="shared" si="6"/>
        <v>2400</v>
      </c>
      <c r="AJ52" s="91">
        <f>AF52*100</f>
        <v>1600</v>
      </c>
      <c r="AK52" s="91">
        <f t="shared" si="7"/>
        <v>0</v>
      </c>
      <c r="AL52" s="92">
        <f t="shared" si="7"/>
        <v>3600</v>
      </c>
      <c r="AM52" s="77">
        <v>39</v>
      </c>
      <c r="AN52" s="90">
        <v>15</v>
      </c>
      <c r="AO52" s="77">
        <v>0</v>
      </c>
      <c r="AP52" s="77">
        <v>0</v>
      </c>
      <c r="AQ52" s="91">
        <f t="shared" si="18"/>
        <v>3900</v>
      </c>
      <c r="AR52" s="91">
        <f>AN52*100</f>
        <v>1500</v>
      </c>
      <c r="AS52" s="91">
        <f t="shared" si="19"/>
        <v>0</v>
      </c>
      <c r="AT52" s="92">
        <f t="shared" si="19"/>
        <v>0</v>
      </c>
      <c r="AU52" s="12">
        <v>40</v>
      </c>
      <c r="AV52" s="6">
        <v>30</v>
      </c>
      <c r="AW52" s="12">
        <v>4</v>
      </c>
      <c r="AX52" s="12">
        <v>0</v>
      </c>
      <c r="AY52" s="17">
        <f t="shared" si="10"/>
        <v>4000</v>
      </c>
      <c r="AZ52" s="17">
        <f t="shared" si="10"/>
        <v>3000</v>
      </c>
      <c r="BA52" s="17">
        <f t="shared" si="11"/>
        <v>1200</v>
      </c>
      <c r="BB52" s="25">
        <f t="shared" si="11"/>
        <v>0</v>
      </c>
      <c r="BC52" s="12">
        <v>42</v>
      </c>
      <c r="BD52" s="6">
        <v>30</v>
      </c>
      <c r="BE52" s="12">
        <v>6</v>
      </c>
      <c r="BF52" s="12">
        <v>0</v>
      </c>
      <c r="BG52" s="17">
        <f t="shared" si="12"/>
        <v>4200</v>
      </c>
      <c r="BH52" s="17">
        <f t="shared" si="12"/>
        <v>3000</v>
      </c>
      <c r="BI52" s="17">
        <f t="shared" si="13"/>
        <v>1800</v>
      </c>
      <c r="BJ52" s="25">
        <f t="shared" si="13"/>
        <v>0</v>
      </c>
      <c r="BK52" s="12">
        <v>36</v>
      </c>
      <c r="BL52" s="6">
        <v>35</v>
      </c>
      <c r="BM52" s="12">
        <v>8</v>
      </c>
      <c r="BN52" s="12">
        <v>0</v>
      </c>
      <c r="BO52" s="17">
        <f t="shared" si="14"/>
        <v>3600</v>
      </c>
      <c r="BP52" s="17">
        <f t="shared" si="14"/>
        <v>3500</v>
      </c>
      <c r="BQ52" s="17">
        <f t="shared" si="15"/>
        <v>2400</v>
      </c>
      <c r="BR52" s="25">
        <f t="shared" si="15"/>
        <v>0</v>
      </c>
      <c r="BS52" s="12">
        <v>46</v>
      </c>
      <c r="BT52" s="6">
        <v>40</v>
      </c>
      <c r="BU52" s="12">
        <v>12</v>
      </c>
      <c r="BV52" s="12">
        <v>0</v>
      </c>
      <c r="BW52" s="17">
        <f t="shared" si="16"/>
        <v>4600</v>
      </c>
      <c r="BX52" s="17">
        <f t="shared" si="16"/>
        <v>4000</v>
      </c>
      <c r="BY52" s="17">
        <f t="shared" si="17"/>
        <v>3600</v>
      </c>
      <c r="BZ52" s="25">
        <f t="shared" si="17"/>
        <v>0</v>
      </c>
      <c r="CA52" s="81"/>
      <c r="CB52" s="75"/>
      <c r="CC52" s="81"/>
      <c r="CD52" s="81"/>
      <c r="CE52" s="93"/>
      <c r="CF52" s="93"/>
      <c r="CG52" s="93"/>
      <c r="CH52" s="94"/>
      <c r="CI52" s="81"/>
      <c r="CJ52" s="75"/>
      <c r="CK52" s="81"/>
      <c r="CL52" s="81"/>
      <c r="CM52" s="93"/>
      <c r="CN52" s="93"/>
      <c r="CO52" s="93"/>
      <c r="CP52" s="94"/>
      <c r="CQ52" s="81"/>
      <c r="CR52" s="75"/>
      <c r="CS52" s="81"/>
      <c r="CT52" s="81"/>
      <c r="CU52" s="93"/>
      <c r="CV52" s="93"/>
      <c r="CW52" s="93"/>
      <c r="CX52" s="94"/>
      <c r="CY52" s="81"/>
      <c r="CZ52" s="75"/>
      <c r="DA52" s="81"/>
      <c r="DB52" s="81"/>
      <c r="DC52" s="93"/>
      <c r="DD52" s="93"/>
      <c r="DE52" s="93"/>
      <c r="DF52" s="94"/>
      <c r="DG52" s="81"/>
      <c r="DH52" s="75"/>
      <c r="DI52" s="81"/>
      <c r="DJ52" s="81"/>
      <c r="DK52" s="93"/>
      <c r="DL52" s="93"/>
      <c r="DM52" s="93"/>
      <c r="DN52" s="94"/>
      <c r="DO52" s="95"/>
      <c r="DP52" s="96"/>
      <c r="DQ52" s="95"/>
      <c r="DR52" s="97"/>
      <c r="DS52" s="98"/>
      <c r="DT52" s="99"/>
      <c r="DU52" s="99"/>
      <c r="DV52" s="100"/>
      <c r="DW52" s="95"/>
      <c r="DX52" s="96"/>
      <c r="DY52" s="95"/>
      <c r="DZ52" s="97"/>
      <c r="EA52" s="98"/>
      <c r="EB52" s="99"/>
      <c r="EC52" s="99"/>
      <c r="ED52" s="100"/>
      <c r="EE52" s="95"/>
      <c r="EF52" s="96"/>
      <c r="EG52" s="95"/>
      <c r="EH52" s="97"/>
      <c r="EI52" s="98"/>
      <c r="EJ52" s="99"/>
      <c r="EK52" s="99"/>
      <c r="EL52" s="100"/>
    </row>
    <row r="53" spans="1:142">
      <c r="A53" s="75">
        <v>50</v>
      </c>
      <c r="B53" s="75" t="s">
        <v>75</v>
      </c>
      <c r="F53" s="76"/>
      <c r="G53" s="77">
        <v>32</v>
      </c>
      <c r="H53" s="90">
        <v>0</v>
      </c>
      <c r="I53" s="77">
        <v>0</v>
      </c>
      <c r="J53" s="77">
        <v>15</v>
      </c>
      <c r="K53" s="91">
        <f t="shared" si="0"/>
        <v>3200</v>
      </c>
      <c r="L53" s="91">
        <f>H53*100</f>
        <v>0</v>
      </c>
      <c r="M53" s="91">
        <f t="shared" si="1"/>
        <v>0</v>
      </c>
      <c r="N53" s="92">
        <f t="shared" si="1"/>
        <v>4500</v>
      </c>
      <c r="O53" s="77">
        <v>28</v>
      </c>
      <c r="P53" s="90">
        <v>0</v>
      </c>
      <c r="Q53" s="77">
        <v>0</v>
      </c>
      <c r="R53" s="77">
        <v>20</v>
      </c>
      <c r="S53" s="91">
        <f t="shared" si="2"/>
        <v>2800</v>
      </c>
      <c r="T53" s="91">
        <f>P53*100</f>
        <v>0</v>
      </c>
      <c r="U53" s="91">
        <f t="shared" si="3"/>
        <v>0</v>
      </c>
      <c r="V53" s="92">
        <f t="shared" si="3"/>
        <v>6000</v>
      </c>
      <c r="W53" s="77">
        <v>33</v>
      </c>
      <c r="X53" s="90">
        <v>0</v>
      </c>
      <c r="Y53" s="77">
        <v>0</v>
      </c>
      <c r="Z53" s="77">
        <v>20</v>
      </c>
      <c r="AA53" s="91">
        <f t="shared" si="4"/>
        <v>3300</v>
      </c>
      <c r="AB53" s="91">
        <f>X53*100</f>
        <v>0</v>
      </c>
      <c r="AC53" s="91">
        <f t="shared" si="5"/>
        <v>0</v>
      </c>
      <c r="AD53" s="92">
        <f t="shared" si="5"/>
        <v>6000</v>
      </c>
      <c r="AE53" s="77">
        <v>35</v>
      </c>
      <c r="AF53" s="90">
        <v>0</v>
      </c>
      <c r="AG53" s="77">
        <v>0</v>
      </c>
      <c r="AH53" s="77">
        <v>20</v>
      </c>
      <c r="AI53" s="91">
        <f t="shared" si="6"/>
        <v>3500</v>
      </c>
      <c r="AJ53" s="91">
        <f>AF53*100</f>
        <v>0</v>
      </c>
      <c r="AK53" s="91">
        <f t="shared" si="7"/>
        <v>0</v>
      </c>
      <c r="AL53" s="92">
        <f t="shared" si="7"/>
        <v>6000</v>
      </c>
      <c r="AM53" s="77">
        <v>30</v>
      </c>
      <c r="AN53" s="90">
        <v>0</v>
      </c>
      <c r="AO53" s="77">
        <v>0</v>
      </c>
      <c r="AP53" s="77">
        <v>20</v>
      </c>
      <c r="AQ53" s="91">
        <f t="shared" si="18"/>
        <v>3000</v>
      </c>
      <c r="AR53" s="91">
        <f>AN53*100</f>
        <v>0</v>
      </c>
      <c r="AS53" s="91">
        <f t="shared" si="19"/>
        <v>0</v>
      </c>
      <c r="AT53" s="92">
        <f t="shared" si="19"/>
        <v>6000</v>
      </c>
      <c r="AU53" s="12">
        <v>32</v>
      </c>
      <c r="AV53" s="6">
        <v>0</v>
      </c>
      <c r="AW53" s="12">
        <v>0</v>
      </c>
      <c r="AX53" s="12">
        <v>20</v>
      </c>
      <c r="AY53" s="17">
        <f t="shared" si="10"/>
        <v>3200</v>
      </c>
      <c r="AZ53" s="17">
        <f t="shared" si="10"/>
        <v>0</v>
      </c>
      <c r="BA53" s="17">
        <f t="shared" si="11"/>
        <v>0</v>
      </c>
      <c r="BB53" s="25">
        <f t="shared" si="11"/>
        <v>6000</v>
      </c>
      <c r="BC53" s="12">
        <v>36</v>
      </c>
      <c r="BD53" s="6">
        <v>0</v>
      </c>
      <c r="BE53" s="12">
        <v>0</v>
      </c>
      <c r="BF53" s="12">
        <v>20</v>
      </c>
      <c r="BG53" s="17">
        <f t="shared" si="12"/>
        <v>3600</v>
      </c>
      <c r="BH53" s="17">
        <f t="shared" si="12"/>
        <v>0</v>
      </c>
      <c r="BI53" s="17">
        <f t="shared" si="13"/>
        <v>0</v>
      </c>
      <c r="BJ53" s="25">
        <f t="shared" si="13"/>
        <v>6000</v>
      </c>
      <c r="BK53" s="12">
        <v>49</v>
      </c>
      <c r="BL53" s="6">
        <v>0</v>
      </c>
      <c r="BM53" s="12">
        <v>0</v>
      </c>
      <c r="BN53" s="12">
        <v>20</v>
      </c>
      <c r="BO53" s="17">
        <f t="shared" si="14"/>
        <v>4900</v>
      </c>
      <c r="BP53" s="17">
        <f t="shared" si="14"/>
        <v>0</v>
      </c>
      <c r="BQ53" s="17">
        <f t="shared" si="15"/>
        <v>0</v>
      </c>
      <c r="BR53" s="25">
        <f t="shared" si="15"/>
        <v>6000</v>
      </c>
      <c r="BS53" s="12">
        <v>49</v>
      </c>
      <c r="BT53" s="6">
        <v>0</v>
      </c>
      <c r="BU53" s="12">
        <v>0</v>
      </c>
      <c r="BV53" s="12">
        <v>20</v>
      </c>
      <c r="BW53" s="17">
        <f t="shared" si="16"/>
        <v>4900</v>
      </c>
      <c r="BX53" s="17">
        <f t="shared" si="16"/>
        <v>0</v>
      </c>
      <c r="BY53" s="17">
        <f t="shared" si="17"/>
        <v>0</v>
      </c>
      <c r="BZ53" s="25">
        <f t="shared" si="17"/>
        <v>6000</v>
      </c>
      <c r="CA53" s="81"/>
      <c r="CB53" s="75"/>
      <c r="CC53" s="81"/>
      <c r="CD53" s="81"/>
      <c r="CE53" s="93"/>
      <c r="CF53" s="93"/>
      <c r="CG53" s="93"/>
      <c r="CH53" s="94"/>
      <c r="CI53" s="81"/>
      <c r="CJ53" s="75"/>
      <c r="CK53" s="81"/>
      <c r="CL53" s="81"/>
      <c r="CM53" s="93"/>
      <c r="CN53" s="93"/>
      <c r="CO53" s="93"/>
      <c r="CP53" s="94"/>
      <c r="CQ53" s="81"/>
      <c r="CR53" s="75"/>
      <c r="CS53" s="81"/>
      <c r="CT53" s="81"/>
      <c r="CU53" s="93"/>
      <c r="CV53" s="93"/>
      <c r="CW53" s="93"/>
      <c r="CX53" s="94"/>
      <c r="CY53" s="81"/>
      <c r="CZ53" s="75"/>
      <c r="DA53" s="81"/>
      <c r="DB53" s="81"/>
      <c r="DC53" s="93"/>
      <c r="DD53" s="93"/>
      <c r="DE53" s="93"/>
      <c r="DF53" s="94"/>
      <c r="DG53" s="81"/>
      <c r="DH53" s="75"/>
      <c r="DI53" s="81"/>
      <c r="DJ53" s="81"/>
      <c r="DK53" s="93"/>
      <c r="DL53" s="93"/>
      <c r="DM53" s="93"/>
      <c r="DN53" s="94"/>
      <c r="DO53" s="95"/>
      <c r="DP53" s="96"/>
      <c r="DQ53" s="95"/>
      <c r="DR53" s="97"/>
      <c r="DS53" s="98"/>
      <c r="DT53" s="99"/>
      <c r="DU53" s="99"/>
      <c r="DV53" s="100"/>
      <c r="DW53" s="95"/>
      <c r="DX53" s="96"/>
      <c r="DY53" s="95"/>
      <c r="DZ53" s="97"/>
      <c r="EA53" s="98"/>
      <c r="EB53" s="99"/>
      <c r="EC53" s="99"/>
      <c r="ED53" s="100"/>
      <c r="EE53" s="95"/>
      <c r="EF53" s="96"/>
      <c r="EG53" s="95"/>
      <c r="EH53" s="97"/>
      <c r="EI53" s="98"/>
      <c r="EJ53" s="99"/>
      <c r="EK53" s="99"/>
      <c r="EL53" s="100"/>
    </row>
    <row r="54" spans="1:142">
      <c r="A54" s="75">
        <v>51</v>
      </c>
      <c r="B54" s="75" t="s">
        <v>76</v>
      </c>
      <c r="F54" s="76"/>
      <c r="G54" s="77">
        <v>35</v>
      </c>
      <c r="H54" s="90">
        <v>0</v>
      </c>
      <c r="I54" s="77">
        <v>0</v>
      </c>
      <c r="J54" s="77">
        <v>10</v>
      </c>
      <c r="K54" s="91">
        <f t="shared" si="0"/>
        <v>3500</v>
      </c>
      <c r="L54" s="91">
        <f t="shared" si="0"/>
        <v>0</v>
      </c>
      <c r="M54" s="91">
        <f t="shared" si="1"/>
        <v>0</v>
      </c>
      <c r="N54" s="92">
        <f t="shared" si="1"/>
        <v>3000</v>
      </c>
      <c r="O54" s="77">
        <v>25</v>
      </c>
      <c r="P54" s="90">
        <v>0</v>
      </c>
      <c r="Q54" s="77">
        <v>0</v>
      </c>
      <c r="R54" s="77">
        <v>20</v>
      </c>
      <c r="S54" s="91">
        <f t="shared" si="2"/>
        <v>2500</v>
      </c>
      <c r="T54" s="91">
        <f t="shared" si="2"/>
        <v>0</v>
      </c>
      <c r="U54" s="91">
        <f t="shared" si="3"/>
        <v>0</v>
      </c>
      <c r="V54" s="92">
        <f t="shared" si="3"/>
        <v>6000</v>
      </c>
      <c r="W54" s="77">
        <v>30</v>
      </c>
      <c r="X54" s="90">
        <v>0</v>
      </c>
      <c r="Y54" s="77">
        <v>0</v>
      </c>
      <c r="Z54" s="77">
        <v>15</v>
      </c>
      <c r="AA54" s="91">
        <f t="shared" si="4"/>
        <v>3000</v>
      </c>
      <c r="AB54" s="91">
        <f t="shared" si="4"/>
        <v>0</v>
      </c>
      <c r="AC54" s="91">
        <f t="shared" si="5"/>
        <v>0</v>
      </c>
      <c r="AD54" s="92">
        <f t="shared" si="5"/>
        <v>4500</v>
      </c>
      <c r="AE54" s="77">
        <v>31</v>
      </c>
      <c r="AF54" s="90">
        <v>0</v>
      </c>
      <c r="AG54" s="77">
        <v>0</v>
      </c>
      <c r="AH54" s="77">
        <v>16</v>
      </c>
      <c r="AI54" s="91">
        <f t="shared" si="6"/>
        <v>3100</v>
      </c>
      <c r="AJ54" s="91">
        <f t="shared" si="6"/>
        <v>0</v>
      </c>
      <c r="AK54" s="91">
        <f t="shared" si="7"/>
        <v>0</v>
      </c>
      <c r="AL54" s="92">
        <f t="shared" si="7"/>
        <v>4800</v>
      </c>
      <c r="AM54" s="77">
        <v>35</v>
      </c>
      <c r="AN54" s="90">
        <v>0</v>
      </c>
      <c r="AO54" s="77">
        <v>0</v>
      </c>
      <c r="AP54" s="77">
        <v>18</v>
      </c>
      <c r="AQ54" s="91">
        <f t="shared" si="18"/>
        <v>3500</v>
      </c>
      <c r="AR54" s="91">
        <f t="shared" si="18"/>
        <v>0</v>
      </c>
      <c r="AS54" s="91">
        <f t="shared" si="19"/>
        <v>0</v>
      </c>
      <c r="AT54" s="92">
        <f t="shared" si="19"/>
        <v>5400</v>
      </c>
      <c r="AU54" s="12">
        <v>53</v>
      </c>
      <c r="AV54" s="6">
        <v>0</v>
      </c>
      <c r="AW54" s="12">
        <v>0</v>
      </c>
      <c r="AX54" s="12">
        <v>18</v>
      </c>
      <c r="AY54" s="17">
        <f t="shared" si="10"/>
        <v>5300</v>
      </c>
      <c r="AZ54" s="17">
        <f t="shared" si="10"/>
        <v>0</v>
      </c>
      <c r="BA54" s="17">
        <f t="shared" si="11"/>
        <v>0</v>
      </c>
      <c r="BB54" s="25">
        <f t="shared" si="11"/>
        <v>5400</v>
      </c>
      <c r="BC54" s="12">
        <v>53</v>
      </c>
      <c r="BD54" s="6">
        <v>0</v>
      </c>
      <c r="BE54" s="12">
        <v>0</v>
      </c>
      <c r="BF54" s="12">
        <v>18</v>
      </c>
      <c r="BG54" s="17">
        <f t="shared" si="12"/>
        <v>5300</v>
      </c>
      <c r="BH54" s="17">
        <f t="shared" si="12"/>
        <v>0</v>
      </c>
      <c r="BI54" s="17">
        <f t="shared" si="13"/>
        <v>0</v>
      </c>
      <c r="BJ54" s="25">
        <f t="shared" si="13"/>
        <v>5400</v>
      </c>
      <c r="BK54" s="12">
        <v>53</v>
      </c>
      <c r="BL54" s="6">
        <v>0</v>
      </c>
      <c r="BM54" s="12">
        <v>0</v>
      </c>
      <c r="BN54" s="12">
        <v>18</v>
      </c>
      <c r="BO54" s="17">
        <f t="shared" si="14"/>
        <v>5300</v>
      </c>
      <c r="BP54" s="17">
        <f t="shared" si="14"/>
        <v>0</v>
      </c>
      <c r="BQ54" s="17">
        <f t="shared" si="15"/>
        <v>0</v>
      </c>
      <c r="BR54" s="25">
        <f t="shared" si="15"/>
        <v>5400</v>
      </c>
      <c r="BS54" s="12">
        <v>53</v>
      </c>
      <c r="BT54" s="6">
        <v>0</v>
      </c>
      <c r="BU54" s="12">
        <v>0</v>
      </c>
      <c r="BV54" s="12">
        <v>18</v>
      </c>
      <c r="BW54" s="17">
        <f t="shared" si="16"/>
        <v>5300</v>
      </c>
      <c r="BX54" s="17">
        <f t="shared" si="16"/>
        <v>0</v>
      </c>
      <c r="BY54" s="17">
        <f t="shared" si="17"/>
        <v>0</v>
      </c>
      <c r="BZ54" s="25">
        <f t="shared" si="17"/>
        <v>5400</v>
      </c>
      <c r="CA54" s="81"/>
      <c r="CB54" s="75"/>
      <c r="CC54" s="81"/>
      <c r="CD54" s="81"/>
      <c r="CE54" s="93"/>
      <c r="CF54" s="93"/>
      <c r="CG54" s="93"/>
      <c r="CH54" s="94"/>
      <c r="CI54" s="81"/>
      <c r="CJ54" s="75"/>
      <c r="CK54" s="81"/>
      <c r="CL54" s="81"/>
      <c r="CM54" s="93"/>
      <c r="CN54" s="93"/>
      <c r="CO54" s="93"/>
      <c r="CP54" s="94"/>
      <c r="CQ54" s="81"/>
      <c r="CR54" s="75"/>
      <c r="CS54" s="81"/>
      <c r="CT54" s="81"/>
      <c r="CU54" s="93"/>
      <c r="CV54" s="93"/>
      <c r="CW54" s="93"/>
      <c r="CX54" s="94"/>
      <c r="CY54" s="81"/>
      <c r="CZ54" s="75"/>
      <c r="DA54" s="81"/>
      <c r="DB54" s="81"/>
      <c r="DC54" s="93"/>
      <c r="DD54" s="93"/>
      <c r="DE54" s="93"/>
      <c r="DF54" s="94"/>
      <c r="DG54" s="81"/>
      <c r="DH54" s="75"/>
      <c r="DI54" s="81"/>
      <c r="DJ54" s="81"/>
      <c r="DK54" s="93"/>
      <c r="DL54" s="93"/>
      <c r="DM54" s="93"/>
      <c r="DN54" s="94"/>
      <c r="DO54" s="95"/>
      <c r="DP54" s="96"/>
      <c r="DQ54" s="95"/>
      <c r="DR54" s="97"/>
      <c r="DS54" s="98"/>
      <c r="DT54" s="99"/>
      <c r="DU54" s="99"/>
      <c r="DV54" s="100"/>
      <c r="DW54" s="95"/>
      <c r="DX54" s="96"/>
      <c r="DY54" s="95"/>
      <c r="DZ54" s="97"/>
      <c r="EA54" s="98"/>
      <c r="EB54" s="99"/>
      <c r="EC54" s="99"/>
      <c r="ED54" s="100"/>
      <c r="EE54" s="95"/>
      <c r="EF54" s="96"/>
      <c r="EG54" s="95"/>
      <c r="EH54" s="97"/>
      <c r="EI54" s="98"/>
      <c r="EJ54" s="99"/>
      <c r="EK54" s="99"/>
      <c r="EL54" s="100"/>
    </row>
    <row r="55" spans="1:142">
      <c r="A55" s="75">
        <v>52</v>
      </c>
      <c r="B55" s="75" t="s">
        <v>77</v>
      </c>
      <c r="F55" s="76"/>
      <c r="G55" s="77">
        <v>40</v>
      </c>
      <c r="H55" s="90">
        <v>0</v>
      </c>
      <c r="I55" s="77">
        <v>0</v>
      </c>
      <c r="J55" s="77">
        <v>10</v>
      </c>
      <c r="K55" s="91">
        <f t="shared" si="0"/>
        <v>4000</v>
      </c>
      <c r="L55" s="91">
        <f t="shared" si="0"/>
        <v>0</v>
      </c>
      <c r="M55" s="91">
        <f t="shared" si="1"/>
        <v>0</v>
      </c>
      <c r="N55" s="92">
        <f t="shared" si="1"/>
        <v>3000</v>
      </c>
      <c r="O55" s="77">
        <v>30</v>
      </c>
      <c r="P55" s="90">
        <v>0</v>
      </c>
      <c r="Q55" s="77">
        <v>0</v>
      </c>
      <c r="R55" s="77">
        <v>12</v>
      </c>
      <c r="S55" s="91">
        <f t="shared" si="2"/>
        <v>3000</v>
      </c>
      <c r="T55" s="91">
        <f t="shared" si="2"/>
        <v>0</v>
      </c>
      <c r="U55" s="91">
        <f t="shared" si="3"/>
        <v>0</v>
      </c>
      <c r="V55" s="92">
        <f t="shared" si="3"/>
        <v>3600</v>
      </c>
      <c r="W55" s="77">
        <v>35</v>
      </c>
      <c r="X55" s="90">
        <v>0</v>
      </c>
      <c r="Y55" s="77">
        <v>0</v>
      </c>
      <c r="Z55" s="77">
        <v>14</v>
      </c>
      <c r="AA55" s="91">
        <f t="shared" si="4"/>
        <v>3500</v>
      </c>
      <c r="AB55" s="91">
        <f t="shared" si="4"/>
        <v>0</v>
      </c>
      <c r="AC55" s="91">
        <f t="shared" si="5"/>
        <v>0</v>
      </c>
      <c r="AD55" s="92">
        <f t="shared" si="5"/>
        <v>4200</v>
      </c>
      <c r="AE55" s="77">
        <v>35</v>
      </c>
      <c r="AF55" s="90">
        <v>0</v>
      </c>
      <c r="AG55" s="77">
        <v>0</v>
      </c>
      <c r="AH55" s="77">
        <v>14</v>
      </c>
      <c r="AI55" s="91">
        <f t="shared" si="6"/>
        <v>3500</v>
      </c>
      <c r="AJ55" s="91">
        <f t="shared" si="6"/>
        <v>0</v>
      </c>
      <c r="AK55" s="91">
        <f t="shared" si="7"/>
        <v>0</v>
      </c>
      <c r="AL55" s="92">
        <f t="shared" si="7"/>
        <v>4200</v>
      </c>
      <c r="AM55" s="77">
        <v>42</v>
      </c>
      <c r="AN55" s="90">
        <v>0</v>
      </c>
      <c r="AO55" s="77">
        <v>0</v>
      </c>
      <c r="AP55" s="77">
        <v>16</v>
      </c>
      <c r="AQ55" s="91">
        <f t="shared" si="18"/>
        <v>4200</v>
      </c>
      <c r="AR55" s="91">
        <f t="shared" si="18"/>
        <v>0</v>
      </c>
      <c r="AS55" s="91">
        <f t="shared" si="19"/>
        <v>0</v>
      </c>
      <c r="AT55" s="92">
        <f t="shared" si="19"/>
        <v>4800</v>
      </c>
      <c r="AU55" s="12">
        <v>42</v>
      </c>
      <c r="AV55" s="6">
        <v>0</v>
      </c>
      <c r="AW55" s="12">
        <v>0</v>
      </c>
      <c r="AX55" s="12">
        <v>20</v>
      </c>
      <c r="AY55" s="17">
        <f t="shared" si="10"/>
        <v>4200</v>
      </c>
      <c r="AZ55" s="17">
        <f t="shared" si="10"/>
        <v>0</v>
      </c>
      <c r="BA55" s="17">
        <f t="shared" si="11"/>
        <v>0</v>
      </c>
      <c r="BB55" s="25">
        <f t="shared" si="11"/>
        <v>6000</v>
      </c>
      <c r="BC55" s="12">
        <v>40</v>
      </c>
      <c r="BD55" s="6">
        <v>0</v>
      </c>
      <c r="BE55" s="12">
        <v>0</v>
      </c>
      <c r="BF55" s="12">
        <v>20</v>
      </c>
      <c r="BG55" s="17">
        <f t="shared" si="12"/>
        <v>4000</v>
      </c>
      <c r="BH55" s="17">
        <f t="shared" si="12"/>
        <v>0</v>
      </c>
      <c r="BI55" s="17">
        <f t="shared" si="13"/>
        <v>0</v>
      </c>
      <c r="BJ55" s="25">
        <f t="shared" si="13"/>
        <v>6000</v>
      </c>
      <c r="BK55" s="12">
        <v>40</v>
      </c>
      <c r="BL55" s="6">
        <v>0</v>
      </c>
      <c r="BM55" s="12">
        <v>0</v>
      </c>
      <c r="BN55" s="12">
        <v>20</v>
      </c>
      <c r="BO55" s="17">
        <f t="shared" si="14"/>
        <v>4000</v>
      </c>
      <c r="BP55" s="17">
        <f t="shared" si="14"/>
        <v>0</v>
      </c>
      <c r="BQ55" s="17">
        <f t="shared" si="15"/>
        <v>0</v>
      </c>
      <c r="BR55" s="25">
        <f t="shared" si="15"/>
        <v>6000</v>
      </c>
      <c r="BS55" s="12">
        <v>40</v>
      </c>
      <c r="BT55" s="6">
        <v>0</v>
      </c>
      <c r="BU55" s="12">
        <v>0</v>
      </c>
      <c r="BV55" s="12">
        <v>20</v>
      </c>
      <c r="BW55" s="17">
        <f t="shared" si="16"/>
        <v>4000</v>
      </c>
      <c r="BX55" s="17">
        <f t="shared" si="16"/>
        <v>0</v>
      </c>
      <c r="BY55" s="17">
        <f t="shared" si="17"/>
        <v>0</v>
      </c>
      <c r="BZ55" s="25">
        <f t="shared" si="17"/>
        <v>6000</v>
      </c>
      <c r="CA55" s="81"/>
      <c r="CB55" s="75"/>
      <c r="CC55" s="81"/>
      <c r="CD55" s="81"/>
      <c r="CE55" s="93"/>
      <c r="CF55" s="93"/>
      <c r="CG55" s="93"/>
      <c r="CH55" s="94"/>
      <c r="CI55" s="81"/>
      <c r="CJ55" s="75"/>
      <c r="CK55" s="81"/>
      <c r="CL55" s="81"/>
      <c r="CM55" s="93"/>
      <c r="CN55" s="93"/>
      <c r="CO55" s="93"/>
      <c r="CP55" s="94"/>
      <c r="CQ55" s="81"/>
      <c r="CR55" s="75"/>
      <c r="CS55" s="81"/>
      <c r="CT55" s="81"/>
      <c r="CU55" s="93"/>
      <c r="CV55" s="93"/>
      <c r="CW55" s="93"/>
      <c r="CX55" s="94"/>
      <c r="CY55" s="81"/>
      <c r="CZ55" s="75"/>
      <c r="DA55" s="81"/>
      <c r="DB55" s="81"/>
      <c r="DC55" s="93"/>
      <c r="DD55" s="93"/>
      <c r="DE55" s="93"/>
      <c r="DF55" s="94"/>
      <c r="DG55" s="81"/>
      <c r="DH55" s="75"/>
      <c r="DI55" s="81"/>
      <c r="DJ55" s="81"/>
      <c r="DK55" s="93"/>
      <c r="DL55" s="93"/>
      <c r="DM55" s="93"/>
      <c r="DN55" s="94"/>
      <c r="DO55" s="95"/>
      <c r="DP55" s="96"/>
      <c r="DQ55" s="95"/>
      <c r="DR55" s="97"/>
      <c r="DS55" s="98"/>
      <c r="DT55" s="99"/>
      <c r="DU55" s="99"/>
      <c r="DV55" s="100"/>
      <c r="DW55" s="95"/>
      <c r="DX55" s="96"/>
      <c r="DY55" s="95"/>
      <c r="DZ55" s="97"/>
      <c r="EA55" s="98"/>
      <c r="EB55" s="99"/>
      <c r="EC55" s="99"/>
      <c r="ED55" s="100"/>
      <c r="EE55" s="95"/>
      <c r="EF55" s="96"/>
      <c r="EG55" s="95"/>
      <c r="EH55" s="97"/>
      <c r="EI55" s="98"/>
      <c r="EJ55" s="99"/>
      <c r="EK55" s="99"/>
      <c r="EL55" s="100"/>
    </row>
    <row r="56" spans="1:142">
      <c r="A56" s="75">
        <v>53</v>
      </c>
      <c r="B56" s="75" t="s">
        <v>78</v>
      </c>
      <c r="F56" s="76"/>
      <c r="G56" s="77">
        <v>32</v>
      </c>
      <c r="H56" s="90">
        <v>0</v>
      </c>
      <c r="I56" s="77">
        <v>0</v>
      </c>
      <c r="J56" s="77">
        <v>0</v>
      </c>
      <c r="K56" s="91">
        <f t="shared" si="0"/>
        <v>3200</v>
      </c>
      <c r="L56" s="91">
        <f t="shared" si="0"/>
        <v>0</v>
      </c>
      <c r="M56" s="91">
        <f t="shared" si="1"/>
        <v>0</v>
      </c>
      <c r="N56" s="92">
        <f t="shared" si="1"/>
        <v>0</v>
      </c>
      <c r="O56" s="77">
        <v>30</v>
      </c>
      <c r="P56" s="90">
        <v>0</v>
      </c>
      <c r="Q56" s="77">
        <v>0</v>
      </c>
      <c r="R56" s="77">
        <v>4</v>
      </c>
      <c r="S56" s="91">
        <f t="shared" si="2"/>
        <v>3000</v>
      </c>
      <c r="T56" s="91">
        <f t="shared" si="2"/>
        <v>0</v>
      </c>
      <c r="U56" s="91">
        <f t="shared" si="3"/>
        <v>0</v>
      </c>
      <c r="V56" s="92">
        <f t="shared" si="3"/>
        <v>1200</v>
      </c>
      <c r="W56" s="77">
        <v>38</v>
      </c>
      <c r="X56" s="90">
        <v>0</v>
      </c>
      <c r="Y56" s="77">
        <v>0</v>
      </c>
      <c r="Z56" s="77">
        <v>8</v>
      </c>
      <c r="AA56" s="91">
        <f t="shared" si="4"/>
        <v>3800</v>
      </c>
      <c r="AB56" s="91">
        <f t="shared" si="4"/>
        <v>0</v>
      </c>
      <c r="AC56" s="91">
        <f t="shared" si="5"/>
        <v>0</v>
      </c>
      <c r="AD56" s="92">
        <f t="shared" si="5"/>
        <v>2400</v>
      </c>
      <c r="AE56" s="77">
        <v>40</v>
      </c>
      <c r="AF56" s="90">
        <v>0</v>
      </c>
      <c r="AG56" s="77">
        <v>0</v>
      </c>
      <c r="AH56" s="77">
        <v>10</v>
      </c>
      <c r="AI56" s="91">
        <f t="shared" si="6"/>
        <v>4000</v>
      </c>
      <c r="AJ56" s="91">
        <f t="shared" si="6"/>
        <v>0</v>
      </c>
      <c r="AK56" s="91">
        <f t="shared" si="7"/>
        <v>0</v>
      </c>
      <c r="AL56" s="92">
        <f t="shared" si="7"/>
        <v>3000</v>
      </c>
      <c r="AM56" s="77">
        <v>30</v>
      </c>
      <c r="AN56" s="90">
        <v>0</v>
      </c>
      <c r="AO56" s="77">
        <v>0</v>
      </c>
      <c r="AP56" s="77">
        <v>18</v>
      </c>
      <c r="AQ56" s="91">
        <f t="shared" si="18"/>
        <v>3000</v>
      </c>
      <c r="AR56" s="91">
        <f t="shared" si="18"/>
        <v>0</v>
      </c>
      <c r="AS56" s="91">
        <f t="shared" si="19"/>
        <v>0</v>
      </c>
      <c r="AT56" s="92">
        <f t="shared" si="19"/>
        <v>5400</v>
      </c>
      <c r="AU56" s="12">
        <v>34</v>
      </c>
      <c r="AV56" s="6">
        <v>0</v>
      </c>
      <c r="AW56" s="12">
        <v>0</v>
      </c>
      <c r="AX56" s="12">
        <v>18</v>
      </c>
      <c r="AY56" s="17">
        <f t="shared" si="10"/>
        <v>3400</v>
      </c>
      <c r="AZ56" s="17">
        <f t="shared" si="10"/>
        <v>0</v>
      </c>
      <c r="BA56" s="17">
        <f t="shared" si="11"/>
        <v>0</v>
      </c>
      <c r="BB56" s="25">
        <f t="shared" si="11"/>
        <v>5400</v>
      </c>
      <c r="BC56" s="12">
        <v>39</v>
      </c>
      <c r="BD56" s="6">
        <v>0</v>
      </c>
      <c r="BE56" s="12">
        <v>0</v>
      </c>
      <c r="BF56" s="12">
        <v>20</v>
      </c>
      <c r="BG56" s="17">
        <f t="shared" si="12"/>
        <v>3900</v>
      </c>
      <c r="BH56" s="17">
        <f t="shared" si="12"/>
        <v>0</v>
      </c>
      <c r="BI56" s="17">
        <f t="shared" si="13"/>
        <v>0</v>
      </c>
      <c r="BJ56" s="25">
        <f t="shared" si="13"/>
        <v>6000</v>
      </c>
      <c r="BK56" s="12">
        <v>44</v>
      </c>
      <c r="BL56" s="6">
        <v>0</v>
      </c>
      <c r="BM56" s="12">
        <v>0</v>
      </c>
      <c r="BN56" s="12">
        <v>20</v>
      </c>
      <c r="BO56" s="17">
        <f t="shared" si="14"/>
        <v>4400</v>
      </c>
      <c r="BP56" s="17">
        <f t="shared" si="14"/>
        <v>0</v>
      </c>
      <c r="BQ56" s="17">
        <f t="shared" si="15"/>
        <v>0</v>
      </c>
      <c r="BR56" s="25">
        <f t="shared" si="15"/>
        <v>6000</v>
      </c>
      <c r="BS56" s="12">
        <v>44</v>
      </c>
      <c r="BT56" s="6">
        <v>0</v>
      </c>
      <c r="BU56" s="12">
        <v>0</v>
      </c>
      <c r="BV56" s="12">
        <v>12</v>
      </c>
      <c r="BW56" s="17">
        <f t="shared" si="16"/>
        <v>4400</v>
      </c>
      <c r="BX56" s="17">
        <f t="shared" si="16"/>
        <v>0</v>
      </c>
      <c r="BY56" s="17">
        <f t="shared" si="17"/>
        <v>0</v>
      </c>
      <c r="BZ56" s="25">
        <f t="shared" si="17"/>
        <v>3600</v>
      </c>
      <c r="CA56" s="81"/>
      <c r="CB56" s="75"/>
      <c r="CC56" s="81"/>
      <c r="CD56" s="81"/>
      <c r="CE56" s="93"/>
      <c r="CF56" s="93"/>
      <c r="CG56" s="93"/>
      <c r="CH56" s="94"/>
      <c r="CI56" s="81"/>
      <c r="CJ56" s="75"/>
      <c r="CK56" s="81"/>
      <c r="CL56" s="81"/>
      <c r="CM56" s="93"/>
      <c r="CN56" s="93"/>
      <c r="CO56" s="93"/>
      <c r="CP56" s="94"/>
      <c r="CQ56" s="81"/>
      <c r="CR56" s="75"/>
      <c r="CS56" s="81"/>
      <c r="CT56" s="81"/>
      <c r="CU56" s="93"/>
      <c r="CV56" s="93"/>
      <c r="CW56" s="93"/>
      <c r="CX56" s="94"/>
      <c r="CY56" s="81"/>
      <c r="CZ56" s="75"/>
      <c r="DA56" s="81"/>
      <c r="DB56" s="81"/>
      <c r="DC56" s="93"/>
      <c r="DD56" s="93"/>
      <c r="DE56" s="93"/>
      <c r="DF56" s="94"/>
      <c r="DG56" s="81"/>
      <c r="DH56" s="75"/>
      <c r="DI56" s="81"/>
      <c r="DJ56" s="81"/>
      <c r="DK56" s="93"/>
      <c r="DL56" s="93"/>
      <c r="DM56" s="93"/>
      <c r="DN56" s="94"/>
      <c r="DO56" s="95"/>
      <c r="DP56" s="96"/>
      <c r="DQ56" s="95"/>
      <c r="DR56" s="97"/>
      <c r="DS56" s="98"/>
      <c r="DT56" s="99"/>
      <c r="DU56" s="99"/>
      <c r="DV56" s="100"/>
      <c r="DW56" s="95"/>
      <c r="DX56" s="96"/>
      <c r="DY56" s="95"/>
      <c r="DZ56" s="97"/>
      <c r="EA56" s="98"/>
      <c r="EB56" s="99"/>
      <c r="EC56" s="99"/>
      <c r="ED56" s="100"/>
      <c r="EE56" s="95"/>
      <c r="EF56" s="96"/>
      <c r="EG56" s="95"/>
      <c r="EH56" s="97"/>
      <c r="EI56" s="98"/>
      <c r="EJ56" s="99"/>
      <c r="EK56" s="99"/>
      <c r="EL56" s="100"/>
    </row>
    <row r="57" spans="1:142">
      <c r="A57" s="75">
        <v>54</v>
      </c>
      <c r="B57" s="75" t="s">
        <v>79</v>
      </c>
      <c r="F57" s="76"/>
      <c r="G57" s="77">
        <v>48</v>
      </c>
      <c r="H57" s="90">
        <v>0</v>
      </c>
      <c r="I57" s="77">
        <v>0</v>
      </c>
      <c r="J57" s="77">
        <v>5</v>
      </c>
      <c r="K57" s="91">
        <f t="shared" si="0"/>
        <v>4800</v>
      </c>
      <c r="L57" s="91">
        <f t="shared" si="0"/>
        <v>0</v>
      </c>
      <c r="M57" s="91">
        <f t="shared" si="1"/>
        <v>0</v>
      </c>
      <c r="N57" s="92">
        <f t="shared" si="1"/>
        <v>1500</v>
      </c>
      <c r="O57" s="77">
        <v>48</v>
      </c>
      <c r="P57" s="90">
        <v>0</v>
      </c>
      <c r="Q57" s="77">
        <v>0</v>
      </c>
      <c r="R57" s="77">
        <v>5</v>
      </c>
      <c r="S57" s="91">
        <f t="shared" si="2"/>
        <v>4800</v>
      </c>
      <c r="T57" s="91">
        <f t="shared" si="2"/>
        <v>0</v>
      </c>
      <c r="U57" s="91">
        <f t="shared" si="3"/>
        <v>0</v>
      </c>
      <c r="V57" s="92">
        <f t="shared" si="3"/>
        <v>1500</v>
      </c>
      <c r="W57" s="77">
        <v>50</v>
      </c>
      <c r="X57" s="90">
        <v>0</v>
      </c>
      <c r="Y57" s="77">
        <v>0</v>
      </c>
      <c r="Z57" s="77">
        <v>6</v>
      </c>
      <c r="AA57" s="91">
        <f t="shared" si="4"/>
        <v>5000</v>
      </c>
      <c r="AB57" s="91">
        <f t="shared" si="4"/>
        <v>0</v>
      </c>
      <c r="AC57" s="91">
        <f t="shared" si="5"/>
        <v>0</v>
      </c>
      <c r="AD57" s="92">
        <f t="shared" si="5"/>
        <v>1800</v>
      </c>
      <c r="AE57" s="77">
        <v>50</v>
      </c>
      <c r="AF57" s="90">
        <v>0</v>
      </c>
      <c r="AG57" s="77">
        <v>0</v>
      </c>
      <c r="AH57" s="77">
        <v>6</v>
      </c>
      <c r="AI57" s="91">
        <f t="shared" si="6"/>
        <v>5000</v>
      </c>
      <c r="AJ57" s="91">
        <f t="shared" si="6"/>
        <v>0</v>
      </c>
      <c r="AK57" s="91">
        <f t="shared" si="7"/>
        <v>0</v>
      </c>
      <c r="AL57" s="92">
        <f t="shared" si="7"/>
        <v>1800</v>
      </c>
      <c r="AM57" s="77">
        <v>50</v>
      </c>
      <c r="AN57" s="90">
        <v>0</v>
      </c>
      <c r="AO57" s="77">
        <v>0</v>
      </c>
      <c r="AP57" s="77">
        <v>20</v>
      </c>
      <c r="AQ57" s="91">
        <f t="shared" si="18"/>
        <v>5000</v>
      </c>
      <c r="AR57" s="91">
        <f t="shared" si="18"/>
        <v>0</v>
      </c>
      <c r="AS57" s="91">
        <f t="shared" si="19"/>
        <v>0</v>
      </c>
      <c r="AT57" s="92">
        <f t="shared" si="19"/>
        <v>6000</v>
      </c>
      <c r="AU57" s="12">
        <v>50</v>
      </c>
      <c r="AV57" s="6">
        <v>0</v>
      </c>
      <c r="AW57" s="12">
        <v>0</v>
      </c>
      <c r="AX57" s="12">
        <v>20</v>
      </c>
      <c r="AY57" s="17">
        <f t="shared" si="10"/>
        <v>5000</v>
      </c>
      <c r="AZ57" s="17">
        <f t="shared" si="10"/>
        <v>0</v>
      </c>
      <c r="BA57" s="17">
        <f t="shared" si="11"/>
        <v>0</v>
      </c>
      <c r="BB57" s="25">
        <f t="shared" si="11"/>
        <v>6000</v>
      </c>
      <c r="BC57" s="12">
        <v>51</v>
      </c>
      <c r="BD57" s="6">
        <v>0</v>
      </c>
      <c r="BE57" s="12">
        <v>0</v>
      </c>
      <c r="BF57" s="12">
        <v>20</v>
      </c>
      <c r="BG57" s="17">
        <f t="shared" si="12"/>
        <v>5100</v>
      </c>
      <c r="BH57" s="17">
        <f t="shared" si="12"/>
        <v>0</v>
      </c>
      <c r="BI57" s="17">
        <f t="shared" si="13"/>
        <v>0</v>
      </c>
      <c r="BJ57" s="25">
        <f t="shared" si="13"/>
        <v>6000</v>
      </c>
      <c r="BK57" s="12">
        <v>52</v>
      </c>
      <c r="BL57" s="6">
        <v>0</v>
      </c>
      <c r="BM57" s="12">
        <v>0</v>
      </c>
      <c r="BN57" s="12">
        <v>20</v>
      </c>
      <c r="BO57" s="17">
        <f t="shared" si="14"/>
        <v>5200</v>
      </c>
      <c r="BP57" s="17">
        <f t="shared" si="14"/>
        <v>0</v>
      </c>
      <c r="BQ57" s="17">
        <f t="shared" si="15"/>
        <v>0</v>
      </c>
      <c r="BR57" s="25">
        <f t="shared" si="15"/>
        <v>6000</v>
      </c>
      <c r="BS57" s="12">
        <v>52</v>
      </c>
      <c r="BT57" s="6">
        <v>0</v>
      </c>
      <c r="BU57" s="12">
        <v>0</v>
      </c>
      <c r="BV57" s="12">
        <v>20</v>
      </c>
      <c r="BW57" s="17">
        <f t="shared" si="16"/>
        <v>5200</v>
      </c>
      <c r="BX57" s="17">
        <f t="shared" si="16"/>
        <v>0</v>
      </c>
      <c r="BY57" s="17">
        <f t="shared" si="17"/>
        <v>0</v>
      </c>
      <c r="BZ57" s="25">
        <f t="shared" si="17"/>
        <v>6000</v>
      </c>
      <c r="CA57" s="81"/>
      <c r="CB57" s="75"/>
      <c r="CC57" s="81"/>
      <c r="CD57" s="81"/>
      <c r="CE57" s="93"/>
      <c r="CF57" s="93"/>
      <c r="CG57" s="93"/>
      <c r="CH57" s="94"/>
      <c r="CI57" s="81"/>
      <c r="CJ57" s="75"/>
      <c r="CK57" s="81"/>
      <c r="CL57" s="81"/>
      <c r="CM57" s="93"/>
      <c r="CN57" s="93"/>
      <c r="CO57" s="93"/>
      <c r="CP57" s="94"/>
      <c r="CQ57" s="81"/>
      <c r="CR57" s="75"/>
      <c r="CS57" s="81"/>
      <c r="CT57" s="81"/>
      <c r="CU57" s="93"/>
      <c r="CV57" s="93"/>
      <c r="CW57" s="93"/>
      <c r="CX57" s="94"/>
      <c r="CY57" s="81"/>
      <c r="CZ57" s="75"/>
      <c r="DA57" s="81"/>
      <c r="DB57" s="81"/>
      <c r="DC57" s="93"/>
      <c r="DD57" s="93"/>
      <c r="DE57" s="93"/>
      <c r="DF57" s="94"/>
      <c r="DG57" s="81"/>
      <c r="DH57" s="75"/>
      <c r="DI57" s="81"/>
      <c r="DJ57" s="81"/>
      <c r="DK57" s="93"/>
      <c r="DL57" s="93"/>
      <c r="DM57" s="93"/>
      <c r="DN57" s="94"/>
      <c r="DO57" s="95"/>
      <c r="DP57" s="96"/>
      <c r="DQ57" s="95"/>
      <c r="DR57" s="97"/>
      <c r="DS57" s="98"/>
      <c r="DT57" s="99"/>
      <c r="DU57" s="99"/>
      <c r="DV57" s="100"/>
      <c r="DW57" s="95"/>
      <c r="DX57" s="96"/>
      <c r="DY57" s="95"/>
      <c r="DZ57" s="97"/>
      <c r="EA57" s="98"/>
      <c r="EB57" s="99"/>
      <c r="EC57" s="99"/>
      <c r="ED57" s="100"/>
      <c r="EE57" s="95"/>
      <c r="EF57" s="96"/>
      <c r="EG57" s="95"/>
      <c r="EH57" s="97"/>
      <c r="EI57" s="98"/>
      <c r="EJ57" s="99"/>
      <c r="EK57" s="99"/>
      <c r="EL57" s="100"/>
    </row>
    <row r="58" spans="1:142">
      <c r="A58" s="75">
        <v>55</v>
      </c>
      <c r="B58" s="75" t="s">
        <v>80</v>
      </c>
      <c r="F58" s="76"/>
      <c r="G58" s="77">
        <v>40</v>
      </c>
      <c r="H58" s="90">
        <v>0</v>
      </c>
      <c r="I58" s="77">
        <v>0</v>
      </c>
      <c r="J58" s="77">
        <v>5</v>
      </c>
      <c r="K58" s="91">
        <f t="shared" si="0"/>
        <v>4000</v>
      </c>
      <c r="L58" s="91">
        <f t="shared" si="0"/>
        <v>0</v>
      </c>
      <c r="M58" s="91">
        <f t="shared" si="1"/>
        <v>0</v>
      </c>
      <c r="N58" s="92">
        <f t="shared" si="1"/>
        <v>1500</v>
      </c>
      <c r="O58" s="77">
        <v>40</v>
      </c>
      <c r="P58" s="90">
        <v>0</v>
      </c>
      <c r="Q58" s="77">
        <v>0</v>
      </c>
      <c r="R58" s="77">
        <v>5</v>
      </c>
      <c r="S58" s="91">
        <f t="shared" si="2"/>
        <v>4000</v>
      </c>
      <c r="T58" s="91">
        <f t="shared" si="2"/>
        <v>0</v>
      </c>
      <c r="U58" s="91">
        <f t="shared" si="3"/>
        <v>0</v>
      </c>
      <c r="V58" s="92">
        <f t="shared" si="3"/>
        <v>1500</v>
      </c>
      <c r="W58" s="77">
        <v>46</v>
      </c>
      <c r="X58" s="90">
        <v>0</v>
      </c>
      <c r="Y58" s="77">
        <v>0</v>
      </c>
      <c r="Z58" s="77">
        <v>8</v>
      </c>
      <c r="AA58" s="91">
        <f t="shared" si="4"/>
        <v>4600</v>
      </c>
      <c r="AB58" s="91">
        <f t="shared" si="4"/>
        <v>0</v>
      </c>
      <c r="AC58" s="91">
        <f t="shared" si="5"/>
        <v>0</v>
      </c>
      <c r="AD58" s="92">
        <f t="shared" si="5"/>
        <v>2400</v>
      </c>
      <c r="AE58" s="77">
        <v>46</v>
      </c>
      <c r="AF58" s="90">
        <v>0</v>
      </c>
      <c r="AG58" s="77">
        <v>0</v>
      </c>
      <c r="AH58" s="77">
        <v>8</v>
      </c>
      <c r="AI58" s="91">
        <f t="shared" si="6"/>
        <v>4600</v>
      </c>
      <c r="AJ58" s="91">
        <f t="shared" si="6"/>
        <v>0</v>
      </c>
      <c r="AK58" s="91">
        <f t="shared" si="7"/>
        <v>0</v>
      </c>
      <c r="AL58" s="92">
        <f t="shared" si="7"/>
        <v>2400</v>
      </c>
      <c r="AM58" s="77">
        <v>43</v>
      </c>
      <c r="AN58" s="90">
        <v>0</v>
      </c>
      <c r="AO58" s="77">
        <v>0</v>
      </c>
      <c r="AP58" s="77">
        <v>20</v>
      </c>
      <c r="AQ58" s="91">
        <f t="shared" si="18"/>
        <v>4300</v>
      </c>
      <c r="AR58" s="91">
        <f t="shared" si="18"/>
        <v>0</v>
      </c>
      <c r="AS58" s="91">
        <f t="shared" si="19"/>
        <v>0</v>
      </c>
      <c r="AT58" s="92">
        <f t="shared" si="19"/>
        <v>6000</v>
      </c>
      <c r="AU58" s="12">
        <v>48</v>
      </c>
      <c r="AV58" s="6">
        <v>0</v>
      </c>
      <c r="AW58" s="12">
        <v>0</v>
      </c>
      <c r="AX58" s="12">
        <v>16</v>
      </c>
      <c r="AY58" s="17">
        <f t="shared" si="10"/>
        <v>4800</v>
      </c>
      <c r="AZ58" s="17">
        <f t="shared" si="10"/>
        <v>0</v>
      </c>
      <c r="BA58" s="17">
        <f t="shared" si="11"/>
        <v>0</v>
      </c>
      <c r="BB58" s="25">
        <f t="shared" si="11"/>
        <v>4800</v>
      </c>
      <c r="BC58" s="12">
        <v>49</v>
      </c>
      <c r="BD58" s="6">
        <v>0</v>
      </c>
      <c r="BE58" s="12">
        <v>0</v>
      </c>
      <c r="BF58" s="12">
        <v>18</v>
      </c>
      <c r="BG58" s="17">
        <f t="shared" si="12"/>
        <v>4900</v>
      </c>
      <c r="BH58" s="17">
        <f t="shared" si="12"/>
        <v>0</v>
      </c>
      <c r="BI58" s="17">
        <f t="shared" si="13"/>
        <v>0</v>
      </c>
      <c r="BJ58" s="25">
        <f t="shared" si="13"/>
        <v>5400</v>
      </c>
      <c r="BK58" s="12">
        <v>55</v>
      </c>
      <c r="BL58" s="6">
        <v>0</v>
      </c>
      <c r="BM58" s="12">
        <v>0</v>
      </c>
      <c r="BN58" s="12">
        <v>18</v>
      </c>
      <c r="BO58" s="17">
        <f t="shared" si="14"/>
        <v>5500</v>
      </c>
      <c r="BP58" s="17">
        <f t="shared" si="14"/>
        <v>0</v>
      </c>
      <c r="BQ58" s="17">
        <f t="shared" si="15"/>
        <v>0</v>
      </c>
      <c r="BR58" s="25">
        <f t="shared" si="15"/>
        <v>5400</v>
      </c>
      <c r="BS58" s="12">
        <v>60</v>
      </c>
      <c r="BT58" s="6">
        <v>0</v>
      </c>
      <c r="BU58" s="12">
        <v>0</v>
      </c>
      <c r="BV58" s="12">
        <v>18</v>
      </c>
      <c r="BW58" s="17">
        <f t="shared" si="16"/>
        <v>6000</v>
      </c>
      <c r="BX58" s="17">
        <f t="shared" si="16"/>
        <v>0</v>
      </c>
      <c r="BY58" s="17">
        <f t="shared" si="17"/>
        <v>0</v>
      </c>
      <c r="BZ58" s="25">
        <f t="shared" si="17"/>
        <v>5400</v>
      </c>
      <c r="CA58" s="81"/>
      <c r="CB58" s="75"/>
      <c r="CC58" s="81"/>
      <c r="CD58" s="81"/>
      <c r="CE58" s="93"/>
      <c r="CF58" s="93"/>
      <c r="CG58" s="93"/>
      <c r="CH58" s="94"/>
      <c r="CI58" s="81"/>
      <c r="CJ58" s="75"/>
      <c r="CK58" s="81"/>
      <c r="CL58" s="81"/>
      <c r="CM58" s="93"/>
      <c r="CN58" s="93"/>
      <c r="CO58" s="93"/>
      <c r="CP58" s="94"/>
      <c r="CQ58" s="81"/>
      <c r="CR58" s="75"/>
      <c r="CS58" s="81"/>
      <c r="CT58" s="81"/>
      <c r="CU58" s="93"/>
      <c r="CV58" s="93"/>
      <c r="CW58" s="93"/>
      <c r="CX58" s="94"/>
      <c r="CY58" s="81"/>
      <c r="CZ58" s="75"/>
      <c r="DA58" s="81"/>
      <c r="DB58" s="81"/>
      <c r="DC58" s="93"/>
      <c r="DD58" s="93"/>
      <c r="DE58" s="93"/>
      <c r="DF58" s="94"/>
      <c r="DG58" s="81"/>
      <c r="DH58" s="75"/>
      <c r="DI58" s="81"/>
      <c r="DJ58" s="81"/>
      <c r="DK58" s="93"/>
      <c r="DL58" s="93"/>
      <c r="DM58" s="93"/>
      <c r="DN58" s="94"/>
      <c r="DO58" s="95"/>
      <c r="DP58" s="96"/>
      <c r="DQ58" s="95"/>
      <c r="DR58" s="97"/>
      <c r="DS58" s="98"/>
      <c r="DT58" s="99"/>
      <c r="DU58" s="99"/>
      <c r="DV58" s="100"/>
      <c r="DW58" s="95"/>
      <c r="DX58" s="96"/>
      <c r="DY58" s="95"/>
      <c r="DZ58" s="97"/>
      <c r="EA58" s="98"/>
      <c r="EB58" s="99"/>
      <c r="EC58" s="99"/>
      <c r="ED58" s="100"/>
      <c r="EE58" s="95"/>
      <c r="EF58" s="96"/>
      <c r="EG58" s="95"/>
      <c r="EH58" s="97"/>
      <c r="EI58" s="98"/>
      <c r="EJ58" s="99"/>
      <c r="EK58" s="99"/>
      <c r="EL58" s="100"/>
    </row>
    <row r="59" spans="1:142">
      <c r="A59" s="75">
        <v>56</v>
      </c>
      <c r="B59" s="75" t="s">
        <v>81</v>
      </c>
      <c r="F59" s="76"/>
      <c r="G59" s="77">
        <v>45</v>
      </c>
      <c r="H59" s="90">
        <v>0</v>
      </c>
      <c r="I59" s="77">
        <v>0</v>
      </c>
      <c r="J59" s="77">
        <v>18</v>
      </c>
      <c r="K59" s="91">
        <f t="shared" si="0"/>
        <v>4500</v>
      </c>
      <c r="L59" s="91">
        <f t="shared" si="0"/>
        <v>0</v>
      </c>
      <c r="M59" s="91">
        <f t="shared" si="1"/>
        <v>0</v>
      </c>
      <c r="N59" s="92">
        <f t="shared" si="1"/>
        <v>5400</v>
      </c>
      <c r="O59" s="77">
        <v>45</v>
      </c>
      <c r="P59" s="90">
        <v>0</v>
      </c>
      <c r="Q59" s="77">
        <v>0</v>
      </c>
      <c r="R59" s="77">
        <v>20</v>
      </c>
      <c r="S59" s="91">
        <f t="shared" si="2"/>
        <v>4500</v>
      </c>
      <c r="T59" s="91">
        <f t="shared" si="2"/>
        <v>0</v>
      </c>
      <c r="U59" s="91">
        <f t="shared" si="3"/>
        <v>0</v>
      </c>
      <c r="V59" s="92">
        <f t="shared" si="3"/>
        <v>6000</v>
      </c>
      <c r="W59" s="77">
        <v>40</v>
      </c>
      <c r="X59" s="90">
        <v>0</v>
      </c>
      <c r="Y59" s="77">
        <v>0</v>
      </c>
      <c r="Z59" s="77">
        <v>20</v>
      </c>
      <c r="AA59" s="91">
        <f t="shared" si="4"/>
        <v>4000</v>
      </c>
      <c r="AB59" s="91">
        <f t="shared" si="4"/>
        <v>0</v>
      </c>
      <c r="AC59" s="91">
        <f t="shared" si="5"/>
        <v>0</v>
      </c>
      <c r="AD59" s="92">
        <f t="shared" si="5"/>
        <v>6000</v>
      </c>
      <c r="AE59" s="77">
        <v>41</v>
      </c>
      <c r="AF59" s="90">
        <v>0</v>
      </c>
      <c r="AG59" s="77">
        <v>0</v>
      </c>
      <c r="AH59" s="77">
        <v>20</v>
      </c>
      <c r="AI59" s="91">
        <f t="shared" si="6"/>
        <v>4100</v>
      </c>
      <c r="AJ59" s="91">
        <f t="shared" si="6"/>
        <v>0</v>
      </c>
      <c r="AK59" s="91">
        <f t="shared" si="7"/>
        <v>0</v>
      </c>
      <c r="AL59" s="92">
        <f t="shared" si="7"/>
        <v>6000</v>
      </c>
      <c r="AM59" s="77">
        <v>48</v>
      </c>
      <c r="AN59" s="90">
        <v>0</v>
      </c>
      <c r="AO59" s="77">
        <v>0</v>
      </c>
      <c r="AP59" s="77">
        <v>8</v>
      </c>
      <c r="AQ59" s="91">
        <f t="shared" si="18"/>
        <v>4800</v>
      </c>
      <c r="AR59" s="91">
        <f t="shared" si="18"/>
        <v>0</v>
      </c>
      <c r="AS59" s="91">
        <f t="shared" si="19"/>
        <v>0</v>
      </c>
      <c r="AT59" s="92">
        <f t="shared" si="19"/>
        <v>2400</v>
      </c>
      <c r="AU59" s="12">
        <v>50</v>
      </c>
      <c r="AV59" s="6">
        <v>0</v>
      </c>
      <c r="AW59" s="12">
        <v>0</v>
      </c>
      <c r="AX59" s="12">
        <v>20</v>
      </c>
      <c r="AY59" s="17">
        <f t="shared" si="10"/>
        <v>5000</v>
      </c>
      <c r="AZ59" s="17">
        <f t="shared" si="10"/>
        <v>0</v>
      </c>
      <c r="BA59" s="17">
        <f t="shared" si="11"/>
        <v>0</v>
      </c>
      <c r="BB59" s="25">
        <f t="shared" si="11"/>
        <v>6000</v>
      </c>
      <c r="BC59" s="12">
        <v>50</v>
      </c>
      <c r="BD59" s="6">
        <v>0</v>
      </c>
      <c r="BE59" s="12">
        <v>0</v>
      </c>
      <c r="BF59" s="12">
        <v>20</v>
      </c>
      <c r="BG59" s="17">
        <f t="shared" si="12"/>
        <v>5000</v>
      </c>
      <c r="BH59" s="17">
        <f t="shared" si="12"/>
        <v>0</v>
      </c>
      <c r="BI59" s="17">
        <f t="shared" si="13"/>
        <v>0</v>
      </c>
      <c r="BJ59" s="25">
        <f t="shared" si="13"/>
        <v>6000</v>
      </c>
      <c r="BK59" s="12">
        <v>50</v>
      </c>
      <c r="BL59" s="6">
        <v>0</v>
      </c>
      <c r="BM59" s="12">
        <v>0</v>
      </c>
      <c r="BN59" s="12">
        <v>18</v>
      </c>
      <c r="BO59" s="17">
        <f t="shared" si="14"/>
        <v>5000</v>
      </c>
      <c r="BP59" s="17">
        <f t="shared" si="14"/>
        <v>0</v>
      </c>
      <c r="BQ59" s="17">
        <f t="shared" si="15"/>
        <v>0</v>
      </c>
      <c r="BR59" s="25">
        <f t="shared" si="15"/>
        <v>5400</v>
      </c>
      <c r="BS59" s="12">
        <v>56</v>
      </c>
      <c r="BT59" s="6">
        <v>0</v>
      </c>
      <c r="BU59" s="12">
        <v>0</v>
      </c>
      <c r="BV59" s="12">
        <v>18</v>
      </c>
      <c r="BW59" s="17">
        <f t="shared" si="16"/>
        <v>5600</v>
      </c>
      <c r="BX59" s="17">
        <f t="shared" si="16"/>
        <v>0</v>
      </c>
      <c r="BY59" s="17">
        <f t="shared" si="17"/>
        <v>0</v>
      </c>
      <c r="BZ59" s="25">
        <f t="shared" si="17"/>
        <v>5400</v>
      </c>
      <c r="CA59" s="81"/>
      <c r="CB59" s="75"/>
      <c r="CC59" s="81"/>
      <c r="CD59" s="81"/>
      <c r="CE59" s="93"/>
      <c r="CF59" s="93"/>
      <c r="CG59" s="93"/>
      <c r="CH59" s="94"/>
      <c r="CI59" s="81"/>
      <c r="CJ59" s="75"/>
      <c r="CK59" s="81"/>
      <c r="CL59" s="81"/>
      <c r="CM59" s="93"/>
      <c r="CN59" s="93"/>
      <c r="CO59" s="93"/>
      <c r="CP59" s="94"/>
      <c r="CQ59" s="81"/>
      <c r="CR59" s="75"/>
      <c r="CS59" s="81"/>
      <c r="CT59" s="81"/>
      <c r="CU59" s="93"/>
      <c r="CV59" s="93"/>
      <c r="CW59" s="93"/>
      <c r="CX59" s="94"/>
      <c r="CY59" s="81"/>
      <c r="CZ59" s="75"/>
      <c r="DA59" s="81"/>
      <c r="DB59" s="81"/>
      <c r="DC59" s="93"/>
      <c r="DD59" s="93"/>
      <c r="DE59" s="93"/>
      <c r="DF59" s="94"/>
      <c r="DG59" s="81"/>
      <c r="DH59" s="75"/>
      <c r="DI59" s="81"/>
      <c r="DJ59" s="81"/>
      <c r="DK59" s="93"/>
      <c r="DL59" s="93"/>
      <c r="DM59" s="93"/>
      <c r="DN59" s="94"/>
      <c r="DO59" s="95"/>
      <c r="DP59" s="96"/>
      <c r="DQ59" s="95"/>
      <c r="DR59" s="97"/>
      <c r="DS59" s="98"/>
      <c r="DT59" s="99"/>
      <c r="DU59" s="99"/>
      <c r="DV59" s="100"/>
      <c r="DW59" s="95"/>
      <c r="DX59" s="96"/>
      <c r="DY59" s="95"/>
      <c r="DZ59" s="97"/>
      <c r="EA59" s="98"/>
      <c r="EB59" s="99"/>
      <c r="EC59" s="99"/>
      <c r="ED59" s="100"/>
      <c r="EE59" s="95"/>
      <c r="EF59" s="96"/>
      <c r="EG59" s="95"/>
      <c r="EH59" s="97"/>
      <c r="EI59" s="98"/>
      <c r="EJ59" s="99"/>
      <c r="EK59" s="99"/>
      <c r="EL59" s="100"/>
    </row>
    <row r="60" spans="1:142">
      <c r="A60" s="75">
        <v>57</v>
      </c>
      <c r="B60" s="75" t="s">
        <v>82</v>
      </c>
      <c r="F60" s="76"/>
      <c r="G60" s="77">
        <v>50</v>
      </c>
      <c r="H60" s="90">
        <v>0</v>
      </c>
      <c r="I60" s="77">
        <v>0</v>
      </c>
      <c r="J60" s="77">
        <v>12</v>
      </c>
      <c r="K60" s="91">
        <f t="shared" si="0"/>
        <v>5000</v>
      </c>
      <c r="L60" s="91">
        <f t="shared" si="0"/>
        <v>0</v>
      </c>
      <c r="M60" s="91">
        <f t="shared" si="1"/>
        <v>0</v>
      </c>
      <c r="N60" s="92">
        <f t="shared" si="1"/>
        <v>3600</v>
      </c>
      <c r="O60" s="77">
        <v>48</v>
      </c>
      <c r="P60" s="90">
        <v>0</v>
      </c>
      <c r="Q60" s="77">
        <v>0</v>
      </c>
      <c r="R60" s="77">
        <v>10</v>
      </c>
      <c r="S60" s="91">
        <f t="shared" si="2"/>
        <v>4800</v>
      </c>
      <c r="T60" s="91">
        <f t="shared" si="2"/>
        <v>0</v>
      </c>
      <c r="U60" s="91">
        <f t="shared" si="3"/>
        <v>0</v>
      </c>
      <c r="V60" s="92">
        <f t="shared" si="3"/>
        <v>3000</v>
      </c>
      <c r="W60" s="77">
        <v>50</v>
      </c>
      <c r="X60" s="90">
        <v>0</v>
      </c>
      <c r="Y60" s="77">
        <v>0</v>
      </c>
      <c r="Z60" s="77">
        <v>8</v>
      </c>
      <c r="AA60" s="91">
        <f t="shared" si="4"/>
        <v>5000</v>
      </c>
      <c r="AB60" s="91">
        <f t="shared" si="4"/>
        <v>0</v>
      </c>
      <c r="AC60" s="91">
        <f t="shared" si="5"/>
        <v>0</v>
      </c>
      <c r="AD60" s="92">
        <f t="shared" si="5"/>
        <v>2400</v>
      </c>
      <c r="AE60" s="77">
        <v>48</v>
      </c>
      <c r="AF60" s="90">
        <v>0</v>
      </c>
      <c r="AG60" s="77">
        <v>0</v>
      </c>
      <c r="AH60" s="77">
        <v>12</v>
      </c>
      <c r="AI60" s="91">
        <f t="shared" si="6"/>
        <v>4800</v>
      </c>
      <c r="AJ60" s="91">
        <f t="shared" si="6"/>
        <v>0</v>
      </c>
      <c r="AK60" s="91">
        <f t="shared" si="7"/>
        <v>0</v>
      </c>
      <c r="AL60" s="92">
        <f t="shared" si="7"/>
        <v>3600</v>
      </c>
      <c r="AM60" s="77">
        <v>30</v>
      </c>
      <c r="AN60" s="90">
        <v>0</v>
      </c>
      <c r="AO60" s="77">
        <v>0</v>
      </c>
      <c r="AP60" s="77">
        <v>12</v>
      </c>
      <c r="AQ60" s="91">
        <f t="shared" si="18"/>
        <v>3000</v>
      </c>
      <c r="AR60" s="91">
        <f t="shared" si="18"/>
        <v>0</v>
      </c>
      <c r="AS60" s="91">
        <f t="shared" si="19"/>
        <v>0</v>
      </c>
      <c r="AT60" s="92">
        <f t="shared" si="19"/>
        <v>3600</v>
      </c>
      <c r="AU60" s="12">
        <v>30</v>
      </c>
      <c r="AV60" s="6">
        <v>0</v>
      </c>
      <c r="AW60" s="12">
        <v>0</v>
      </c>
      <c r="AX60" s="12">
        <v>12</v>
      </c>
      <c r="AY60" s="17">
        <f t="shared" si="10"/>
        <v>3000</v>
      </c>
      <c r="AZ60" s="17">
        <f t="shared" si="10"/>
        <v>0</v>
      </c>
      <c r="BA60" s="17">
        <f t="shared" si="11"/>
        <v>0</v>
      </c>
      <c r="BB60" s="25">
        <f t="shared" si="11"/>
        <v>3600</v>
      </c>
      <c r="BC60" s="12">
        <v>33</v>
      </c>
      <c r="BD60" s="6">
        <v>0</v>
      </c>
      <c r="BE60" s="12">
        <v>0</v>
      </c>
      <c r="BF60" s="12">
        <v>14</v>
      </c>
      <c r="BG60" s="17">
        <f t="shared" si="12"/>
        <v>3300</v>
      </c>
      <c r="BH60" s="17">
        <f t="shared" si="12"/>
        <v>0</v>
      </c>
      <c r="BI60" s="17">
        <f t="shared" si="13"/>
        <v>0</v>
      </c>
      <c r="BJ60" s="25">
        <f t="shared" si="13"/>
        <v>4200</v>
      </c>
      <c r="BK60" s="12">
        <v>33</v>
      </c>
      <c r="BL60" s="6">
        <v>0</v>
      </c>
      <c r="BM60" s="12">
        <v>0</v>
      </c>
      <c r="BN60" s="12">
        <v>14</v>
      </c>
      <c r="BO60" s="17">
        <f t="shared" si="14"/>
        <v>3300</v>
      </c>
      <c r="BP60" s="17">
        <f t="shared" si="14"/>
        <v>0</v>
      </c>
      <c r="BQ60" s="17">
        <f t="shared" si="15"/>
        <v>0</v>
      </c>
      <c r="BR60" s="25">
        <f t="shared" si="15"/>
        <v>4200</v>
      </c>
      <c r="BS60" s="12">
        <v>39</v>
      </c>
      <c r="BT60" s="6">
        <v>0</v>
      </c>
      <c r="BU60" s="12">
        <v>0</v>
      </c>
      <c r="BV60" s="12">
        <v>20</v>
      </c>
      <c r="BW60" s="17">
        <f t="shared" si="16"/>
        <v>3900</v>
      </c>
      <c r="BX60" s="17">
        <f t="shared" si="16"/>
        <v>0</v>
      </c>
      <c r="BY60" s="17">
        <f t="shared" si="17"/>
        <v>0</v>
      </c>
      <c r="BZ60" s="25">
        <f t="shared" si="17"/>
        <v>6000</v>
      </c>
      <c r="CA60" s="81"/>
      <c r="CB60" s="75"/>
      <c r="CC60" s="81"/>
      <c r="CD60" s="81"/>
      <c r="CE60" s="93"/>
      <c r="CF60" s="93"/>
      <c r="CG60" s="93"/>
      <c r="CH60" s="94"/>
      <c r="CI60" s="81"/>
      <c r="CJ60" s="75"/>
      <c r="CK60" s="81"/>
      <c r="CL60" s="81"/>
      <c r="CM60" s="93"/>
      <c r="CN60" s="93"/>
      <c r="CO60" s="93"/>
      <c r="CP60" s="94"/>
      <c r="CQ60" s="81"/>
      <c r="CR60" s="75"/>
      <c r="CS60" s="81"/>
      <c r="CT60" s="81"/>
      <c r="CU60" s="93"/>
      <c r="CV60" s="93"/>
      <c r="CW60" s="93"/>
      <c r="CX60" s="94"/>
      <c r="CY60" s="81"/>
      <c r="CZ60" s="75"/>
      <c r="DA60" s="81"/>
      <c r="DB60" s="81"/>
      <c r="DC60" s="93"/>
      <c r="DD60" s="93"/>
      <c r="DE60" s="93"/>
      <c r="DF60" s="94"/>
      <c r="DG60" s="81"/>
      <c r="DH60" s="75"/>
      <c r="DI60" s="81"/>
      <c r="DJ60" s="81"/>
      <c r="DK60" s="93"/>
      <c r="DL60" s="93"/>
      <c r="DM60" s="93"/>
      <c r="DN60" s="94"/>
      <c r="DO60" s="95"/>
      <c r="DP60" s="96"/>
      <c r="DQ60" s="95"/>
      <c r="DR60" s="97"/>
      <c r="DS60" s="98"/>
      <c r="DT60" s="99"/>
      <c r="DU60" s="99"/>
      <c r="DV60" s="100"/>
      <c r="DW60" s="95"/>
      <c r="DX60" s="96"/>
      <c r="DY60" s="95"/>
      <c r="DZ60" s="97"/>
      <c r="EA60" s="98"/>
      <c r="EB60" s="99"/>
      <c r="EC60" s="99"/>
      <c r="ED60" s="100"/>
      <c r="EE60" s="95"/>
      <c r="EF60" s="96"/>
      <c r="EG60" s="95"/>
      <c r="EH60" s="97"/>
      <c r="EI60" s="98"/>
      <c r="EJ60" s="99"/>
      <c r="EK60" s="99"/>
      <c r="EL60" s="100"/>
    </row>
    <row r="61" spans="1:142">
      <c r="A61" s="75">
        <v>58</v>
      </c>
      <c r="B61" s="75" t="s">
        <v>84</v>
      </c>
      <c r="F61" s="76"/>
      <c r="G61" s="77">
        <v>38</v>
      </c>
      <c r="H61" s="90">
        <v>0</v>
      </c>
      <c r="I61" s="77">
        <v>0</v>
      </c>
      <c r="J61" s="77">
        <v>5</v>
      </c>
      <c r="K61" s="91">
        <f t="shared" si="0"/>
        <v>3800</v>
      </c>
      <c r="L61" s="91">
        <f t="shared" si="0"/>
        <v>0</v>
      </c>
      <c r="M61" s="91">
        <f t="shared" si="1"/>
        <v>0</v>
      </c>
      <c r="N61" s="92">
        <f t="shared" si="1"/>
        <v>1500</v>
      </c>
      <c r="O61" s="77">
        <v>40</v>
      </c>
      <c r="P61" s="90">
        <v>0</v>
      </c>
      <c r="Q61" s="77">
        <v>0</v>
      </c>
      <c r="R61" s="77">
        <v>6</v>
      </c>
      <c r="S61" s="91">
        <f t="shared" si="2"/>
        <v>4000</v>
      </c>
      <c r="T61" s="91">
        <f t="shared" si="2"/>
        <v>0</v>
      </c>
      <c r="U61" s="91">
        <f t="shared" si="3"/>
        <v>0</v>
      </c>
      <c r="V61" s="92">
        <f t="shared" si="3"/>
        <v>1800</v>
      </c>
      <c r="W61" s="77">
        <v>45</v>
      </c>
      <c r="X61" s="90">
        <v>0</v>
      </c>
      <c r="Y61" s="77">
        <v>0</v>
      </c>
      <c r="Z61" s="77">
        <v>4</v>
      </c>
      <c r="AA61" s="91">
        <f t="shared" si="4"/>
        <v>4500</v>
      </c>
      <c r="AB61" s="91">
        <f t="shared" si="4"/>
        <v>0</v>
      </c>
      <c r="AC61" s="91">
        <f t="shared" si="5"/>
        <v>0</v>
      </c>
      <c r="AD61" s="92">
        <f t="shared" si="5"/>
        <v>1200</v>
      </c>
      <c r="AE61" s="77">
        <v>44</v>
      </c>
      <c r="AF61" s="90">
        <v>0</v>
      </c>
      <c r="AG61" s="77">
        <v>0</v>
      </c>
      <c r="AH61" s="77">
        <v>8</v>
      </c>
      <c r="AI61" s="91">
        <f t="shared" si="6"/>
        <v>4400</v>
      </c>
      <c r="AJ61" s="91">
        <f t="shared" si="6"/>
        <v>0</v>
      </c>
      <c r="AK61" s="91">
        <f t="shared" si="7"/>
        <v>0</v>
      </c>
      <c r="AL61" s="92">
        <f t="shared" si="7"/>
        <v>2400</v>
      </c>
      <c r="AM61" s="77">
        <v>58</v>
      </c>
      <c r="AN61" s="90">
        <v>0</v>
      </c>
      <c r="AO61" s="77">
        <v>0</v>
      </c>
      <c r="AP61" s="77">
        <v>8</v>
      </c>
      <c r="AQ61" s="91">
        <f t="shared" si="18"/>
        <v>5800</v>
      </c>
      <c r="AR61" s="91">
        <f t="shared" si="18"/>
        <v>0</v>
      </c>
      <c r="AS61" s="91">
        <f t="shared" si="19"/>
        <v>0</v>
      </c>
      <c r="AT61" s="92">
        <f t="shared" si="19"/>
        <v>2400</v>
      </c>
      <c r="AU61" s="12">
        <v>58</v>
      </c>
      <c r="AV61" s="6">
        <v>0</v>
      </c>
      <c r="AW61" s="12">
        <v>0</v>
      </c>
      <c r="AX61" s="12">
        <v>8</v>
      </c>
      <c r="AY61" s="17">
        <f t="shared" si="10"/>
        <v>5800</v>
      </c>
      <c r="AZ61" s="17">
        <f t="shared" si="10"/>
        <v>0</v>
      </c>
      <c r="BA61" s="17">
        <f t="shared" si="11"/>
        <v>0</v>
      </c>
      <c r="BB61" s="25">
        <f t="shared" si="11"/>
        <v>2400</v>
      </c>
      <c r="BC61" s="12">
        <v>58</v>
      </c>
      <c r="BD61" s="6">
        <v>0</v>
      </c>
      <c r="BE61" s="12">
        <v>0</v>
      </c>
      <c r="BF61" s="12">
        <v>9</v>
      </c>
      <c r="BG61" s="17">
        <f t="shared" si="12"/>
        <v>5800</v>
      </c>
      <c r="BH61" s="17">
        <f t="shared" si="12"/>
        <v>0</v>
      </c>
      <c r="BI61" s="17">
        <f t="shared" si="13"/>
        <v>0</v>
      </c>
      <c r="BJ61" s="25">
        <f t="shared" si="13"/>
        <v>2700</v>
      </c>
      <c r="BK61" s="12">
        <v>58</v>
      </c>
      <c r="BL61" s="6">
        <v>0</v>
      </c>
      <c r="BM61" s="12">
        <v>0</v>
      </c>
      <c r="BN61" s="12">
        <v>20</v>
      </c>
      <c r="BO61" s="17">
        <f t="shared" si="14"/>
        <v>5800</v>
      </c>
      <c r="BP61" s="17">
        <f t="shared" si="14"/>
        <v>0</v>
      </c>
      <c r="BQ61" s="17">
        <f t="shared" si="15"/>
        <v>0</v>
      </c>
      <c r="BR61" s="25">
        <f t="shared" si="15"/>
        <v>6000</v>
      </c>
      <c r="BS61" s="12">
        <v>60</v>
      </c>
      <c r="BT61" s="6">
        <v>0</v>
      </c>
      <c r="BU61" s="12">
        <v>0</v>
      </c>
      <c r="BV61" s="12">
        <v>20</v>
      </c>
      <c r="BW61" s="17">
        <f t="shared" si="16"/>
        <v>6000</v>
      </c>
      <c r="BX61" s="17">
        <f t="shared" si="16"/>
        <v>0</v>
      </c>
      <c r="BY61" s="17">
        <f t="shared" si="17"/>
        <v>0</v>
      </c>
      <c r="BZ61" s="25">
        <f t="shared" si="17"/>
        <v>6000</v>
      </c>
      <c r="CA61" s="81"/>
      <c r="CB61" s="75"/>
      <c r="CC61" s="81"/>
      <c r="CD61" s="81"/>
      <c r="CE61" s="93"/>
      <c r="CF61" s="93"/>
      <c r="CG61" s="93"/>
      <c r="CH61" s="94"/>
      <c r="CI61" s="81"/>
      <c r="CJ61" s="75"/>
      <c r="CK61" s="81"/>
      <c r="CL61" s="81"/>
      <c r="CM61" s="93"/>
      <c r="CN61" s="93"/>
      <c r="CO61" s="93"/>
      <c r="CP61" s="94"/>
      <c r="CQ61" s="81"/>
      <c r="CR61" s="75"/>
      <c r="CS61" s="81"/>
      <c r="CT61" s="81"/>
      <c r="CU61" s="93"/>
      <c r="CV61" s="93"/>
      <c r="CW61" s="93"/>
      <c r="CX61" s="94"/>
      <c r="CY61" s="81"/>
      <c r="CZ61" s="75"/>
      <c r="DA61" s="81"/>
      <c r="DB61" s="81"/>
      <c r="DC61" s="93"/>
      <c r="DD61" s="93"/>
      <c r="DE61" s="93"/>
      <c r="DF61" s="94"/>
      <c r="DG61" s="81"/>
      <c r="DH61" s="75"/>
      <c r="DI61" s="81"/>
      <c r="DJ61" s="81"/>
      <c r="DK61" s="93"/>
      <c r="DL61" s="93"/>
      <c r="DM61" s="93"/>
      <c r="DN61" s="94"/>
      <c r="DO61" s="95"/>
      <c r="DP61" s="96"/>
      <c r="DQ61" s="95"/>
      <c r="DR61" s="97"/>
      <c r="DS61" s="98"/>
      <c r="DT61" s="99"/>
      <c r="DU61" s="99"/>
      <c r="DV61" s="100"/>
      <c r="DW61" s="95"/>
      <c r="DX61" s="96"/>
      <c r="DY61" s="95"/>
      <c r="DZ61" s="97"/>
      <c r="EA61" s="98"/>
      <c r="EB61" s="99"/>
      <c r="EC61" s="99"/>
      <c r="ED61" s="100"/>
      <c r="EE61" s="95"/>
      <c r="EF61" s="96"/>
      <c r="EG61" s="95"/>
      <c r="EH61" s="97"/>
      <c r="EI61" s="98"/>
      <c r="EJ61" s="99"/>
      <c r="EK61" s="99"/>
      <c r="EL61" s="100"/>
    </row>
    <row r="62" spans="1:142">
      <c r="A62" s="75">
        <v>59</v>
      </c>
      <c r="B62" s="75" t="s">
        <v>85</v>
      </c>
      <c r="F62" s="76"/>
      <c r="G62" s="77">
        <v>35</v>
      </c>
      <c r="H62" s="90">
        <v>0</v>
      </c>
      <c r="I62" s="77">
        <v>0</v>
      </c>
      <c r="J62" s="77">
        <v>10</v>
      </c>
      <c r="K62" s="91">
        <f t="shared" si="0"/>
        <v>3500</v>
      </c>
      <c r="L62" s="91">
        <f t="shared" si="0"/>
        <v>0</v>
      </c>
      <c r="M62" s="91">
        <f t="shared" si="1"/>
        <v>0</v>
      </c>
      <c r="N62" s="92">
        <f t="shared" si="1"/>
        <v>3000</v>
      </c>
      <c r="O62" s="77">
        <v>38</v>
      </c>
      <c r="P62" s="90">
        <v>0</v>
      </c>
      <c r="Q62" s="77">
        <v>0</v>
      </c>
      <c r="R62" s="77">
        <v>12</v>
      </c>
      <c r="S62" s="91">
        <f t="shared" si="2"/>
        <v>3800</v>
      </c>
      <c r="T62" s="91">
        <f t="shared" si="2"/>
        <v>0</v>
      </c>
      <c r="U62" s="91">
        <f t="shared" si="3"/>
        <v>0</v>
      </c>
      <c r="V62" s="92">
        <f t="shared" si="3"/>
        <v>3600</v>
      </c>
      <c r="W62" s="77">
        <v>28</v>
      </c>
      <c r="X62" s="90">
        <v>0</v>
      </c>
      <c r="Y62" s="77">
        <v>0</v>
      </c>
      <c r="Z62" s="77">
        <v>20</v>
      </c>
      <c r="AA62" s="91">
        <f t="shared" si="4"/>
        <v>2800</v>
      </c>
      <c r="AB62" s="91">
        <f t="shared" si="4"/>
        <v>0</v>
      </c>
      <c r="AC62" s="91">
        <f t="shared" si="5"/>
        <v>0</v>
      </c>
      <c r="AD62" s="92">
        <f t="shared" si="5"/>
        <v>6000</v>
      </c>
      <c r="AE62" s="77">
        <v>32</v>
      </c>
      <c r="AF62" s="90">
        <v>0</v>
      </c>
      <c r="AG62" s="77">
        <v>0</v>
      </c>
      <c r="AH62" s="77">
        <v>20</v>
      </c>
      <c r="AI62" s="91">
        <f t="shared" si="6"/>
        <v>3200</v>
      </c>
      <c r="AJ62" s="91">
        <f t="shared" si="6"/>
        <v>0</v>
      </c>
      <c r="AK62" s="91">
        <f t="shared" si="7"/>
        <v>0</v>
      </c>
      <c r="AL62" s="92">
        <f t="shared" si="7"/>
        <v>6000</v>
      </c>
      <c r="AM62" s="77">
        <v>42</v>
      </c>
      <c r="AN62" s="90">
        <v>0</v>
      </c>
      <c r="AO62" s="77">
        <v>0</v>
      </c>
      <c r="AP62" s="77">
        <v>10</v>
      </c>
      <c r="AQ62" s="91">
        <f t="shared" si="18"/>
        <v>4200</v>
      </c>
      <c r="AR62" s="91">
        <f t="shared" si="18"/>
        <v>0</v>
      </c>
      <c r="AS62" s="91">
        <f t="shared" si="19"/>
        <v>0</v>
      </c>
      <c r="AT62" s="92">
        <f t="shared" si="19"/>
        <v>3000</v>
      </c>
      <c r="AU62" s="12">
        <v>44</v>
      </c>
      <c r="AV62" s="6">
        <v>0</v>
      </c>
      <c r="AW62" s="12">
        <v>0</v>
      </c>
      <c r="AX62" s="12">
        <v>10</v>
      </c>
      <c r="AY62" s="17">
        <f t="shared" si="10"/>
        <v>4400</v>
      </c>
      <c r="AZ62" s="17">
        <f t="shared" si="10"/>
        <v>0</v>
      </c>
      <c r="BA62" s="17">
        <f t="shared" si="11"/>
        <v>0</v>
      </c>
      <c r="BB62" s="25">
        <f t="shared" si="11"/>
        <v>3000</v>
      </c>
      <c r="BC62" s="12">
        <v>45</v>
      </c>
      <c r="BD62" s="6">
        <v>0</v>
      </c>
      <c r="BE62" s="12">
        <v>0</v>
      </c>
      <c r="BF62" s="12">
        <v>14</v>
      </c>
      <c r="BG62" s="17">
        <f t="shared" si="12"/>
        <v>4500</v>
      </c>
      <c r="BH62" s="17">
        <f t="shared" si="12"/>
        <v>0</v>
      </c>
      <c r="BI62" s="17">
        <f t="shared" si="13"/>
        <v>0</v>
      </c>
      <c r="BJ62" s="25">
        <f t="shared" si="13"/>
        <v>4200</v>
      </c>
      <c r="BK62" s="12">
        <v>30</v>
      </c>
      <c r="BL62" s="6">
        <v>0</v>
      </c>
      <c r="BM62" s="12">
        <v>0</v>
      </c>
      <c r="BN62" s="12">
        <v>14</v>
      </c>
      <c r="BO62" s="17">
        <f t="shared" si="14"/>
        <v>3000</v>
      </c>
      <c r="BP62" s="17">
        <f t="shared" si="14"/>
        <v>0</v>
      </c>
      <c r="BQ62" s="17">
        <f t="shared" si="15"/>
        <v>0</v>
      </c>
      <c r="BR62" s="25">
        <f t="shared" si="15"/>
        <v>4200</v>
      </c>
      <c r="BS62" s="12">
        <v>35</v>
      </c>
      <c r="BT62" s="6">
        <v>0</v>
      </c>
      <c r="BU62" s="12">
        <v>0</v>
      </c>
      <c r="BV62" s="12">
        <v>13</v>
      </c>
      <c r="BW62" s="17">
        <f t="shared" si="16"/>
        <v>3500</v>
      </c>
      <c r="BX62" s="17">
        <f t="shared" si="16"/>
        <v>0</v>
      </c>
      <c r="BY62" s="17">
        <f t="shared" si="17"/>
        <v>0</v>
      </c>
      <c r="BZ62" s="25">
        <f t="shared" si="17"/>
        <v>3900</v>
      </c>
      <c r="CA62" s="81"/>
      <c r="CB62" s="75"/>
      <c r="CC62" s="81"/>
      <c r="CD62" s="81"/>
      <c r="CE62" s="93"/>
      <c r="CF62" s="93"/>
      <c r="CG62" s="93"/>
      <c r="CH62" s="94"/>
      <c r="CI62" s="81"/>
      <c r="CJ62" s="75"/>
      <c r="CK62" s="81"/>
      <c r="CL62" s="81"/>
      <c r="CM62" s="93"/>
      <c r="CN62" s="93"/>
      <c r="CO62" s="93"/>
      <c r="CP62" s="94"/>
      <c r="CQ62" s="81"/>
      <c r="CR62" s="75"/>
      <c r="CS62" s="81"/>
      <c r="CT62" s="81"/>
      <c r="CU62" s="93"/>
      <c r="CV62" s="93"/>
      <c r="CW62" s="93"/>
      <c r="CX62" s="94"/>
      <c r="CY62" s="81"/>
      <c r="CZ62" s="75"/>
      <c r="DA62" s="81"/>
      <c r="DB62" s="81"/>
      <c r="DC62" s="93"/>
      <c r="DD62" s="93"/>
      <c r="DE62" s="93"/>
      <c r="DF62" s="94"/>
      <c r="DG62" s="81"/>
      <c r="DH62" s="75"/>
      <c r="DI62" s="81"/>
      <c r="DJ62" s="81"/>
      <c r="DK62" s="93"/>
      <c r="DL62" s="93"/>
      <c r="DM62" s="93"/>
      <c r="DN62" s="94"/>
      <c r="DO62" s="95"/>
      <c r="DP62" s="96"/>
      <c r="DQ62" s="95"/>
      <c r="DR62" s="97"/>
      <c r="DS62" s="98"/>
      <c r="DT62" s="99"/>
      <c r="DU62" s="99"/>
      <c r="DV62" s="100"/>
      <c r="DW62" s="95"/>
      <c r="DX62" s="96"/>
      <c r="DY62" s="95"/>
      <c r="DZ62" s="97"/>
      <c r="EA62" s="98"/>
      <c r="EB62" s="99"/>
      <c r="EC62" s="99"/>
      <c r="ED62" s="100"/>
      <c r="EE62" s="95"/>
      <c r="EF62" s="96"/>
      <c r="EG62" s="95"/>
      <c r="EH62" s="97"/>
      <c r="EI62" s="98"/>
      <c r="EJ62" s="99"/>
      <c r="EK62" s="99"/>
      <c r="EL62" s="100"/>
    </row>
    <row r="63" spans="1:142">
      <c r="A63" s="75">
        <v>60</v>
      </c>
      <c r="B63" s="75" t="s">
        <v>86</v>
      </c>
      <c r="F63" s="76"/>
      <c r="G63" s="77">
        <v>30</v>
      </c>
      <c r="H63" s="90">
        <v>0</v>
      </c>
      <c r="I63" s="77">
        <v>0</v>
      </c>
      <c r="J63" s="77">
        <v>8</v>
      </c>
      <c r="K63" s="91">
        <f t="shared" si="0"/>
        <v>3000</v>
      </c>
      <c r="L63" s="91">
        <f t="shared" si="0"/>
        <v>0</v>
      </c>
      <c r="M63" s="91">
        <f t="shared" si="1"/>
        <v>0</v>
      </c>
      <c r="N63" s="92">
        <f t="shared" si="1"/>
        <v>2400</v>
      </c>
      <c r="O63" s="77">
        <v>30</v>
      </c>
      <c r="P63" s="90">
        <v>0</v>
      </c>
      <c r="Q63" s="77">
        <v>0</v>
      </c>
      <c r="R63" s="77">
        <v>8</v>
      </c>
      <c r="S63" s="91">
        <f t="shared" si="2"/>
        <v>3000</v>
      </c>
      <c r="T63" s="91">
        <f t="shared" si="2"/>
        <v>0</v>
      </c>
      <c r="U63" s="91">
        <f t="shared" si="3"/>
        <v>0</v>
      </c>
      <c r="V63" s="92">
        <f t="shared" si="3"/>
        <v>2400</v>
      </c>
      <c r="W63" s="77">
        <v>33</v>
      </c>
      <c r="X63" s="90">
        <v>0</v>
      </c>
      <c r="Y63" s="77">
        <v>0</v>
      </c>
      <c r="Z63" s="77">
        <v>10</v>
      </c>
      <c r="AA63" s="91">
        <f t="shared" si="4"/>
        <v>3300</v>
      </c>
      <c r="AB63" s="91">
        <f t="shared" si="4"/>
        <v>0</v>
      </c>
      <c r="AC63" s="91">
        <f t="shared" si="5"/>
        <v>0</v>
      </c>
      <c r="AD63" s="92">
        <f t="shared" si="5"/>
        <v>3000</v>
      </c>
      <c r="AE63" s="77">
        <v>32</v>
      </c>
      <c r="AF63" s="90">
        <v>0</v>
      </c>
      <c r="AG63" s="77">
        <v>0</v>
      </c>
      <c r="AH63" s="77">
        <v>12</v>
      </c>
      <c r="AI63" s="91">
        <f t="shared" si="6"/>
        <v>3200</v>
      </c>
      <c r="AJ63" s="91">
        <f t="shared" si="6"/>
        <v>0</v>
      </c>
      <c r="AK63" s="91">
        <f t="shared" si="7"/>
        <v>0</v>
      </c>
      <c r="AL63" s="92">
        <f t="shared" si="7"/>
        <v>3600</v>
      </c>
      <c r="AM63" s="77">
        <v>35</v>
      </c>
      <c r="AN63" s="90">
        <v>0</v>
      </c>
      <c r="AO63" s="77">
        <v>0</v>
      </c>
      <c r="AP63" s="77">
        <v>20</v>
      </c>
      <c r="AQ63" s="91">
        <f t="shared" si="18"/>
        <v>3500</v>
      </c>
      <c r="AR63" s="91">
        <f t="shared" si="18"/>
        <v>0</v>
      </c>
      <c r="AS63" s="91">
        <f t="shared" si="19"/>
        <v>0</v>
      </c>
      <c r="AT63" s="92">
        <f t="shared" si="19"/>
        <v>6000</v>
      </c>
      <c r="AU63" s="12">
        <v>38</v>
      </c>
      <c r="AV63" s="6">
        <v>0</v>
      </c>
      <c r="AW63" s="12">
        <v>0</v>
      </c>
      <c r="AX63" s="12">
        <v>20</v>
      </c>
      <c r="AY63" s="17">
        <f t="shared" si="10"/>
        <v>3800</v>
      </c>
      <c r="AZ63" s="17">
        <f t="shared" si="10"/>
        <v>0</v>
      </c>
      <c r="BA63" s="17">
        <f t="shared" si="11"/>
        <v>0</v>
      </c>
      <c r="BB63" s="25">
        <f t="shared" si="11"/>
        <v>6000</v>
      </c>
      <c r="BC63" s="12">
        <v>40</v>
      </c>
      <c r="BD63" s="6">
        <v>0</v>
      </c>
      <c r="BE63" s="12">
        <v>0</v>
      </c>
      <c r="BF63" s="12">
        <v>20</v>
      </c>
      <c r="BG63" s="17">
        <f t="shared" si="12"/>
        <v>4000</v>
      </c>
      <c r="BH63" s="17">
        <f t="shared" si="12"/>
        <v>0</v>
      </c>
      <c r="BI63" s="17">
        <f t="shared" si="13"/>
        <v>0</v>
      </c>
      <c r="BJ63" s="25">
        <f t="shared" si="13"/>
        <v>6000</v>
      </c>
      <c r="BK63" s="12">
        <v>40</v>
      </c>
      <c r="BL63" s="6">
        <v>0</v>
      </c>
      <c r="BM63" s="12">
        <v>0</v>
      </c>
      <c r="BN63" s="12">
        <v>20</v>
      </c>
      <c r="BO63" s="17">
        <f t="shared" si="14"/>
        <v>4000</v>
      </c>
      <c r="BP63" s="17">
        <f t="shared" si="14"/>
        <v>0</v>
      </c>
      <c r="BQ63" s="17">
        <f t="shared" si="15"/>
        <v>0</v>
      </c>
      <c r="BR63" s="25">
        <f t="shared" si="15"/>
        <v>6000</v>
      </c>
      <c r="BS63" s="12">
        <v>42</v>
      </c>
      <c r="BT63" s="6">
        <v>0</v>
      </c>
      <c r="BU63" s="12">
        <v>0</v>
      </c>
      <c r="BV63" s="12">
        <v>19</v>
      </c>
      <c r="BW63" s="17">
        <f t="shared" si="16"/>
        <v>4200</v>
      </c>
      <c r="BX63" s="17">
        <f t="shared" si="16"/>
        <v>0</v>
      </c>
      <c r="BY63" s="17">
        <f t="shared" si="17"/>
        <v>0</v>
      </c>
      <c r="BZ63" s="25">
        <f t="shared" si="17"/>
        <v>5700</v>
      </c>
      <c r="CA63" s="81"/>
      <c r="CB63" s="75"/>
      <c r="CC63" s="81"/>
      <c r="CD63" s="81"/>
      <c r="CE63" s="93"/>
      <c r="CF63" s="93"/>
      <c r="CG63" s="93"/>
      <c r="CH63" s="94"/>
      <c r="CI63" s="81"/>
      <c r="CJ63" s="75"/>
      <c r="CK63" s="81"/>
      <c r="CL63" s="81"/>
      <c r="CM63" s="93"/>
      <c r="CN63" s="93"/>
      <c r="CO63" s="93"/>
      <c r="CP63" s="94"/>
      <c r="CQ63" s="81"/>
      <c r="CR63" s="75"/>
      <c r="CS63" s="81"/>
      <c r="CT63" s="81"/>
      <c r="CU63" s="93"/>
      <c r="CV63" s="93"/>
      <c r="CW63" s="93"/>
      <c r="CX63" s="94"/>
      <c r="CY63" s="81"/>
      <c r="CZ63" s="75"/>
      <c r="DA63" s="81"/>
      <c r="DB63" s="81"/>
      <c r="DC63" s="93"/>
      <c r="DD63" s="93"/>
      <c r="DE63" s="93"/>
      <c r="DF63" s="94"/>
      <c r="DG63" s="81"/>
      <c r="DH63" s="75"/>
      <c r="DI63" s="81"/>
      <c r="DJ63" s="81"/>
      <c r="DK63" s="93"/>
      <c r="DL63" s="93"/>
      <c r="DM63" s="93"/>
      <c r="DN63" s="94"/>
      <c r="DO63" s="95"/>
      <c r="DP63" s="96"/>
      <c r="DQ63" s="95"/>
      <c r="DR63" s="97"/>
      <c r="DS63" s="98"/>
      <c r="DT63" s="99"/>
      <c r="DU63" s="99"/>
      <c r="DV63" s="100"/>
      <c r="DW63" s="95"/>
      <c r="DX63" s="96"/>
      <c r="DY63" s="95"/>
      <c r="DZ63" s="97"/>
      <c r="EA63" s="98"/>
      <c r="EB63" s="99"/>
      <c r="EC63" s="99"/>
      <c r="ED63" s="100"/>
      <c r="EE63" s="95"/>
      <c r="EF63" s="96"/>
      <c r="EG63" s="95"/>
      <c r="EH63" s="97"/>
      <c r="EI63" s="98"/>
      <c r="EJ63" s="99"/>
      <c r="EK63" s="99"/>
      <c r="EL63" s="100"/>
    </row>
    <row r="64" spans="1:142">
      <c r="A64" s="75">
        <v>61</v>
      </c>
      <c r="B64" s="75" t="s">
        <v>87</v>
      </c>
      <c r="F64" s="76"/>
      <c r="G64" s="77">
        <v>35</v>
      </c>
      <c r="H64" s="90">
        <v>0</v>
      </c>
      <c r="I64" s="77">
        <v>0</v>
      </c>
      <c r="J64" s="77">
        <v>18</v>
      </c>
      <c r="K64" s="91">
        <f t="shared" si="0"/>
        <v>3500</v>
      </c>
      <c r="L64" s="91">
        <f t="shared" si="0"/>
        <v>0</v>
      </c>
      <c r="M64" s="91">
        <f t="shared" si="1"/>
        <v>0</v>
      </c>
      <c r="N64" s="92">
        <f t="shared" si="1"/>
        <v>5400</v>
      </c>
      <c r="O64" s="77">
        <v>36</v>
      </c>
      <c r="P64" s="90">
        <v>0</v>
      </c>
      <c r="Q64" s="77">
        <v>0</v>
      </c>
      <c r="R64" s="77">
        <v>14</v>
      </c>
      <c r="S64" s="91">
        <f t="shared" si="2"/>
        <v>3600</v>
      </c>
      <c r="T64" s="91">
        <f t="shared" si="2"/>
        <v>0</v>
      </c>
      <c r="U64" s="91">
        <f t="shared" si="3"/>
        <v>0</v>
      </c>
      <c r="V64" s="92">
        <f t="shared" si="3"/>
        <v>4200</v>
      </c>
      <c r="W64" s="77">
        <v>30</v>
      </c>
      <c r="X64" s="90">
        <v>0</v>
      </c>
      <c r="Y64" s="77">
        <v>0</v>
      </c>
      <c r="Z64" s="77">
        <v>20</v>
      </c>
      <c r="AA64" s="91">
        <f t="shared" si="4"/>
        <v>3000</v>
      </c>
      <c r="AB64" s="91">
        <f t="shared" si="4"/>
        <v>0</v>
      </c>
      <c r="AC64" s="91">
        <f t="shared" si="5"/>
        <v>0</v>
      </c>
      <c r="AD64" s="92">
        <f t="shared" si="5"/>
        <v>6000</v>
      </c>
      <c r="AE64" s="77">
        <v>31</v>
      </c>
      <c r="AF64" s="90">
        <v>0</v>
      </c>
      <c r="AG64" s="77">
        <v>0</v>
      </c>
      <c r="AH64" s="77">
        <v>20</v>
      </c>
      <c r="AI64" s="91">
        <f t="shared" si="6"/>
        <v>3100</v>
      </c>
      <c r="AJ64" s="91">
        <f t="shared" si="6"/>
        <v>0</v>
      </c>
      <c r="AK64" s="91">
        <f t="shared" si="7"/>
        <v>0</v>
      </c>
      <c r="AL64" s="92">
        <f t="shared" si="7"/>
        <v>6000</v>
      </c>
      <c r="AM64" s="77">
        <v>45</v>
      </c>
      <c r="AN64" s="90">
        <v>0</v>
      </c>
      <c r="AO64" s="77">
        <v>0</v>
      </c>
      <c r="AP64" s="77">
        <v>12</v>
      </c>
      <c r="AQ64" s="91">
        <f t="shared" si="18"/>
        <v>4500</v>
      </c>
      <c r="AR64" s="91">
        <f t="shared" si="18"/>
        <v>0</v>
      </c>
      <c r="AS64" s="91">
        <f t="shared" si="19"/>
        <v>0</v>
      </c>
      <c r="AT64" s="92">
        <f t="shared" si="19"/>
        <v>3600</v>
      </c>
      <c r="AU64" s="12">
        <v>45</v>
      </c>
      <c r="AV64" s="6">
        <v>0</v>
      </c>
      <c r="AW64" s="12">
        <v>0</v>
      </c>
      <c r="AX64" s="12">
        <v>12</v>
      </c>
      <c r="AY64" s="17">
        <f t="shared" si="10"/>
        <v>4500</v>
      </c>
      <c r="AZ64" s="17">
        <f t="shared" si="10"/>
        <v>0</v>
      </c>
      <c r="BA64" s="17">
        <f t="shared" si="11"/>
        <v>0</v>
      </c>
      <c r="BB64" s="25">
        <f t="shared" si="11"/>
        <v>3600</v>
      </c>
      <c r="BC64" s="12">
        <v>46</v>
      </c>
      <c r="BD64" s="6">
        <v>0</v>
      </c>
      <c r="BE64" s="12">
        <v>0</v>
      </c>
      <c r="BF64" s="12">
        <v>12</v>
      </c>
      <c r="BG64" s="17">
        <f t="shared" si="12"/>
        <v>4600</v>
      </c>
      <c r="BH64" s="17">
        <f t="shared" si="12"/>
        <v>0</v>
      </c>
      <c r="BI64" s="17">
        <f t="shared" si="13"/>
        <v>0</v>
      </c>
      <c r="BJ64" s="25">
        <f t="shared" si="13"/>
        <v>3600</v>
      </c>
      <c r="BK64" s="12">
        <v>49</v>
      </c>
      <c r="BL64" s="6">
        <v>0</v>
      </c>
      <c r="BM64" s="12">
        <v>0</v>
      </c>
      <c r="BN64" s="12">
        <v>12</v>
      </c>
      <c r="BO64" s="17">
        <f t="shared" si="14"/>
        <v>4900</v>
      </c>
      <c r="BP64" s="17">
        <f t="shared" si="14"/>
        <v>0</v>
      </c>
      <c r="BQ64" s="17">
        <f t="shared" si="15"/>
        <v>0</v>
      </c>
      <c r="BR64" s="25">
        <f t="shared" si="15"/>
        <v>3600</v>
      </c>
      <c r="BS64" s="12">
        <v>50</v>
      </c>
      <c r="BT64" s="6">
        <v>0</v>
      </c>
      <c r="BU64" s="12">
        <v>0</v>
      </c>
      <c r="BV64" s="12">
        <v>20</v>
      </c>
      <c r="BW64" s="17">
        <f t="shared" si="16"/>
        <v>5000</v>
      </c>
      <c r="BX64" s="17">
        <f t="shared" si="16"/>
        <v>0</v>
      </c>
      <c r="BY64" s="17">
        <f t="shared" si="17"/>
        <v>0</v>
      </c>
      <c r="BZ64" s="25">
        <f t="shared" si="17"/>
        <v>6000</v>
      </c>
      <c r="CA64" s="81"/>
      <c r="CB64" s="75"/>
      <c r="CC64" s="81"/>
      <c r="CD64" s="81"/>
      <c r="CE64" s="93"/>
      <c r="CF64" s="93"/>
      <c r="CG64" s="93"/>
      <c r="CH64" s="94"/>
      <c r="CI64" s="81"/>
      <c r="CJ64" s="75"/>
      <c r="CK64" s="81"/>
      <c r="CL64" s="81"/>
      <c r="CM64" s="93"/>
      <c r="CN64" s="93"/>
      <c r="CO64" s="93"/>
      <c r="CP64" s="94"/>
      <c r="CQ64" s="81"/>
      <c r="CR64" s="75"/>
      <c r="CS64" s="81"/>
      <c r="CT64" s="81"/>
      <c r="CU64" s="93"/>
      <c r="CV64" s="93"/>
      <c r="CW64" s="93"/>
      <c r="CX64" s="94"/>
      <c r="CY64" s="81"/>
      <c r="CZ64" s="75"/>
      <c r="DA64" s="81"/>
      <c r="DB64" s="81"/>
      <c r="DC64" s="93"/>
      <c r="DD64" s="93"/>
      <c r="DE64" s="93"/>
      <c r="DF64" s="94"/>
      <c r="DG64" s="81"/>
      <c r="DH64" s="75"/>
      <c r="DI64" s="81"/>
      <c r="DJ64" s="81"/>
      <c r="DK64" s="93"/>
      <c r="DL64" s="93"/>
      <c r="DM64" s="93"/>
      <c r="DN64" s="94"/>
      <c r="DO64" s="95"/>
      <c r="DP64" s="96"/>
      <c r="DQ64" s="95"/>
      <c r="DR64" s="97"/>
      <c r="DS64" s="98"/>
      <c r="DT64" s="99"/>
      <c r="DU64" s="99"/>
      <c r="DV64" s="100"/>
      <c r="DW64" s="95"/>
      <c r="DX64" s="96"/>
      <c r="DY64" s="95"/>
      <c r="DZ64" s="97"/>
      <c r="EA64" s="98"/>
      <c r="EB64" s="99"/>
      <c r="EC64" s="99"/>
      <c r="ED64" s="100"/>
      <c r="EE64" s="95"/>
      <c r="EF64" s="96"/>
      <c r="EG64" s="95"/>
      <c r="EH64" s="97"/>
      <c r="EI64" s="98"/>
      <c r="EJ64" s="99"/>
      <c r="EK64" s="99"/>
      <c r="EL64" s="100"/>
    </row>
    <row r="65" spans="1:142">
      <c r="A65" s="75">
        <v>62</v>
      </c>
      <c r="B65" s="75" t="s">
        <v>88</v>
      </c>
      <c r="F65" s="76"/>
      <c r="G65" s="77">
        <v>30</v>
      </c>
      <c r="H65" s="90">
        <v>0</v>
      </c>
      <c r="I65" s="77">
        <v>0</v>
      </c>
      <c r="J65" s="77">
        <v>20</v>
      </c>
      <c r="K65" s="91">
        <f t="shared" si="0"/>
        <v>3000</v>
      </c>
      <c r="L65" s="91">
        <f t="shared" si="0"/>
        <v>0</v>
      </c>
      <c r="M65" s="91">
        <f t="shared" si="1"/>
        <v>0</v>
      </c>
      <c r="N65" s="92">
        <f t="shared" si="1"/>
        <v>6000</v>
      </c>
      <c r="O65" s="77">
        <v>31</v>
      </c>
      <c r="P65" s="90">
        <v>0</v>
      </c>
      <c r="Q65" s="77">
        <v>0</v>
      </c>
      <c r="R65" s="77">
        <v>20</v>
      </c>
      <c r="S65" s="91">
        <f t="shared" si="2"/>
        <v>3100</v>
      </c>
      <c r="T65" s="91">
        <f t="shared" si="2"/>
        <v>0</v>
      </c>
      <c r="U65" s="91">
        <f t="shared" si="3"/>
        <v>0</v>
      </c>
      <c r="V65" s="92">
        <f t="shared" si="3"/>
        <v>6000</v>
      </c>
      <c r="W65" s="77">
        <v>35</v>
      </c>
      <c r="X65" s="90">
        <v>0</v>
      </c>
      <c r="Y65" s="77">
        <v>0</v>
      </c>
      <c r="Z65" s="77">
        <v>20</v>
      </c>
      <c r="AA65" s="91">
        <f t="shared" si="4"/>
        <v>3500</v>
      </c>
      <c r="AB65" s="91">
        <f t="shared" si="4"/>
        <v>0</v>
      </c>
      <c r="AC65" s="91">
        <f t="shared" si="5"/>
        <v>0</v>
      </c>
      <c r="AD65" s="92">
        <f t="shared" si="5"/>
        <v>6000</v>
      </c>
      <c r="AE65" s="77">
        <v>36</v>
      </c>
      <c r="AF65" s="90">
        <v>0</v>
      </c>
      <c r="AG65" s="77">
        <v>0</v>
      </c>
      <c r="AH65" s="77">
        <v>20</v>
      </c>
      <c r="AI65" s="91">
        <f t="shared" si="6"/>
        <v>3600</v>
      </c>
      <c r="AJ65" s="91">
        <f t="shared" si="6"/>
        <v>0</v>
      </c>
      <c r="AK65" s="91">
        <f t="shared" si="7"/>
        <v>0</v>
      </c>
      <c r="AL65" s="92">
        <f t="shared" si="7"/>
        <v>6000</v>
      </c>
      <c r="AM65" s="77">
        <v>39</v>
      </c>
      <c r="AN65" s="90">
        <v>0</v>
      </c>
      <c r="AO65" s="77">
        <v>0</v>
      </c>
      <c r="AP65" s="77">
        <v>20</v>
      </c>
      <c r="AQ65" s="91">
        <f t="shared" si="18"/>
        <v>3900</v>
      </c>
      <c r="AR65" s="91">
        <f t="shared" si="18"/>
        <v>0</v>
      </c>
      <c r="AS65" s="91">
        <f t="shared" si="19"/>
        <v>0</v>
      </c>
      <c r="AT65" s="92">
        <f t="shared" si="19"/>
        <v>6000</v>
      </c>
      <c r="AU65" s="12">
        <v>43</v>
      </c>
      <c r="AV65" s="6">
        <v>0</v>
      </c>
      <c r="AW65" s="12">
        <v>0</v>
      </c>
      <c r="AX65" s="12">
        <v>10</v>
      </c>
      <c r="AY65" s="17">
        <f t="shared" si="10"/>
        <v>4300</v>
      </c>
      <c r="AZ65" s="17">
        <f t="shared" si="10"/>
        <v>0</v>
      </c>
      <c r="BA65" s="17">
        <f t="shared" si="11"/>
        <v>0</v>
      </c>
      <c r="BB65" s="25">
        <f t="shared" si="11"/>
        <v>3000</v>
      </c>
      <c r="BC65" s="12">
        <v>47</v>
      </c>
      <c r="BD65" s="6">
        <v>0</v>
      </c>
      <c r="BE65" s="12">
        <v>0</v>
      </c>
      <c r="BF65" s="12">
        <v>10</v>
      </c>
      <c r="BG65" s="17">
        <f t="shared" si="12"/>
        <v>4700</v>
      </c>
      <c r="BH65" s="17">
        <f t="shared" si="12"/>
        <v>0</v>
      </c>
      <c r="BI65" s="17">
        <f t="shared" si="13"/>
        <v>0</v>
      </c>
      <c r="BJ65" s="25">
        <f t="shared" si="13"/>
        <v>3000</v>
      </c>
      <c r="BK65" s="12">
        <v>60</v>
      </c>
      <c r="BL65" s="6">
        <v>0</v>
      </c>
      <c r="BM65" s="12">
        <v>0</v>
      </c>
      <c r="BN65" s="12">
        <v>14</v>
      </c>
      <c r="BO65" s="17">
        <f t="shared" si="14"/>
        <v>6000</v>
      </c>
      <c r="BP65" s="17">
        <f t="shared" si="14"/>
        <v>0</v>
      </c>
      <c r="BQ65" s="17">
        <f t="shared" si="15"/>
        <v>0</v>
      </c>
      <c r="BR65" s="25">
        <f t="shared" si="15"/>
        <v>4200</v>
      </c>
      <c r="BS65" s="12">
        <v>59</v>
      </c>
      <c r="BT65" s="6">
        <v>0</v>
      </c>
      <c r="BU65" s="12">
        <v>0</v>
      </c>
      <c r="BV65" s="12">
        <v>20</v>
      </c>
      <c r="BW65" s="17">
        <f t="shared" si="16"/>
        <v>5900</v>
      </c>
      <c r="BX65" s="17">
        <f t="shared" si="16"/>
        <v>0</v>
      </c>
      <c r="BY65" s="17">
        <f t="shared" si="17"/>
        <v>0</v>
      </c>
      <c r="BZ65" s="25">
        <f t="shared" si="17"/>
        <v>6000</v>
      </c>
      <c r="CA65" s="81"/>
      <c r="CB65" s="75"/>
      <c r="CC65" s="81"/>
      <c r="CD65" s="81"/>
      <c r="CE65" s="93"/>
      <c r="CF65" s="93"/>
      <c r="CG65" s="93"/>
      <c r="CH65" s="94"/>
      <c r="CI65" s="81"/>
      <c r="CJ65" s="75"/>
      <c r="CK65" s="81"/>
      <c r="CL65" s="81"/>
      <c r="CM65" s="93"/>
      <c r="CN65" s="93"/>
      <c r="CO65" s="93"/>
      <c r="CP65" s="94"/>
      <c r="CQ65" s="81"/>
      <c r="CR65" s="75"/>
      <c r="CS65" s="81"/>
      <c r="CT65" s="81"/>
      <c r="CU65" s="93"/>
      <c r="CV65" s="93"/>
      <c r="CW65" s="93"/>
      <c r="CX65" s="94"/>
      <c r="CY65" s="81"/>
      <c r="CZ65" s="75"/>
      <c r="DA65" s="81"/>
      <c r="DB65" s="81"/>
      <c r="DC65" s="93"/>
      <c r="DD65" s="93"/>
      <c r="DE65" s="93"/>
      <c r="DF65" s="94"/>
      <c r="DG65" s="81"/>
      <c r="DH65" s="75"/>
      <c r="DI65" s="81"/>
      <c r="DJ65" s="81"/>
      <c r="DK65" s="93"/>
      <c r="DL65" s="93"/>
      <c r="DM65" s="93"/>
      <c r="DN65" s="94"/>
      <c r="DO65" s="95"/>
      <c r="DP65" s="96"/>
      <c r="DQ65" s="95"/>
      <c r="DR65" s="97"/>
      <c r="DS65" s="98"/>
      <c r="DT65" s="99"/>
      <c r="DU65" s="99"/>
      <c r="DV65" s="100"/>
      <c r="DW65" s="95"/>
      <c r="DX65" s="96"/>
      <c r="DY65" s="95"/>
      <c r="DZ65" s="97"/>
      <c r="EA65" s="98"/>
      <c r="EB65" s="99"/>
      <c r="EC65" s="99"/>
      <c r="ED65" s="100"/>
      <c r="EE65" s="95"/>
      <c r="EF65" s="96"/>
      <c r="EG65" s="95"/>
      <c r="EH65" s="97"/>
      <c r="EI65" s="98"/>
      <c r="EJ65" s="99"/>
      <c r="EK65" s="99"/>
      <c r="EL65" s="100"/>
    </row>
    <row r="66" spans="1:142">
      <c r="A66" s="75">
        <v>63</v>
      </c>
      <c r="B66" s="75" t="s">
        <v>89</v>
      </c>
      <c r="F66" s="76"/>
      <c r="G66" s="101">
        <v>52</v>
      </c>
      <c r="H66" s="90">
        <v>0</v>
      </c>
      <c r="I66" s="77">
        <v>0</v>
      </c>
      <c r="J66" s="77">
        <v>10</v>
      </c>
      <c r="K66" s="91">
        <f t="shared" si="0"/>
        <v>5200</v>
      </c>
      <c r="L66" s="91">
        <f t="shared" si="0"/>
        <v>0</v>
      </c>
      <c r="M66" s="91">
        <f t="shared" si="1"/>
        <v>0</v>
      </c>
      <c r="N66" s="92">
        <f t="shared" si="1"/>
        <v>3000</v>
      </c>
      <c r="O66" s="101">
        <v>47</v>
      </c>
      <c r="P66" s="90">
        <v>0</v>
      </c>
      <c r="Q66" s="77">
        <v>0</v>
      </c>
      <c r="R66" s="77">
        <v>14</v>
      </c>
      <c r="S66" s="91">
        <f t="shared" si="2"/>
        <v>4700</v>
      </c>
      <c r="T66" s="91">
        <f t="shared" si="2"/>
        <v>0</v>
      </c>
      <c r="U66" s="91">
        <f t="shared" si="3"/>
        <v>0</v>
      </c>
      <c r="V66" s="92">
        <f t="shared" si="3"/>
        <v>4200</v>
      </c>
      <c r="W66" s="101">
        <v>40</v>
      </c>
      <c r="X66" s="90">
        <v>0</v>
      </c>
      <c r="Y66" s="77">
        <v>0</v>
      </c>
      <c r="Z66" s="77">
        <v>14</v>
      </c>
      <c r="AA66" s="91">
        <f t="shared" si="4"/>
        <v>4000</v>
      </c>
      <c r="AB66" s="91">
        <f t="shared" si="4"/>
        <v>0</v>
      </c>
      <c r="AC66" s="91">
        <f t="shared" si="5"/>
        <v>0</v>
      </c>
      <c r="AD66" s="92">
        <f t="shared" si="5"/>
        <v>4200</v>
      </c>
      <c r="AE66" s="101">
        <v>40</v>
      </c>
      <c r="AF66" s="90">
        <v>0</v>
      </c>
      <c r="AG66" s="77">
        <v>0</v>
      </c>
      <c r="AH66" s="77">
        <v>14</v>
      </c>
      <c r="AI66" s="91">
        <f t="shared" si="6"/>
        <v>4000</v>
      </c>
      <c r="AJ66" s="91">
        <f t="shared" si="6"/>
        <v>0</v>
      </c>
      <c r="AK66" s="91">
        <f t="shared" si="7"/>
        <v>0</v>
      </c>
      <c r="AL66" s="92">
        <f t="shared" si="7"/>
        <v>4200</v>
      </c>
      <c r="AM66" s="101">
        <v>52</v>
      </c>
      <c r="AN66" s="90">
        <v>0</v>
      </c>
      <c r="AO66" s="77">
        <v>0</v>
      </c>
      <c r="AP66" s="77">
        <v>16</v>
      </c>
      <c r="AQ66" s="91">
        <f t="shared" si="18"/>
        <v>5200</v>
      </c>
      <c r="AR66" s="91">
        <f t="shared" si="18"/>
        <v>0</v>
      </c>
      <c r="AS66" s="91">
        <f t="shared" si="19"/>
        <v>0</v>
      </c>
      <c r="AT66" s="92">
        <f t="shared" si="19"/>
        <v>4800</v>
      </c>
      <c r="AU66" s="15">
        <v>52</v>
      </c>
      <c r="AV66" s="6">
        <v>0</v>
      </c>
      <c r="AW66" s="12">
        <v>0</v>
      </c>
      <c r="AX66" s="12">
        <v>16</v>
      </c>
      <c r="AY66" s="17">
        <f t="shared" si="10"/>
        <v>5200</v>
      </c>
      <c r="AZ66" s="17">
        <f t="shared" si="10"/>
        <v>0</v>
      </c>
      <c r="BA66" s="17">
        <f t="shared" si="11"/>
        <v>0</v>
      </c>
      <c r="BB66" s="25">
        <f t="shared" si="11"/>
        <v>4800</v>
      </c>
      <c r="BC66" s="15">
        <v>52</v>
      </c>
      <c r="BD66" s="6">
        <v>0</v>
      </c>
      <c r="BE66" s="12">
        <v>0</v>
      </c>
      <c r="BF66" s="12">
        <v>16</v>
      </c>
      <c r="BG66" s="17">
        <f t="shared" si="12"/>
        <v>5200</v>
      </c>
      <c r="BH66" s="17">
        <f t="shared" si="12"/>
        <v>0</v>
      </c>
      <c r="BI66" s="17">
        <f t="shared" si="13"/>
        <v>0</v>
      </c>
      <c r="BJ66" s="25">
        <f t="shared" si="13"/>
        <v>4800</v>
      </c>
      <c r="BK66" s="15">
        <v>52</v>
      </c>
      <c r="BL66" s="6">
        <v>0</v>
      </c>
      <c r="BM66" s="12">
        <v>0</v>
      </c>
      <c r="BN66" s="12">
        <v>16</v>
      </c>
      <c r="BO66" s="17">
        <f t="shared" si="14"/>
        <v>5200</v>
      </c>
      <c r="BP66" s="17">
        <f t="shared" si="14"/>
        <v>0</v>
      </c>
      <c r="BQ66" s="17">
        <f t="shared" si="15"/>
        <v>0</v>
      </c>
      <c r="BR66" s="25">
        <f t="shared" si="15"/>
        <v>4800</v>
      </c>
      <c r="BS66" s="15">
        <v>50</v>
      </c>
      <c r="BT66" s="6">
        <v>0</v>
      </c>
      <c r="BU66" s="12">
        <v>0</v>
      </c>
      <c r="BV66" s="12">
        <v>16</v>
      </c>
      <c r="BW66" s="17">
        <f t="shared" si="16"/>
        <v>5000</v>
      </c>
      <c r="BX66" s="17">
        <f t="shared" si="16"/>
        <v>0</v>
      </c>
      <c r="BY66" s="17">
        <f t="shared" si="17"/>
        <v>0</v>
      </c>
      <c r="BZ66" s="25">
        <f t="shared" si="17"/>
        <v>4800</v>
      </c>
      <c r="CA66" s="103"/>
      <c r="CB66" s="75"/>
      <c r="CC66" s="81"/>
      <c r="CD66" s="81"/>
      <c r="CE66" s="93"/>
      <c r="CF66" s="93"/>
      <c r="CG66" s="93"/>
      <c r="CH66" s="94"/>
      <c r="CI66" s="103"/>
      <c r="CJ66" s="75"/>
      <c r="CK66" s="81"/>
      <c r="CL66" s="81"/>
      <c r="CM66" s="93"/>
      <c r="CN66" s="93"/>
      <c r="CO66" s="93"/>
      <c r="CP66" s="94"/>
      <c r="CQ66" s="103"/>
      <c r="CR66" s="75"/>
      <c r="CS66" s="81"/>
      <c r="CT66" s="81"/>
      <c r="CU66" s="93"/>
      <c r="CV66" s="93"/>
      <c r="CW66" s="93"/>
      <c r="CX66" s="94"/>
      <c r="CY66" s="103"/>
      <c r="CZ66" s="75"/>
      <c r="DA66" s="81"/>
      <c r="DB66" s="81"/>
      <c r="DC66" s="93"/>
      <c r="DD66" s="93"/>
      <c r="DE66" s="93"/>
      <c r="DF66" s="94"/>
      <c r="DG66" s="103"/>
      <c r="DH66" s="75"/>
      <c r="DI66" s="81"/>
      <c r="DJ66" s="81"/>
      <c r="DK66" s="93"/>
      <c r="DL66" s="93"/>
      <c r="DM66" s="93"/>
      <c r="DN66" s="94"/>
      <c r="DO66" s="104"/>
      <c r="DP66" s="96"/>
      <c r="DQ66" s="95"/>
      <c r="DR66" s="97"/>
      <c r="DS66" s="98"/>
      <c r="DT66" s="99"/>
      <c r="DU66" s="99"/>
      <c r="DV66" s="100"/>
      <c r="DW66" s="104"/>
      <c r="DX66" s="96"/>
      <c r="DY66" s="95"/>
      <c r="DZ66" s="97"/>
      <c r="EA66" s="98"/>
      <c r="EB66" s="99"/>
      <c r="EC66" s="99"/>
      <c r="ED66" s="100"/>
      <c r="EE66" s="104"/>
      <c r="EF66" s="96"/>
      <c r="EG66" s="95"/>
      <c r="EH66" s="97"/>
      <c r="EI66" s="98"/>
      <c r="EJ66" s="99"/>
      <c r="EK66" s="99"/>
      <c r="EL66" s="100"/>
    </row>
    <row r="67" spans="1:142">
      <c r="A67" s="75">
        <v>64</v>
      </c>
      <c r="B67" s="75" t="s">
        <v>90</v>
      </c>
      <c r="F67" s="76"/>
      <c r="G67" s="77">
        <v>35</v>
      </c>
      <c r="H67" s="90">
        <v>0</v>
      </c>
      <c r="I67" s="77">
        <v>0</v>
      </c>
      <c r="J67" s="77">
        <v>20</v>
      </c>
      <c r="K67" s="91">
        <f t="shared" si="0"/>
        <v>3500</v>
      </c>
      <c r="L67" s="91">
        <f t="shared" si="0"/>
        <v>0</v>
      </c>
      <c r="M67" s="91">
        <f t="shared" si="1"/>
        <v>0</v>
      </c>
      <c r="N67" s="92">
        <f t="shared" si="1"/>
        <v>6000</v>
      </c>
      <c r="O67" s="77">
        <v>40</v>
      </c>
      <c r="P67" s="90">
        <v>0</v>
      </c>
      <c r="Q67" s="77">
        <v>0</v>
      </c>
      <c r="R67" s="77">
        <v>20</v>
      </c>
      <c r="S67" s="91">
        <f t="shared" si="2"/>
        <v>4000</v>
      </c>
      <c r="T67" s="91">
        <f t="shared" si="2"/>
        <v>0</v>
      </c>
      <c r="U67" s="91">
        <f t="shared" si="3"/>
        <v>0</v>
      </c>
      <c r="V67" s="92">
        <f t="shared" si="3"/>
        <v>6000</v>
      </c>
      <c r="W67" s="77">
        <v>42</v>
      </c>
      <c r="X67" s="90">
        <v>0</v>
      </c>
      <c r="Y67" s="77">
        <v>0</v>
      </c>
      <c r="Z67" s="77">
        <v>20</v>
      </c>
      <c r="AA67" s="91">
        <f t="shared" si="4"/>
        <v>4200</v>
      </c>
      <c r="AB67" s="91">
        <f t="shared" si="4"/>
        <v>0</v>
      </c>
      <c r="AC67" s="91">
        <f t="shared" si="5"/>
        <v>0</v>
      </c>
      <c r="AD67" s="92">
        <f t="shared" si="5"/>
        <v>6000</v>
      </c>
      <c r="AE67" s="77">
        <v>42</v>
      </c>
      <c r="AF67" s="90">
        <v>0</v>
      </c>
      <c r="AG67" s="77">
        <v>0</v>
      </c>
      <c r="AH67" s="77">
        <v>20</v>
      </c>
      <c r="AI67" s="91">
        <f t="shared" si="6"/>
        <v>4200</v>
      </c>
      <c r="AJ67" s="91">
        <f t="shared" si="6"/>
        <v>0</v>
      </c>
      <c r="AK67" s="91">
        <f t="shared" si="7"/>
        <v>0</v>
      </c>
      <c r="AL67" s="92">
        <f t="shared" si="7"/>
        <v>6000</v>
      </c>
      <c r="AM67" s="77">
        <v>34</v>
      </c>
      <c r="AN67" s="90">
        <v>0</v>
      </c>
      <c r="AO67" s="77">
        <v>0</v>
      </c>
      <c r="AP67" s="77">
        <v>20</v>
      </c>
      <c r="AQ67" s="91">
        <f t="shared" si="18"/>
        <v>3400</v>
      </c>
      <c r="AR67" s="91">
        <f t="shared" si="18"/>
        <v>0</v>
      </c>
      <c r="AS67" s="91">
        <f t="shared" si="19"/>
        <v>0</v>
      </c>
      <c r="AT67" s="92">
        <f t="shared" si="19"/>
        <v>6000</v>
      </c>
      <c r="AU67" s="12">
        <v>46</v>
      </c>
      <c r="AV67" s="6">
        <v>0</v>
      </c>
      <c r="AW67" s="12">
        <v>0</v>
      </c>
      <c r="AX67" s="12">
        <v>20</v>
      </c>
      <c r="AY67" s="17">
        <f t="shared" si="10"/>
        <v>4600</v>
      </c>
      <c r="AZ67" s="17">
        <f t="shared" si="10"/>
        <v>0</v>
      </c>
      <c r="BA67" s="17">
        <f t="shared" si="11"/>
        <v>0</v>
      </c>
      <c r="BB67" s="25">
        <f t="shared" si="11"/>
        <v>6000</v>
      </c>
      <c r="BC67" s="12">
        <v>45</v>
      </c>
      <c r="BD67" s="6">
        <v>0</v>
      </c>
      <c r="BE67" s="12">
        <v>0</v>
      </c>
      <c r="BF67" s="12">
        <v>20</v>
      </c>
      <c r="BG67" s="17">
        <f t="shared" si="12"/>
        <v>4500</v>
      </c>
      <c r="BH67" s="17">
        <f t="shared" si="12"/>
        <v>0</v>
      </c>
      <c r="BI67" s="17">
        <f t="shared" si="13"/>
        <v>0</v>
      </c>
      <c r="BJ67" s="25">
        <f t="shared" si="13"/>
        <v>6000</v>
      </c>
      <c r="BK67" s="12">
        <v>45</v>
      </c>
      <c r="BL67" s="6">
        <v>0</v>
      </c>
      <c r="BM67" s="12">
        <v>0</v>
      </c>
      <c r="BN67" s="12">
        <v>20</v>
      </c>
      <c r="BO67" s="17">
        <f t="shared" si="14"/>
        <v>4500</v>
      </c>
      <c r="BP67" s="17">
        <f t="shared" si="14"/>
        <v>0</v>
      </c>
      <c r="BQ67" s="17">
        <f t="shared" si="15"/>
        <v>0</v>
      </c>
      <c r="BR67" s="25">
        <f t="shared" si="15"/>
        <v>6000</v>
      </c>
      <c r="BS67" s="12">
        <v>46</v>
      </c>
      <c r="BT67" s="6">
        <v>0</v>
      </c>
      <c r="BU67" s="12">
        <v>0</v>
      </c>
      <c r="BV67" s="12">
        <v>15</v>
      </c>
      <c r="BW67" s="17">
        <f t="shared" si="16"/>
        <v>4600</v>
      </c>
      <c r="BX67" s="17">
        <f t="shared" si="16"/>
        <v>0</v>
      </c>
      <c r="BY67" s="17">
        <f t="shared" si="17"/>
        <v>0</v>
      </c>
      <c r="BZ67" s="25">
        <f t="shared" si="17"/>
        <v>4500</v>
      </c>
      <c r="CA67" s="81"/>
      <c r="CB67" s="75"/>
      <c r="CC67" s="81"/>
      <c r="CD67" s="81"/>
      <c r="CE67" s="93"/>
      <c r="CF67" s="93"/>
      <c r="CG67" s="93"/>
      <c r="CH67" s="94"/>
      <c r="CI67" s="81"/>
      <c r="CJ67" s="75"/>
      <c r="CK67" s="81"/>
      <c r="CL67" s="81"/>
      <c r="CM67" s="93"/>
      <c r="CN67" s="93"/>
      <c r="CO67" s="93"/>
      <c r="CP67" s="94"/>
      <c r="CQ67" s="81"/>
      <c r="CR67" s="75"/>
      <c r="CS67" s="81"/>
      <c r="CT67" s="81"/>
      <c r="CU67" s="93"/>
      <c r="CV67" s="93"/>
      <c r="CW67" s="93"/>
      <c r="CX67" s="94"/>
      <c r="CY67" s="81"/>
      <c r="CZ67" s="75"/>
      <c r="DA67" s="81"/>
      <c r="DB67" s="81"/>
      <c r="DC67" s="93"/>
      <c r="DD67" s="93"/>
      <c r="DE67" s="93"/>
      <c r="DF67" s="94"/>
      <c r="DG67" s="81"/>
      <c r="DH67" s="75"/>
      <c r="DI67" s="81"/>
      <c r="DJ67" s="81"/>
      <c r="DK67" s="93"/>
      <c r="DL67" s="93"/>
      <c r="DM67" s="93"/>
      <c r="DN67" s="94"/>
      <c r="DO67" s="95"/>
      <c r="DP67" s="96"/>
      <c r="DQ67" s="95"/>
      <c r="DR67" s="97"/>
      <c r="DS67" s="98"/>
      <c r="DT67" s="99"/>
      <c r="DU67" s="99"/>
      <c r="DV67" s="100"/>
      <c r="DW67" s="95"/>
      <c r="DX67" s="96"/>
      <c r="DY67" s="95"/>
      <c r="DZ67" s="97"/>
      <c r="EA67" s="98"/>
      <c r="EB67" s="99"/>
      <c r="EC67" s="99"/>
      <c r="ED67" s="100"/>
      <c r="EE67" s="95"/>
      <c r="EF67" s="96"/>
      <c r="EG67" s="95"/>
      <c r="EH67" s="97"/>
      <c r="EI67" s="98"/>
      <c r="EJ67" s="99"/>
      <c r="EK67" s="99"/>
      <c r="EL67" s="100"/>
    </row>
    <row r="68" spans="1:142">
      <c r="A68" s="75">
        <v>65</v>
      </c>
      <c r="B68" s="75" t="s">
        <v>91</v>
      </c>
      <c r="F68" s="76"/>
      <c r="G68" s="77">
        <v>30</v>
      </c>
      <c r="H68" s="90">
        <v>0</v>
      </c>
      <c r="I68" s="77">
        <v>0</v>
      </c>
      <c r="J68" s="77">
        <v>18</v>
      </c>
      <c r="K68" s="91">
        <f t="shared" si="0"/>
        <v>3000</v>
      </c>
      <c r="L68" s="91">
        <f t="shared" si="0"/>
        <v>0</v>
      </c>
      <c r="M68" s="91">
        <f t="shared" si="1"/>
        <v>0</v>
      </c>
      <c r="N68" s="92">
        <f t="shared" si="1"/>
        <v>5400</v>
      </c>
      <c r="O68" s="77">
        <v>30</v>
      </c>
      <c r="P68" s="90">
        <v>0</v>
      </c>
      <c r="Q68" s="77">
        <v>0</v>
      </c>
      <c r="R68" s="77">
        <v>16</v>
      </c>
      <c r="S68" s="91">
        <f t="shared" si="2"/>
        <v>3000</v>
      </c>
      <c r="T68" s="91">
        <f t="shared" si="2"/>
        <v>0</v>
      </c>
      <c r="U68" s="91">
        <f t="shared" si="3"/>
        <v>0</v>
      </c>
      <c r="V68" s="92">
        <f t="shared" si="3"/>
        <v>4800</v>
      </c>
      <c r="W68" s="77">
        <v>30</v>
      </c>
      <c r="X68" s="90">
        <v>0</v>
      </c>
      <c r="Y68" s="77">
        <v>0</v>
      </c>
      <c r="Z68" s="77">
        <v>20</v>
      </c>
      <c r="AA68" s="91">
        <f t="shared" si="4"/>
        <v>3000</v>
      </c>
      <c r="AB68" s="91">
        <f t="shared" si="4"/>
        <v>0</v>
      </c>
      <c r="AC68" s="91">
        <f t="shared" si="5"/>
        <v>0</v>
      </c>
      <c r="AD68" s="92">
        <f t="shared" si="5"/>
        <v>6000</v>
      </c>
      <c r="AE68" s="77">
        <v>30</v>
      </c>
      <c r="AF68" s="90">
        <v>0</v>
      </c>
      <c r="AG68" s="77">
        <v>0</v>
      </c>
      <c r="AH68" s="77">
        <v>20</v>
      </c>
      <c r="AI68" s="91">
        <f t="shared" si="6"/>
        <v>3000</v>
      </c>
      <c r="AJ68" s="91">
        <f t="shared" si="6"/>
        <v>0</v>
      </c>
      <c r="AK68" s="91">
        <f t="shared" si="7"/>
        <v>0</v>
      </c>
      <c r="AL68" s="92">
        <f t="shared" si="7"/>
        <v>6000</v>
      </c>
      <c r="AM68" s="77">
        <v>43</v>
      </c>
      <c r="AN68" s="90">
        <v>0</v>
      </c>
      <c r="AO68" s="77">
        <v>0</v>
      </c>
      <c r="AP68" s="77">
        <v>18</v>
      </c>
      <c r="AQ68" s="91">
        <f t="shared" si="18"/>
        <v>4300</v>
      </c>
      <c r="AR68" s="91">
        <f t="shared" si="18"/>
        <v>0</v>
      </c>
      <c r="AS68" s="91">
        <f t="shared" si="19"/>
        <v>0</v>
      </c>
      <c r="AT68" s="92">
        <f t="shared" si="19"/>
        <v>5400</v>
      </c>
      <c r="AU68" s="12">
        <v>44</v>
      </c>
      <c r="AV68" s="6">
        <v>0</v>
      </c>
      <c r="AW68" s="12">
        <v>0</v>
      </c>
      <c r="AX68" s="12">
        <v>19</v>
      </c>
      <c r="AY68" s="17">
        <f t="shared" si="10"/>
        <v>4400</v>
      </c>
      <c r="AZ68" s="17">
        <f t="shared" si="10"/>
        <v>0</v>
      </c>
      <c r="BA68" s="17">
        <f t="shared" si="11"/>
        <v>0</v>
      </c>
      <c r="BB68" s="25">
        <f t="shared" si="11"/>
        <v>5700</v>
      </c>
      <c r="BC68" s="12">
        <v>42</v>
      </c>
      <c r="BD68" s="6">
        <v>0</v>
      </c>
      <c r="BE68" s="12">
        <v>0</v>
      </c>
      <c r="BF68" s="12">
        <v>19</v>
      </c>
      <c r="BG68" s="17">
        <f t="shared" si="12"/>
        <v>4200</v>
      </c>
      <c r="BH68" s="17">
        <f t="shared" si="12"/>
        <v>0</v>
      </c>
      <c r="BI68" s="17">
        <f t="shared" si="13"/>
        <v>0</v>
      </c>
      <c r="BJ68" s="25">
        <f t="shared" si="13"/>
        <v>5700</v>
      </c>
      <c r="BK68" s="12">
        <v>42</v>
      </c>
      <c r="BL68" s="6">
        <v>0</v>
      </c>
      <c r="BM68" s="12">
        <v>0</v>
      </c>
      <c r="BN68" s="12">
        <v>19</v>
      </c>
      <c r="BO68" s="17">
        <f t="shared" si="14"/>
        <v>4200</v>
      </c>
      <c r="BP68" s="17">
        <f t="shared" si="14"/>
        <v>0</v>
      </c>
      <c r="BQ68" s="17">
        <f t="shared" si="15"/>
        <v>0</v>
      </c>
      <c r="BR68" s="25">
        <f t="shared" si="15"/>
        <v>5700</v>
      </c>
      <c r="BS68" s="12">
        <v>42</v>
      </c>
      <c r="BT68" s="6">
        <v>0</v>
      </c>
      <c r="BU68" s="12">
        <v>0</v>
      </c>
      <c r="BV68" s="12">
        <v>20</v>
      </c>
      <c r="BW68" s="17">
        <f t="shared" si="16"/>
        <v>4200</v>
      </c>
      <c r="BX68" s="17">
        <f t="shared" si="16"/>
        <v>0</v>
      </c>
      <c r="BY68" s="17">
        <f t="shared" si="17"/>
        <v>0</v>
      </c>
      <c r="BZ68" s="25">
        <f t="shared" si="17"/>
        <v>6000</v>
      </c>
      <c r="CA68" s="81"/>
      <c r="CB68" s="75"/>
      <c r="CC68" s="81"/>
      <c r="CD68" s="81"/>
      <c r="CE68" s="93"/>
      <c r="CF68" s="93"/>
      <c r="CG68" s="93"/>
      <c r="CH68" s="94"/>
      <c r="CI68" s="81"/>
      <c r="CJ68" s="75"/>
      <c r="CK68" s="81"/>
      <c r="CL68" s="81"/>
      <c r="CM68" s="93"/>
      <c r="CN68" s="93"/>
      <c r="CO68" s="93"/>
      <c r="CP68" s="94"/>
      <c r="CQ68" s="81"/>
      <c r="CR68" s="75"/>
      <c r="CS68" s="81"/>
      <c r="CT68" s="81"/>
      <c r="CU68" s="93"/>
      <c r="CV68" s="93"/>
      <c r="CW68" s="93"/>
      <c r="CX68" s="94"/>
      <c r="CY68" s="81"/>
      <c r="CZ68" s="75"/>
      <c r="DA68" s="81"/>
      <c r="DB68" s="81"/>
      <c r="DC68" s="93"/>
      <c r="DD68" s="93"/>
      <c r="DE68" s="93"/>
      <c r="DF68" s="94"/>
      <c r="DG68" s="81"/>
      <c r="DH68" s="75"/>
      <c r="DI68" s="81"/>
      <c r="DJ68" s="81"/>
      <c r="DK68" s="93"/>
      <c r="DL68" s="93"/>
      <c r="DM68" s="93"/>
      <c r="DN68" s="94"/>
      <c r="DO68" s="95"/>
      <c r="DP68" s="96"/>
      <c r="DQ68" s="95"/>
      <c r="DR68" s="97"/>
      <c r="DS68" s="98"/>
      <c r="DT68" s="99"/>
      <c r="DU68" s="99"/>
      <c r="DV68" s="100"/>
      <c r="DW68" s="95"/>
      <c r="DX68" s="96"/>
      <c r="DY68" s="95"/>
      <c r="DZ68" s="97"/>
      <c r="EA68" s="98"/>
      <c r="EB68" s="99"/>
      <c r="EC68" s="99"/>
      <c r="ED68" s="100"/>
      <c r="EE68" s="95"/>
      <c r="EF68" s="96"/>
      <c r="EG68" s="95"/>
      <c r="EH68" s="97"/>
      <c r="EI68" s="98"/>
      <c r="EJ68" s="99"/>
      <c r="EK68" s="99"/>
      <c r="EL68" s="100"/>
    </row>
    <row r="69" spans="1:142">
      <c r="A69" s="75">
        <v>66</v>
      </c>
      <c r="B69" s="75" t="s">
        <v>92</v>
      </c>
      <c r="F69" s="76"/>
      <c r="G69" s="77">
        <v>50</v>
      </c>
      <c r="H69" s="90">
        <v>10</v>
      </c>
      <c r="I69" s="77">
        <v>0</v>
      </c>
      <c r="J69" s="77">
        <v>12</v>
      </c>
      <c r="K69" s="91">
        <f t="shared" ref="K69:L104" si="20">G69*100</f>
        <v>5000</v>
      </c>
      <c r="L69" s="91">
        <f t="shared" si="20"/>
        <v>1000</v>
      </c>
      <c r="M69" s="91">
        <f t="shared" ref="M69:N104" si="21">I69*300</f>
        <v>0</v>
      </c>
      <c r="N69" s="92">
        <f t="shared" si="21"/>
        <v>3600</v>
      </c>
      <c r="O69" s="77">
        <v>48</v>
      </c>
      <c r="P69" s="90">
        <v>10</v>
      </c>
      <c r="Q69" s="77">
        <v>0</v>
      </c>
      <c r="R69" s="77">
        <v>12</v>
      </c>
      <c r="S69" s="91">
        <f t="shared" ref="S69:T104" si="22">O69*100</f>
        <v>4800</v>
      </c>
      <c r="T69" s="91">
        <f t="shared" si="22"/>
        <v>1000</v>
      </c>
      <c r="U69" s="91">
        <f t="shared" ref="U69:V104" si="23">Q69*300</f>
        <v>0</v>
      </c>
      <c r="V69" s="92">
        <f t="shared" si="23"/>
        <v>3600</v>
      </c>
      <c r="W69" s="77">
        <v>46</v>
      </c>
      <c r="X69" s="90">
        <v>10</v>
      </c>
      <c r="Y69" s="77">
        <v>0</v>
      </c>
      <c r="Z69" s="77">
        <v>14</v>
      </c>
      <c r="AA69" s="91">
        <f t="shared" ref="AA69:AB104" si="24">W69*100</f>
        <v>4600</v>
      </c>
      <c r="AB69" s="91">
        <f t="shared" si="24"/>
        <v>1000</v>
      </c>
      <c r="AC69" s="91">
        <f t="shared" ref="AC69:AD104" si="25">Y69*300</f>
        <v>0</v>
      </c>
      <c r="AD69" s="92">
        <f t="shared" si="25"/>
        <v>4200</v>
      </c>
      <c r="AE69" s="77">
        <v>46</v>
      </c>
      <c r="AF69" s="90">
        <v>10</v>
      </c>
      <c r="AG69" s="77">
        <v>0</v>
      </c>
      <c r="AH69" s="77">
        <v>20</v>
      </c>
      <c r="AI69" s="91">
        <f t="shared" ref="AI69:AJ104" si="26">AE69*100</f>
        <v>4600</v>
      </c>
      <c r="AJ69" s="91">
        <f t="shared" si="26"/>
        <v>1000</v>
      </c>
      <c r="AK69" s="91">
        <f t="shared" ref="AK69:AL104" si="27">AG69*300</f>
        <v>0</v>
      </c>
      <c r="AL69" s="92">
        <f t="shared" si="27"/>
        <v>6000</v>
      </c>
      <c r="AM69" s="77">
        <v>25</v>
      </c>
      <c r="AN69" s="90">
        <v>10</v>
      </c>
      <c r="AO69" s="77">
        <v>0</v>
      </c>
      <c r="AP69" s="77">
        <v>16</v>
      </c>
      <c r="AQ69" s="91">
        <f t="shared" si="18"/>
        <v>2500</v>
      </c>
      <c r="AR69" s="91">
        <f t="shared" si="18"/>
        <v>1000</v>
      </c>
      <c r="AS69" s="91">
        <f t="shared" si="19"/>
        <v>0</v>
      </c>
      <c r="AT69" s="92">
        <f t="shared" si="19"/>
        <v>4800</v>
      </c>
      <c r="AU69" s="12">
        <v>56</v>
      </c>
      <c r="AV69" s="6">
        <v>10</v>
      </c>
      <c r="AW69" s="12">
        <v>0</v>
      </c>
      <c r="AX69" s="12">
        <v>8</v>
      </c>
      <c r="AY69" s="17">
        <f t="shared" ref="AY69:AZ104" si="28">AU69*100</f>
        <v>5600</v>
      </c>
      <c r="AZ69" s="17">
        <f t="shared" si="28"/>
        <v>1000</v>
      </c>
      <c r="BA69" s="17">
        <f t="shared" ref="BA69:BB104" si="29">AW69*300</f>
        <v>0</v>
      </c>
      <c r="BB69" s="25">
        <f t="shared" si="29"/>
        <v>2400</v>
      </c>
      <c r="BC69" s="12">
        <v>56</v>
      </c>
      <c r="BD69" s="6">
        <v>10</v>
      </c>
      <c r="BE69" s="12">
        <v>0</v>
      </c>
      <c r="BF69" s="12">
        <v>12</v>
      </c>
      <c r="BG69" s="17">
        <f t="shared" ref="BG69:BH104" si="30">BC69*100</f>
        <v>5600</v>
      </c>
      <c r="BH69" s="17">
        <f t="shared" si="30"/>
        <v>1000</v>
      </c>
      <c r="BI69" s="17">
        <f t="shared" ref="BI69:BJ104" si="31">BE69*300</f>
        <v>0</v>
      </c>
      <c r="BJ69" s="25">
        <f t="shared" si="31"/>
        <v>3600</v>
      </c>
      <c r="BK69" s="12">
        <v>56</v>
      </c>
      <c r="BL69" s="6">
        <v>12</v>
      </c>
      <c r="BM69" s="12">
        <v>0</v>
      </c>
      <c r="BN69" s="12">
        <v>12</v>
      </c>
      <c r="BO69" s="17">
        <f t="shared" ref="BO69:BP104" si="32">BK69*100</f>
        <v>5600</v>
      </c>
      <c r="BP69" s="17">
        <f t="shared" si="32"/>
        <v>1200</v>
      </c>
      <c r="BQ69" s="17">
        <f t="shared" ref="BQ69:BR104" si="33">BM69*300</f>
        <v>0</v>
      </c>
      <c r="BR69" s="25">
        <f t="shared" si="33"/>
        <v>3600</v>
      </c>
      <c r="BS69" s="12">
        <v>56</v>
      </c>
      <c r="BT69" s="6">
        <v>12</v>
      </c>
      <c r="BU69" s="12">
        <v>0</v>
      </c>
      <c r="BV69" s="12">
        <v>20</v>
      </c>
      <c r="BW69" s="17">
        <f t="shared" ref="BW69:BX104" si="34">BS69*100</f>
        <v>5600</v>
      </c>
      <c r="BX69" s="17">
        <f t="shared" si="34"/>
        <v>1200</v>
      </c>
      <c r="BY69" s="17">
        <f t="shared" ref="BY69:BZ104" si="35">BU69*300</f>
        <v>0</v>
      </c>
      <c r="BZ69" s="25">
        <f t="shared" si="35"/>
        <v>6000</v>
      </c>
      <c r="CA69" s="81"/>
      <c r="CB69" s="75"/>
      <c r="CC69" s="81"/>
      <c r="CD69" s="81"/>
      <c r="CE69" s="93"/>
      <c r="CF69" s="93"/>
      <c r="CG69" s="93"/>
      <c r="CH69" s="94"/>
      <c r="CI69" s="81"/>
      <c r="CJ69" s="75"/>
      <c r="CK69" s="81"/>
      <c r="CL69" s="81"/>
      <c r="CM69" s="93"/>
      <c r="CN69" s="93"/>
      <c r="CO69" s="93"/>
      <c r="CP69" s="94"/>
      <c r="CQ69" s="81"/>
      <c r="CR69" s="75"/>
      <c r="CS69" s="81"/>
      <c r="CT69" s="81"/>
      <c r="CU69" s="93"/>
      <c r="CV69" s="93"/>
      <c r="CW69" s="93"/>
      <c r="CX69" s="94"/>
      <c r="CY69" s="81"/>
      <c r="CZ69" s="75"/>
      <c r="DA69" s="81"/>
      <c r="DB69" s="81"/>
      <c r="DC69" s="93"/>
      <c r="DD69" s="93"/>
      <c r="DE69" s="93"/>
      <c r="DF69" s="94"/>
      <c r="DG69" s="81"/>
      <c r="DH69" s="75"/>
      <c r="DI69" s="81"/>
      <c r="DJ69" s="81"/>
      <c r="DK69" s="93"/>
      <c r="DL69" s="93"/>
      <c r="DM69" s="93"/>
      <c r="DN69" s="94"/>
      <c r="DO69" s="95"/>
      <c r="DP69" s="96"/>
      <c r="DQ69" s="95"/>
      <c r="DR69" s="97"/>
      <c r="DS69" s="98"/>
      <c r="DT69" s="99"/>
      <c r="DU69" s="99"/>
      <c r="DV69" s="100"/>
      <c r="DW69" s="95"/>
      <c r="DX69" s="96"/>
      <c r="DY69" s="95"/>
      <c r="DZ69" s="97"/>
      <c r="EA69" s="98"/>
      <c r="EB69" s="99"/>
      <c r="EC69" s="99"/>
      <c r="ED69" s="100"/>
      <c r="EE69" s="95"/>
      <c r="EF69" s="96"/>
      <c r="EG69" s="95"/>
      <c r="EH69" s="97"/>
      <c r="EI69" s="98"/>
      <c r="EJ69" s="99"/>
      <c r="EK69" s="99"/>
      <c r="EL69" s="100"/>
    </row>
    <row r="70" spans="1:142">
      <c r="A70" s="75">
        <v>67</v>
      </c>
      <c r="B70" s="75" t="s">
        <v>93</v>
      </c>
      <c r="F70" s="76"/>
      <c r="G70" s="77">
        <v>55</v>
      </c>
      <c r="H70" s="90">
        <v>0</v>
      </c>
      <c r="I70" s="77">
        <v>0</v>
      </c>
      <c r="J70" s="77">
        <v>12</v>
      </c>
      <c r="K70" s="91">
        <f t="shared" si="20"/>
        <v>5500</v>
      </c>
      <c r="L70" s="91">
        <f t="shared" si="20"/>
        <v>0</v>
      </c>
      <c r="M70" s="91">
        <f t="shared" si="21"/>
        <v>0</v>
      </c>
      <c r="N70" s="92">
        <f t="shared" si="21"/>
        <v>3600</v>
      </c>
      <c r="O70" s="77">
        <v>50</v>
      </c>
      <c r="P70" s="90">
        <v>0</v>
      </c>
      <c r="Q70" s="77">
        <v>0</v>
      </c>
      <c r="R70" s="77">
        <v>10</v>
      </c>
      <c r="S70" s="91">
        <f t="shared" si="22"/>
        <v>5000</v>
      </c>
      <c r="T70" s="91">
        <f t="shared" si="22"/>
        <v>0</v>
      </c>
      <c r="U70" s="91">
        <f t="shared" si="23"/>
        <v>0</v>
      </c>
      <c r="V70" s="92">
        <f t="shared" si="23"/>
        <v>3000</v>
      </c>
      <c r="W70" s="77">
        <v>52</v>
      </c>
      <c r="X70" s="90">
        <v>0</v>
      </c>
      <c r="Y70" s="77">
        <v>0</v>
      </c>
      <c r="Z70" s="77">
        <v>15</v>
      </c>
      <c r="AA70" s="91">
        <f t="shared" si="24"/>
        <v>5200</v>
      </c>
      <c r="AB70" s="91">
        <f t="shared" si="24"/>
        <v>0</v>
      </c>
      <c r="AC70" s="91">
        <f t="shared" si="25"/>
        <v>0</v>
      </c>
      <c r="AD70" s="92">
        <f t="shared" si="25"/>
        <v>4500</v>
      </c>
      <c r="AE70" s="77">
        <v>52</v>
      </c>
      <c r="AF70" s="90">
        <v>0</v>
      </c>
      <c r="AG70" s="77">
        <v>0</v>
      </c>
      <c r="AH70" s="77">
        <v>18</v>
      </c>
      <c r="AI70" s="91">
        <f t="shared" si="26"/>
        <v>5200</v>
      </c>
      <c r="AJ70" s="91">
        <f t="shared" si="26"/>
        <v>0</v>
      </c>
      <c r="AK70" s="91">
        <f t="shared" si="27"/>
        <v>0</v>
      </c>
      <c r="AL70" s="92">
        <f t="shared" si="27"/>
        <v>5400</v>
      </c>
      <c r="AM70" s="77">
        <v>30</v>
      </c>
      <c r="AN70" s="90">
        <v>0</v>
      </c>
      <c r="AO70" s="77">
        <v>0</v>
      </c>
      <c r="AP70" s="77">
        <v>8</v>
      </c>
      <c r="AQ70" s="91">
        <f t="shared" si="18"/>
        <v>3000</v>
      </c>
      <c r="AR70" s="91">
        <f t="shared" si="18"/>
        <v>0</v>
      </c>
      <c r="AS70" s="91">
        <f t="shared" si="19"/>
        <v>0</v>
      </c>
      <c r="AT70" s="92">
        <f t="shared" si="19"/>
        <v>2400</v>
      </c>
      <c r="AU70" s="12">
        <v>36</v>
      </c>
      <c r="AV70" s="6">
        <v>0</v>
      </c>
      <c r="AW70" s="12">
        <v>0</v>
      </c>
      <c r="AX70" s="12">
        <v>14</v>
      </c>
      <c r="AY70" s="17">
        <f t="shared" si="28"/>
        <v>3600</v>
      </c>
      <c r="AZ70" s="17">
        <f t="shared" si="28"/>
        <v>0</v>
      </c>
      <c r="BA70" s="17">
        <f t="shared" si="29"/>
        <v>0</v>
      </c>
      <c r="BB70" s="25">
        <f t="shared" si="29"/>
        <v>4200</v>
      </c>
      <c r="BC70" s="12">
        <v>46</v>
      </c>
      <c r="BD70" s="6">
        <v>0</v>
      </c>
      <c r="BE70" s="12">
        <v>0</v>
      </c>
      <c r="BF70" s="12">
        <v>20</v>
      </c>
      <c r="BG70" s="17">
        <f t="shared" si="30"/>
        <v>4600</v>
      </c>
      <c r="BH70" s="17">
        <f t="shared" si="30"/>
        <v>0</v>
      </c>
      <c r="BI70" s="17">
        <f t="shared" si="31"/>
        <v>0</v>
      </c>
      <c r="BJ70" s="25">
        <f t="shared" si="31"/>
        <v>6000</v>
      </c>
      <c r="BK70" s="12">
        <v>50</v>
      </c>
      <c r="BL70" s="6">
        <v>0</v>
      </c>
      <c r="BM70" s="12">
        <v>0</v>
      </c>
      <c r="BN70" s="12">
        <v>16</v>
      </c>
      <c r="BO70" s="17">
        <f t="shared" si="32"/>
        <v>5000</v>
      </c>
      <c r="BP70" s="17">
        <f t="shared" si="32"/>
        <v>0</v>
      </c>
      <c r="BQ70" s="17">
        <f t="shared" si="33"/>
        <v>0</v>
      </c>
      <c r="BR70" s="25">
        <f t="shared" si="33"/>
        <v>4800</v>
      </c>
      <c r="BS70" s="12">
        <v>50</v>
      </c>
      <c r="BT70" s="6">
        <v>0</v>
      </c>
      <c r="BU70" s="12">
        <v>0</v>
      </c>
      <c r="BV70" s="12">
        <v>16</v>
      </c>
      <c r="BW70" s="17">
        <f t="shared" si="34"/>
        <v>5000</v>
      </c>
      <c r="BX70" s="17">
        <f t="shared" si="34"/>
        <v>0</v>
      </c>
      <c r="BY70" s="17">
        <f t="shared" si="35"/>
        <v>0</v>
      </c>
      <c r="BZ70" s="25">
        <f t="shared" si="35"/>
        <v>4800</v>
      </c>
      <c r="CA70" s="81"/>
      <c r="CB70" s="75"/>
      <c r="CC70" s="81"/>
      <c r="CD70" s="81"/>
      <c r="CE70" s="93"/>
      <c r="CF70" s="93"/>
      <c r="CG70" s="93"/>
      <c r="CH70" s="94"/>
      <c r="CI70" s="81"/>
      <c r="CJ70" s="75"/>
      <c r="CK70" s="81"/>
      <c r="CL70" s="81"/>
      <c r="CM70" s="93"/>
      <c r="CN70" s="93"/>
      <c r="CO70" s="93"/>
      <c r="CP70" s="94"/>
      <c r="CQ70" s="81"/>
      <c r="CR70" s="75"/>
      <c r="CS70" s="81"/>
      <c r="CT70" s="81"/>
      <c r="CU70" s="93"/>
      <c r="CV70" s="93"/>
      <c r="CW70" s="93"/>
      <c r="CX70" s="94"/>
      <c r="CY70" s="81"/>
      <c r="CZ70" s="75"/>
      <c r="DA70" s="81"/>
      <c r="DB70" s="81"/>
      <c r="DC70" s="93"/>
      <c r="DD70" s="93"/>
      <c r="DE70" s="93"/>
      <c r="DF70" s="94"/>
      <c r="DG70" s="81"/>
      <c r="DH70" s="75"/>
      <c r="DI70" s="81"/>
      <c r="DJ70" s="81"/>
      <c r="DK70" s="93"/>
      <c r="DL70" s="93"/>
      <c r="DM70" s="93"/>
      <c r="DN70" s="94"/>
      <c r="DO70" s="95"/>
      <c r="DP70" s="96"/>
      <c r="DQ70" s="95"/>
      <c r="DR70" s="97"/>
      <c r="DS70" s="98"/>
      <c r="DT70" s="99"/>
      <c r="DU70" s="99"/>
      <c r="DV70" s="100"/>
      <c r="DW70" s="95"/>
      <c r="DX70" s="96"/>
      <c r="DY70" s="95"/>
      <c r="DZ70" s="97"/>
      <c r="EA70" s="98"/>
      <c r="EB70" s="99"/>
      <c r="EC70" s="99"/>
      <c r="ED70" s="100"/>
      <c r="EE70" s="95"/>
      <c r="EF70" s="96"/>
      <c r="EG70" s="95"/>
      <c r="EH70" s="97"/>
      <c r="EI70" s="98"/>
      <c r="EJ70" s="99"/>
      <c r="EK70" s="99"/>
      <c r="EL70" s="100"/>
    </row>
    <row r="71" spans="1:142">
      <c r="A71" s="75">
        <v>68</v>
      </c>
      <c r="B71" s="75" t="s">
        <v>94</v>
      </c>
      <c r="F71" s="76"/>
      <c r="G71" s="77">
        <v>40</v>
      </c>
      <c r="H71" s="90">
        <v>0</v>
      </c>
      <c r="I71" s="77">
        <v>0</v>
      </c>
      <c r="J71" s="77">
        <v>10</v>
      </c>
      <c r="K71" s="91">
        <f t="shared" si="20"/>
        <v>4000</v>
      </c>
      <c r="L71" s="91">
        <f t="shared" si="20"/>
        <v>0</v>
      </c>
      <c r="M71" s="91">
        <f t="shared" si="21"/>
        <v>0</v>
      </c>
      <c r="N71" s="92">
        <f t="shared" si="21"/>
        <v>3000</v>
      </c>
      <c r="O71" s="77">
        <v>38</v>
      </c>
      <c r="P71" s="90">
        <v>0</v>
      </c>
      <c r="Q71" s="77">
        <v>0</v>
      </c>
      <c r="R71" s="77">
        <v>8</v>
      </c>
      <c r="S71" s="91">
        <f t="shared" si="22"/>
        <v>3800</v>
      </c>
      <c r="T71" s="91">
        <f t="shared" si="22"/>
        <v>0</v>
      </c>
      <c r="U71" s="91">
        <f t="shared" si="23"/>
        <v>0</v>
      </c>
      <c r="V71" s="92">
        <f t="shared" si="23"/>
        <v>2400</v>
      </c>
      <c r="W71" s="77">
        <v>60</v>
      </c>
      <c r="X71" s="90">
        <v>0</v>
      </c>
      <c r="Y71" s="77">
        <v>0</v>
      </c>
      <c r="Z71" s="77">
        <v>8</v>
      </c>
      <c r="AA71" s="91">
        <f t="shared" si="24"/>
        <v>6000</v>
      </c>
      <c r="AB71" s="91">
        <f t="shared" si="24"/>
        <v>0</v>
      </c>
      <c r="AC71" s="91">
        <f t="shared" si="25"/>
        <v>0</v>
      </c>
      <c r="AD71" s="92">
        <f t="shared" si="25"/>
        <v>2400</v>
      </c>
      <c r="AE71" s="77">
        <v>60</v>
      </c>
      <c r="AF71" s="90">
        <v>0</v>
      </c>
      <c r="AG71" s="77">
        <v>0</v>
      </c>
      <c r="AH71" s="77">
        <v>10</v>
      </c>
      <c r="AI71" s="91">
        <f t="shared" si="26"/>
        <v>6000</v>
      </c>
      <c r="AJ71" s="91">
        <f t="shared" si="26"/>
        <v>0</v>
      </c>
      <c r="AK71" s="91">
        <f t="shared" si="27"/>
        <v>0</v>
      </c>
      <c r="AL71" s="92">
        <f t="shared" si="27"/>
        <v>3000</v>
      </c>
      <c r="AM71" s="77">
        <v>35</v>
      </c>
      <c r="AN71" s="90">
        <v>0</v>
      </c>
      <c r="AO71" s="77">
        <v>0</v>
      </c>
      <c r="AP71" s="77">
        <v>14</v>
      </c>
      <c r="AQ71" s="91">
        <f t="shared" si="18"/>
        <v>3500</v>
      </c>
      <c r="AR71" s="91">
        <f t="shared" si="18"/>
        <v>0</v>
      </c>
      <c r="AS71" s="91">
        <f t="shared" si="19"/>
        <v>0</v>
      </c>
      <c r="AT71" s="92">
        <f t="shared" si="19"/>
        <v>4200</v>
      </c>
      <c r="AU71" s="12">
        <v>35</v>
      </c>
      <c r="AV71" s="6">
        <v>0</v>
      </c>
      <c r="AW71" s="12">
        <v>0</v>
      </c>
      <c r="AX71" s="12">
        <v>16</v>
      </c>
      <c r="AY71" s="17">
        <f t="shared" si="28"/>
        <v>3500</v>
      </c>
      <c r="AZ71" s="17">
        <f t="shared" si="28"/>
        <v>0</v>
      </c>
      <c r="BA71" s="17">
        <f t="shared" si="29"/>
        <v>0</v>
      </c>
      <c r="BB71" s="25">
        <f t="shared" si="29"/>
        <v>4800</v>
      </c>
      <c r="BC71" s="12">
        <v>35</v>
      </c>
      <c r="BD71" s="6">
        <v>0</v>
      </c>
      <c r="BE71" s="12">
        <v>0</v>
      </c>
      <c r="BF71" s="12">
        <v>16</v>
      </c>
      <c r="BG71" s="17">
        <f t="shared" si="30"/>
        <v>3500</v>
      </c>
      <c r="BH71" s="17">
        <f t="shared" si="30"/>
        <v>0</v>
      </c>
      <c r="BI71" s="17">
        <f t="shared" si="31"/>
        <v>0</v>
      </c>
      <c r="BJ71" s="25">
        <f t="shared" si="31"/>
        <v>4800</v>
      </c>
      <c r="BK71" s="12">
        <v>38</v>
      </c>
      <c r="BL71" s="6">
        <v>0</v>
      </c>
      <c r="BM71" s="12">
        <v>0</v>
      </c>
      <c r="BN71" s="12">
        <v>20</v>
      </c>
      <c r="BO71" s="17">
        <f t="shared" si="32"/>
        <v>3800</v>
      </c>
      <c r="BP71" s="17">
        <f t="shared" si="32"/>
        <v>0</v>
      </c>
      <c r="BQ71" s="17">
        <f t="shared" si="33"/>
        <v>0</v>
      </c>
      <c r="BR71" s="25">
        <f t="shared" si="33"/>
        <v>6000</v>
      </c>
      <c r="BS71" s="12">
        <v>40</v>
      </c>
      <c r="BT71" s="6">
        <v>0</v>
      </c>
      <c r="BU71" s="12">
        <v>0</v>
      </c>
      <c r="BV71" s="12">
        <v>20</v>
      </c>
      <c r="BW71" s="17">
        <f t="shared" si="34"/>
        <v>4000</v>
      </c>
      <c r="BX71" s="17">
        <f t="shared" si="34"/>
        <v>0</v>
      </c>
      <c r="BY71" s="17">
        <f t="shared" si="35"/>
        <v>0</v>
      </c>
      <c r="BZ71" s="25">
        <f t="shared" si="35"/>
        <v>6000</v>
      </c>
      <c r="CA71" s="81"/>
      <c r="CB71" s="75"/>
      <c r="CC71" s="81"/>
      <c r="CD71" s="81"/>
      <c r="CE71" s="93"/>
      <c r="CF71" s="93"/>
      <c r="CG71" s="93"/>
      <c r="CH71" s="94"/>
      <c r="CI71" s="81"/>
      <c r="CJ71" s="75"/>
      <c r="CK71" s="81"/>
      <c r="CL71" s="81"/>
      <c r="CM71" s="93"/>
      <c r="CN71" s="93"/>
      <c r="CO71" s="93"/>
      <c r="CP71" s="94"/>
      <c r="CQ71" s="81"/>
      <c r="CR71" s="75"/>
      <c r="CS71" s="81"/>
      <c r="CT71" s="81"/>
      <c r="CU71" s="93"/>
      <c r="CV71" s="93"/>
      <c r="CW71" s="93"/>
      <c r="CX71" s="94"/>
      <c r="CY71" s="81"/>
      <c r="CZ71" s="75"/>
      <c r="DA71" s="81"/>
      <c r="DB71" s="81"/>
      <c r="DC71" s="93"/>
      <c r="DD71" s="93"/>
      <c r="DE71" s="93"/>
      <c r="DF71" s="94"/>
      <c r="DG71" s="81"/>
      <c r="DH71" s="75"/>
      <c r="DI71" s="81"/>
      <c r="DJ71" s="81"/>
      <c r="DK71" s="93"/>
      <c r="DL71" s="93"/>
      <c r="DM71" s="93"/>
      <c r="DN71" s="94"/>
      <c r="DO71" s="95"/>
      <c r="DP71" s="96"/>
      <c r="DQ71" s="95"/>
      <c r="DR71" s="97"/>
      <c r="DS71" s="98"/>
      <c r="DT71" s="99"/>
      <c r="DU71" s="99"/>
      <c r="DV71" s="100"/>
      <c r="DW71" s="95"/>
      <c r="DX71" s="96"/>
      <c r="DY71" s="95"/>
      <c r="DZ71" s="97"/>
      <c r="EA71" s="98"/>
      <c r="EB71" s="99"/>
      <c r="EC71" s="99"/>
      <c r="ED71" s="100"/>
      <c r="EE71" s="95"/>
      <c r="EF71" s="96"/>
      <c r="EG71" s="95"/>
      <c r="EH71" s="97"/>
      <c r="EI71" s="98"/>
      <c r="EJ71" s="99"/>
      <c r="EK71" s="99"/>
      <c r="EL71" s="100"/>
    </row>
    <row r="72" spans="1:142">
      <c r="A72" s="75">
        <v>69</v>
      </c>
      <c r="B72" s="75" t="s">
        <v>95</v>
      </c>
      <c r="F72" s="76"/>
      <c r="G72" s="77">
        <v>45</v>
      </c>
      <c r="H72" s="90">
        <v>0</v>
      </c>
      <c r="I72" s="77">
        <v>0</v>
      </c>
      <c r="J72" s="77">
        <v>8</v>
      </c>
      <c r="K72" s="91">
        <f t="shared" si="20"/>
        <v>4500</v>
      </c>
      <c r="L72" s="91">
        <f t="shared" si="20"/>
        <v>0</v>
      </c>
      <c r="M72" s="91">
        <f t="shared" si="21"/>
        <v>0</v>
      </c>
      <c r="N72" s="92">
        <f t="shared" si="21"/>
        <v>2400</v>
      </c>
      <c r="O72" s="77">
        <v>50</v>
      </c>
      <c r="P72" s="90">
        <v>0</v>
      </c>
      <c r="Q72" s="77">
        <v>0</v>
      </c>
      <c r="R72" s="77">
        <v>4</v>
      </c>
      <c r="S72" s="91">
        <f t="shared" si="22"/>
        <v>5000</v>
      </c>
      <c r="T72" s="91">
        <f t="shared" si="22"/>
        <v>0</v>
      </c>
      <c r="U72" s="91">
        <f t="shared" si="23"/>
        <v>0</v>
      </c>
      <c r="V72" s="92">
        <f t="shared" si="23"/>
        <v>1200</v>
      </c>
      <c r="W72" s="77">
        <v>48</v>
      </c>
      <c r="X72" s="90">
        <v>0</v>
      </c>
      <c r="Y72" s="77">
        <v>0</v>
      </c>
      <c r="Z72" s="77">
        <v>12</v>
      </c>
      <c r="AA72" s="91">
        <f t="shared" si="24"/>
        <v>4800</v>
      </c>
      <c r="AB72" s="91">
        <f t="shared" si="24"/>
        <v>0</v>
      </c>
      <c r="AC72" s="91">
        <f t="shared" si="25"/>
        <v>0</v>
      </c>
      <c r="AD72" s="92">
        <f t="shared" si="25"/>
        <v>3600</v>
      </c>
      <c r="AE72" s="77">
        <v>52</v>
      </c>
      <c r="AF72" s="90">
        <v>0</v>
      </c>
      <c r="AG72" s="77">
        <v>0</v>
      </c>
      <c r="AH72" s="77">
        <v>14</v>
      </c>
      <c r="AI72" s="91">
        <f t="shared" si="26"/>
        <v>5200</v>
      </c>
      <c r="AJ72" s="91">
        <f t="shared" si="26"/>
        <v>0</v>
      </c>
      <c r="AK72" s="91">
        <f t="shared" si="27"/>
        <v>0</v>
      </c>
      <c r="AL72" s="92">
        <f t="shared" si="27"/>
        <v>4200</v>
      </c>
      <c r="AM72" s="77">
        <v>45</v>
      </c>
      <c r="AN72" s="90">
        <v>0</v>
      </c>
      <c r="AO72" s="77">
        <v>0</v>
      </c>
      <c r="AP72" s="77">
        <v>18</v>
      </c>
      <c r="AQ72" s="91">
        <f t="shared" si="18"/>
        <v>4500</v>
      </c>
      <c r="AR72" s="91">
        <f t="shared" si="18"/>
        <v>0</v>
      </c>
      <c r="AS72" s="91">
        <f t="shared" si="19"/>
        <v>0</v>
      </c>
      <c r="AT72" s="92">
        <f t="shared" si="19"/>
        <v>5400</v>
      </c>
      <c r="AU72" s="12">
        <v>45</v>
      </c>
      <c r="AV72" s="6">
        <v>0</v>
      </c>
      <c r="AW72" s="12">
        <v>0</v>
      </c>
      <c r="AX72" s="12">
        <v>18</v>
      </c>
      <c r="AY72" s="17">
        <f t="shared" si="28"/>
        <v>4500</v>
      </c>
      <c r="AZ72" s="17">
        <f t="shared" si="28"/>
        <v>0</v>
      </c>
      <c r="BA72" s="17">
        <f t="shared" si="29"/>
        <v>0</v>
      </c>
      <c r="BB72" s="25">
        <f t="shared" si="29"/>
        <v>5400</v>
      </c>
      <c r="BC72" s="12">
        <v>48</v>
      </c>
      <c r="BD72" s="6">
        <v>0</v>
      </c>
      <c r="BE72" s="12">
        <v>0</v>
      </c>
      <c r="BF72" s="12">
        <v>18</v>
      </c>
      <c r="BG72" s="17">
        <f t="shared" si="30"/>
        <v>4800</v>
      </c>
      <c r="BH72" s="17">
        <f t="shared" si="30"/>
        <v>0</v>
      </c>
      <c r="BI72" s="17">
        <f t="shared" si="31"/>
        <v>0</v>
      </c>
      <c r="BJ72" s="25">
        <f t="shared" si="31"/>
        <v>5400</v>
      </c>
      <c r="BK72" s="12">
        <v>50</v>
      </c>
      <c r="BL72" s="6">
        <v>0</v>
      </c>
      <c r="BM72" s="12">
        <v>0</v>
      </c>
      <c r="BN72" s="12">
        <v>18</v>
      </c>
      <c r="BO72" s="17">
        <f t="shared" si="32"/>
        <v>5000</v>
      </c>
      <c r="BP72" s="17">
        <f t="shared" si="32"/>
        <v>0</v>
      </c>
      <c r="BQ72" s="17">
        <f t="shared" si="33"/>
        <v>0</v>
      </c>
      <c r="BR72" s="25">
        <f t="shared" si="33"/>
        <v>5400</v>
      </c>
      <c r="BS72" s="12">
        <v>55</v>
      </c>
      <c r="BT72" s="6">
        <v>0</v>
      </c>
      <c r="BU72" s="12">
        <v>0</v>
      </c>
      <c r="BV72" s="12">
        <v>18</v>
      </c>
      <c r="BW72" s="17">
        <f t="shared" si="34"/>
        <v>5500</v>
      </c>
      <c r="BX72" s="17">
        <f t="shared" si="34"/>
        <v>0</v>
      </c>
      <c r="BY72" s="17">
        <f t="shared" si="35"/>
        <v>0</v>
      </c>
      <c r="BZ72" s="25">
        <f t="shared" si="35"/>
        <v>5400</v>
      </c>
      <c r="CA72" s="81"/>
      <c r="CB72" s="75"/>
      <c r="CC72" s="81"/>
      <c r="CD72" s="81"/>
      <c r="CE72" s="93"/>
      <c r="CF72" s="93"/>
      <c r="CG72" s="93"/>
      <c r="CH72" s="94"/>
      <c r="CI72" s="81"/>
      <c r="CJ72" s="75"/>
      <c r="CK72" s="81"/>
      <c r="CL72" s="81"/>
      <c r="CM72" s="93"/>
      <c r="CN72" s="93"/>
      <c r="CO72" s="93"/>
      <c r="CP72" s="94"/>
      <c r="CQ72" s="81"/>
      <c r="CR72" s="75"/>
      <c r="CS72" s="81"/>
      <c r="CT72" s="81"/>
      <c r="CU72" s="93"/>
      <c r="CV72" s="93"/>
      <c r="CW72" s="93"/>
      <c r="CX72" s="94"/>
      <c r="CY72" s="81"/>
      <c r="CZ72" s="75"/>
      <c r="DA72" s="81"/>
      <c r="DB72" s="81"/>
      <c r="DC72" s="93"/>
      <c r="DD72" s="93"/>
      <c r="DE72" s="93"/>
      <c r="DF72" s="94"/>
      <c r="DG72" s="81"/>
      <c r="DH72" s="75"/>
      <c r="DI72" s="81"/>
      <c r="DJ72" s="81"/>
      <c r="DK72" s="93"/>
      <c r="DL72" s="93"/>
      <c r="DM72" s="93"/>
      <c r="DN72" s="94"/>
      <c r="DO72" s="95"/>
      <c r="DP72" s="96"/>
      <c r="DQ72" s="95"/>
      <c r="DR72" s="97"/>
      <c r="DS72" s="98"/>
      <c r="DT72" s="99"/>
      <c r="DU72" s="99"/>
      <c r="DV72" s="100"/>
      <c r="DW72" s="95"/>
      <c r="DX72" s="96"/>
      <c r="DY72" s="95"/>
      <c r="DZ72" s="97"/>
      <c r="EA72" s="98"/>
      <c r="EB72" s="99"/>
      <c r="EC72" s="99"/>
      <c r="ED72" s="100"/>
      <c r="EE72" s="95"/>
      <c r="EF72" s="96"/>
      <c r="EG72" s="95"/>
      <c r="EH72" s="97"/>
      <c r="EI72" s="98"/>
      <c r="EJ72" s="99"/>
      <c r="EK72" s="99"/>
      <c r="EL72" s="100"/>
    </row>
    <row r="73" spans="1:142">
      <c r="A73" s="75">
        <v>70</v>
      </c>
      <c r="B73" s="75" t="s">
        <v>96</v>
      </c>
      <c r="F73" s="76"/>
      <c r="G73" s="77">
        <v>25</v>
      </c>
      <c r="H73" s="90">
        <v>0</v>
      </c>
      <c r="I73" s="77">
        <v>0</v>
      </c>
      <c r="J73" s="77">
        <v>12</v>
      </c>
      <c r="K73" s="91">
        <f t="shared" si="20"/>
        <v>2500</v>
      </c>
      <c r="L73" s="91">
        <f t="shared" si="20"/>
        <v>0</v>
      </c>
      <c r="M73" s="91">
        <f t="shared" si="21"/>
        <v>0</v>
      </c>
      <c r="N73" s="92">
        <f t="shared" si="21"/>
        <v>3600</v>
      </c>
      <c r="O73" s="77">
        <v>20</v>
      </c>
      <c r="P73" s="90">
        <v>0</v>
      </c>
      <c r="Q73" s="77">
        <v>0</v>
      </c>
      <c r="R73" s="77">
        <v>12</v>
      </c>
      <c r="S73" s="91">
        <f t="shared" si="22"/>
        <v>2000</v>
      </c>
      <c r="T73" s="91">
        <f t="shared" si="22"/>
        <v>0</v>
      </c>
      <c r="U73" s="91">
        <f t="shared" si="23"/>
        <v>0</v>
      </c>
      <c r="V73" s="92">
        <f t="shared" si="23"/>
        <v>3600</v>
      </c>
      <c r="W73" s="77">
        <v>35</v>
      </c>
      <c r="X73" s="90">
        <v>0</v>
      </c>
      <c r="Y73" s="77">
        <v>0</v>
      </c>
      <c r="Z73" s="77">
        <v>10</v>
      </c>
      <c r="AA73" s="91">
        <f t="shared" si="24"/>
        <v>3500</v>
      </c>
      <c r="AB73" s="91">
        <f t="shared" si="24"/>
        <v>0</v>
      </c>
      <c r="AC73" s="91">
        <f t="shared" si="25"/>
        <v>0</v>
      </c>
      <c r="AD73" s="92">
        <f t="shared" si="25"/>
        <v>3000</v>
      </c>
      <c r="AE73" s="77">
        <v>35</v>
      </c>
      <c r="AF73" s="90">
        <v>0</v>
      </c>
      <c r="AG73" s="77">
        <v>0</v>
      </c>
      <c r="AH73" s="77">
        <v>12</v>
      </c>
      <c r="AI73" s="91">
        <f t="shared" si="26"/>
        <v>3500</v>
      </c>
      <c r="AJ73" s="91">
        <f t="shared" si="26"/>
        <v>0</v>
      </c>
      <c r="AK73" s="91">
        <f t="shared" si="27"/>
        <v>0</v>
      </c>
      <c r="AL73" s="92">
        <f t="shared" si="27"/>
        <v>3600</v>
      </c>
      <c r="AM73" s="77">
        <v>33</v>
      </c>
      <c r="AN73" s="90">
        <v>0</v>
      </c>
      <c r="AO73" s="77">
        <v>0</v>
      </c>
      <c r="AP73" s="77">
        <v>12</v>
      </c>
      <c r="AQ73" s="91">
        <f t="shared" si="18"/>
        <v>3300</v>
      </c>
      <c r="AR73" s="91">
        <f t="shared" si="18"/>
        <v>0</v>
      </c>
      <c r="AS73" s="91">
        <f t="shared" si="19"/>
        <v>0</v>
      </c>
      <c r="AT73" s="92">
        <f t="shared" si="19"/>
        <v>3600</v>
      </c>
      <c r="AU73" s="12">
        <v>29</v>
      </c>
      <c r="AV73" s="6">
        <v>0</v>
      </c>
      <c r="AW73" s="12">
        <v>0</v>
      </c>
      <c r="AX73" s="12">
        <v>10</v>
      </c>
      <c r="AY73" s="17">
        <f t="shared" si="28"/>
        <v>2900</v>
      </c>
      <c r="AZ73" s="17">
        <f t="shared" si="28"/>
        <v>0</v>
      </c>
      <c r="BA73" s="17">
        <f t="shared" si="29"/>
        <v>0</v>
      </c>
      <c r="BB73" s="25">
        <f t="shared" si="29"/>
        <v>3000</v>
      </c>
      <c r="BC73" s="12">
        <v>29</v>
      </c>
      <c r="BD73" s="6">
        <v>0</v>
      </c>
      <c r="BE73" s="12">
        <v>6</v>
      </c>
      <c r="BF73" s="12">
        <v>20</v>
      </c>
      <c r="BG73" s="17">
        <f t="shared" si="30"/>
        <v>2900</v>
      </c>
      <c r="BH73" s="17">
        <f t="shared" si="30"/>
        <v>0</v>
      </c>
      <c r="BI73" s="17">
        <f t="shared" si="31"/>
        <v>1800</v>
      </c>
      <c r="BJ73" s="25">
        <f t="shared" si="31"/>
        <v>6000</v>
      </c>
      <c r="BK73" s="12">
        <v>29</v>
      </c>
      <c r="BL73" s="6">
        <v>0</v>
      </c>
      <c r="BM73" s="12">
        <v>6</v>
      </c>
      <c r="BN73" s="12">
        <v>20</v>
      </c>
      <c r="BO73" s="17">
        <f t="shared" si="32"/>
        <v>2900</v>
      </c>
      <c r="BP73" s="17">
        <f t="shared" si="32"/>
        <v>0</v>
      </c>
      <c r="BQ73" s="17">
        <f t="shared" si="33"/>
        <v>1800</v>
      </c>
      <c r="BR73" s="25">
        <f t="shared" si="33"/>
        <v>6000</v>
      </c>
      <c r="BS73" s="12">
        <v>33</v>
      </c>
      <c r="BT73" s="6">
        <v>0</v>
      </c>
      <c r="BU73" s="12">
        <v>10</v>
      </c>
      <c r="BV73" s="12">
        <v>20</v>
      </c>
      <c r="BW73" s="17">
        <f t="shared" si="34"/>
        <v>3300</v>
      </c>
      <c r="BX73" s="17">
        <f t="shared" si="34"/>
        <v>0</v>
      </c>
      <c r="BY73" s="17">
        <f t="shared" si="35"/>
        <v>3000</v>
      </c>
      <c r="BZ73" s="25">
        <f t="shared" si="35"/>
        <v>6000</v>
      </c>
      <c r="CA73" s="81"/>
      <c r="CB73" s="75"/>
      <c r="CC73" s="81"/>
      <c r="CD73" s="81"/>
      <c r="CE73" s="93"/>
      <c r="CF73" s="93"/>
      <c r="CG73" s="93"/>
      <c r="CH73" s="94"/>
      <c r="CI73" s="81"/>
      <c r="CJ73" s="75"/>
      <c r="CK73" s="81"/>
      <c r="CL73" s="81"/>
      <c r="CM73" s="93"/>
      <c r="CN73" s="93"/>
      <c r="CO73" s="93"/>
      <c r="CP73" s="94"/>
      <c r="CQ73" s="81"/>
      <c r="CR73" s="75"/>
      <c r="CS73" s="81"/>
      <c r="CT73" s="81"/>
      <c r="CU73" s="93"/>
      <c r="CV73" s="93"/>
      <c r="CW73" s="93"/>
      <c r="CX73" s="94"/>
      <c r="CY73" s="81"/>
      <c r="CZ73" s="75"/>
      <c r="DA73" s="81"/>
      <c r="DB73" s="81"/>
      <c r="DC73" s="93"/>
      <c r="DD73" s="93"/>
      <c r="DE73" s="93"/>
      <c r="DF73" s="94"/>
      <c r="DG73" s="81"/>
      <c r="DH73" s="75"/>
      <c r="DI73" s="81"/>
      <c r="DJ73" s="81"/>
      <c r="DK73" s="93"/>
      <c r="DL73" s="93"/>
      <c r="DM73" s="93"/>
      <c r="DN73" s="94"/>
      <c r="DO73" s="95"/>
      <c r="DP73" s="96"/>
      <c r="DQ73" s="95"/>
      <c r="DR73" s="97"/>
      <c r="DS73" s="98"/>
      <c r="DT73" s="99"/>
      <c r="DU73" s="99"/>
      <c r="DV73" s="100"/>
      <c r="DW73" s="95"/>
      <c r="DX73" s="96"/>
      <c r="DY73" s="95"/>
      <c r="DZ73" s="97"/>
      <c r="EA73" s="98"/>
      <c r="EB73" s="99"/>
      <c r="EC73" s="99"/>
      <c r="ED73" s="100"/>
      <c r="EE73" s="95"/>
      <c r="EF73" s="96"/>
      <c r="EG73" s="95"/>
      <c r="EH73" s="97"/>
      <c r="EI73" s="98"/>
      <c r="EJ73" s="99"/>
      <c r="EK73" s="99"/>
      <c r="EL73" s="100"/>
    </row>
    <row r="74" spans="1:142">
      <c r="A74" s="75">
        <v>71</v>
      </c>
      <c r="B74" s="75" t="s">
        <v>97</v>
      </c>
      <c r="F74" s="76"/>
      <c r="G74" s="102">
        <v>30</v>
      </c>
      <c r="H74" s="90">
        <v>0</v>
      </c>
      <c r="I74" s="77">
        <v>0</v>
      </c>
      <c r="J74" s="77">
        <v>15</v>
      </c>
      <c r="K74" s="91">
        <f t="shared" si="20"/>
        <v>3000</v>
      </c>
      <c r="L74" s="91">
        <f t="shared" si="20"/>
        <v>0</v>
      </c>
      <c r="M74" s="91">
        <f t="shared" si="21"/>
        <v>0</v>
      </c>
      <c r="N74" s="92">
        <f t="shared" si="21"/>
        <v>4500</v>
      </c>
      <c r="O74" s="102">
        <v>32</v>
      </c>
      <c r="P74" s="90">
        <v>0</v>
      </c>
      <c r="Q74" s="77">
        <v>0</v>
      </c>
      <c r="R74" s="77">
        <v>20</v>
      </c>
      <c r="S74" s="91">
        <f t="shared" si="22"/>
        <v>3200</v>
      </c>
      <c r="T74" s="91">
        <f t="shared" si="22"/>
        <v>0</v>
      </c>
      <c r="U74" s="91">
        <f t="shared" si="23"/>
        <v>0</v>
      </c>
      <c r="V74" s="92">
        <f t="shared" si="23"/>
        <v>6000</v>
      </c>
      <c r="W74" s="102">
        <v>32</v>
      </c>
      <c r="X74" s="90">
        <v>0</v>
      </c>
      <c r="Y74" s="77">
        <v>0</v>
      </c>
      <c r="Z74" s="77">
        <v>18</v>
      </c>
      <c r="AA74" s="91">
        <f t="shared" si="24"/>
        <v>3200</v>
      </c>
      <c r="AB74" s="91">
        <f t="shared" si="24"/>
        <v>0</v>
      </c>
      <c r="AC74" s="91">
        <f t="shared" si="25"/>
        <v>0</v>
      </c>
      <c r="AD74" s="92">
        <f t="shared" si="25"/>
        <v>5400</v>
      </c>
      <c r="AE74" s="102">
        <v>32</v>
      </c>
      <c r="AF74" s="90">
        <v>0</v>
      </c>
      <c r="AG74" s="77">
        <v>0</v>
      </c>
      <c r="AH74" s="77">
        <v>18</v>
      </c>
      <c r="AI74" s="91">
        <f t="shared" si="26"/>
        <v>3200</v>
      </c>
      <c r="AJ74" s="91">
        <f t="shared" si="26"/>
        <v>0</v>
      </c>
      <c r="AK74" s="91">
        <f t="shared" si="27"/>
        <v>0</v>
      </c>
      <c r="AL74" s="92">
        <f t="shared" si="27"/>
        <v>5400</v>
      </c>
      <c r="AM74" s="77">
        <v>42</v>
      </c>
      <c r="AN74" s="90">
        <v>0</v>
      </c>
      <c r="AO74" s="77">
        <v>0</v>
      </c>
      <c r="AP74" s="77">
        <v>18</v>
      </c>
      <c r="AQ74" s="91">
        <f t="shared" si="18"/>
        <v>4200</v>
      </c>
      <c r="AR74" s="91">
        <f t="shared" si="18"/>
        <v>0</v>
      </c>
      <c r="AS74" s="91">
        <f t="shared" si="19"/>
        <v>0</v>
      </c>
      <c r="AT74" s="92">
        <f t="shared" si="19"/>
        <v>5400</v>
      </c>
      <c r="AU74" s="12">
        <v>40</v>
      </c>
      <c r="AV74" s="6">
        <v>0</v>
      </c>
      <c r="AW74" s="12">
        <v>0</v>
      </c>
      <c r="AX74" s="12">
        <v>20</v>
      </c>
      <c r="AY74" s="17">
        <f t="shared" si="28"/>
        <v>4000</v>
      </c>
      <c r="AZ74" s="17">
        <f t="shared" si="28"/>
        <v>0</v>
      </c>
      <c r="BA74" s="17">
        <f t="shared" si="29"/>
        <v>0</v>
      </c>
      <c r="BB74" s="25">
        <f t="shared" si="29"/>
        <v>6000</v>
      </c>
      <c r="BC74" s="12">
        <v>45</v>
      </c>
      <c r="BD74" s="6">
        <v>0</v>
      </c>
      <c r="BE74" s="12">
        <v>0</v>
      </c>
      <c r="BF74" s="12">
        <v>18</v>
      </c>
      <c r="BG74" s="17">
        <f t="shared" si="30"/>
        <v>4500</v>
      </c>
      <c r="BH74" s="17">
        <f t="shared" si="30"/>
        <v>0</v>
      </c>
      <c r="BI74" s="17">
        <f t="shared" si="31"/>
        <v>0</v>
      </c>
      <c r="BJ74" s="25">
        <f t="shared" si="31"/>
        <v>5400</v>
      </c>
      <c r="BK74" s="12">
        <v>45</v>
      </c>
      <c r="BL74" s="6">
        <v>0</v>
      </c>
      <c r="BM74" s="12">
        <v>0</v>
      </c>
      <c r="BN74" s="12">
        <v>18</v>
      </c>
      <c r="BO74" s="17">
        <f t="shared" si="32"/>
        <v>4500</v>
      </c>
      <c r="BP74" s="17">
        <f t="shared" si="32"/>
        <v>0</v>
      </c>
      <c r="BQ74" s="17">
        <f t="shared" si="33"/>
        <v>0</v>
      </c>
      <c r="BR74" s="25">
        <f t="shared" si="33"/>
        <v>5400</v>
      </c>
      <c r="BS74" s="12">
        <v>45</v>
      </c>
      <c r="BT74" s="6">
        <v>0</v>
      </c>
      <c r="BU74" s="12">
        <v>0</v>
      </c>
      <c r="BV74" s="12">
        <v>18</v>
      </c>
      <c r="BW74" s="17">
        <f t="shared" si="34"/>
        <v>4500</v>
      </c>
      <c r="BX74" s="17">
        <f t="shared" si="34"/>
        <v>0</v>
      </c>
      <c r="BY74" s="17">
        <f t="shared" si="35"/>
        <v>0</v>
      </c>
      <c r="BZ74" s="25">
        <f t="shared" si="35"/>
        <v>5400</v>
      </c>
      <c r="CA74" s="81"/>
      <c r="CB74" s="75"/>
      <c r="CC74" s="81"/>
      <c r="CD74" s="81"/>
      <c r="CE74" s="93"/>
      <c r="CF74" s="93"/>
      <c r="CG74" s="93"/>
      <c r="CH74" s="94"/>
      <c r="CI74" s="81"/>
      <c r="CJ74" s="75"/>
      <c r="CK74" s="81"/>
      <c r="CL74" s="81"/>
      <c r="CM74" s="93"/>
      <c r="CN74" s="93"/>
      <c r="CO74" s="93"/>
      <c r="CP74" s="94"/>
      <c r="CQ74" s="81"/>
      <c r="CR74" s="75"/>
      <c r="CS74" s="81"/>
      <c r="CT74" s="81"/>
      <c r="CU74" s="93"/>
      <c r="CV74" s="93"/>
      <c r="CW74" s="93"/>
      <c r="CX74" s="94"/>
      <c r="CY74" s="81"/>
      <c r="CZ74" s="75"/>
      <c r="DA74" s="81"/>
      <c r="DB74" s="81"/>
      <c r="DC74" s="93"/>
      <c r="DD74" s="93"/>
      <c r="DE74" s="93"/>
      <c r="DF74" s="94"/>
      <c r="DG74" s="81"/>
      <c r="DH74" s="75"/>
      <c r="DI74" s="81"/>
      <c r="DJ74" s="81"/>
      <c r="DK74" s="93"/>
      <c r="DL74" s="93"/>
      <c r="DM74" s="93"/>
      <c r="DN74" s="94"/>
      <c r="DO74" s="95"/>
      <c r="DP74" s="96"/>
      <c r="DQ74" s="95"/>
      <c r="DR74" s="97"/>
      <c r="DS74" s="98"/>
      <c r="DT74" s="99"/>
      <c r="DU74" s="99"/>
      <c r="DV74" s="100"/>
      <c r="DW74" s="95"/>
      <c r="DX74" s="96"/>
      <c r="DY74" s="95"/>
      <c r="DZ74" s="97"/>
      <c r="EA74" s="98"/>
      <c r="EB74" s="99"/>
      <c r="EC74" s="99"/>
      <c r="ED74" s="100"/>
      <c r="EE74" s="95"/>
      <c r="EF74" s="96"/>
      <c r="EG74" s="95"/>
      <c r="EH74" s="97"/>
      <c r="EI74" s="98"/>
      <c r="EJ74" s="99"/>
      <c r="EK74" s="99"/>
      <c r="EL74" s="100"/>
    </row>
    <row r="75" spans="1:142">
      <c r="A75" s="75">
        <v>72</v>
      </c>
      <c r="B75" s="75" t="s">
        <v>98</v>
      </c>
      <c r="F75" s="76"/>
      <c r="G75" s="77">
        <v>23</v>
      </c>
      <c r="H75" s="90">
        <v>2</v>
      </c>
      <c r="I75" s="77">
        <v>0</v>
      </c>
      <c r="J75" s="77">
        <v>15</v>
      </c>
      <c r="K75" s="91">
        <f t="shared" si="20"/>
        <v>2300</v>
      </c>
      <c r="L75" s="91">
        <f t="shared" si="20"/>
        <v>200</v>
      </c>
      <c r="M75" s="91">
        <f t="shared" si="21"/>
        <v>0</v>
      </c>
      <c r="N75" s="92">
        <f t="shared" si="21"/>
        <v>4500</v>
      </c>
      <c r="O75" s="77">
        <v>20</v>
      </c>
      <c r="P75" s="90">
        <v>2</v>
      </c>
      <c r="Q75" s="77">
        <v>0</v>
      </c>
      <c r="R75" s="77">
        <v>15</v>
      </c>
      <c r="S75" s="91">
        <f t="shared" si="22"/>
        <v>2000</v>
      </c>
      <c r="T75" s="91">
        <f t="shared" si="22"/>
        <v>200</v>
      </c>
      <c r="U75" s="91">
        <f t="shared" si="23"/>
        <v>0</v>
      </c>
      <c r="V75" s="92">
        <f t="shared" si="23"/>
        <v>4500</v>
      </c>
      <c r="W75" s="77">
        <v>22</v>
      </c>
      <c r="X75" s="90">
        <v>6</v>
      </c>
      <c r="Y75" s="77">
        <v>0</v>
      </c>
      <c r="Z75" s="77">
        <v>12</v>
      </c>
      <c r="AA75" s="91">
        <f t="shared" si="24"/>
        <v>2200</v>
      </c>
      <c r="AB75" s="91">
        <f t="shared" si="24"/>
        <v>600</v>
      </c>
      <c r="AC75" s="91">
        <f t="shared" si="25"/>
        <v>0</v>
      </c>
      <c r="AD75" s="92">
        <f t="shared" si="25"/>
        <v>3600</v>
      </c>
      <c r="AE75" s="77">
        <v>34</v>
      </c>
      <c r="AF75" s="90">
        <v>6</v>
      </c>
      <c r="AG75" s="77">
        <v>0</v>
      </c>
      <c r="AH75" s="77">
        <v>15</v>
      </c>
      <c r="AI75" s="91">
        <f t="shared" si="26"/>
        <v>3400</v>
      </c>
      <c r="AJ75" s="91">
        <f t="shared" si="26"/>
        <v>600</v>
      </c>
      <c r="AK75" s="91">
        <f t="shared" si="27"/>
        <v>0</v>
      </c>
      <c r="AL75" s="92">
        <f t="shared" si="27"/>
        <v>4500</v>
      </c>
      <c r="AM75" s="77">
        <v>36</v>
      </c>
      <c r="AN75" s="90">
        <v>2</v>
      </c>
      <c r="AO75" s="77">
        <v>0</v>
      </c>
      <c r="AP75" s="77">
        <v>15</v>
      </c>
      <c r="AQ75" s="91">
        <f t="shared" si="18"/>
        <v>3600</v>
      </c>
      <c r="AR75" s="91">
        <f t="shared" si="18"/>
        <v>200</v>
      </c>
      <c r="AS75" s="91">
        <f t="shared" si="19"/>
        <v>0</v>
      </c>
      <c r="AT75" s="92">
        <f t="shared" si="19"/>
        <v>4500</v>
      </c>
      <c r="AU75" s="12">
        <v>36</v>
      </c>
      <c r="AV75" s="6">
        <v>2</v>
      </c>
      <c r="AW75" s="12">
        <v>0</v>
      </c>
      <c r="AX75" s="12">
        <v>16</v>
      </c>
      <c r="AY75" s="17">
        <f t="shared" si="28"/>
        <v>3600</v>
      </c>
      <c r="AZ75" s="17">
        <f t="shared" si="28"/>
        <v>200</v>
      </c>
      <c r="BA75" s="17">
        <f t="shared" si="29"/>
        <v>0</v>
      </c>
      <c r="BB75" s="25">
        <f t="shared" si="29"/>
        <v>4800</v>
      </c>
      <c r="BC75" s="12">
        <v>36</v>
      </c>
      <c r="BD75" s="6">
        <v>2</v>
      </c>
      <c r="BE75" s="12">
        <v>0</v>
      </c>
      <c r="BF75" s="12">
        <v>16</v>
      </c>
      <c r="BG75" s="17">
        <f t="shared" si="30"/>
        <v>3600</v>
      </c>
      <c r="BH75" s="17">
        <f t="shared" si="30"/>
        <v>200</v>
      </c>
      <c r="BI75" s="17">
        <f t="shared" si="31"/>
        <v>0</v>
      </c>
      <c r="BJ75" s="25">
        <f t="shared" si="31"/>
        <v>4800</v>
      </c>
      <c r="BK75" s="12">
        <v>36</v>
      </c>
      <c r="BL75" s="6">
        <v>5</v>
      </c>
      <c r="BM75" s="12">
        <v>0</v>
      </c>
      <c r="BN75" s="12">
        <v>16</v>
      </c>
      <c r="BO75" s="17">
        <f t="shared" si="32"/>
        <v>3600</v>
      </c>
      <c r="BP75" s="17">
        <f t="shared" si="32"/>
        <v>500</v>
      </c>
      <c r="BQ75" s="17">
        <f t="shared" si="33"/>
        <v>0</v>
      </c>
      <c r="BR75" s="25">
        <f t="shared" si="33"/>
        <v>4800</v>
      </c>
      <c r="BS75" s="12">
        <v>46</v>
      </c>
      <c r="BT75" s="6">
        <v>5</v>
      </c>
      <c r="BU75" s="12">
        <v>0</v>
      </c>
      <c r="BV75" s="12">
        <v>16</v>
      </c>
      <c r="BW75" s="17">
        <f t="shared" si="34"/>
        <v>4600</v>
      </c>
      <c r="BX75" s="17">
        <f t="shared" si="34"/>
        <v>500</v>
      </c>
      <c r="BY75" s="17">
        <f t="shared" si="35"/>
        <v>0</v>
      </c>
      <c r="BZ75" s="25">
        <f t="shared" si="35"/>
        <v>4800</v>
      </c>
      <c r="CA75" s="81"/>
      <c r="CB75" s="75"/>
      <c r="CC75" s="81"/>
      <c r="CD75" s="81"/>
      <c r="CE75" s="93"/>
      <c r="CF75" s="93"/>
      <c r="CG75" s="93"/>
      <c r="CH75" s="94"/>
      <c r="CI75" s="81"/>
      <c r="CJ75" s="75"/>
      <c r="CK75" s="81"/>
      <c r="CL75" s="81"/>
      <c r="CM75" s="93"/>
      <c r="CN75" s="93"/>
      <c r="CO75" s="93"/>
      <c r="CP75" s="94"/>
      <c r="CQ75" s="81"/>
      <c r="CR75" s="75"/>
      <c r="CS75" s="81"/>
      <c r="CT75" s="81"/>
      <c r="CU75" s="93"/>
      <c r="CV75" s="93"/>
      <c r="CW75" s="93"/>
      <c r="CX75" s="94"/>
      <c r="CY75" s="81"/>
      <c r="CZ75" s="75"/>
      <c r="DA75" s="81"/>
      <c r="DB75" s="81"/>
      <c r="DC75" s="93"/>
      <c r="DD75" s="93"/>
      <c r="DE75" s="93"/>
      <c r="DF75" s="94"/>
      <c r="DG75" s="81"/>
      <c r="DH75" s="75"/>
      <c r="DI75" s="81"/>
      <c r="DJ75" s="81"/>
      <c r="DK75" s="93"/>
      <c r="DL75" s="93"/>
      <c r="DM75" s="93"/>
      <c r="DN75" s="94"/>
      <c r="DO75" s="95"/>
      <c r="DP75" s="96"/>
      <c r="DQ75" s="95"/>
      <c r="DR75" s="97"/>
      <c r="DS75" s="98"/>
      <c r="DT75" s="99"/>
      <c r="DU75" s="99"/>
      <c r="DV75" s="100"/>
      <c r="DW75" s="95"/>
      <c r="DX75" s="96"/>
      <c r="DY75" s="95"/>
      <c r="DZ75" s="97"/>
      <c r="EA75" s="98"/>
      <c r="EB75" s="99"/>
      <c r="EC75" s="99"/>
      <c r="ED75" s="100"/>
      <c r="EE75" s="95"/>
      <c r="EF75" s="96"/>
      <c r="EG75" s="95"/>
      <c r="EH75" s="97"/>
      <c r="EI75" s="98"/>
      <c r="EJ75" s="99"/>
      <c r="EK75" s="99"/>
      <c r="EL75" s="100"/>
    </row>
    <row r="76" spans="1:142">
      <c r="A76" s="75">
        <v>73</v>
      </c>
      <c r="B76" s="75" t="s">
        <v>99</v>
      </c>
      <c r="F76" s="76"/>
      <c r="G76" s="77">
        <v>45</v>
      </c>
      <c r="H76" s="90">
        <v>0</v>
      </c>
      <c r="I76" s="77">
        <v>0</v>
      </c>
      <c r="J76" s="77">
        <v>10</v>
      </c>
      <c r="K76" s="91">
        <f t="shared" si="20"/>
        <v>4500</v>
      </c>
      <c r="L76" s="91">
        <f t="shared" si="20"/>
        <v>0</v>
      </c>
      <c r="M76" s="91">
        <f t="shared" si="21"/>
        <v>0</v>
      </c>
      <c r="N76" s="92">
        <f t="shared" si="21"/>
        <v>3000</v>
      </c>
      <c r="O76" s="77">
        <v>40</v>
      </c>
      <c r="P76" s="90">
        <v>0</v>
      </c>
      <c r="Q76" s="77">
        <v>0</v>
      </c>
      <c r="R76" s="77">
        <v>10</v>
      </c>
      <c r="S76" s="91">
        <f t="shared" si="22"/>
        <v>4000</v>
      </c>
      <c r="T76" s="91">
        <f t="shared" si="22"/>
        <v>0</v>
      </c>
      <c r="U76" s="91">
        <f t="shared" si="23"/>
        <v>0</v>
      </c>
      <c r="V76" s="92">
        <f t="shared" si="23"/>
        <v>3000</v>
      </c>
      <c r="W76" s="77">
        <v>40</v>
      </c>
      <c r="X76" s="90">
        <v>0</v>
      </c>
      <c r="Y76" s="77">
        <v>0</v>
      </c>
      <c r="Z76" s="77">
        <v>8</v>
      </c>
      <c r="AA76" s="91">
        <f t="shared" si="24"/>
        <v>4000</v>
      </c>
      <c r="AB76" s="91">
        <f t="shared" si="24"/>
        <v>0</v>
      </c>
      <c r="AC76" s="91">
        <f t="shared" si="25"/>
        <v>0</v>
      </c>
      <c r="AD76" s="92">
        <f t="shared" si="25"/>
        <v>2400</v>
      </c>
      <c r="AE76" s="77">
        <v>40</v>
      </c>
      <c r="AF76" s="90">
        <v>0</v>
      </c>
      <c r="AG76" s="77">
        <v>0</v>
      </c>
      <c r="AH76" s="77">
        <v>8</v>
      </c>
      <c r="AI76" s="91">
        <f t="shared" si="26"/>
        <v>4000</v>
      </c>
      <c r="AJ76" s="91">
        <f t="shared" si="26"/>
        <v>0</v>
      </c>
      <c r="AK76" s="91">
        <f t="shared" si="27"/>
        <v>0</v>
      </c>
      <c r="AL76" s="92">
        <f t="shared" si="27"/>
        <v>2400</v>
      </c>
      <c r="AM76" s="77">
        <v>42</v>
      </c>
      <c r="AN76" s="90">
        <v>0</v>
      </c>
      <c r="AO76" s="77">
        <v>0</v>
      </c>
      <c r="AP76" s="77">
        <v>20</v>
      </c>
      <c r="AQ76" s="91">
        <f t="shared" si="18"/>
        <v>4200</v>
      </c>
      <c r="AR76" s="91">
        <f t="shared" si="18"/>
        <v>0</v>
      </c>
      <c r="AS76" s="91">
        <f t="shared" si="19"/>
        <v>0</v>
      </c>
      <c r="AT76" s="92">
        <f t="shared" si="19"/>
        <v>6000</v>
      </c>
      <c r="AU76" s="12">
        <v>42</v>
      </c>
      <c r="AV76" s="6">
        <v>0</v>
      </c>
      <c r="AW76" s="12">
        <v>0</v>
      </c>
      <c r="AX76" s="12">
        <v>20</v>
      </c>
      <c r="AY76" s="17">
        <f t="shared" si="28"/>
        <v>4200</v>
      </c>
      <c r="AZ76" s="17">
        <f t="shared" si="28"/>
        <v>0</v>
      </c>
      <c r="BA76" s="17">
        <f t="shared" si="29"/>
        <v>0</v>
      </c>
      <c r="BB76" s="25">
        <f t="shared" si="29"/>
        <v>6000</v>
      </c>
      <c r="BC76" s="12">
        <v>44</v>
      </c>
      <c r="BD76" s="6">
        <v>0</v>
      </c>
      <c r="BE76" s="12">
        <v>0</v>
      </c>
      <c r="BF76" s="12">
        <v>20</v>
      </c>
      <c r="BG76" s="17">
        <f t="shared" si="30"/>
        <v>4400</v>
      </c>
      <c r="BH76" s="17">
        <f t="shared" si="30"/>
        <v>0</v>
      </c>
      <c r="BI76" s="17">
        <f t="shared" si="31"/>
        <v>0</v>
      </c>
      <c r="BJ76" s="25">
        <f t="shared" si="31"/>
        <v>6000</v>
      </c>
      <c r="BK76" s="12">
        <v>44</v>
      </c>
      <c r="BL76" s="6">
        <v>0</v>
      </c>
      <c r="BM76" s="12">
        <v>0</v>
      </c>
      <c r="BN76" s="12">
        <v>20</v>
      </c>
      <c r="BO76" s="17">
        <f t="shared" si="32"/>
        <v>4400</v>
      </c>
      <c r="BP76" s="17">
        <f t="shared" si="32"/>
        <v>0</v>
      </c>
      <c r="BQ76" s="17">
        <f t="shared" si="33"/>
        <v>0</v>
      </c>
      <c r="BR76" s="25">
        <f t="shared" si="33"/>
        <v>6000</v>
      </c>
      <c r="BS76" s="12">
        <v>44</v>
      </c>
      <c r="BT76" s="6">
        <v>0</v>
      </c>
      <c r="BU76" s="12">
        <v>0</v>
      </c>
      <c r="BV76" s="12">
        <v>20</v>
      </c>
      <c r="BW76" s="17">
        <f t="shared" si="34"/>
        <v>4400</v>
      </c>
      <c r="BX76" s="17">
        <f t="shared" si="34"/>
        <v>0</v>
      </c>
      <c r="BY76" s="17">
        <f t="shared" si="35"/>
        <v>0</v>
      </c>
      <c r="BZ76" s="25">
        <f t="shared" si="35"/>
        <v>6000</v>
      </c>
      <c r="CA76" s="81"/>
      <c r="CB76" s="75"/>
      <c r="CC76" s="81"/>
      <c r="CD76" s="81"/>
      <c r="CE76" s="93"/>
      <c r="CF76" s="93"/>
      <c r="CG76" s="93"/>
      <c r="CH76" s="94"/>
      <c r="CI76" s="81"/>
      <c r="CJ76" s="75"/>
      <c r="CK76" s="81"/>
      <c r="CL76" s="81"/>
      <c r="CM76" s="93"/>
      <c r="CN76" s="93"/>
      <c r="CO76" s="93"/>
      <c r="CP76" s="94"/>
      <c r="CQ76" s="81"/>
      <c r="CR76" s="75"/>
      <c r="CS76" s="81"/>
      <c r="CT76" s="81"/>
      <c r="CU76" s="93"/>
      <c r="CV76" s="93"/>
      <c r="CW76" s="93"/>
      <c r="CX76" s="94"/>
      <c r="CY76" s="81"/>
      <c r="CZ76" s="75"/>
      <c r="DA76" s="81"/>
      <c r="DB76" s="81"/>
      <c r="DC76" s="93"/>
      <c r="DD76" s="93"/>
      <c r="DE76" s="93"/>
      <c r="DF76" s="94"/>
      <c r="DG76" s="81"/>
      <c r="DH76" s="75"/>
      <c r="DI76" s="81"/>
      <c r="DJ76" s="81"/>
      <c r="DK76" s="93"/>
      <c r="DL76" s="93"/>
      <c r="DM76" s="93"/>
      <c r="DN76" s="94"/>
      <c r="DO76" s="95"/>
      <c r="DP76" s="96"/>
      <c r="DQ76" s="95"/>
      <c r="DR76" s="97"/>
      <c r="DS76" s="98"/>
      <c r="DT76" s="99"/>
      <c r="DU76" s="99"/>
      <c r="DV76" s="100"/>
      <c r="DW76" s="95"/>
      <c r="DX76" s="96"/>
      <c r="DY76" s="95"/>
      <c r="DZ76" s="97"/>
      <c r="EA76" s="98"/>
      <c r="EB76" s="99"/>
      <c r="EC76" s="99"/>
      <c r="ED76" s="100"/>
      <c r="EE76" s="95"/>
      <c r="EF76" s="96"/>
      <c r="EG76" s="95"/>
      <c r="EH76" s="97"/>
      <c r="EI76" s="98"/>
      <c r="EJ76" s="99"/>
      <c r="EK76" s="99"/>
      <c r="EL76" s="100"/>
    </row>
    <row r="77" spans="1:142">
      <c r="A77" s="75">
        <v>74</v>
      </c>
      <c r="B77" s="75" t="s">
        <v>100</v>
      </c>
      <c r="F77" s="76"/>
      <c r="G77" s="77">
        <v>20</v>
      </c>
      <c r="H77" s="90">
        <v>0</v>
      </c>
      <c r="I77" s="77">
        <v>0</v>
      </c>
      <c r="J77" s="77">
        <v>15</v>
      </c>
      <c r="K77" s="91">
        <f t="shared" si="20"/>
        <v>2000</v>
      </c>
      <c r="L77" s="91">
        <f t="shared" si="20"/>
        <v>0</v>
      </c>
      <c r="M77" s="91">
        <f t="shared" si="21"/>
        <v>0</v>
      </c>
      <c r="N77" s="92">
        <f t="shared" si="21"/>
        <v>4500</v>
      </c>
      <c r="O77" s="77">
        <v>27</v>
      </c>
      <c r="P77" s="90">
        <v>0</v>
      </c>
      <c r="Q77" s="77">
        <v>0</v>
      </c>
      <c r="R77" s="77">
        <v>12</v>
      </c>
      <c r="S77" s="91">
        <f t="shared" si="22"/>
        <v>2700</v>
      </c>
      <c r="T77" s="91">
        <f t="shared" si="22"/>
        <v>0</v>
      </c>
      <c r="U77" s="91">
        <f t="shared" si="23"/>
        <v>0</v>
      </c>
      <c r="V77" s="92">
        <f t="shared" si="23"/>
        <v>3600</v>
      </c>
      <c r="W77" s="77">
        <v>30</v>
      </c>
      <c r="X77" s="90">
        <v>0</v>
      </c>
      <c r="Y77" s="77">
        <v>0</v>
      </c>
      <c r="Z77" s="77">
        <v>6</v>
      </c>
      <c r="AA77" s="91">
        <f t="shared" si="24"/>
        <v>3000</v>
      </c>
      <c r="AB77" s="91">
        <f t="shared" si="24"/>
        <v>0</v>
      </c>
      <c r="AC77" s="91">
        <f t="shared" si="25"/>
        <v>0</v>
      </c>
      <c r="AD77" s="92">
        <f t="shared" si="25"/>
        <v>1800</v>
      </c>
      <c r="AE77" s="77">
        <v>34</v>
      </c>
      <c r="AF77" s="90">
        <v>0</v>
      </c>
      <c r="AG77" s="77">
        <v>0</v>
      </c>
      <c r="AH77" s="77">
        <v>8</v>
      </c>
      <c r="AI77" s="91">
        <f t="shared" si="26"/>
        <v>3400</v>
      </c>
      <c r="AJ77" s="91">
        <f t="shared" si="26"/>
        <v>0</v>
      </c>
      <c r="AK77" s="91">
        <f t="shared" si="27"/>
        <v>0</v>
      </c>
      <c r="AL77" s="92">
        <f t="shared" si="27"/>
        <v>2400</v>
      </c>
      <c r="AM77" s="77">
        <v>40</v>
      </c>
      <c r="AN77" s="90">
        <v>0</v>
      </c>
      <c r="AO77" s="77">
        <v>0</v>
      </c>
      <c r="AP77" s="77">
        <v>15</v>
      </c>
      <c r="AQ77" s="91">
        <f t="shared" si="18"/>
        <v>4000</v>
      </c>
      <c r="AR77" s="91">
        <f t="shared" si="18"/>
        <v>0</v>
      </c>
      <c r="AS77" s="91">
        <f t="shared" si="19"/>
        <v>0</v>
      </c>
      <c r="AT77" s="92">
        <f t="shared" si="19"/>
        <v>4500</v>
      </c>
      <c r="AU77" s="12">
        <v>41</v>
      </c>
      <c r="AV77" s="6">
        <v>0</v>
      </c>
      <c r="AW77" s="12">
        <v>0</v>
      </c>
      <c r="AX77" s="12">
        <v>15</v>
      </c>
      <c r="AY77" s="17">
        <f t="shared" si="28"/>
        <v>4100</v>
      </c>
      <c r="AZ77" s="17">
        <f t="shared" si="28"/>
        <v>0</v>
      </c>
      <c r="BA77" s="17">
        <f t="shared" si="29"/>
        <v>0</v>
      </c>
      <c r="BB77" s="25">
        <f t="shared" si="29"/>
        <v>4500</v>
      </c>
      <c r="BC77" s="12">
        <v>48</v>
      </c>
      <c r="BD77" s="6">
        <v>0</v>
      </c>
      <c r="BE77" s="12">
        <v>0</v>
      </c>
      <c r="BF77" s="12">
        <v>15</v>
      </c>
      <c r="BG77" s="17">
        <f t="shared" si="30"/>
        <v>4800</v>
      </c>
      <c r="BH77" s="17">
        <f t="shared" si="30"/>
        <v>0</v>
      </c>
      <c r="BI77" s="17">
        <f t="shared" si="31"/>
        <v>0</v>
      </c>
      <c r="BJ77" s="25">
        <f t="shared" si="31"/>
        <v>4500</v>
      </c>
      <c r="BK77" s="12">
        <v>50</v>
      </c>
      <c r="BL77" s="6">
        <v>0</v>
      </c>
      <c r="BM77" s="12">
        <v>0</v>
      </c>
      <c r="BN77" s="12">
        <v>15</v>
      </c>
      <c r="BO77" s="17">
        <f t="shared" si="32"/>
        <v>5000</v>
      </c>
      <c r="BP77" s="17">
        <f t="shared" si="32"/>
        <v>0</v>
      </c>
      <c r="BQ77" s="17">
        <f t="shared" si="33"/>
        <v>0</v>
      </c>
      <c r="BR77" s="25">
        <f t="shared" si="33"/>
        <v>4500</v>
      </c>
      <c r="BS77" s="12">
        <v>52</v>
      </c>
      <c r="BT77" s="6">
        <v>0</v>
      </c>
      <c r="BU77" s="12">
        <v>0</v>
      </c>
      <c r="BV77" s="12">
        <v>15</v>
      </c>
      <c r="BW77" s="17">
        <f t="shared" si="34"/>
        <v>5200</v>
      </c>
      <c r="BX77" s="17">
        <f t="shared" si="34"/>
        <v>0</v>
      </c>
      <c r="BY77" s="17">
        <f t="shared" si="35"/>
        <v>0</v>
      </c>
      <c r="BZ77" s="25">
        <f t="shared" si="35"/>
        <v>4500</v>
      </c>
      <c r="CA77" s="81"/>
      <c r="CB77" s="75"/>
      <c r="CC77" s="81"/>
      <c r="CD77" s="81"/>
      <c r="CE77" s="93"/>
      <c r="CF77" s="93"/>
      <c r="CG77" s="93"/>
      <c r="CH77" s="94"/>
      <c r="CI77" s="81"/>
      <c r="CJ77" s="75"/>
      <c r="CK77" s="81"/>
      <c r="CL77" s="81"/>
      <c r="CM77" s="93"/>
      <c r="CN77" s="93"/>
      <c r="CO77" s="93"/>
      <c r="CP77" s="94"/>
      <c r="CQ77" s="81"/>
      <c r="CR77" s="75"/>
      <c r="CS77" s="81"/>
      <c r="CT77" s="81"/>
      <c r="CU77" s="93"/>
      <c r="CV77" s="93"/>
      <c r="CW77" s="93"/>
      <c r="CX77" s="94"/>
      <c r="CY77" s="81"/>
      <c r="CZ77" s="75"/>
      <c r="DA77" s="81"/>
      <c r="DB77" s="81"/>
      <c r="DC77" s="93"/>
      <c r="DD77" s="93"/>
      <c r="DE77" s="93"/>
      <c r="DF77" s="94"/>
      <c r="DG77" s="81"/>
      <c r="DH77" s="75"/>
      <c r="DI77" s="81"/>
      <c r="DJ77" s="81"/>
      <c r="DK77" s="93"/>
      <c r="DL77" s="93"/>
      <c r="DM77" s="93"/>
      <c r="DN77" s="94"/>
      <c r="DO77" s="95"/>
      <c r="DP77" s="96"/>
      <c r="DQ77" s="95"/>
      <c r="DR77" s="97"/>
      <c r="DS77" s="98"/>
      <c r="DT77" s="99"/>
      <c r="DU77" s="99"/>
      <c r="DV77" s="100"/>
      <c r="DW77" s="95"/>
      <c r="DX77" s="96"/>
      <c r="DY77" s="95"/>
      <c r="DZ77" s="97"/>
      <c r="EA77" s="98"/>
      <c r="EB77" s="99"/>
      <c r="EC77" s="99"/>
      <c r="ED77" s="100"/>
      <c r="EE77" s="95"/>
      <c r="EF77" s="96"/>
      <c r="EG77" s="95"/>
      <c r="EH77" s="97"/>
      <c r="EI77" s="98"/>
      <c r="EJ77" s="99"/>
      <c r="EK77" s="99"/>
      <c r="EL77" s="100"/>
    </row>
    <row r="78" spans="1:142">
      <c r="A78" s="75">
        <v>75</v>
      </c>
      <c r="B78" s="75" t="s">
        <v>101</v>
      </c>
      <c r="F78" s="76"/>
      <c r="G78" s="77">
        <v>42</v>
      </c>
      <c r="H78" s="90">
        <v>0</v>
      </c>
      <c r="I78" s="77">
        <v>0</v>
      </c>
      <c r="J78" s="77">
        <v>8</v>
      </c>
      <c r="K78" s="91">
        <f t="shared" si="20"/>
        <v>4200</v>
      </c>
      <c r="L78" s="91">
        <f t="shared" si="20"/>
        <v>0</v>
      </c>
      <c r="M78" s="91">
        <f t="shared" si="21"/>
        <v>0</v>
      </c>
      <c r="N78" s="92">
        <f t="shared" si="21"/>
        <v>2400</v>
      </c>
      <c r="O78" s="77">
        <v>40</v>
      </c>
      <c r="P78" s="90">
        <v>0</v>
      </c>
      <c r="Q78" s="77">
        <v>0</v>
      </c>
      <c r="R78" s="77">
        <v>18</v>
      </c>
      <c r="S78" s="91">
        <f t="shared" si="22"/>
        <v>4000</v>
      </c>
      <c r="T78" s="91">
        <f t="shared" si="22"/>
        <v>0</v>
      </c>
      <c r="U78" s="91">
        <f t="shared" si="23"/>
        <v>0</v>
      </c>
      <c r="V78" s="92">
        <f t="shared" si="23"/>
        <v>5400</v>
      </c>
      <c r="W78" s="77">
        <v>38</v>
      </c>
      <c r="X78" s="90">
        <v>0</v>
      </c>
      <c r="Y78" s="77">
        <v>0</v>
      </c>
      <c r="Z78" s="77">
        <v>18</v>
      </c>
      <c r="AA78" s="91">
        <f t="shared" si="24"/>
        <v>3800</v>
      </c>
      <c r="AB78" s="91">
        <f t="shared" si="24"/>
        <v>0</v>
      </c>
      <c r="AC78" s="91">
        <f t="shared" si="25"/>
        <v>0</v>
      </c>
      <c r="AD78" s="92">
        <f t="shared" si="25"/>
        <v>5400</v>
      </c>
      <c r="AE78" s="77">
        <v>40</v>
      </c>
      <c r="AF78" s="90">
        <v>0</v>
      </c>
      <c r="AG78" s="77">
        <v>0</v>
      </c>
      <c r="AH78" s="77">
        <v>16</v>
      </c>
      <c r="AI78" s="91">
        <f t="shared" si="26"/>
        <v>4000</v>
      </c>
      <c r="AJ78" s="91">
        <f t="shared" si="26"/>
        <v>0</v>
      </c>
      <c r="AK78" s="91">
        <f t="shared" si="27"/>
        <v>0</v>
      </c>
      <c r="AL78" s="92">
        <f t="shared" si="27"/>
        <v>4800</v>
      </c>
      <c r="AM78" s="77">
        <v>43</v>
      </c>
      <c r="AN78" s="90">
        <v>0</v>
      </c>
      <c r="AO78" s="77">
        <v>0</v>
      </c>
      <c r="AP78" s="77">
        <v>12</v>
      </c>
      <c r="AQ78" s="91">
        <f t="shared" si="18"/>
        <v>4300</v>
      </c>
      <c r="AR78" s="91">
        <f t="shared" si="18"/>
        <v>0</v>
      </c>
      <c r="AS78" s="91">
        <f t="shared" si="19"/>
        <v>0</v>
      </c>
      <c r="AT78" s="92">
        <f t="shared" si="19"/>
        <v>3600</v>
      </c>
      <c r="AU78" s="12">
        <v>42</v>
      </c>
      <c r="AV78" s="6">
        <v>0</v>
      </c>
      <c r="AW78" s="12">
        <v>0</v>
      </c>
      <c r="AX78" s="12">
        <v>12</v>
      </c>
      <c r="AY78" s="17">
        <f t="shared" si="28"/>
        <v>4200</v>
      </c>
      <c r="AZ78" s="17">
        <f t="shared" si="28"/>
        <v>0</v>
      </c>
      <c r="BA78" s="17">
        <f t="shared" si="29"/>
        <v>0</v>
      </c>
      <c r="BB78" s="25">
        <f t="shared" si="29"/>
        <v>3600</v>
      </c>
      <c r="BC78" s="12">
        <v>38</v>
      </c>
      <c r="BD78" s="6">
        <v>0</v>
      </c>
      <c r="BE78" s="12">
        <v>0</v>
      </c>
      <c r="BF78" s="12">
        <v>10</v>
      </c>
      <c r="BG78" s="17">
        <f t="shared" si="30"/>
        <v>3800</v>
      </c>
      <c r="BH78" s="17">
        <f t="shared" si="30"/>
        <v>0</v>
      </c>
      <c r="BI78" s="17">
        <f t="shared" si="31"/>
        <v>0</v>
      </c>
      <c r="BJ78" s="25">
        <f t="shared" si="31"/>
        <v>3000</v>
      </c>
      <c r="BK78" s="12">
        <v>41</v>
      </c>
      <c r="BL78" s="6">
        <v>0</v>
      </c>
      <c r="BM78" s="12">
        <v>0</v>
      </c>
      <c r="BN78" s="12">
        <v>10</v>
      </c>
      <c r="BO78" s="17">
        <f t="shared" si="32"/>
        <v>4100</v>
      </c>
      <c r="BP78" s="17">
        <f t="shared" si="32"/>
        <v>0</v>
      </c>
      <c r="BQ78" s="17">
        <f t="shared" si="33"/>
        <v>0</v>
      </c>
      <c r="BR78" s="25">
        <f t="shared" si="33"/>
        <v>3000</v>
      </c>
      <c r="BS78" s="12">
        <v>45</v>
      </c>
      <c r="BT78" s="6">
        <v>0</v>
      </c>
      <c r="BU78" s="12">
        <v>0</v>
      </c>
      <c r="BV78" s="12">
        <v>10</v>
      </c>
      <c r="BW78" s="17">
        <f t="shared" si="34"/>
        <v>4500</v>
      </c>
      <c r="BX78" s="17">
        <f t="shared" si="34"/>
        <v>0</v>
      </c>
      <c r="BY78" s="17">
        <f t="shared" si="35"/>
        <v>0</v>
      </c>
      <c r="BZ78" s="25">
        <f t="shared" si="35"/>
        <v>3000</v>
      </c>
      <c r="CA78" s="81"/>
      <c r="CB78" s="75"/>
      <c r="CC78" s="81"/>
      <c r="CD78" s="81"/>
      <c r="CE78" s="93"/>
      <c r="CF78" s="93"/>
      <c r="CG78" s="93"/>
      <c r="CH78" s="94"/>
      <c r="CI78" s="81"/>
      <c r="CJ78" s="75"/>
      <c r="CK78" s="81"/>
      <c r="CL78" s="81"/>
      <c r="CM78" s="93"/>
      <c r="CN78" s="93"/>
      <c r="CO78" s="93"/>
      <c r="CP78" s="94"/>
      <c r="CQ78" s="81"/>
      <c r="CR78" s="75"/>
      <c r="CS78" s="81"/>
      <c r="CT78" s="81"/>
      <c r="CU78" s="93"/>
      <c r="CV78" s="93"/>
      <c r="CW78" s="93"/>
      <c r="CX78" s="94"/>
      <c r="CY78" s="81"/>
      <c r="CZ78" s="75"/>
      <c r="DA78" s="81"/>
      <c r="DB78" s="81"/>
      <c r="DC78" s="93"/>
      <c r="DD78" s="93"/>
      <c r="DE78" s="93"/>
      <c r="DF78" s="94"/>
      <c r="DG78" s="81"/>
      <c r="DH78" s="75"/>
      <c r="DI78" s="81"/>
      <c r="DJ78" s="81"/>
      <c r="DK78" s="93"/>
      <c r="DL78" s="93"/>
      <c r="DM78" s="93"/>
      <c r="DN78" s="94"/>
      <c r="DO78" s="95"/>
      <c r="DP78" s="96"/>
      <c r="DQ78" s="95"/>
      <c r="DR78" s="97"/>
      <c r="DS78" s="98"/>
      <c r="DT78" s="99"/>
      <c r="DU78" s="99"/>
      <c r="DV78" s="100"/>
      <c r="DW78" s="95"/>
      <c r="DX78" s="96"/>
      <c r="DY78" s="95"/>
      <c r="DZ78" s="97"/>
      <c r="EA78" s="98"/>
      <c r="EB78" s="99"/>
      <c r="EC78" s="99"/>
      <c r="ED78" s="100"/>
      <c r="EE78" s="95"/>
      <c r="EF78" s="96"/>
      <c r="EG78" s="95"/>
      <c r="EH78" s="97"/>
      <c r="EI78" s="98"/>
      <c r="EJ78" s="99"/>
      <c r="EK78" s="99"/>
      <c r="EL78" s="100"/>
    </row>
    <row r="79" spans="1:142">
      <c r="A79" s="75">
        <v>76</v>
      </c>
      <c r="B79" s="75" t="s">
        <v>102</v>
      </c>
      <c r="F79" s="76"/>
      <c r="G79" s="77">
        <v>55</v>
      </c>
      <c r="H79" s="90">
        <v>0</v>
      </c>
      <c r="I79" s="77">
        <v>0</v>
      </c>
      <c r="J79" s="77">
        <v>12</v>
      </c>
      <c r="K79" s="91">
        <f t="shared" si="20"/>
        <v>5500</v>
      </c>
      <c r="L79" s="91">
        <f t="shared" si="20"/>
        <v>0</v>
      </c>
      <c r="M79" s="91">
        <f t="shared" si="21"/>
        <v>0</v>
      </c>
      <c r="N79" s="92">
        <f t="shared" si="21"/>
        <v>3600</v>
      </c>
      <c r="O79" s="77">
        <v>53</v>
      </c>
      <c r="P79" s="90">
        <v>0</v>
      </c>
      <c r="Q79" s="77">
        <v>0</v>
      </c>
      <c r="R79" s="77">
        <v>0</v>
      </c>
      <c r="S79" s="91">
        <f t="shared" si="22"/>
        <v>5300</v>
      </c>
      <c r="T79" s="91">
        <f t="shared" si="22"/>
        <v>0</v>
      </c>
      <c r="U79" s="91">
        <f t="shared" si="23"/>
        <v>0</v>
      </c>
      <c r="V79" s="92">
        <f t="shared" si="23"/>
        <v>0</v>
      </c>
      <c r="W79" s="77">
        <v>50</v>
      </c>
      <c r="X79" s="90">
        <v>0</v>
      </c>
      <c r="Y79" s="77">
        <v>0</v>
      </c>
      <c r="Z79" s="77">
        <v>3</v>
      </c>
      <c r="AA79" s="91">
        <f t="shared" si="24"/>
        <v>5000</v>
      </c>
      <c r="AB79" s="91">
        <f t="shared" si="24"/>
        <v>0</v>
      </c>
      <c r="AC79" s="91">
        <f t="shared" si="25"/>
        <v>0</v>
      </c>
      <c r="AD79" s="92">
        <f t="shared" si="25"/>
        <v>900</v>
      </c>
      <c r="AE79" s="77">
        <v>50</v>
      </c>
      <c r="AF79" s="90">
        <v>0</v>
      </c>
      <c r="AG79" s="77">
        <v>0</v>
      </c>
      <c r="AH79" s="77">
        <v>6</v>
      </c>
      <c r="AI79" s="91">
        <f t="shared" si="26"/>
        <v>5000</v>
      </c>
      <c r="AJ79" s="91">
        <f t="shared" si="26"/>
        <v>0</v>
      </c>
      <c r="AK79" s="91">
        <f t="shared" si="27"/>
        <v>0</v>
      </c>
      <c r="AL79" s="92">
        <f t="shared" si="27"/>
        <v>1800</v>
      </c>
      <c r="AM79" s="77">
        <v>50</v>
      </c>
      <c r="AN79" s="90">
        <v>0</v>
      </c>
      <c r="AO79" s="77">
        <v>0</v>
      </c>
      <c r="AP79" s="77">
        <v>18</v>
      </c>
      <c r="AQ79" s="91">
        <f t="shared" si="18"/>
        <v>5000</v>
      </c>
      <c r="AR79" s="91">
        <f t="shared" si="18"/>
        <v>0</v>
      </c>
      <c r="AS79" s="91">
        <f t="shared" si="19"/>
        <v>0</v>
      </c>
      <c r="AT79" s="92">
        <f t="shared" si="19"/>
        <v>5400</v>
      </c>
      <c r="AU79" s="12">
        <v>48</v>
      </c>
      <c r="AV79" s="6">
        <v>0</v>
      </c>
      <c r="AW79" s="12">
        <v>0</v>
      </c>
      <c r="AX79" s="12">
        <v>18</v>
      </c>
      <c r="AY79" s="17">
        <f t="shared" si="28"/>
        <v>4800</v>
      </c>
      <c r="AZ79" s="17">
        <f t="shared" si="28"/>
        <v>0</v>
      </c>
      <c r="BA79" s="17">
        <f t="shared" si="29"/>
        <v>0</v>
      </c>
      <c r="BB79" s="25">
        <f t="shared" si="29"/>
        <v>5400</v>
      </c>
      <c r="BC79" s="12">
        <v>52</v>
      </c>
      <c r="BD79" s="6">
        <v>0</v>
      </c>
      <c r="BE79" s="12">
        <v>0</v>
      </c>
      <c r="BF79" s="12">
        <v>16</v>
      </c>
      <c r="BG79" s="17">
        <f t="shared" si="30"/>
        <v>5200</v>
      </c>
      <c r="BH79" s="17">
        <f t="shared" si="30"/>
        <v>0</v>
      </c>
      <c r="BI79" s="17">
        <f t="shared" si="31"/>
        <v>0</v>
      </c>
      <c r="BJ79" s="25">
        <f t="shared" si="31"/>
        <v>4800</v>
      </c>
      <c r="BK79" s="12">
        <v>52</v>
      </c>
      <c r="BL79" s="6">
        <v>0</v>
      </c>
      <c r="BM79" s="12">
        <v>0</v>
      </c>
      <c r="BN79" s="12">
        <v>16</v>
      </c>
      <c r="BO79" s="17">
        <f t="shared" si="32"/>
        <v>5200</v>
      </c>
      <c r="BP79" s="17">
        <f t="shared" si="32"/>
        <v>0</v>
      </c>
      <c r="BQ79" s="17">
        <f t="shared" si="33"/>
        <v>0</v>
      </c>
      <c r="BR79" s="25">
        <f t="shared" si="33"/>
        <v>4800</v>
      </c>
      <c r="BS79" s="12">
        <v>54</v>
      </c>
      <c r="BT79" s="6">
        <v>0</v>
      </c>
      <c r="BU79" s="12">
        <v>0</v>
      </c>
      <c r="BV79" s="12">
        <v>16</v>
      </c>
      <c r="BW79" s="17">
        <f t="shared" si="34"/>
        <v>5400</v>
      </c>
      <c r="BX79" s="17">
        <f t="shared" si="34"/>
        <v>0</v>
      </c>
      <c r="BY79" s="17">
        <f t="shared" si="35"/>
        <v>0</v>
      </c>
      <c r="BZ79" s="25">
        <f t="shared" si="35"/>
        <v>4800</v>
      </c>
      <c r="CA79" s="81"/>
      <c r="CB79" s="75"/>
      <c r="CC79" s="81"/>
      <c r="CD79" s="81"/>
      <c r="CE79" s="93"/>
      <c r="CF79" s="93"/>
      <c r="CG79" s="93"/>
      <c r="CH79" s="94"/>
      <c r="CI79" s="81"/>
      <c r="CJ79" s="75"/>
      <c r="CK79" s="81"/>
      <c r="CL79" s="81"/>
      <c r="CM79" s="93"/>
      <c r="CN79" s="93"/>
      <c r="CO79" s="93"/>
      <c r="CP79" s="94"/>
      <c r="CQ79" s="81"/>
      <c r="CR79" s="75"/>
      <c r="CS79" s="81"/>
      <c r="CT79" s="81"/>
      <c r="CU79" s="93"/>
      <c r="CV79" s="93"/>
      <c r="CW79" s="93"/>
      <c r="CX79" s="94"/>
      <c r="CY79" s="81"/>
      <c r="CZ79" s="75"/>
      <c r="DA79" s="81"/>
      <c r="DB79" s="81"/>
      <c r="DC79" s="93"/>
      <c r="DD79" s="93"/>
      <c r="DE79" s="93"/>
      <c r="DF79" s="94"/>
      <c r="DG79" s="81"/>
      <c r="DH79" s="75"/>
      <c r="DI79" s="81"/>
      <c r="DJ79" s="81"/>
      <c r="DK79" s="93"/>
      <c r="DL79" s="93"/>
      <c r="DM79" s="93"/>
      <c r="DN79" s="94"/>
      <c r="DO79" s="95"/>
      <c r="DP79" s="96"/>
      <c r="DQ79" s="95"/>
      <c r="DR79" s="97"/>
      <c r="DS79" s="98"/>
      <c r="DT79" s="99"/>
      <c r="DU79" s="99"/>
      <c r="DV79" s="100"/>
      <c r="DW79" s="95"/>
      <c r="DX79" s="96"/>
      <c r="DY79" s="95"/>
      <c r="DZ79" s="97"/>
      <c r="EA79" s="98"/>
      <c r="EB79" s="99"/>
      <c r="EC79" s="99"/>
      <c r="ED79" s="100"/>
      <c r="EE79" s="95"/>
      <c r="EF79" s="96"/>
      <c r="EG79" s="95"/>
      <c r="EH79" s="97"/>
      <c r="EI79" s="98"/>
      <c r="EJ79" s="99"/>
      <c r="EK79" s="99"/>
      <c r="EL79" s="100"/>
    </row>
    <row r="80" spans="1:142">
      <c r="A80" s="75">
        <v>77</v>
      </c>
      <c r="B80" s="75" t="s">
        <v>103</v>
      </c>
      <c r="F80" s="76"/>
      <c r="G80" s="77">
        <v>35</v>
      </c>
      <c r="H80" s="90">
        <v>0</v>
      </c>
      <c r="I80" s="77">
        <v>0</v>
      </c>
      <c r="J80" s="77">
        <v>18</v>
      </c>
      <c r="K80" s="91">
        <f t="shared" si="20"/>
        <v>3500</v>
      </c>
      <c r="L80" s="91">
        <f t="shared" si="20"/>
        <v>0</v>
      </c>
      <c r="M80" s="91">
        <f t="shared" si="21"/>
        <v>0</v>
      </c>
      <c r="N80" s="92">
        <f t="shared" si="21"/>
        <v>5400</v>
      </c>
      <c r="O80" s="77">
        <v>30</v>
      </c>
      <c r="P80" s="90">
        <v>0</v>
      </c>
      <c r="Q80" s="77">
        <v>0</v>
      </c>
      <c r="R80" s="77">
        <v>20</v>
      </c>
      <c r="S80" s="91">
        <f t="shared" si="22"/>
        <v>3000</v>
      </c>
      <c r="T80" s="91">
        <f t="shared" si="22"/>
        <v>0</v>
      </c>
      <c r="U80" s="91">
        <f t="shared" si="23"/>
        <v>0</v>
      </c>
      <c r="V80" s="92">
        <f t="shared" si="23"/>
        <v>6000</v>
      </c>
      <c r="W80" s="77">
        <v>30</v>
      </c>
      <c r="X80" s="90">
        <v>0</v>
      </c>
      <c r="Y80" s="77">
        <v>0</v>
      </c>
      <c r="Z80" s="77">
        <v>16</v>
      </c>
      <c r="AA80" s="91">
        <f t="shared" si="24"/>
        <v>3000</v>
      </c>
      <c r="AB80" s="91">
        <f t="shared" si="24"/>
        <v>0</v>
      </c>
      <c r="AC80" s="91">
        <f t="shared" si="25"/>
        <v>0</v>
      </c>
      <c r="AD80" s="92">
        <f t="shared" si="25"/>
        <v>4800</v>
      </c>
      <c r="AE80" s="77">
        <v>34</v>
      </c>
      <c r="AF80" s="90">
        <v>0</v>
      </c>
      <c r="AG80" s="77">
        <v>0</v>
      </c>
      <c r="AH80" s="77">
        <v>15</v>
      </c>
      <c r="AI80" s="91">
        <f t="shared" si="26"/>
        <v>3400</v>
      </c>
      <c r="AJ80" s="91">
        <f t="shared" si="26"/>
        <v>0</v>
      </c>
      <c r="AK80" s="91">
        <f t="shared" si="27"/>
        <v>0</v>
      </c>
      <c r="AL80" s="92">
        <f t="shared" si="27"/>
        <v>4500</v>
      </c>
      <c r="AM80" s="77">
        <v>34</v>
      </c>
      <c r="AN80" s="90">
        <v>0</v>
      </c>
      <c r="AO80" s="77">
        <v>0</v>
      </c>
      <c r="AP80" s="77">
        <v>20</v>
      </c>
      <c r="AQ80" s="91">
        <f t="shared" si="18"/>
        <v>3400</v>
      </c>
      <c r="AR80" s="91">
        <f t="shared" si="18"/>
        <v>0</v>
      </c>
      <c r="AS80" s="91">
        <f t="shared" si="19"/>
        <v>0</v>
      </c>
      <c r="AT80" s="92">
        <f t="shared" si="19"/>
        <v>6000</v>
      </c>
      <c r="AU80" s="12">
        <v>36</v>
      </c>
      <c r="AV80" s="6">
        <v>0</v>
      </c>
      <c r="AW80" s="12">
        <v>0</v>
      </c>
      <c r="AX80" s="12">
        <v>20</v>
      </c>
      <c r="AY80" s="17">
        <f t="shared" si="28"/>
        <v>3600</v>
      </c>
      <c r="AZ80" s="17">
        <f t="shared" si="28"/>
        <v>0</v>
      </c>
      <c r="BA80" s="17">
        <f t="shared" si="29"/>
        <v>0</v>
      </c>
      <c r="BB80" s="25">
        <f t="shared" si="29"/>
        <v>6000</v>
      </c>
      <c r="BC80" s="12">
        <v>40</v>
      </c>
      <c r="BD80" s="6">
        <v>0</v>
      </c>
      <c r="BE80" s="12">
        <v>0</v>
      </c>
      <c r="BF80" s="12">
        <v>20</v>
      </c>
      <c r="BG80" s="17">
        <f t="shared" si="30"/>
        <v>4000</v>
      </c>
      <c r="BH80" s="17">
        <f t="shared" si="30"/>
        <v>0</v>
      </c>
      <c r="BI80" s="17">
        <f t="shared" si="31"/>
        <v>0</v>
      </c>
      <c r="BJ80" s="25">
        <f t="shared" si="31"/>
        <v>6000</v>
      </c>
      <c r="BK80" s="12">
        <v>40</v>
      </c>
      <c r="BL80" s="6">
        <v>0</v>
      </c>
      <c r="BM80" s="12">
        <v>0</v>
      </c>
      <c r="BN80" s="12">
        <v>20</v>
      </c>
      <c r="BO80" s="17">
        <f t="shared" si="32"/>
        <v>4000</v>
      </c>
      <c r="BP80" s="17">
        <f t="shared" si="32"/>
        <v>0</v>
      </c>
      <c r="BQ80" s="17">
        <f t="shared" si="33"/>
        <v>0</v>
      </c>
      <c r="BR80" s="25">
        <f t="shared" si="33"/>
        <v>6000</v>
      </c>
      <c r="BS80" s="12">
        <v>49</v>
      </c>
      <c r="BT80" s="6">
        <v>0</v>
      </c>
      <c r="BU80" s="12">
        <v>0</v>
      </c>
      <c r="BV80" s="12">
        <v>20</v>
      </c>
      <c r="BW80" s="17">
        <f t="shared" si="34"/>
        <v>4900</v>
      </c>
      <c r="BX80" s="17">
        <f t="shared" si="34"/>
        <v>0</v>
      </c>
      <c r="BY80" s="17">
        <f t="shared" si="35"/>
        <v>0</v>
      </c>
      <c r="BZ80" s="25">
        <f t="shared" si="35"/>
        <v>6000</v>
      </c>
      <c r="CA80" s="81"/>
      <c r="CB80" s="75"/>
      <c r="CC80" s="81"/>
      <c r="CD80" s="81"/>
      <c r="CE80" s="93"/>
      <c r="CF80" s="93"/>
      <c r="CG80" s="93"/>
      <c r="CH80" s="94"/>
      <c r="CI80" s="81"/>
      <c r="CJ80" s="75"/>
      <c r="CK80" s="81"/>
      <c r="CL80" s="81"/>
      <c r="CM80" s="93"/>
      <c r="CN80" s="93"/>
      <c r="CO80" s="93"/>
      <c r="CP80" s="94"/>
      <c r="CQ80" s="81"/>
      <c r="CR80" s="75"/>
      <c r="CS80" s="81"/>
      <c r="CT80" s="81"/>
      <c r="CU80" s="93"/>
      <c r="CV80" s="93"/>
      <c r="CW80" s="93"/>
      <c r="CX80" s="94"/>
      <c r="CY80" s="81"/>
      <c r="CZ80" s="75"/>
      <c r="DA80" s="81"/>
      <c r="DB80" s="81"/>
      <c r="DC80" s="93"/>
      <c r="DD80" s="93"/>
      <c r="DE80" s="93"/>
      <c r="DF80" s="94"/>
      <c r="DG80" s="81"/>
      <c r="DH80" s="75"/>
      <c r="DI80" s="81"/>
      <c r="DJ80" s="81"/>
      <c r="DK80" s="93"/>
      <c r="DL80" s="93"/>
      <c r="DM80" s="93"/>
      <c r="DN80" s="94"/>
      <c r="DO80" s="95"/>
      <c r="DP80" s="96"/>
      <c r="DQ80" s="95"/>
      <c r="DR80" s="97"/>
      <c r="DS80" s="98"/>
      <c r="DT80" s="99"/>
      <c r="DU80" s="99"/>
      <c r="DV80" s="100"/>
      <c r="DW80" s="95"/>
      <c r="DX80" s="96"/>
      <c r="DY80" s="95"/>
      <c r="DZ80" s="97"/>
      <c r="EA80" s="98"/>
      <c r="EB80" s="99"/>
      <c r="EC80" s="99"/>
      <c r="ED80" s="100"/>
      <c r="EE80" s="95"/>
      <c r="EF80" s="96"/>
      <c r="EG80" s="95"/>
      <c r="EH80" s="97"/>
      <c r="EI80" s="98"/>
      <c r="EJ80" s="99"/>
      <c r="EK80" s="99"/>
      <c r="EL80" s="100"/>
    </row>
    <row r="81" spans="1:142">
      <c r="A81" s="75">
        <v>78</v>
      </c>
      <c r="B81" s="75" t="s">
        <v>104</v>
      </c>
      <c r="F81" s="76"/>
      <c r="G81" s="77">
        <v>30</v>
      </c>
      <c r="H81" s="90">
        <v>0</v>
      </c>
      <c r="I81" s="77">
        <v>0</v>
      </c>
      <c r="J81" s="77">
        <v>11</v>
      </c>
      <c r="K81" s="91">
        <f t="shared" si="20"/>
        <v>3000</v>
      </c>
      <c r="L81" s="91">
        <f t="shared" si="20"/>
        <v>0</v>
      </c>
      <c r="M81" s="91">
        <f t="shared" si="21"/>
        <v>0</v>
      </c>
      <c r="N81" s="92">
        <f t="shared" si="21"/>
        <v>3300</v>
      </c>
      <c r="O81" s="77">
        <v>39</v>
      </c>
      <c r="P81" s="90">
        <v>0</v>
      </c>
      <c r="Q81" s="77">
        <v>0</v>
      </c>
      <c r="R81" s="77">
        <v>12</v>
      </c>
      <c r="S81" s="91">
        <f t="shared" si="22"/>
        <v>3900</v>
      </c>
      <c r="T81" s="91">
        <f t="shared" si="22"/>
        <v>0</v>
      </c>
      <c r="U81" s="91">
        <f t="shared" si="23"/>
        <v>0</v>
      </c>
      <c r="V81" s="92">
        <f t="shared" si="23"/>
        <v>3600</v>
      </c>
      <c r="W81" s="77">
        <v>36</v>
      </c>
      <c r="X81" s="90">
        <v>0</v>
      </c>
      <c r="Y81" s="77">
        <v>0</v>
      </c>
      <c r="Z81" s="77">
        <v>12</v>
      </c>
      <c r="AA81" s="91">
        <f t="shared" si="24"/>
        <v>3600</v>
      </c>
      <c r="AB81" s="91">
        <f t="shared" si="24"/>
        <v>0</v>
      </c>
      <c r="AC81" s="91">
        <f t="shared" si="25"/>
        <v>0</v>
      </c>
      <c r="AD81" s="92">
        <f t="shared" si="25"/>
        <v>3600</v>
      </c>
      <c r="AE81" s="77">
        <v>36</v>
      </c>
      <c r="AF81" s="90">
        <v>0</v>
      </c>
      <c r="AG81" s="77">
        <v>0</v>
      </c>
      <c r="AH81" s="77">
        <v>12</v>
      </c>
      <c r="AI81" s="91">
        <f t="shared" si="26"/>
        <v>3600</v>
      </c>
      <c r="AJ81" s="91">
        <f t="shared" si="26"/>
        <v>0</v>
      </c>
      <c r="AK81" s="91">
        <f t="shared" si="27"/>
        <v>0</v>
      </c>
      <c r="AL81" s="92">
        <f t="shared" si="27"/>
        <v>3600</v>
      </c>
      <c r="AM81" s="77">
        <v>30</v>
      </c>
      <c r="AN81" s="90">
        <v>0</v>
      </c>
      <c r="AO81" s="77">
        <v>0</v>
      </c>
      <c r="AP81" s="77">
        <v>15</v>
      </c>
      <c r="AQ81" s="91">
        <f t="shared" si="18"/>
        <v>3000</v>
      </c>
      <c r="AR81" s="91">
        <f t="shared" si="18"/>
        <v>0</v>
      </c>
      <c r="AS81" s="91">
        <f t="shared" si="19"/>
        <v>0</v>
      </c>
      <c r="AT81" s="92">
        <f t="shared" si="19"/>
        <v>4500</v>
      </c>
      <c r="AU81" s="12">
        <v>38</v>
      </c>
      <c r="AV81" s="6">
        <v>0</v>
      </c>
      <c r="AW81" s="12">
        <v>0</v>
      </c>
      <c r="AX81" s="12">
        <v>15</v>
      </c>
      <c r="AY81" s="17">
        <f t="shared" si="28"/>
        <v>3800</v>
      </c>
      <c r="AZ81" s="17">
        <f t="shared" si="28"/>
        <v>0</v>
      </c>
      <c r="BA81" s="17">
        <f t="shared" si="29"/>
        <v>0</v>
      </c>
      <c r="BB81" s="25">
        <f t="shared" si="29"/>
        <v>4500</v>
      </c>
      <c r="BC81" s="12">
        <v>42</v>
      </c>
      <c r="BD81" s="6">
        <v>0</v>
      </c>
      <c r="BE81" s="12">
        <v>0</v>
      </c>
      <c r="BF81" s="12">
        <v>15</v>
      </c>
      <c r="BG81" s="17">
        <f t="shared" si="30"/>
        <v>4200</v>
      </c>
      <c r="BH81" s="17">
        <f t="shared" si="30"/>
        <v>0</v>
      </c>
      <c r="BI81" s="17">
        <f t="shared" si="31"/>
        <v>0</v>
      </c>
      <c r="BJ81" s="25">
        <f t="shared" si="31"/>
        <v>4500</v>
      </c>
      <c r="BK81" s="12">
        <v>42</v>
      </c>
      <c r="BL81" s="6">
        <v>0</v>
      </c>
      <c r="BM81" s="12">
        <v>0</v>
      </c>
      <c r="BN81" s="12">
        <v>15</v>
      </c>
      <c r="BO81" s="17">
        <f t="shared" si="32"/>
        <v>4200</v>
      </c>
      <c r="BP81" s="17">
        <f t="shared" si="32"/>
        <v>0</v>
      </c>
      <c r="BQ81" s="17">
        <f t="shared" si="33"/>
        <v>0</v>
      </c>
      <c r="BR81" s="25">
        <f t="shared" si="33"/>
        <v>4500</v>
      </c>
      <c r="BS81" s="12">
        <v>40</v>
      </c>
      <c r="BT81" s="6">
        <v>0</v>
      </c>
      <c r="BU81" s="12">
        <v>0</v>
      </c>
      <c r="BV81" s="12">
        <v>20</v>
      </c>
      <c r="BW81" s="17">
        <f t="shared" si="34"/>
        <v>4000</v>
      </c>
      <c r="BX81" s="17">
        <f t="shared" si="34"/>
        <v>0</v>
      </c>
      <c r="BY81" s="17">
        <f t="shared" si="35"/>
        <v>0</v>
      </c>
      <c r="BZ81" s="25">
        <f t="shared" si="35"/>
        <v>6000</v>
      </c>
      <c r="CA81" s="81"/>
      <c r="CB81" s="75"/>
      <c r="CC81" s="81"/>
      <c r="CD81" s="81"/>
      <c r="CE81" s="93"/>
      <c r="CF81" s="93"/>
      <c r="CG81" s="93"/>
      <c r="CH81" s="94"/>
      <c r="CI81" s="81"/>
      <c r="CJ81" s="75"/>
      <c r="CK81" s="81"/>
      <c r="CL81" s="81"/>
      <c r="CM81" s="93"/>
      <c r="CN81" s="93"/>
      <c r="CO81" s="93"/>
      <c r="CP81" s="94"/>
      <c r="CQ81" s="81"/>
      <c r="CR81" s="75"/>
      <c r="CS81" s="81"/>
      <c r="CT81" s="81"/>
      <c r="CU81" s="93"/>
      <c r="CV81" s="93"/>
      <c r="CW81" s="93"/>
      <c r="CX81" s="94"/>
      <c r="CY81" s="81"/>
      <c r="CZ81" s="75"/>
      <c r="DA81" s="81"/>
      <c r="DB81" s="81"/>
      <c r="DC81" s="93"/>
      <c r="DD81" s="93"/>
      <c r="DE81" s="93"/>
      <c r="DF81" s="94"/>
      <c r="DG81" s="81"/>
      <c r="DH81" s="75"/>
      <c r="DI81" s="81"/>
      <c r="DJ81" s="81"/>
      <c r="DK81" s="93"/>
      <c r="DL81" s="93"/>
      <c r="DM81" s="93"/>
      <c r="DN81" s="94"/>
      <c r="DO81" s="95"/>
      <c r="DP81" s="96"/>
      <c r="DQ81" s="95"/>
      <c r="DR81" s="97"/>
      <c r="DS81" s="98"/>
      <c r="DT81" s="99"/>
      <c r="DU81" s="99"/>
      <c r="DV81" s="100"/>
      <c r="DW81" s="95"/>
      <c r="DX81" s="96"/>
      <c r="DY81" s="95"/>
      <c r="DZ81" s="97"/>
      <c r="EA81" s="98"/>
      <c r="EB81" s="99"/>
      <c r="EC81" s="99"/>
      <c r="ED81" s="100"/>
      <c r="EE81" s="95"/>
      <c r="EF81" s="96"/>
      <c r="EG81" s="95"/>
      <c r="EH81" s="97"/>
      <c r="EI81" s="98"/>
      <c r="EJ81" s="99"/>
      <c r="EK81" s="99"/>
      <c r="EL81" s="100"/>
    </row>
    <row r="82" spans="1:142">
      <c r="A82" s="75">
        <v>79</v>
      </c>
      <c r="B82" s="75" t="s">
        <v>105</v>
      </c>
      <c r="F82" s="76"/>
      <c r="G82" s="77">
        <v>40</v>
      </c>
      <c r="H82" s="90">
        <v>0</v>
      </c>
      <c r="I82" s="77">
        <v>0</v>
      </c>
      <c r="J82" s="77">
        <v>20</v>
      </c>
      <c r="K82" s="91">
        <f t="shared" si="20"/>
        <v>4000</v>
      </c>
      <c r="L82" s="91">
        <f t="shared" si="20"/>
        <v>0</v>
      </c>
      <c r="M82" s="91">
        <f t="shared" si="21"/>
        <v>0</v>
      </c>
      <c r="N82" s="92">
        <f t="shared" si="21"/>
        <v>6000</v>
      </c>
      <c r="O82" s="77">
        <v>38</v>
      </c>
      <c r="P82" s="90">
        <v>0</v>
      </c>
      <c r="Q82" s="77">
        <v>0</v>
      </c>
      <c r="R82" s="77">
        <v>18</v>
      </c>
      <c r="S82" s="91">
        <f t="shared" si="22"/>
        <v>3800</v>
      </c>
      <c r="T82" s="91">
        <f t="shared" si="22"/>
        <v>0</v>
      </c>
      <c r="U82" s="91">
        <f t="shared" si="23"/>
        <v>0</v>
      </c>
      <c r="V82" s="92">
        <f t="shared" si="23"/>
        <v>5400</v>
      </c>
      <c r="W82" s="77">
        <v>40</v>
      </c>
      <c r="X82" s="90">
        <v>0</v>
      </c>
      <c r="Y82" s="77">
        <v>0</v>
      </c>
      <c r="Z82" s="77">
        <v>20</v>
      </c>
      <c r="AA82" s="91">
        <f t="shared" si="24"/>
        <v>4000</v>
      </c>
      <c r="AB82" s="91">
        <f t="shared" si="24"/>
        <v>0</v>
      </c>
      <c r="AC82" s="91">
        <f t="shared" si="25"/>
        <v>0</v>
      </c>
      <c r="AD82" s="92">
        <f t="shared" si="25"/>
        <v>6000</v>
      </c>
      <c r="AE82" s="77">
        <v>40</v>
      </c>
      <c r="AF82" s="90">
        <v>0</v>
      </c>
      <c r="AG82" s="77">
        <v>0</v>
      </c>
      <c r="AH82" s="77">
        <v>16</v>
      </c>
      <c r="AI82" s="91">
        <f t="shared" si="26"/>
        <v>4000</v>
      </c>
      <c r="AJ82" s="91">
        <f t="shared" si="26"/>
        <v>0</v>
      </c>
      <c r="AK82" s="91">
        <f t="shared" si="27"/>
        <v>0</v>
      </c>
      <c r="AL82" s="92">
        <f t="shared" si="27"/>
        <v>4800</v>
      </c>
      <c r="AM82" s="77">
        <v>40</v>
      </c>
      <c r="AN82" s="90">
        <v>0</v>
      </c>
      <c r="AO82" s="77">
        <v>0</v>
      </c>
      <c r="AP82" s="77">
        <v>20</v>
      </c>
      <c r="AQ82" s="91">
        <f t="shared" si="18"/>
        <v>4000</v>
      </c>
      <c r="AR82" s="91">
        <f t="shared" si="18"/>
        <v>0</v>
      </c>
      <c r="AS82" s="91">
        <f t="shared" si="19"/>
        <v>0</v>
      </c>
      <c r="AT82" s="92">
        <f t="shared" si="19"/>
        <v>6000</v>
      </c>
      <c r="AU82" s="12">
        <v>32</v>
      </c>
      <c r="AV82" s="6">
        <v>0</v>
      </c>
      <c r="AW82" s="12">
        <v>0</v>
      </c>
      <c r="AX82" s="12">
        <v>20</v>
      </c>
      <c r="AY82" s="17">
        <f t="shared" si="28"/>
        <v>3200</v>
      </c>
      <c r="AZ82" s="17">
        <f t="shared" si="28"/>
        <v>0</v>
      </c>
      <c r="BA82" s="17">
        <f t="shared" si="29"/>
        <v>0</v>
      </c>
      <c r="BB82" s="25">
        <f t="shared" si="29"/>
        <v>6000</v>
      </c>
      <c r="BC82" s="12">
        <v>38</v>
      </c>
      <c r="BD82" s="6">
        <v>0</v>
      </c>
      <c r="BE82" s="12">
        <v>0</v>
      </c>
      <c r="BF82" s="12">
        <v>18</v>
      </c>
      <c r="BG82" s="17">
        <f t="shared" si="30"/>
        <v>3800</v>
      </c>
      <c r="BH82" s="17">
        <f t="shared" si="30"/>
        <v>0</v>
      </c>
      <c r="BI82" s="17">
        <f t="shared" si="31"/>
        <v>0</v>
      </c>
      <c r="BJ82" s="25">
        <f t="shared" si="31"/>
        <v>5400</v>
      </c>
      <c r="BK82" s="12">
        <v>35</v>
      </c>
      <c r="BL82" s="6">
        <v>0</v>
      </c>
      <c r="BM82" s="12">
        <v>0</v>
      </c>
      <c r="BN82" s="12">
        <v>18</v>
      </c>
      <c r="BO82" s="17">
        <f t="shared" si="32"/>
        <v>3500</v>
      </c>
      <c r="BP82" s="17">
        <f t="shared" si="32"/>
        <v>0</v>
      </c>
      <c r="BQ82" s="17">
        <f t="shared" si="33"/>
        <v>0</v>
      </c>
      <c r="BR82" s="25">
        <f t="shared" si="33"/>
        <v>5400</v>
      </c>
      <c r="BS82" s="12">
        <v>38</v>
      </c>
      <c r="BT82" s="6">
        <v>0</v>
      </c>
      <c r="BU82" s="12">
        <v>0</v>
      </c>
      <c r="BV82" s="12">
        <v>18</v>
      </c>
      <c r="BW82" s="17">
        <f t="shared" si="34"/>
        <v>3800</v>
      </c>
      <c r="BX82" s="17">
        <f t="shared" si="34"/>
        <v>0</v>
      </c>
      <c r="BY82" s="17">
        <f t="shared" si="35"/>
        <v>0</v>
      </c>
      <c r="BZ82" s="25">
        <f t="shared" si="35"/>
        <v>5400</v>
      </c>
      <c r="CA82" s="81"/>
      <c r="CB82" s="75"/>
      <c r="CC82" s="81"/>
      <c r="CD82" s="81"/>
      <c r="CE82" s="93"/>
      <c r="CF82" s="93"/>
      <c r="CG82" s="93"/>
      <c r="CH82" s="94"/>
      <c r="CI82" s="81"/>
      <c r="CJ82" s="75"/>
      <c r="CK82" s="81"/>
      <c r="CL82" s="81"/>
      <c r="CM82" s="93"/>
      <c r="CN82" s="93"/>
      <c r="CO82" s="93"/>
      <c r="CP82" s="94"/>
      <c r="CQ82" s="81"/>
      <c r="CR82" s="75"/>
      <c r="CS82" s="81"/>
      <c r="CT82" s="81"/>
      <c r="CU82" s="93"/>
      <c r="CV82" s="93"/>
      <c r="CW82" s="93"/>
      <c r="CX82" s="94"/>
      <c r="CY82" s="81"/>
      <c r="CZ82" s="75"/>
      <c r="DA82" s="81"/>
      <c r="DB82" s="81"/>
      <c r="DC82" s="93"/>
      <c r="DD82" s="93"/>
      <c r="DE82" s="93"/>
      <c r="DF82" s="94"/>
      <c r="DG82" s="81"/>
      <c r="DH82" s="75"/>
      <c r="DI82" s="81"/>
      <c r="DJ82" s="81"/>
      <c r="DK82" s="93"/>
      <c r="DL82" s="93"/>
      <c r="DM82" s="93"/>
      <c r="DN82" s="94"/>
      <c r="DO82" s="95"/>
      <c r="DP82" s="96"/>
      <c r="DQ82" s="95"/>
      <c r="DR82" s="97"/>
      <c r="DS82" s="98"/>
      <c r="DT82" s="99"/>
      <c r="DU82" s="99"/>
      <c r="DV82" s="100"/>
      <c r="DW82" s="95"/>
      <c r="DX82" s="96"/>
      <c r="DY82" s="95"/>
      <c r="DZ82" s="97"/>
      <c r="EA82" s="98"/>
      <c r="EB82" s="99"/>
      <c r="EC82" s="99"/>
      <c r="ED82" s="100"/>
      <c r="EE82" s="95"/>
      <c r="EF82" s="96"/>
      <c r="EG82" s="95"/>
      <c r="EH82" s="97"/>
      <c r="EI82" s="98"/>
      <c r="EJ82" s="99"/>
      <c r="EK82" s="99"/>
      <c r="EL82" s="100"/>
    </row>
    <row r="83" spans="1:142">
      <c r="A83" s="75">
        <v>80</v>
      </c>
      <c r="B83" s="75" t="s">
        <v>106</v>
      </c>
      <c r="F83" s="76"/>
      <c r="G83" s="77">
        <v>36</v>
      </c>
      <c r="H83" s="90">
        <v>0</v>
      </c>
      <c r="I83" s="77">
        <v>0</v>
      </c>
      <c r="J83" s="77">
        <v>15</v>
      </c>
      <c r="K83" s="91">
        <f t="shared" si="20"/>
        <v>3600</v>
      </c>
      <c r="L83" s="91">
        <f t="shared" si="20"/>
        <v>0</v>
      </c>
      <c r="M83" s="91">
        <f t="shared" si="21"/>
        <v>0</v>
      </c>
      <c r="N83" s="92">
        <f t="shared" si="21"/>
        <v>4500</v>
      </c>
      <c r="O83" s="77">
        <v>40</v>
      </c>
      <c r="P83" s="90">
        <v>0</v>
      </c>
      <c r="Q83" s="77">
        <v>0</v>
      </c>
      <c r="R83" s="77">
        <v>12</v>
      </c>
      <c r="S83" s="91">
        <f t="shared" si="22"/>
        <v>4000</v>
      </c>
      <c r="T83" s="91">
        <f t="shared" si="22"/>
        <v>0</v>
      </c>
      <c r="U83" s="91">
        <f t="shared" si="23"/>
        <v>0</v>
      </c>
      <c r="V83" s="92">
        <f t="shared" si="23"/>
        <v>3600</v>
      </c>
      <c r="W83" s="77">
        <v>42</v>
      </c>
      <c r="X83" s="90">
        <v>0</v>
      </c>
      <c r="Y83" s="77">
        <v>0</v>
      </c>
      <c r="Z83" s="77">
        <v>10</v>
      </c>
      <c r="AA83" s="91">
        <f t="shared" si="24"/>
        <v>4200</v>
      </c>
      <c r="AB83" s="91">
        <f t="shared" si="24"/>
        <v>0</v>
      </c>
      <c r="AC83" s="91">
        <f t="shared" si="25"/>
        <v>0</v>
      </c>
      <c r="AD83" s="92">
        <f t="shared" si="25"/>
        <v>3000</v>
      </c>
      <c r="AE83" s="77">
        <v>42</v>
      </c>
      <c r="AF83" s="90">
        <v>0</v>
      </c>
      <c r="AG83" s="77">
        <v>0</v>
      </c>
      <c r="AH83" s="77">
        <v>10</v>
      </c>
      <c r="AI83" s="91">
        <f t="shared" si="26"/>
        <v>4200</v>
      </c>
      <c r="AJ83" s="91">
        <f t="shared" si="26"/>
        <v>0</v>
      </c>
      <c r="AK83" s="91">
        <f t="shared" si="27"/>
        <v>0</v>
      </c>
      <c r="AL83" s="92">
        <f t="shared" si="27"/>
        <v>3000</v>
      </c>
      <c r="AM83" s="77">
        <v>60</v>
      </c>
      <c r="AN83" s="90">
        <v>0</v>
      </c>
      <c r="AO83" s="77">
        <v>0</v>
      </c>
      <c r="AP83" s="77">
        <v>10</v>
      </c>
      <c r="AQ83" s="91">
        <f t="shared" si="18"/>
        <v>6000</v>
      </c>
      <c r="AR83" s="91">
        <f t="shared" si="18"/>
        <v>0</v>
      </c>
      <c r="AS83" s="91">
        <f t="shared" si="19"/>
        <v>0</v>
      </c>
      <c r="AT83" s="92">
        <f t="shared" si="19"/>
        <v>3000</v>
      </c>
      <c r="AU83" s="12">
        <v>65</v>
      </c>
      <c r="AV83" s="6">
        <v>0</v>
      </c>
      <c r="AW83" s="12">
        <v>0</v>
      </c>
      <c r="AX83" s="12">
        <v>8</v>
      </c>
      <c r="AY83" s="17">
        <f t="shared" si="28"/>
        <v>6500</v>
      </c>
      <c r="AZ83" s="17">
        <f t="shared" si="28"/>
        <v>0</v>
      </c>
      <c r="BA83" s="17">
        <f t="shared" si="29"/>
        <v>0</v>
      </c>
      <c r="BB83" s="25">
        <f t="shared" si="29"/>
        <v>2400</v>
      </c>
      <c r="BC83" s="12">
        <v>65</v>
      </c>
      <c r="BD83" s="6">
        <v>0</v>
      </c>
      <c r="BE83" s="12">
        <v>0</v>
      </c>
      <c r="BF83" s="12">
        <v>8</v>
      </c>
      <c r="BG83" s="17">
        <f t="shared" si="30"/>
        <v>6500</v>
      </c>
      <c r="BH83" s="17">
        <f t="shared" si="30"/>
        <v>0</v>
      </c>
      <c r="BI83" s="17">
        <f t="shared" si="31"/>
        <v>0</v>
      </c>
      <c r="BJ83" s="25">
        <f t="shared" si="31"/>
        <v>2400</v>
      </c>
      <c r="BK83" s="12">
        <v>65</v>
      </c>
      <c r="BL83" s="6">
        <v>0</v>
      </c>
      <c r="BM83" s="12">
        <v>0</v>
      </c>
      <c r="BN83" s="12">
        <v>10</v>
      </c>
      <c r="BO83" s="17">
        <f t="shared" si="32"/>
        <v>6500</v>
      </c>
      <c r="BP83" s="17">
        <f t="shared" si="32"/>
        <v>0</v>
      </c>
      <c r="BQ83" s="17">
        <f t="shared" si="33"/>
        <v>0</v>
      </c>
      <c r="BR83" s="25">
        <f t="shared" si="33"/>
        <v>3000</v>
      </c>
      <c r="BS83" s="12">
        <v>65</v>
      </c>
      <c r="BT83" s="6">
        <v>0</v>
      </c>
      <c r="BU83" s="12">
        <v>0</v>
      </c>
      <c r="BV83" s="12">
        <v>10</v>
      </c>
      <c r="BW83" s="17">
        <f t="shared" si="34"/>
        <v>6500</v>
      </c>
      <c r="BX83" s="17">
        <f t="shared" si="34"/>
        <v>0</v>
      </c>
      <c r="BY83" s="17">
        <f t="shared" si="35"/>
        <v>0</v>
      </c>
      <c r="BZ83" s="25">
        <f t="shared" si="35"/>
        <v>3000</v>
      </c>
      <c r="CA83" s="81"/>
      <c r="CB83" s="75"/>
      <c r="CC83" s="81"/>
      <c r="CD83" s="81"/>
      <c r="CE83" s="93"/>
      <c r="CF83" s="93"/>
      <c r="CG83" s="93"/>
      <c r="CH83" s="94"/>
      <c r="CI83" s="81"/>
      <c r="CJ83" s="75"/>
      <c r="CK83" s="81"/>
      <c r="CL83" s="81"/>
      <c r="CM83" s="93"/>
      <c r="CN83" s="93"/>
      <c r="CO83" s="93"/>
      <c r="CP83" s="94"/>
      <c r="CQ83" s="81"/>
      <c r="CR83" s="75"/>
      <c r="CS83" s="81"/>
      <c r="CT83" s="81"/>
      <c r="CU83" s="93"/>
      <c r="CV83" s="93"/>
      <c r="CW83" s="93"/>
      <c r="CX83" s="94"/>
      <c r="CY83" s="81"/>
      <c r="CZ83" s="75"/>
      <c r="DA83" s="81"/>
      <c r="DB83" s="81"/>
      <c r="DC83" s="93"/>
      <c r="DD83" s="93"/>
      <c r="DE83" s="93"/>
      <c r="DF83" s="94"/>
      <c r="DG83" s="81"/>
      <c r="DH83" s="75"/>
      <c r="DI83" s="81"/>
      <c r="DJ83" s="81"/>
      <c r="DK83" s="93"/>
      <c r="DL83" s="93"/>
      <c r="DM83" s="93"/>
      <c r="DN83" s="94"/>
      <c r="DO83" s="95"/>
      <c r="DP83" s="96"/>
      <c r="DQ83" s="95"/>
      <c r="DR83" s="97"/>
      <c r="DS83" s="98"/>
      <c r="DT83" s="99"/>
      <c r="DU83" s="99"/>
      <c r="DV83" s="100"/>
      <c r="DW83" s="95"/>
      <c r="DX83" s="96"/>
      <c r="DY83" s="95"/>
      <c r="DZ83" s="97"/>
      <c r="EA83" s="98"/>
      <c r="EB83" s="99"/>
      <c r="EC83" s="99"/>
      <c r="ED83" s="100"/>
      <c r="EE83" s="95"/>
      <c r="EF83" s="96"/>
      <c r="EG83" s="95"/>
      <c r="EH83" s="97"/>
      <c r="EI83" s="98"/>
      <c r="EJ83" s="99"/>
      <c r="EK83" s="99"/>
      <c r="EL83" s="100"/>
    </row>
    <row r="84" spans="1:142">
      <c r="A84" s="75">
        <v>81</v>
      </c>
      <c r="B84" s="75" t="s">
        <v>107</v>
      </c>
      <c r="F84" s="76"/>
      <c r="G84" s="77">
        <v>36</v>
      </c>
      <c r="H84" s="90">
        <v>0</v>
      </c>
      <c r="I84" s="77">
        <v>0</v>
      </c>
      <c r="J84" s="77">
        <v>0</v>
      </c>
      <c r="K84" s="91">
        <f t="shared" si="20"/>
        <v>3600</v>
      </c>
      <c r="L84" s="91">
        <f t="shared" si="20"/>
        <v>0</v>
      </c>
      <c r="M84" s="91">
        <f t="shared" si="21"/>
        <v>0</v>
      </c>
      <c r="N84" s="92">
        <f t="shared" si="21"/>
        <v>0</v>
      </c>
      <c r="O84" s="77">
        <v>34</v>
      </c>
      <c r="P84" s="90">
        <v>0</v>
      </c>
      <c r="Q84" s="77">
        <v>0</v>
      </c>
      <c r="R84" s="77">
        <v>0</v>
      </c>
      <c r="S84" s="91">
        <f t="shared" si="22"/>
        <v>3400</v>
      </c>
      <c r="T84" s="91">
        <f t="shared" si="22"/>
        <v>0</v>
      </c>
      <c r="U84" s="91">
        <f t="shared" si="23"/>
        <v>0</v>
      </c>
      <c r="V84" s="92">
        <f t="shared" si="23"/>
        <v>0</v>
      </c>
      <c r="W84" s="77">
        <v>32</v>
      </c>
      <c r="X84" s="90">
        <v>0</v>
      </c>
      <c r="Y84" s="77">
        <v>0</v>
      </c>
      <c r="Z84" s="77">
        <v>0</v>
      </c>
      <c r="AA84" s="91">
        <f t="shared" si="24"/>
        <v>3200</v>
      </c>
      <c r="AB84" s="91">
        <f t="shared" si="24"/>
        <v>0</v>
      </c>
      <c r="AC84" s="91">
        <f t="shared" si="25"/>
        <v>0</v>
      </c>
      <c r="AD84" s="92">
        <f t="shared" si="25"/>
        <v>0</v>
      </c>
      <c r="AE84" s="77">
        <v>45</v>
      </c>
      <c r="AF84" s="90">
        <v>0</v>
      </c>
      <c r="AG84" s="77">
        <v>0</v>
      </c>
      <c r="AH84" s="77">
        <v>0</v>
      </c>
      <c r="AI84" s="91">
        <f t="shared" si="26"/>
        <v>4500</v>
      </c>
      <c r="AJ84" s="91">
        <f t="shared" si="26"/>
        <v>0</v>
      </c>
      <c r="AK84" s="91">
        <f t="shared" si="27"/>
        <v>0</v>
      </c>
      <c r="AL84" s="92">
        <f t="shared" si="27"/>
        <v>0</v>
      </c>
      <c r="AM84" s="77">
        <v>55</v>
      </c>
      <c r="AN84" s="90">
        <v>0</v>
      </c>
      <c r="AO84" s="77">
        <v>0</v>
      </c>
      <c r="AP84" s="77">
        <v>16</v>
      </c>
      <c r="AQ84" s="91">
        <f t="shared" si="18"/>
        <v>5500</v>
      </c>
      <c r="AR84" s="91">
        <f t="shared" si="18"/>
        <v>0</v>
      </c>
      <c r="AS84" s="91">
        <f t="shared" si="19"/>
        <v>0</v>
      </c>
      <c r="AT84" s="92">
        <f t="shared" si="19"/>
        <v>4800</v>
      </c>
      <c r="AU84" s="12">
        <v>50</v>
      </c>
      <c r="AV84" s="6">
        <v>0</v>
      </c>
      <c r="AW84" s="12">
        <v>0</v>
      </c>
      <c r="AX84" s="12">
        <v>10</v>
      </c>
      <c r="AY84" s="17">
        <f t="shared" si="28"/>
        <v>5000</v>
      </c>
      <c r="AZ84" s="17">
        <f t="shared" si="28"/>
        <v>0</v>
      </c>
      <c r="BA84" s="17">
        <f t="shared" si="29"/>
        <v>0</v>
      </c>
      <c r="BB84" s="25">
        <f t="shared" si="29"/>
        <v>3000</v>
      </c>
      <c r="BC84" s="12">
        <v>50</v>
      </c>
      <c r="BD84" s="6">
        <v>0</v>
      </c>
      <c r="BE84" s="12">
        <v>0</v>
      </c>
      <c r="BF84" s="12">
        <v>10</v>
      </c>
      <c r="BG84" s="17">
        <f t="shared" si="30"/>
        <v>5000</v>
      </c>
      <c r="BH84" s="17">
        <f t="shared" si="30"/>
        <v>0</v>
      </c>
      <c r="BI84" s="17">
        <f t="shared" si="31"/>
        <v>0</v>
      </c>
      <c r="BJ84" s="25">
        <f t="shared" si="31"/>
        <v>3000</v>
      </c>
      <c r="BK84" s="12">
        <v>50</v>
      </c>
      <c r="BL84" s="6">
        <v>0</v>
      </c>
      <c r="BM84" s="12">
        <v>0</v>
      </c>
      <c r="BN84" s="12">
        <v>12</v>
      </c>
      <c r="BO84" s="17">
        <f t="shared" si="32"/>
        <v>5000</v>
      </c>
      <c r="BP84" s="17">
        <f t="shared" si="32"/>
        <v>0</v>
      </c>
      <c r="BQ84" s="17">
        <f t="shared" si="33"/>
        <v>0</v>
      </c>
      <c r="BR84" s="25">
        <f t="shared" si="33"/>
        <v>3600</v>
      </c>
      <c r="BS84" s="12">
        <v>50</v>
      </c>
      <c r="BT84" s="6">
        <v>0</v>
      </c>
      <c r="BU84" s="12">
        <v>0</v>
      </c>
      <c r="BV84" s="12">
        <v>12</v>
      </c>
      <c r="BW84" s="17">
        <f t="shared" si="34"/>
        <v>5000</v>
      </c>
      <c r="BX84" s="17">
        <f t="shared" si="34"/>
        <v>0</v>
      </c>
      <c r="BY84" s="17">
        <f t="shared" si="35"/>
        <v>0</v>
      </c>
      <c r="BZ84" s="25">
        <f t="shared" si="35"/>
        <v>3600</v>
      </c>
      <c r="CA84" s="81"/>
      <c r="CB84" s="75"/>
      <c r="CC84" s="81"/>
      <c r="CD84" s="81"/>
      <c r="CE84" s="93"/>
      <c r="CF84" s="93"/>
      <c r="CG84" s="93"/>
      <c r="CH84" s="94"/>
      <c r="CI84" s="81"/>
      <c r="CJ84" s="75"/>
      <c r="CK84" s="81"/>
      <c r="CL84" s="81"/>
      <c r="CM84" s="93"/>
      <c r="CN84" s="93"/>
      <c r="CO84" s="93"/>
      <c r="CP84" s="94"/>
      <c r="CQ84" s="81"/>
      <c r="CR84" s="75"/>
      <c r="CS84" s="81"/>
      <c r="CT84" s="81"/>
      <c r="CU84" s="93"/>
      <c r="CV84" s="93"/>
      <c r="CW84" s="93"/>
      <c r="CX84" s="94"/>
      <c r="CY84" s="81"/>
      <c r="CZ84" s="75"/>
      <c r="DA84" s="81"/>
      <c r="DB84" s="81"/>
      <c r="DC84" s="93"/>
      <c r="DD84" s="93"/>
      <c r="DE84" s="93"/>
      <c r="DF84" s="94"/>
      <c r="DG84" s="81"/>
      <c r="DH84" s="75"/>
      <c r="DI84" s="81"/>
      <c r="DJ84" s="81"/>
      <c r="DK84" s="93"/>
      <c r="DL84" s="93"/>
      <c r="DM84" s="93"/>
      <c r="DN84" s="94"/>
      <c r="DO84" s="95"/>
      <c r="DP84" s="96"/>
      <c r="DQ84" s="95"/>
      <c r="DR84" s="97"/>
      <c r="DS84" s="98"/>
      <c r="DT84" s="99"/>
      <c r="DU84" s="99"/>
      <c r="DV84" s="100"/>
      <c r="DW84" s="95"/>
      <c r="DX84" s="96"/>
      <c r="DY84" s="95"/>
      <c r="DZ84" s="97"/>
      <c r="EA84" s="98"/>
      <c r="EB84" s="99"/>
      <c r="EC84" s="99"/>
      <c r="ED84" s="100"/>
      <c r="EE84" s="95"/>
      <c r="EF84" s="96"/>
      <c r="EG84" s="95"/>
      <c r="EH84" s="97"/>
      <c r="EI84" s="98"/>
      <c r="EJ84" s="99"/>
      <c r="EK84" s="99"/>
      <c r="EL84" s="100"/>
    </row>
    <row r="85" spans="1:142">
      <c r="A85" s="75">
        <v>82</v>
      </c>
      <c r="B85" s="75" t="s">
        <v>108</v>
      </c>
      <c r="F85" s="76"/>
      <c r="G85" s="77">
        <v>38</v>
      </c>
      <c r="H85" s="90">
        <v>0</v>
      </c>
      <c r="I85" s="77">
        <v>0</v>
      </c>
      <c r="J85" s="77">
        <v>10</v>
      </c>
      <c r="K85" s="91">
        <f t="shared" si="20"/>
        <v>3800</v>
      </c>
      <c r="L85" s="91">
        <f t="shared" si="20"/>
        <v>0</v>
      </c>
      <c r="M85" s="91">
        <f t="shared" si="21"/>
        <v>0</v>
      </c>
      <c r="N85" s="92">
        <f t="shared" si="21"/>
        <v>3000</v>
      </c>
      <c r="O85" s="77">
        <v>40</v>
      </c>
      <c r="P85" s="90">
        <v>0</v>
      </c>
      <c r="Q85" s="77">
        <v>0</v>
      </c>
      <c r="R85" s="77">
        <v>8</v>
      </c>
      <c r="S85" s="91">
        <f t="shared" si="22"/>
        <v>4000</v>
      </c>
      <c r="T85" s="91">
        <f t="shared" si="22"/>
        <v>0</v>
      </c>
      <c r="U85" s="91">
        <f t="shared" si="23"/>
        <v>0</v>
      </c>
      <c r="V85" s="92">
        <f t="shared" si="23"/>
        <v>2400</v>
      </c>
      <c r="W85" s="77">
        <v>43</v>
      </c>
      <c r="X85" s="90">
        <v>0</v>
      </c>
      <c r="Y85" s="77">
        <v>0</v>
      </c>
      <c r="Z85" s="77">
        <v>18</v>
      </c>
      <c r="AA85" s="91">
        <f t="shared" si="24"/>
        <v>4300</v>
      </c>
      <c r="AB85" s="91">
        <v>0</v>
      </c>
      <c r="AC85" s="91">
        <f t="shared" si="25"/>
        <v>0</v>
      </c>
      <c r="AD85" s="92">
        <f t="shared" si="25"/>
        <v>5400</v>
      </c>
      <c r="AE85" s="77">
        <v>43</v>
      </c>
      <c r="AF85" s="90">
        <v>0</v>
      </c>
      <c r="AG85" s="77">
        <v>0</v>
      </c>
      <c r="AH85" s="77">
        <v>16</v>
      </c>
      <c r="AI85" s="91">
        <f t="shared" si="26"/>
        <v>4300</v>
      </c>
      <c r="AJ85" s="91">
        <v>0</v>
      </c>
      <c r="AK85" s="91">
        <f t="shared" si="27"/>
        <v>0</v>
      </c>
      <c r="AL85" s="92">
        <f t="shared" si="27"/>
        <v>4800</v>
      </c>
      <c r="AM85" s="77">
        <v>50</v>
      </c>
      <c r="AN85" s="90">
        <v>0</v>
      </c>
      <c r="AO85" s="77">
        <v>0</v>
      </c>
      <c r="AP85" s="77">
        <v>12</v>
      </c>
      <c r="AQ85" s="91">
        <f t="shared" ref="AQ85:AR104" si="36">AM85*100</f>
        <v>5000</v>
      </c>
      <c r="AR85" s="91">
        <f t="shared" si="36"/>
        <v>0</v>
      </c>
      <c r="AS85" s="91">
        <f t="shared" ref="AS85:AT104" si="37">AO85*300</f>
        <v>0</v>
      </c>
      <c r="AT85" s="92">
        <f t="shared" si="37"/>
        <v>3600</v>
      </c>
      <c r="AU85" s="12">
        <v>52</v>
      </c>
      <c r="AV85" s="6">
        <v>0</v>
      </c>
      <c r="AW85" s="12">
        <v>0</v>
      </c>
      <c r="AX85" s="12">
        <v>13</v>
      </c>
      <c r="AY85" s="17">
        <f t="shared" si="28"/>
        <v>5200</v>
      </c>
      <c r="AZ85" s="17">
        <f t="shared" si="28"/>
        <v>0</v>
      </c>
      <c r="BA85" s="17">
        <f t="shared" si="29"/>
        <v>0</v>
      </c>
      <c r="BB85" s="25">
        <f t="shared" si="29"/>
        <v>3900</v>
      </c>
      <c r="BC85" s="12">
        <v>52</v>
      </c>
      <c r="BD85" s="6">
        <v>0</v>
      </c>
      <c r="BE85" s="12">
        <v>0</v>
      </c>
      <c r="BF85" s="12">
        <v>13</v>
      </c>
      <c r="BG85" s="17">
        <f t="shared" si="30"/>
        <v>5200</v>
      </c>
      <c r="BH85" s="17">
        <f t="shared" si="30"/>
        <v>0</v>
      </c>
      <c r="BI85" s="17">
        <f t="shared" si="31"/>
        <v>0</v>
      </c>
      <c r="BJ85" s="25">
        <f t="shared" si="31"/>
        <v>3900</v>
      </c>
      <c r="BK85" s="12">
        <v>52</v>
      </c>
      <c r="BL85" s="6">
        <v>0</v>
      </c>
      <c r="BM85" s="12">
        <v>0</v>
      </c>
      <c r="BN85" s="12">
        <v>13</v>
      </c>
      <c r="BO85" s="17">
        <f t="shared" si="32"/>
        <v>5200</v>
      </c>
      <c r="BP85" s="17">
        <f t="shared" si="32"/>
        <v>0</v>
      </c>
      <c r="BQ85" s="17">
        <f t="shared" si="33"/>
        <v>0</v>
      </c>
      <c r="BR85" s="25">
        <f t="shared" si="33"/>
        <v>3900</v>
      </c>
      <c r="BS85" s="12">
        <v>52</v>
      </c>
      <c r="BT85" s="6">
        <v>0</v>
      </c>
      <c r="BU85" s="12">
        <v>0</v>
      </c>
      <c r="BV85" s="12">
        <v>13</v>
      </c>
      <c r="BW85" s="17">
        <f t="shared" si="34"/>
        <v>5200</v>
      </c>
      <c r="BX85" s="17">
        <f t="shared" si="34"/>
        <v>0</v>
      </c>
      <c r="BY85" s="17">
        <f t="shared" si="35"/>
        <v>0</v>
      </c>
      <c r="BZ85" s="25">
        <f t="shared" si="35"/>
        <v>3900</v>
      </c>
      <c r="CA85" s="81"/>
      <c r="CB85" s="75"/>
      <c r="CC85" s="81"/>
      <c r="CD85" s="81"/>
      <c r="CE85" s="93"/>
      <c r="CF85" s="93"/>
      <c r="CG85" s="93"/>
      <c r="CH85" s="94"/>
      <c r="CI85" s="81"/>
      <c r="CJ85" s="75"/>
      <c r="CK85" s="81"/>
      <c r="CL85" s="81"/>
      <c r="CM85" s="93"/>
      <c r="CN85" s="93"/>
      <c r="CO85" s="93"/>
      <c r="CP85" s="94"/>
      <c r="CQ85" s="81"/>
      <c r="CR85" s="75"/>
      <c r="CS85" s="81"/>
      <c r="CT85" s="81"/>
      <c r="CU85" s="93"/>
      <c r="CV85" s="93"/>
      <c r="CW85" s="93"/>
      <c r="CX85" s="94"/>
      <c r="CY85" s="81"/>
      <c r="CZ85" s="75"/>
      <c r="DA85" s="81"/>
      <c r="DB85" s="81"/>
      <c r="DC85" s="93"/>
      <c r="DD85" s="93"/>
      <c r="DE85" s="93"/>
      <c r="DF85" s="94"/>
      <c r="DG85" s="81"/>
      <c r="DH85" s="75"/>
      <c r="DI85" s="81"/>
      <c r="DJ85" s="81"/>
      <c r="DK85" s="93"/>
      <c r="DL85" s="93"/>
      <c r="DM85" s="93"/>
      <c r="DN85" s="94"/>
      <c r="DO85" s="95"/>
      <c r="DP85" s="96"/>
      <c r="DQ85" s="95"/>
      <c r="DR85" s="97"/>
      <c r="DS85" s="98"/>
      <c r="DT85" s="99"/>
      <c r="DU85" s="99"/>
      <c r="DV85" s="100"/>
      <c r="DW85" s="95"/>
      <c r="DX85" s="96"/>
      <c r="DY85" s="95"/>
      <c r="DZ85" s="97"/>
      <c r="EA85" s="98"/>
      <c r="EB85" s="99"/>
      <c r="EC85" s="99"/>
      <c r="ED85" s="100"/>
      <c r="EE85" s="95"/>
      <c r="EF85" s="96"/>
      <c r="EG85" s="95"/>
      <c r="EH85" s="97"/>
      <c r="EI85" s="98"/>
      <c r="EJ85" s="99"/>
      <c r="EK85" s="99"/>
      <c r="EL85" s="100"/>
    </row>
    <row r="86" spans="1:142">
      <c r="A86" s="75">
        <v>83</v>
      </c>
      <c r="B86" s="75" t="s">
        <v>109</v>
      </c>
      <c r="F86" s="76"/>
      <c r="G86" s="77">
        <v>30</v>
      </c>
      <c r="H86" s="90">
        <v>0</v>
      </c>
      <c r="I86" s="77">
        <v>0</v>
      </c>
      <c r="J86" s="77">
        <v>8</v>
      </c>
      <c r="K86" s="91">
        <f t="shared" si="20"/>
        <v>3000</v>
      </c>
      <c r="L86" s="91">
        <f t="shared" si="20"/>
        <v>0</v>
      </c>
      <c r="M86" s="91">
        <f t="shared" si="21"/>
        <v>0</v>
      </c>
      <c r="N86" s="92">
        <f t="shared" si="21"/>
        <v>2400</v>
      </c>
      <c r="O86" s="77">
        <v>32</v>
      </c>
      <c r="P86" s="90">
        <v>0</v>
      </c>
      <c r="Q86" s="77">
        <v>0</v>
      </c>
      <c r="R86" s="77">
        <v>10</v>
      </c>
      <c r="S86" s="91">
        <f t="shared" si="22"/>
        <v>3200</v>
      </c>
      <c r="T86" s="91">
        <f t="shared" si="22"/>
        <v>0</v>
      </c>
      <c r="U86" s="91">
        <f t="shared" si="23"/>
        <v>0</v>
      </c>
      <c r="V86" s="92">
        <f t="shared" si="23"/>
        <v>3000</v>
      </c>
      <c r="W86" s="77">
        <v>36</v>
      </c>
      <c r="X86" s="90">
        <v>0</v>
      </c>
      <c r="Y86" s="77">
        <v>0</v>
      </c>
      <c r="Z86" s="77">
        <v>6</v>
      </c>
      <c r="AA86" s="91">
        <f t="shared" si="24"/>
        <v>3600</v>
      </c>
      <c r="AB86" s="91">
        <f t="shared" si="24"/>
        <v>0</v>
      </c>
      <c r="AC86" s="91">
        <f t="shared" si="25"/>
        <v>0</v>
      </c>
      <c r="AD86" s="92">
        <f t="shared" si="25"/>
        <v>1800</v>
      </c>
      <c r="AE86" s="77">
        <v>40</v>
      </c>
      <c r="AF86" s="90">
        <v>0</v>
      </c>
      <c r="AG86" s="77">
        <v>0</v>
      </c>
      <c r="AH86" s="77">
        <v>0</v>
      </c>
      <c r="AI86" s="91">
        <f t="shared" si="26"/>
        <v>4000</v>
      </c>
      <c r="AJ86" s="91">
        <f t="shared" si="26"/>
        <v>0</v>
      </c>
      <c r="AK86" s="91">
        <f t="shared" si="27"/>
        <v>0</v>
      </c>
      <c r="AL86" s="92">
        <f t="shared" si="27"/>
        <v>0</v>
      </c>
      <c r="AM86" s="77">
        <v>45</v>
      </c>
      <c r="AN86" s="90">
        <v>0</v>
      </c>
      <c r="AO86" s="77">
        <v>0</v>
      </c>
      <c r="AP86" s="77">
        <v>14</v>
      </c>
      <c r="AQ86" s="91">
        <f t="shared" si="36"/>
        <v>4500</v>
      </c>
      <c r="AR86" s="91">
        <f t="shared" si="36"/>
        <v>0</v>
      </c>
      <c r="AS86" s="91">
        <f t="shared" si="37"/>
        <v>0</v>
      </c>
      <c r="AT86" s="92">
        <f t="shared" si="37"/>
        <v>4200</v>
      </c>
      <c r="AU86" s="12">
        <v>45</v>
      </c>
      <c r="AV86" s="6">
        <v>0</v>
      </c>
      <c r="AW86" s="12">
        <v>0</v>
      </c>
      <c r="AX86" s="12">
        <v>20</v>
      </c>
      <c r="AY86" s="17">
        <f t="shared" si="28"/>
        <v>4500</v>
      </c>
      <c r="AZ86" s="17">
        <f t="shared" si="28"/>
        <v>0</v>
      </c>
      <c r="BA86" s="17">
        <f t="shared" si="29"/>
        <v>0</v>
      </c>
      <c r="BB86" s="25">
        <f t="shared" si="29"/>
        <v>6000</v>
      </c>
      <c r="BC86" s="12">
        <v>45</v>
      </c>
      <c r="BD86" s="6">
        <v>0</v>
      </c>
      <c r="BE86" s="12">
        <v>0</v>
      </c>
      <c r="BF86" s="12">
        <v>20</v>
      </c>
      <c r="BG86" s="17">
        <f t="shared" si="30"/>
        <v>4500</v>
      </c>
      <c r="BH86" s="17">
        <f t="shared" si="30"/>
        <v>0</v>
      </c>
      <c r="BI86" s="17">
        <f t="shared" si="31"/>
        <v>0</v>
      </c>
      <c r="BJ86" s="25">
        <f t="shared" si="31"/>
        <v>6000</v>
      </c>
      <c r="BK86" s="12">
        <v>45</v>
      </c>
      <c r="BL86" s="6">
        <v>0</v>
      </c>
      <c r="BM86" s="12">
        <v>0</v>
      </c>
      <c r="BN86" s="12">
        <v>20</v>
      </c>
      <c r="BO86" s="17">
        <f t="shared" si="32"/>
        <v>4500</v>
      </c>
      <c r="BP86" s="17">
        <f t="shared" si="32"/>
        <v>0</v>
      </c>
      <c r="BQ86" s="17">
        <f t="shared" si="33"/>
        <v>0</v>
      </c>
      <c r="BR86" s="25">
        <f t="shared" si="33"/>
        <v>6000</v>
      </c>
      <c r="BS86" s="12">
        <v>45</v>
      </c>
      <c r="BT86" s="6">
        <v>0</v>
      </c>
      <c r="BU86" s="12">
        <v>0</v>
      </c>
      <c r="BV86" s="12">
        <v>20</v>
      </c>
      <c r="BW86" s="17">
        <f t="shared" si="34"/>
        <v>4500</v>
      </c>
      <c r="BX86" s="17">
        <f t="shared" si="34"/>
        <v>0</v>
      </c>
      <c r="BY86" s="17">
        <f t="shared" si="35"/>
        <v>0</v>
      </c>
      <c r="BZ86" s="25">
        <f t="shared" si="35"/>
        <v>6000</v>
      </c>
      <c r="CA86" s="81"/>
      <c r="CB86" s="75"/>
      <c r="CC86" s="81"/>
      <c r="CD86" s="81"/>
      <c r="CE86" s="93"/>
      <c r="CF86" s="93"/>
      <c r="CG86" s="93"/>
      <c r="CH86" s="94"/>
      <c r="CI86" s="81"/>
      <c r="CJ86" s="75"/>
      <c r="CK86" s="81"/>
      <c r="CL86" s="81"/>
      <c r="CM86" s="93"/>
      <c r="CN86" s="93"/>
      <c r="CO86" s="93"/>
      <c r="CP86" s="94"/>
      <c r="CQ86" s="81"/>
      <c r="CR86" s="75"/>
      <c r="CS86" s="81"/>
      <c r="CT86" s="81"/>
      <c r="CU86" s="93"/>
      <c r="CV86" s="93"/>
      <c r="CW86" s="93"/>
      <c r="CX86" s="94"/>
      <c r="CY86" s="81"/>
      <c r="CZ86" s="75"/>
      <c r="DA86" s="81"/>
      <c r="DB86" s="81"/>
      <c r="DC86" s="93"/>
      <c r="DD86" s="93"/>
      <c r="DE86" s="93"/>
      <c r="DF86" s="94"/>
      <c r="DG86" s="81"/>
      <c r="DH86" s="75"/>
      <c r="DI86" s="81"/>
      <c r="DJ86" s="81"/>
      <c r="DK86" s="93"/>
      <c r="DL86" s="93"/>
      <c r="DM86" s="93"/>
      <c r="DN86" s="94"/>
      <c r="DO86" s="95"/>
      <c r="DP86" s="96"/>
      <c r="DQ86" s="95"/>
      <c r="DR86" s="97"/>
      <c r="DS86" s="98"/>
      <c r="DT86" s="99"/>
      <c r="DU86" s="99"/>
      <c r="DV86" s="100"/>
      <c r="DW86" s="95"/>
      <c r="DX86" s="96"/>
      <c r="DY86" s="95"/>
      <c r="DZ86" s="97"/>
      <c r="EA86" s="98"/>
      <c r="EB86" s="99"/>
      <c r="EC86" s="99"/>
      <c r="ED86" s="100"/>
      <c r="EE86" s="95"/>
      <c r="EF86" s="96"/>
      <c r="EG86" s="95"/>
      <c r="EH86" s="97"/>
      <c r="EI86" s="98"/>
      <c r="EJ86" s="99"/>
      <c r="EK86" s="99"/>
      <c r="EL86" s="100"/>
    </row>
    <row r="87" spans="1:142">
      <c r="A87" s="75">
        <v>84</v>
      </c>
      <c r="B87" s="75" t="s">
        <v>110</v>
      </c>
      <c r="F87" s="76"/>
      <c r="G87" s="77">
        <v>30</v>
      </c>
      <c r="H87" s="90">
        <v>0</v>
      </c>
      <c r="I87" s="77">
        <v>0</v>
      </c>
      <c r="J87" s="77">
        <v>5</v>
      </c>
      <c r="K87" s="91">
        <f t="shared" si="20"/>
        <v>3000</v>
      </c>
      <c r="L87" s="91">
        <f t="shared" si="20"/>
        <v>0</v>
      </c>
      <c r="M87" s="91">
        <f t="shared" si="21"/>
        <v>0</v>
      </c>
      <c r="N87" s="92">
        <f t="shared" si="21"/>
        <v>1500</v>
      </c>
      <c r="O87" s="77">
        <v>30</v>
      </c>
      <c r="P87" s="90">
        <v>0</v>
      </c>
      <c r="Q87" s="77">
        <v>0</v>
      </c>
      <c r="R87" s="77">
        <v>11</v>
      </c>
      <c r="S87" s="91">
        <f t="shared" si="22"/>
        <v>3000</v>
      </c>
      <c r="T87" s="91">
        <f t="shared" si="22"/>
        <v>0</v>
      </c>
      <c r="U87" s="91">
        <f t="shared" si="23"/>
        <v>0</v>
      </c>
      <c r="V87" s="92">
        <f t="shared" si="23"/>
        <v>3300</v>
      </c>
      <c r="W87" s="77">
        <v>32</v>
      </c>
      <c r="X87" s="90">
        <v>0</v>
      </c>
      <c r="Y87" s="77">
        <v>0</v>
      </c>
      <c r="Z87" s="77">
        <v>11</v>
      </c>
      <c r="AA87" s="91">
        <f t="shared" si="24"/>
        <v>3200</v>
      </c>
      <c r="AB87" s="91">
        <f t="shared" si="24"/>
        <v>0</v>
      </c>
      <c r="AC87" s="91">
        <f t="shared" si="25"/>
        <v>0</v>
      </c>
      <c r="AD87" s="92">
        <f t="shared" si="25"/>
        <v>3300</v>
      </c>
      <c r="AE87" s="77">
        <v>44</v>
      </c>
      <c r="AF87" s="90">
        <v>0</v>
      </c>
      <c r="AG87" s="77">
        <v>0</v>
      </c>
      <c r="AH87" s="77">
        <v>12</v>
      </c>
      <c r="AI87" s="91">
        <f t="shared" si="26"/>
        <v>4400</v>
      </c>
      <c r="AJ87" s="91">
        <f t="shared" si="26"/>
        <v>0</v>
      </c>
      <c r="AK87" s="91">
        <f t="shared" si="27"/>
        <v>0</v>
      </c>
      <c r="AL87" s="92">
        <f t="shared" si="27"/>
        <v>3600</v>
      </c>
      <c r="AM87" s="77">
        <v>50</v>
      </c>
      <c r="AN87" s="90">
        <v>0</v>
      </c>
      <c r="AO87" s="77">
        <v>0</v>
      </c>
      <c r="AP87" s="77">
        <v>16</v>
      </c>
      <c r="AQ87" s="91">
        <f t="shared" si="36"/>
        <v>5000</v>
      </c>
      <c r="AR87" s="91">
        <f t="shared" si="36"/>
        <v>0</v>
      </c>
      <c r="AS87" s="91">
        <f t="shared" si="37"/>
        <v>0</v>
      </c>
      <c r="AT87" s="92">
        <f t="shared" si="37"/>
        <v>4800</v>
      </c>
      <c r="AU87" s="12">
        <v>48</v>
      </c>
      <c r="AV87" s="6">
        <v>0</v>
      </c>
      <c r="AW87" s="12">
        <v>0</v>
      </c>
      <c r="AX87" s="12">
        <v>16</v>
      </c>
      <c r="AY87" s="17">
        <f t="shared" si="28"/>
        <v>4800</v>
      </c>
      <c r="AZ87" s="17">
        <f t="shared" si="28"/>
        <v>0</v>
      </c>
      <c r="BA87" s="17">
        <f t="shared" si="29"/>
        <v>0</v>
      </c>
      <c r="BB87" s="25">
        <f t="shared" si="29"/>
        <v>4800</v>
      </c>
      <c r="BC87" s="12">
        <v>48</v>
      </c>
      <c r="BD87" s="6">
        <v>0</v>
      </c>
      <c r="BE87" s="12">
        <v>0</v>
      </c>
      <c r="BF87" s="12">
        <v>16</v>
      </c>
      <c r="BG87" s="17">
        <f t="shared" si="30"/>
        <v>4800</v>
      </c>
      <c r="BH87" s="17">
        <f t="shared" si="30"/>
        <v>0</v>
      </c>
      <c r="BI87" s="17">
        <f t="shared" si="31"/>
        <v>0</v>
      </c>
      <c r="BJ87" s="25">
        <f t="shared" si="31"/>
        <v>4800</v>
      </c>
      <c r="BK87" s="12">
        <v>48</v>
      </c>
      <c r="BL87" s="6">
        <v>0</v>
      </c>
      <c r="BM87" s="12">
        <v>0</v>
      </c>
      <c r="BN87" s="12">
        <v>16</v>
      </c>
      <c r="BO87" s="17">
        <f t="shared" si="32"/>
        <v>4800</v>
      </c>
      <c r="BP87" s="17">
        <f t="shared" si="32"/>
        <v>0</v>
      </c>
      <c r="BQ87" s="17">
        <f t="shared" si="33"/>
        <v>0</v>
      </c>
      <c r="BR87" s="25">
        <f t="shared" si="33"/>
        <v>4800</v>
      </c>
      <c r="BS87" s="12">
        <v>52</v>
      </c>
      <c r="BT87" s="6">
        <v>0</v>
      </c>
      <c r="BU87" s="12">
        <v>0</v>
      </c>
      <c r="BV87" s="12">
        <v>16</v>
      </c>
      <c r="BW87" s="17">
        <f t="shared" si="34"/>
        <v>5200</v>
      </c>
      <c r="BX87" s="17">
        <f t="shared" si="34"/>
        <v>0</v>
      </c>
      <c r="BY87" s="17">
        <f t="shared" si="35"/>
        <v>0</v>
      </c>
      <c r="BZ87" s="25">
        <f t="shared" si="35"/>
        <v>4800</v>
      </c>
      <c r="CA87" s="81"/>
      <c r="CB87" s="75"/>
      <c r="CC87" s="81"/>
      <c r="CD87" s="81"/>
      <c r="CE87" s="93"/>
      <c r="CF87" s="93"/>
      <c r="CG87" s="93"/>
      <c r="CH87" s="94"/>
      <c r="CI87" s="81"/>
      <c r="CJ87" s="75"/>
      <c r="CK87" s="81"/>
      <c r="CL87" s="81"/>
      <c r="CM87" s="93"/>
      <c r="CN87" s="93"/>
      <c r="CO87" s="93"/>
      <c r="CP87" s="94"/>
      <c r="CQ87" s="81"/>
      <c r="CR87" s="75"/>
      <c r="CS87" s="81"/>
      <c r="CT87" s="81"/>
      <c r="CU87" s="93"/>
      <c r="CV87" s="93"/>
      <c r="CW87" s="93"/>
      <c r="CX87" s="94"/>
      <c r="CY87" s="81"/>
      <c r="CZ87" s="75"/>
      <c r="DA87" s="81"/>
      <c r="DB87" s="81"/>
      <c r="DC87" s="93"/>
      <c r="DD87" s="93"/>
      <c r="DE87" s="93"/>
      <c r="DF87" s="94"/>
      <c r="DG87" s="81"/>
      <c r="DH87" s="75"/>
      <c r="DI87" s="81"/>
      <c r="DJ87" s="81"/>
      <c r="DK87" s="93"/>
      <c r="DL87" s="93"/>
      <c r="DM87" s="93"/>
      <c r="DN87" s="94"/>
      <c r="DO87" s="95"/>
      <c r="DP87" s="96"/>
      <c r="DQ87" s="95"/>
      <c r="DR87" s="97"/>
      <c r="DS87" s="98"/>
      <c r="DT87" s="99"/>
      <c r="DU87" s="99"/>
      <c r="DV87" s="100"/>
      <c r="DW87" s="95"/>
      <c r="DX87" s="96"/>
      <c r="DY87" s="95"/>
      <c r="DZ87" s="97"/>
      <c r="EA87" s="98"/>
      <c r="EB87" s="99"/>
      <c r="EC87" s="99"/>
      <c r="ED87" s="100"/>
      <c r="EE87" s="95"/>
      <c r="EF87" s="96"/>
      <c r="EG87" s="95"/>
      <c r="EH87" s="97"/>
      <c r="EI87" s="98"/>
      <c r="EJ87" s="99"/>
      <c r="EK87" s="99"/>
      <c r="EL87" s="100"/>
    </row>
    <row r="88" spans="1:142">
      <c r="A88" s="75">
        <v>85</v>
      </c>
      <c r="B88" s="75" t="s">
        <v>111</v>
      </c>
      <c r="F88" s="76"/>
      <c r="G88" s="77">
        <v>29</v>
      </c>
      <c r="H88" s="90">
        <v>0</v>
      </c>
      <c r="I88" s="77">
        <v>0</v>
      </c>
      <c r="J88" s="77">
        <v>10</v>
      </c>
      <c r="K88" s="91">
        <f t="shared" si="20"/>
        <v>2900</v>
      </c>
      <c r="L88" s="91">
        <f t="shared" si="20"/>
        <v>0</v>
      </c>
      <c r="M88" s="91">
        <f t="shared" si="21"/>
        <v>0</v>
      </c>
      <c r="N88" s="92">
        <f t="shared" si="21"/>
        <v>3000</v>
      </c>
      <c r="O88" s="77">
        <v>32</v>
      </c>
      <c r="P88" s="90">
        <v>0</v>
      </c>
      <c r="Q88" s="77">
        <v>0</v>
      </c>
      <c r="R88" s="77">
        <v>12</v>
      </c>
      <c r="S88" s="91">
        <f t="shared" si="22"/>
        <v>3200</v>
      </c>
      <c r="T88" s="91">
        <f t="shared" si="22"/>
        <v>0</v>
      </c>
      <c r="U88" s="91">
        <f t="shared" si="23"/>
        <v>0</v>
      </c>
      <c r="V88" s="92">
        <f t="shared" si="23"/>
        <v>3600</v>
      </c>
      <c r="W88" s="77">
        <v>34</v>
      </c>
      <c r="X88" s="90">
        <v>0</v>
      </c>
      <c r="Y88" s="77">
        <v>0</v>
      </c>
      <c r="Z88" s="77">
        <v>12</v>
      </c>
      <c r="AA88" s="91">
        <f t="shared" si="24"/>
        <v>3400</v>
      </c>
      <c r="AB88" s="91">
        <f t="shared" si="24"/>
        <v>0</v>
      </c>
      <c r="AC88" s="91">
        <f t="shared" si="25"/>
        <v>0</v>
      </c>
      <c r="AD88" s="92">
        <f t="shared" si="25"/>
        <v>3600</v>
      </c>
      <c r="AE88" s="77">
        <v>34</v>
      </c>
      <c r="AF88" s="90">
        <v>0</v>
      </c>
      <c r="AG88" s="77">
        <v>0</v>
      </c>
      <c r="AH88" s="77">
        <v>16</v>
      </c>
      <c r="AI88" s="91">
        <f t="shared" si="26"/>
        <v>3400</v>
      </c>
      <c r="AJ88" s="91">
        <f t="shared" si="26"/>
        <v>0</v>
      </c>
      <c r="AK88" s="91">
        <f t="shared" si="27"/>
        <v>0</v>
      </c>
      <c r="AL88" s="92">
        <f t="shared" si="27"/>
        <v>4800</v>
      </c>
      <c r="AM88" s="77">
        <v>45</v>
      </c>
      <c r="AN88" s="90">
        <v>0</v>
      </c>
      <c r="AO88" s="77">
        <v>0</v>
      </c>
      <c r="AP88" s="77">
        <v>20</v>
      </c>
      <c r="AQ88" s="91">
        <f t="shared" si="36"/>
        <v>4500</v>
      </c>
      <c r="AR88" s="91">
        <f t="shared" si="36"/>
        <v>0</v>
      </c>
      <c r="AS88" s="91">
        <f t="shared" si="37"/>
        <v>0</v>
      </c>
      <c r="AT88" s="92">
        <f t="shared" si="37"/>
        <v>6000</v>
      </c>
      <c r="AU88" s="12">
        <v>45</v>
      </c>
      <c r="AV88" s="6">
        <v>0</v>
      </c>
      <c r="AW88" s="12">
        <v>0</v>
      </c>
      <c r="AX88" s="12">
        <v>17</v>
      </c>
      <c r="AY88" s="17">
        <f t="shared" si="28"/>
        <v>4500</v>
      </c>
      <c r="AZ88" s="17">
        <f t="shared" si="28"/>
        <v>0</v>
      </c>
      <c r="BA88" s="17">
        <f t="shared" si="29"/>
        <v>0</v>
      </c>
      <c r="BB88" s="25">
        <f t="shared" si="29"/>
        <v>5100</v>
      </c>
      <c r="BC88" s="12">
        <v>45</v>
      </c>
      <c r="BD88" s="6">
        <v>0</v>
      </c>
      <c r="BE88" s="12">
        <v>0</v>
      </c>
      <c r="BF88" s="12">
        <v>17</v>
      </c>
      <c r="BG88" s="17">
        <f t="shared" si="30"/>
        <v>4500</v>
      </c>
      <c r="BH88" s="17">
        <f t="shared" si="30"/>
        <v>0</v>
      </c>
      <c r="BI88" s="17">
        <f t="shared" si="31"/>
        <v>0</v>
      </c>
      <c r="BJ88" s="25">
        <f t="shared" si="31"/>
        <v>5100</v>
      </c>
      <c r="BK88" s="12">
        <v>52</v>
      </c>
      <c r="BL88" s="6">
        <v>0</v>
      </c>
      <c r="BM88" s="12">
        <v>0</v>
      </c>
      <c r="BN88" s="12">
        <v>11</v>
      </c>
      <c r="BO88" s="17">
        <f t="shared" si="32"/>
        <v>5200</v>
      </c>
      <c r="BP88" s="17">
        <f t="shared" si="32"/>
        <v>0</v>
      </c>
      <c r="BQ88" s="17">
        <f t="shared" si="33"/>
        <v>0</v>
      </c>
      <c r="BR88" s="25">
        <f t="shared" si="33"/>
        <v>3300</v>
      </c>
      <c r="BS88" s="12">
        <v>52</v>
      </c>
      <c r="BT88" s="6">
        <v>0</v>
      </c>
      <c r="BU88" s="12">
        <v>0</v>
      </c>
      <c r="BV88" s="12">
        <v>11</v>
      </c>
      <c r="BW88" s="17">
        <f t="shared" si="34"/>
        <v>5200</v>
      </c>
      <c r="BX88" s="17">
        <f t="shared" si="34"/>
        <v>0</v>
      </c>
      <c r="BY88" s="17">
        <f t="shared" si="35"/>
        <v>0</v>
      </c>
      <c r="BZ88" s="25">
        <f t="shared" si="35"/>
        <v>3300</v>
      </c>
      <c r="CA88" s="81"/>
      <c r="CB88" s="75"/>
      <c r="CC88" s="81"/>
      <c r="CD88" s="81"/>
      <c r="CE88" s="93"/>
      <c r="CF88" s="93"/>
      <c r="CG88" s="93"/>
      <c r="CH88" s="94"/>
      <c r="CI88" s="81"/>
      <c r="CJ88" s="75"/>
      <c r="CK88" s="81"/>
      <c r="CL88" s="81"/>
      <c r="CM88" s="93"/>
      <c r="CN88" s="93"/>
      <c r="CO88" s="93"/>
      <c r="CP88" s="94"/>
      <c r="CQ88" s="81"/>
      <c r="CR88" s="75"/>
      <c r="CS88" s="81"/>
      <c r="CT88" s="81"/>
      <c r="CU88" s="93"/>
      <c r="CV88" s="93"/>
      <c r="CW88" s="93"/>
      <c r="CX88" s="94"/>
      <c r="CY88" s="81"/>
      <c r="CZ88" s="75"/>
      <c r="DA88" s="81"/>
      <c r="DB88" s="81"/>
      <c r="DC88" s="93"/>
      <c r="DD88" s="93"/>
      <c r="DE88" s="93"/>
      <c r="DF88" s="94"/>
      <c r="DG88" s="81"/>
      <c r="DH88" s="75"/>
      <c r="DI88" s="81"/>
      <c r="DJ88" s="81"/>
      <c r="DK88" s="93"/>
      <c r="DL88" s="93"/>
      <c r="DM88" s="93"/>
      <c r="DN88" s="94"/>
      <c r="DO88" s="95"/>
      <c r="DP88" s="96"/>
      <c r="DQ88" s="95"/>
      <c r="DR88" s="97"/>
      <c r="DS88" s="98"/>
      <c r="DT88" s="99"/>
      <c r="DU88" s="99"/>
      <c r="DV88" s="100"/>
      <c r="DW88" s="95"/>
      <c r="DX88" s="96"/>
      <c r="DY88" s="95"/>
      <c r="DZ88" s="97"/>
      <c r="EA88" s="98"/>
      <c r="EB88" s="99"/>
      <c r="EC88" s="99"/>
      <c r="ED88" s="100"/>
      <c r="EE88" s="95"/>
      <c r="EF88" s="96"/>
      <c r="EG88" s="95"/>
      <c r="EH88" s="97"/>
      <c r="EI88" s="98"/>
      <c r="EJ88" s="99"/>
      <c r="EK88" s="99"/>
      <c r="EL88" s="100"/>
    </row>
    <row r="89" spans="1:142">
      <c r="A89" s="75">
        <v>86</v>
      </c>
      <c r="B89" s="75" t="s">
        <v>112</v>
      </c>
      <c r="F89" s="76"/>
      <c r="G89" s="77">
        <v>0</v>
      </c>
      <c r="H89" s="90">
        <v>30</v>
      </c>
      <c r="I89" s="77">
        <v>0</v>
      </c>
      <c r="J89" s="77">
        <v>6</v>
      </c>
      <c r="K89" s="91">
        <f t="shared" si="20"/>
        <v>0</v>
      </c>
      <c r="L89" s="91">
        <f>H89*100</f>
        <v>3000</v>
      </c>
      <c r="M89" s="91">
        <f t="shared" si="21"/>
        <v>0</v>
      </c>
      <c r="N89" s="92">
        <f t="shared" si="21"/>
        <v>1800</v>
      </c>
      <c r="O89" s="77">
        <v>30</v>
      </c>
      <c r="P89" s="90">
        <v>30</v>
      </c>
      <c r="Q89" s="77">
        <v>0</v>
      </c>
      <c r="R89" s="77">
        <v>12</v>
      </c>
      <c r="S89" s="91">
        <f t="shared" si="22"/>
        <v>3000</v>
      </c>
      <c r="T89" s="91">
        <f>P89*100</f>
        <v>3000</v>
      </c>
      <c r="U89" s="91">
        <f t="shared" si="23"/>
        <v>0</v>
      </c>
      <c r="V89" s="92">
        <f t="shared" si="23"/>
        <v>3600</v>
      </c>
      <c r="W89" s="77">
        <v>38</v>
      </c>
      <c r="X89" s="90">
        <v>30</v>
      </c>
      <c r="Y89" s="77">
        <v>0</v>
      </c>
      <c r="Z89" s="77">
        <v>12</v>
      </c>
      <c r="AA89" s="91">
        <f t="shared" si="24"/>
        <v>3800</v>
      </c>
      <c r="AB89" s="91">
        <f>X89*100</f>
        <v>3000</v>
      </c>
      <c r="AC89" s="91">
        <f t="shared" si="25"/>
        <v>0</v>
      </c>
      <c r="AD89" s="92">
        <f t="shared" si="25"/>
        <v>3600</v>
      </c>
      <c r="AE89" s="77">
        <v>38</v>
      </c>
      <c r="AF89" s="90">
        <v>30</v>
      </c>
      <c r="AG89" s="77">
        <v>0</v>
      </c>
      <c r="AH89" s="77">
        <v>12</v>
      </c>
      <c r="AI89" s="91">
        <f t="shared" si="26"/>
        <v>3800</v>
      </c>
      <c r="AJ89" s="91">
        <f>AF89*100</f>
        <v>3000</v>
      </c>
      <c r="AK89" s="91">
        <f t="shared" si="27"/>
        <v>0</v>
      </c>
      <c r="AL89" s="92">
        <f t="shared" si="27"/>
        <v>3600</v>
      </c>
      <c r="AM89" s="77">
        <v>0</v>
      </c>
      <c r="AN89" s="90">
        <v>32</v>
      </c>
      <c r="AO89" s="77">
        <v>0</v>
      </c>
      <c r="AP89" s="77">
        <v>16</v>
      </c>
      <c r="AQ89" s="91">
        <f t="shared" si="36"/>
        <v>0</v>
      </c>
      <c r="AR89" s="91">
        <f>AN89*100</f>
        <v>3200</v>
      </c>
      <c r="AS89" s="91">
        <f t="shared" si="37"/>
        <v>0</v>
      </c>
      <c r="AT89" s="92">
        <f t="shared" si="37"/>
        <v>4800</v>
      </c>
      <c r="AU89" s="12">
        <v>0</v>
      </c>
      <c r="AV89" s="6">
        <v>36</v>
      </c>
      <c r="AW89" s="12">
        <v>0</v>
      </c>
      <c r="AX89" s="12">
        <v>20</v>
      </c>
      <c r="AY89" s="17">
        <f t="shared" si="28"/>
        <v>0</v>
      </c>
      <c r="AZ89" s="17">
        <f t="shared" si="28"/>
        <v>3600</v>
      </c>
      <c r="BA89" s="17">
        <f t="shared" si="29"/>
        <v>0</v>
      </c>
      <c r="BB89" s="25">
        <f t="shared" si="29"/>
        <v>6000</v>
      </c>
      <c r="BC89" s="12">
        <v>0</v>
      </c>
      <c r="BD89" s="6">
        <v>38</v>
      </c>
      <c r="BE89" s="12">
        <v>0</v>
      </c>
      <c r="BF89" s="12">
        <v>20</v>
      </c>
      <c r="BG89" s="17">
        <f t="shared" si="30"/>
        <v>0</v>
      </c>
      <c r="BH89" s="17">
        <f t="shared" si="30"/>
        <v>3800</v>
      </c>
      <c r="BI89" s="17">
        <f t="shared" si="31"/>
        <v>0</v>
      </c>
      <c r="BJ89" s="25">
        <f t="shared" si="31"/>
        <v>6000</v>
      </c>
      <c r="BK89" s="12">
        <v>0</v>
      </c>
      <c r="BL89" s="6">
        <v>48</v>
      </c>
      <c r="BM89" s="12">
        <v>0</v>
      </c>
      <c r="BN89" s="12">
        <v>20</v>
      </c>
      <c r="BO89" s="17">
        <f t="shared" si="32"/>
        <v>0</v>
      </c>
      <c r="BP89" s="17">
        <f t="shared" si="32"/>
        <v>4800</v>
      </c>
      <c r="BQ89" s="17">
        <f t="shared" si="33"/>
        <v>0</v>
      </c>
      <c r="BR89" s="25">
        <f t="shared" si="33"/>
        <v>6000</v>
      </c>
      <c r="BS89" s="12">
        <v>0</v>
      </c>
      <c r="BT89" s="6">
        <v>50</v>
      </c>
      <c r="BU89" s="12">
        <v>0</v>
      </c>
      <c r="BV89" s="12">
        <v>20</v>
      </c>
      <c r="BW89" s="17">
        <f t="shared" si="34"/>
        <v>0</v>
      </c>
      <c r="BX89" s="17">
        <f t="shared" si="34"/>
        <v>5000</v>
      </c>
      <c r="BY89" s="17">
        <f t="shared" si="35"/>
        <v>0</v>
      </c>
      <c r="BZ89" s="25">
        <f t="shared" si="35"/>
        <v>6000</v>
      </c>
      <c r="CA89" s="81"/>
      <c r="CB89" s="75"/>
      <c r="CC89" s="81"/>
      <c r="CD89" s="81"/>
      <c r="CE89" s="93"/>
      <c r="CF89" s="93"/>
      <c r="CG89" s="93"/>
      <c r="CH89" s="94"/>
      <c r="CI89" s="81"/>
      <c r="CJ89" s="75"/>
      <c r="CK89" s="81"/>
      <c r="CL89" s="81"/>
      <c r="CM89" s="93"/>
      <c r="CN89" s="93"/>
      <c r="CO89" s="93"/>
      <c r="CP89" s="94"/>
      <c r="CQ89" s="81"/>
      <c r="CR89" s="75"/>
      <c r="CS89" s="81"/>
      <c r="CT89" s="81"/>
      <c r="CU89" s="93"/>
      <c r="CV89" s="93"/>
      <c r="CW89" s="93"/>
      <c r="CX89" s="94"/>
      <c r="CY89" s="81"/>
      <c r="CZ89" s="75"/>
      <c r="DA89" s="81"/>
      <c r="DB89" s="81"/>
      <c r="DC89" s="93"/>
      <c r="DD89" s="93"/>
      <c r="DE89" s="93"/>
      <c r="DF89" s="94"/>
      <c r="DG89" s="81"/>
      <c r="DH89" s="75"/>
      <c r="DI89" s="81"/>
      <c r="DJ89" s="81"/>
      <c r="DK89" s="93"/>
      <c r="DL89" s="93"/>
      <c r="DM89" s="93"/>
      <c r="DN89" s="94"/>
      <c r="DO89" s="95"/>
      <c r="DP89" s="96"/>
      <c r="DQ89" s="95"/>
      <c r="DR89" s="97"/>
      <c r="DS89" s="98"/>
      <c r="DT89" s="99"/>
      <c r="DU89" s="99"/>
      <c r="DV89" s="100"/>
      <c r="DW89" s="95"/>
      <c r="DX89" s="96"/>
      <c r="DY89" s="95"/>
      <c r="DZ89" s="97"/>
      <c r="EA89" s="98"/>
      <c r="EB89" s="99"/>
      <c r="EC89" s="99"/>
      <c r="ED89" s="100"/>
      <c r="EE89" s="95"/>
      <c r="EF89" s="96"/>
      <c r="EG89" s="95"/>
      <c r="EH89" s="97"/>
      <c r="EI89" s="98"/>
      <c r="EJ89" s="99"/>
      <c r="EK89" s="99"/>
      <c r="EL89" s="100"/>
    </row>
    <row r="90" spans="1:142">
      <c r="A90" s="75">
        <v>87</v>
      </c>
      <c r="B90" s="75" t="s">
        <v>113</v>
      </c>
      <c r="F90" s="76"/>
      <c r="G90" s="77">
        <v>30</v>
      </c>
      <c r="H90" s="90">
        <v>0</v>
      </c>
      <c r="I90" s="77">
        <v>0</v>
      </c>
      <c r="J90" s="77">
        <v>8</v>
      </c>
      <c r="K90" s="91">
        <f t="shared" si="20"/>
        <v>3000</v>
      </c>
      <c r="L90" s="91">
        <f>H90*100</f>
        <v>0</v>
      </c>
      <c r="M90" s="91">
        <f t="shared" si="21"/>
        <v>0</v>
      </c>
      <c r="N90" s="92">
        <f t="shared" si="21"/>
        <v>2400</v>
      </c>
      <c r="O90" s="77">
        <v>35</v>
      </c>
      <c r="P90" s="90">
        <v>0</v>
      </c>
      <c r="Q90" s="77">
        <v>0</v>
      </c>
      <c r="R90" s="77">
        <v>4</v>
      </c>
      <c r="S90" s="91">
        <f t="shared" si="22"/>
        <v>3500</v>
      </c>
      <c r="T90" s="91">
        <f>P90*100</f>
        <v>0</v>
      </c>
      <c r="U90" s="91">
        <f t="shared" si="23"/>
        <v>0</v>
      </c>
      <c r="V90" s="92">
        <f t="shared" si="23"/>
        <v>1200</v>
      </c>
      <c r="W90" s="77">
        <v>35</v>
      </c>
      <c r="X90" s="90">
        <v>0</v>
      </c>
      <c r="Y90" s="77">
        <v>0</v>
      </c>
      <c r="Z90" s="77">
        <v>8</v>
      </c>
      <c r="AA90" s="91">
        <f t="shared" si="24"/>
        <v>3500</v>
      </c>
      <c r="AB90" s="91">
        <f>X90*100</f>
        <v>0</v>
      </c>
      <c r="AC90" s="91">
        <f t="shared" si="25"/>
        <v>0</v>
      </c>
      <c r="AD90" s="92">
        <f t="shared" si="25"/>
        <v>2400</v>
      </c>
      <c r="AE90" s="77">
        <v>35</v>
      </c>
      <c r="AF90" s="90">
        <v>0</v>
      </c>
      <c r="AG90" s="77">
        <v>0</v>
      </c>
      <c r="AH90" s="77">
        <v>8</v>
      </c>
      <c r="AI90" s="91">
        <f t="shared" si="26"/>
        <v>3500</v>
      </c>
      <c r="AJ90" s="91">
        <f>AF90*100</f>
        <v>0</v>
      </c>
      <c r="AK90" s="91">
        <f t="shared" si="27"/>
        <v>0</v>
      </c>
      <c r="AL90" s="92">
        <f t="shared" si="27"/>
        <v>2400</v>
      </c>
      <c r="AM90" s="77">
        <v>44</v>
      </c>
      <c r="AN90" s="90">
        <v>0</v>
      </c>
      <c r="AO90" s="77">
        <v>0</v>
      </c>
      <c r="AP90" s="77">
        <v>20</v>
      </c>
      <c r="AQ90" s="91">
        <f t="shared" si="36"/>
        <v>4400</v>
      </c>
      <c r="AR90" s="91">
        <f>AN90*100</f>
        <v>0</v>
      </c>
      <c r="AS90" s="91">
        <f t="shared" si="37"/>
        <v>0</v>
      </c>
      <c r="AT90" s="92">
        <f t="shared" si="37"/>
        <v>6000</v>
      </c>
      <c r="AU90" s="12">
        <v>46</v>
      </c>
      <c r="AV90" s="6">
        <v>0</v>
      </c>
      <c r="AW90" s="12">
        <v>0</v>
      </c>
      <c r="AX90" s="12">
        <v>18</v>
      </c>
      <c r="AY90" s="17">
        <f t="shared" si="28"/>
        <v>4600</v>
      </c>
      <c r="AZ90" s="17">
        <f t="shared" si="28"/>
        <v>0</v>
      </c>
      <c r="BA90" s="17">
        <f t="shared" si="29"/>
        <v>0</v>
      </c>
      <c r="BB90" s="25">
        <f t="shared" si="29"/>
        <v>5400</v>
      </c>
      <c r="BC90" s="12">
        <v>46</v>
      </c>
      <c r="BD90" s="6">
        <v>0</v>
      </c>
      <c r="BE90" s="12">
        <v>0</v>
      </c>
      <c r="BF90" s="12">
        <v>18</v>
      </c>
      <c r="BG90" s="17">
        <f t="shared" si="30"/>
        <v>4600</v>
      </c>
      <c r="BH90" s="17">
        <f t="shared" si="30"/>
        <v>0</v>
      </c>
      <c r="BI90" s="17">
        <f t="shared" si="31"/>
        <v>0</v>
      </c>
      <c r="BJ90" s="25">
        <f t="shared" si="31"/>
        <v>5400</v>
      </c>
      <c r="BK90" s="12">
        <v>48</v>
      </c>
      <c r="BL90" s="6">
        <v>0</v>
      </c>
      <c r="BM90" s="12">
        <v>0</v>
      </c>
      <c r="BN90" s="12">
        <v>18</v>
      </c>
      <c r="BO90" s="17">
        <f t="shared" si="32"/>
        <v>4800</v>
      </c>
      <c r="BP90" s="17">
        <f t="shared" si="32"/>
        <v>0</v>
      </c>
      <c r="BQ90" s="17">
        <f t="shared" si="33"/>
        <v>0</v>
      </c>
      <c r="BR90" s="25">
        <f t="shared" si="33"/>
        <v>5400</v>
      </c>
      <c r="BS90" s="12">
        <v>48</v>
      </c>
      <c r="BT90" s="6">
        <v>0</v>
      </c>
      <c r="BU90" s="12">
        <v>0</v>
      </c>
      <c r="BV90" s="12">
        <v>18</v>
      </c>
      <c r="BW90" s="17">
        <f t="shared" si="34"/>
        <v>4800</v>
      </c>
      <c r="BX90" s="17">
        <f t="shared" si="34"/>
        <v>0</v>
      </c>
      <c r="BY90" s="17">
        <f t="shared" si="35"/>
        <v>0</v>
      </c>
      <c r="BZ90" s="25">
        <f t="shared" si="35"/>
        <v>5400</v>
      </c>
      <c r="CA90" s="81"/>
      <c r="CB90" s="75"/>
      <c r="CC90" s="81"/>
      <c r="CD90" s="81"/>
      <c r="CE90" s="93"/>
      <c r="CF90" s="93"/>
      <c r="CG90" s="93"/>
      <c r="CH90" s="94"/>
      <c r="CI90" s="81"/>
      <c r="CJ90" s="75"/>
      <c r="CK90" s="81"/>
      <c r="CL90" s="81"/>
      <c r="CM90" s="93"/>
      <c r="CN90" s="93"/>
      <c r="CO90" s="93"/>
      <c r="CP90" s="94"/>
      <c r="CQ90" s="81"/>
      <c r="CR90" s="75"/>
      <c r="CS90" s="81"/>
      <c r="CT90" s="81"/>
      <c r="CU90" s="93"/>
      <c r="CV90" s="93"/>
      <c r="CW90" s="93"/>
      <c r="CX90" s="94"/>
      <c r="CY90" s="81"/>
      <c r="CZ90" s="75"/>
      <c r="DA90" s="81"/>
      <c r="DB90" s="81"/>
      <c r="DC90" s="93"/>
      <c r="DD90" s="93"/>
      <c r="DE90" s="93"/>
      <c r="DF90" s="94"/>
      <c r="DG90" s="81"/>
      <c r="DH90" s="75"/>
      <c r="DI90" s="81"/>
      <c r="DJ90" s="81"/>
      <c r="DK90" s="93"/>
      <c r="DL90" s="93"/>
      <c r="DM90" s="93"/>
      <c r="DN90" s="94"/>
      <c r="DO90" s="95"/>
      <c r="DP90" s="96"/>
      <c r="DQ90" s="95"/>
      <c r="DR90" s="97"/>
      <c r="DS90" s="98"/>
      <c r="DT90" s="99"/>
      <c r="DU90" s="99"/>
      <c r="DV90" s="100"/>
      <c r="DW90" s="95"/>
      <c r="DX90" s="96"/>
      <c r="DY90" s="95"/>
      <c r="DZ90" s="97"/>
      <c r="EA90" s="98"/>
      <c r="EB90" s="99"/>
      <c r="EC90" s="99"/>
      <c r="ED90" s="100"/>
      <c r="EE90" s="95"/>
      <c r="EF90" s="96"/>
      <c r="EG90" s="95"/>
      <c r="EH90" s="97"/>
      <c r="EI90" s="98"/>
      <c r="EJ90" s="99"/>
      <c r="EK90" s="99"/>
      <c r="EL90" s="100"/>
    </row>
    <row r="91" spans="1:142">
      <c r="A91" s="75">
        <v>88</v>
      </c>
      <c r="B91" s="75" t="s">
        <v>114</v>
      </c>
      <c r="F91" s="76"/>
      <c r="G91" s="77">
        <v>35</v>
      </c>
      <c r="H91" s="90">
        <v>0</v>
      </c>
      <c r="I91" s="77">
        <v>0</v>
      </c>
      <c r="J91" s="77">
        <v>15</v>
      </c>
      <c r="K91" s="91">
        <f t="shared" si="20"/>
        <v>3500</v>
      </c>
      <c r="L91" s="91">
        <f t="shared" si="20"/>
        <v>0</v>
      </c>
      <c r="M91" s="91">
        <f t="shared" si="21"/>
        <v>0</v>
      </c>
      <c r="N91" s="92">
        <f t="shared" si="21"/>
        <v>4500</v>
      </c>
      <c r="O91" s="77">
        <v>30</v>
      </c>
      <c r="P91" s="90">
        <v>0</v>
      </c>
      <c r="Q91" s="77">
        <v>0</v>
      </c>
      <c r="R91" s="77">
        <v>12</v>
      </c>
      <c r="S91" s="91">
        <f t="shared" si="22"/>
        <v>3000</v>
      </c>
      <c r="T91" s="91">
        <f t="shared" si="22"/>
        <v>0</v>
      </c>
      <c r="U91" s="91">
        <f t="shared" si="23"/>
        <v>0</v>
      </c>
      <c r="V91" s="92">
        <f t="shared" si="23"/>
        <v>3600</v>
      </c>
      <c r="W91" s="77">
        <v>28</v>
      </c>
      <c r="X91" s="90">
        <v>0</v>
      </c>
      <c r="Y91" s="77">
        <v>0</v>
      </c>
      <c r="Z91" s="77">
        <v>12</v>
      </c>
      <c r="AA91" s="91">
        <f t="shared" si="24"/>
        <v>2800</v>
      </c>
      <c r="AB91" s="91">
        <f t="shared" si="24"/>
        <v>0</v>
      </c>
      <c r="AC91" s="91">
        <f t="shared" si="25"/>
        <v>0</v>
      </c>
      <c r="AD91" s="92">
        <f t="shared" si="25"/>
        <v>3600</v>
      </c>
      <c r="AE91" s="77">
        <v>30</v>
      </c>
      <c r="AF91" s="90">
        <v>0</v>
      </c>
      <c r="AG91" s="77">
        <v>0</v>
      </c>
      <c r="AH91" s="77">
        <v>20</v>
      </c>
      <c r="AI91" s="91">
        <f t="shared" si="26"/>
        <v>3000</v>
      </c>
      <c r="AJ91" s="91">
        <f t="shared" si="26"/>
        <v>0</v>
      </c>
      <c r="AK91" s="91">
        <f t="shared" si="27"/>
        <v>0</v>
      </c>
      <c r="AL91" s="92">
        <f t="shared" si="27"/>
        <v>6000</v>
      </c>
      <c r="AM91" s="77">
        <v>55</v>
      </c>
      <c r="AN91" s="90">
        <v>0</v>
      </c>
      <c r="AO91" s="77">
        <v>0</v>
      </c>
      <c r="AP91" s="77">
        <v>15</v>
      </c>
      <c r="AQ91" s="91">
        <f t="shared" si="36"/>
        <v>5500</v>
      </c>
      <c r="AR91" s="91">
        <f t="shared" si="36"/>
        <v>0</v>
      </c>
      <c r="AS91" s="91">
        <f t="shared" si="37"/>
        <v>0</v>
      </c>
      <c r="AT91" s="92">
        <f t="shared" si="37"/>
        <v>4500</v>
      </c>
      <c r="AU91" s="12">
        <v>55</v>
      </c>
      <c r="AV91" s="6">
        <v>0</v>
      </c>
      <c r="AW91" s="12">
        <v>0</v>
      </c>
      <c r="AX91" s="12">
        <v>12</v>
      </c>
      <c r="AY91" s="17">
        <f t="shared" si="28"/>
        <v>5500</v>
      </c>
      <c r="AZ91" s="17">
        <f t="shared" si="28"/>
        <v>0</v>
      </c>
      <c r="BA91" s="17">
        <f t="shared" si="29"/>
        <v>0</v>
      </c>
      <c r="BB91" s="25">
        <f t="shared" si="29"/>
        <v>3600</v>
      </c>
      <c r="BC91" s="12">
        <v>55</v>
      </c>
      <c r="BD91" s="6">
        <v>0</v>
      </c>
      <c r="BE91" s="12">
        <v>0</v>
      </c>
      <c r="BF91" s="12">
        <v>8</v>
      </c>
      <c r="BG91" s="17">
        <f t="shared" si="30"/>
        <v>5500</v>
      </c>
      <c r="BH91" s="17">
        <f t="shared" si="30"/>
        <v>0</v>
      </c>
      <c r="BI91" s="17">
        <f t="shared" si="31"/>
        <v>0</v>
      </c>
      <c r="BJ91" s="25">
        <f t="shared" si="31"/>
        <v>2400</v>
      </c>
      <c r="BK91" s="12">
        <v>55</v>
      </c>
      <c r="BL91" s="6">
        <v>0</v>
      </c>
      <c r="BM91" s="12">
        <v>0</v>
      </c>
      <c r="BN91" s="12">
        <v>8</v>
      </c>
      <c r="BO91" s="17">
        <f t="shared" si="32"/>
        <v>5500</v>
      </c>
      <c r="BP91" s="17">
        <f t="shared" si="32"/>
        <v>0</v>
      </c>
      <c r="BQ91" s="17">
        <f t="shared" si="33"/>
        <v>0</v>
      </c>
      <c r="BR91" s="25">
        <f t="shared" si="33"/>
        <v>2400</v>
      </c>
      <c r="BS91" s="12">
        <v>55</v>
      </c>
      <c r="BT91" s="6">
        <v>0</v>
      </c>
      <c r="BU91" s="12">
        <v>0</v>
      </c>
      <c r="BV91" s="12">
        <v>20</v>
      </c>
      <c r="BW91" s="17">
        <f t="shared" si="34"/>
        <v>5500</v>
      </c>
      <c r="BX91" s="17">
        <f t="shared" si="34"/>
        <v>0</v>
      </c>
      <c r="BY91" s="17">
        <f t="shared" si="35"/>
        <v>0</v>
      </c>
      <c r="BZ91" s="25">
        <f t="shared" si="35"/>
        <v>6000</v>
      </c>
      <c r="CA91" s="81"/>
      <c r="CB91" s="75"/>
      <c r="CC91" s="81"/>
      <c r="CD91" s="81"/>
      <c r="CE91" s="93"/>
      <c r="CF91" s="93"/>
      <c r="CG91" s="93"/>
      <c r="CH91" s="94"/>
      <c r="CI91" s="81"/>
      <c r="CJ91" s="75"/>
      <c r="CK91" s="81"/>
      <c r="CL91" s="81"/>
      <c r="CM91" s="93"/>
      <c r="CN91" s="93"/>
      <c r="CO91" s="93"/>
      <c r="CP91" s="94"/>
      <c r="CQ91" s="81"/>
      <c r="CR91" s="75"/>
      <c r="CS91" s="81"/>
      <c r="CT91" s="81"/>
      <c r="CU91" s="93"/>
      <c r="CV91" s="93"/>
      <c r="CW91" s="93"/>
      <c r="CX91" s="94"/>
      <c r="CY91" s="81"/>
      <c r="CZ91" s="75"/>
      <c r="DA91" s="81"/>
      <c r="DB91" s="81"/>
      <c r="DC91" s="93"/>
      <c r="DD91" s="93"/>
      <c r="DE91" s="93"/>
      <c r="DF91" s="94"/>
      <c r="DG91" s="81"/>
      <c r="DH91" s="75"/>
      <c r="DI91" s="81"/>
      <c r="DJ91" s="81"/>
      <c r="DK91" s="93"/>
      <c r="DL91" s="93"/>
      <c r="DM91" s="93"/>
      <c r="DN91" s="94"/>
      <c r="DO91" s="95"/>
      <c r="DP91" s="96"/>
      <c r="DQ91" s="95"/>
      <c r="DR91" s="97"/>
      <c r="DS91" s="98"/>
      <c r="DT91" s="99"/>
      <c r="DU91" s="99"/>
      <c r="DV91" s="100"/>
      <c r="DW91" s="95"/>
      <c r="DX91" s="96"/>
      <c r="DY91" s="95"/>
      <c r="DZ91" s="97"/>
      <c r="EA91" s="98"/>
      <c r="EB91" s="99"/>
      <c r="EC91" s="99"/>
      <c r="ED91" s="100"/>
      <c r="EE91" s="95"/>
      <c r="EF91" s="96"/>
      <c r="EG91" s="95"/>
      <c r="EH91" s="97"/>
      <c r="EI91" s="98"/>
      <c r="EJ91" s="99"/>
      <c r="EK91" s="99"/>
      <c r="EL91" s="100"/>
    </row>
    <row r="92" spans="1:142">
      <c r="A92" s="75">
        <v>89</v>
      </c>
      <c r="B92" s="75" t="s">
        <v>115</v>
      </c>
      <c r="F92" s="76"/>
      <c r="G92" s="77">
        <v>37</v>
      </c>
      <c r="H92" s="90">
        <v>0</v>
      </c>
      <c r="I92" s="77">
        <v>0</v>
      </c>
      <c r="J92" s="77">
        <v>18</v>
      </c>
      <c r="K92" s="91">
        <f t="shared" si="20"/>
        <v>3700</v>
      </c>
      <c r="L92" s="91">
        <f t="shared" si="20"/>
        <v>0</v>
      </c>
      <c r="M92" s="91">
        <f t="shared" si="21"/>
        <v>0</v>
      </c>
      <c r="N92" s="92">
        <f t="shared" si="21"/>
        <v>5400</v>
      </c>
      <c r="O92" s="77">
        <v>32</v>
      </c>
      <c r="P92" s="90">
        <v>0</v>
      </c>
      <c r="Q92" s="77">
        <v>0</v>
      </c>
      <c r="R92" s="77">
        <v>15</v>
      </c>
      <c r="S92" s="91">
        <f t="shared" si="22"/>
        <v>3200</v>
      </c>
      <c r="T92" s="91">
        <f t="shared" si="22"/>
        <v>0</v>
      </c>
      <c r="U92" s="91">
        <f t="shared" si="23"/>
        <v>0</v>
      </c>
      <c r="V92" s="92">
        <f t="shared" si="23"/>
        <v>4500</v>
      </c>
      <c r="W92" s="77">
        <v>32</v>
      </c>
      <c r="X92" s="90">
        <v>0</v>
      </c>
      <c r="Y92" s="77">
        <v>0</v>
      </c>
      <c r="Z92" s="77">
        <v>15</v>
      </c>
      <c r="AA92" s="91">
        <f t="shared" si="24"/>
        <v>3200</v>
      </c>
      <c r="AB92" s="91">
        <f t="shared" si="24"/>
        <v>0</v>
      </c>
      <c r="AC92" s="91">
        <f t="shared" si="25"/>
        <v>0</v>
      </c>
      <c r="AD92" s="92">
        <f t="shared" si="25"/>
        <v>4500</v>
      </c>
      <c r="AE92" s="77">
        <v>36</v>
      </c>
      <c r="AF92" s="90">
        <v>0</v>
      </c>
      <c r="AG92" s="77">
        <v>0</v>
      </c>
      <c r="AH92" s="77">
        <v>16</v>
      </c>
      <c r="AI92" s="91">
        <f t="shared" si="26"/>
        <v>3600</v>
      </c>
      <c r="AJ92" s="91">
        <f t="shared" si="26"/>
        <v>0</v>
      </c>
      <c r="AK92" s="91">
        <f t="shared" si="27"/>
        <v>0</v>
      </c>
      <c r="AL92" s="92">
        <f t="shared" si="27"/>
        <v>4800</v>
      </c>
      <c r="AM92" s="77">
        <v>48</v>
      </c>
      <c r="AN92" s="90">
        <v>0</v>
      </c>
      <c r="AO92" s="77">
        <v>0</v>
      </c>
      <c r="AP92" s="77">
        <v>18</v>
      </c>
      <c r="AQ92" s="91">
        <f t="shared" si="36"/>
        <v>4800</v>
      </c>
      <c r="AR92" s="91">
        <f t="shared" si="36"/>
        <v>0</v>
      </c>
      <c r="AS92" s="91">
        <f t="shared" si="37"/>
        <v>0</v>
      </c>
      <c r="AT92" s="92">
        <f t="shared" si="37"/>
        <v>5400</v>
      </c>
      <c r="AU92" s="12">
        <v>48</v>
      </c>
      <c r="AV92" s="6">
        <v>0</v>
      </c>
      <c r="AW92" s="12">
        <v>0</v>
      </c>
      <c r="AX92" s="12">
        <v>18</v>
      </c>
      <c r="AY92" s="17">
        <f t="shared" si="28"/>
        <v>4800</v>
      </c>
      <c r="AZ92" s="17">
        <f t="shared" si="28"/>
        <v>0</v>
      </c>
      <c r="BA92" s="17">
        <f t="shared" si="29"/>
        <v>0</v>
      </c>
      <c r="BB92" s="25">
        <f t="shared" si="29"/>
        <v>5400</v>
      </c>
      <c r="BC92" s="12">
        <v>50</v>
      </c>
      <c r="BD92" s="6">
        <v>0</v>
      </c>
      <c r="BE92" s="12">
        <v>0</v>
      </c>
      <c r="BF92" s="12">
        <v>18</v>
      </c>
      <c r="BG92" s="17">
        <f t="shared" si="30"/>
        <v>5000</v>
      </c>
      <c r="BH92" s="17">
        <f t="shared" si="30"/>
        <v>0</v>
      </c>
      <c r="BI92" s="17">
        <f t="shared" si="31"/>
        <v>0</v>
      </c>
      <c r="BJ92" s="25">
        <f t="shared" si="31"/>
        <v>5400</v>
      </c>
      <c r="BK92" s="12">
        <v>51</v>
      </c>
      <c r="BL92" s="6">
        <v>0</v>
      </c>
      <c r="BM92" s="12">
        <v>0</v>
      </c>
      <c r="BN92" s="12">
        <v>18</v>
      </c>
      <c r="BO92" s="17">
        <f t="shared" si="32"/>
        <v>5100</v>
      </c>
      <c r="BP92" s="17">
        <f t="shared" si="32"/>
        <v>0</v>
      </c>
      <c r="BQ92" s="17">
        <f t="shared" si="33"/>
        <v>0</v>
      </c>
      <c r="BR92" s="25">
        <f t="shared" si="33"/>
        <v>5400</v>
      </c>
      <c r="BS92" s="12">
        <v>53</v>
      </c>
      <c r="BT92" s="6">
        <v>0</v>
      </c>
      <c r="BU92" s="12">
        <v>0</v>
      </c>
      <c r="BV92" s="12">
        <v>18</v>
      </c>
      <c r="BW92" s="17">
        <f t="shared" si="34"/>
        <v>5300</v>
      </c>
      <c r="BX92" s="17">
        <f t="shared" si="34"/>
        <v>0</v>
      </c>
      <c r="BY92" s="17">
        <f t="shared" si="35"/>
        <v>0</v>
      </c>
      <c r="BZ92" s="25">
        <f t="shared" si="35"/>
        <v>5400</v>
      </c>
      <c r="CA92" s="81"/>
      <c r="CB92" s="75"/>
      <c r="CC92" s="81"/>
      <c r="CD92" s="81"/>
      <c r="CE92" s="93"/>
      <c r="CF92" s="93"/>
      <c r="CG92" s="93"/>
      <c r="CH92" s="94"/>
      <c r="CI92" s="81"/>
      <c r="CJ92" s="75"/>
      <c r="CK92" s="81"/>
      <c r="CL92" s="81"/>
      <c r="CM92" s="93"/>
      <c r="CN92" s="93"/>
      <c r="CO92" s="93"/>
      <c r="CP92" s="94"/>
      <c r="CQ92" s="81"/>
      <c r="CR92" s="75"/>
      <c r="CS92" s="81"/>
      <c r="CT92" s="81"/>
      <c r="CU92" s="93"/>
      <c r="CV92" s="93"/>
      <c r="CW92" s="93"/>
      <c r="CX92" s="94"/>
      <c r="CY92" s="81"/>
      <c r="CZ92" s="75"/>
      <c r="DA92" s="81"/>
      <c r="DB92" s="81"/>
      <c r="DC92" s="93"/>
      <c r="DD92" s="93"/>
      <c r="DE92" s="93"/>
      <c r="DF92" s="94"/>
      <c r="DG92" s="81"/>
      <c r="DH92" s="75"/>
      <c r="DI92" s="81"/>
      <c r="DJ92" s="81"/>
      <c r="DK92" s="93"/>
      <c r="DL92" s="93"/>
      <c r="DM92" s="93"/>
      <c r="DN92" s="94"/>
      <c r="DO92" s="95"/>
      <c r="DP92" s="96"/>
      <c r="DQ92" s="95"/>
      <c r="DR92" s="97"/>
      <c r="DS92" s="98"/>
      <c r="DT92" s="99"/>
      <c r="DU92" s="99"/>
      <c r="DV92" s="100"/>
      <c r="DW92" s="95"/>
      <c r="DX92" s="96"/>
      <c r="DY92" s="95"/>
      <c r="DZ92" s="97"/>
      <c r="EA92" s="98"/>
      <c r="EB92" s="99"/>
      <c r="EC92" s="99"/>
      <c r="ED92" s="100"/>
      <c r="EE92" s="95"/>
      <c r="EF92" s="96"/>
      <c r="EG92" s="95"/>
      <c r="EH92" s="97"/>
      <c r="EI92" s="98"/>
      <c r="EJ92" s="99"/>
      <c r="EK92" s="99"/>
      <c r="EL92" s="100"/>
    </row>
    <row r="93" spans="1:142">
      <c r="A93" s="75">
        <v>90</v>
      </c>
      <c r="B93" s="75" t="s">
        <v>116</v>
      </c>
      <c r="F93" s="76"/>
      <c r="G93" s="77">
        <v>22</v>
      </c>
      <c r="H93" s="90">
        <v>0</v>
      </c>
      <c r="I93" s="77">
        <v>0</v>
      </c>
      <c r="J93" s="77">
        <v>0</v>
      </c>
      <c r="K93" s="91">
        <f t="shared" si="20"/>
        <v>2200</v>
      </c>
      <c r="L93" s="91">
        <f t="shared" si="20"/>
        <v>0</v>
      </c>
      <c r="M93" s="91">
        <f t="shared" si="21"/>
        <v>0</v>
      </c>
      <c r="N93" s="92">
        <f t="shared" si="21"/>
        <v>0</v>
      </c>
      <c r="O93" s="77">
        <v>29</v>
      </c>
      <c r="P93" s="90">
        <v>0</v>
      </c>
      <c r="Q93" s="77">
        <v>0</v>
      </c>
      <c r="R93" s="77">
        <v>0</v>
      </c>
      <c r="S93" s="91">
        <f t="shared" si="22"/>
        <v>2900</v>
      </c>
      <c r="T93" s="91">
        <f t="shared" si="22"/>
        <v>0</v>
      </c>
      <c r="U93" s="91">
        <f t="shared" si="23"/>
        <v>0</v>
      </c>
      <c r="V93" s="92">
        <f t="shared" si="23"/>
        <v>0</v>
      </c>
      <c r="W93" s="77">
        <v>50</v>
      </c>
      <c r="X93" s="90">
        <v>0</v>
      </c>
      <c r="Y93" s="77">
        <v>0</v>
      </c>
      <c r="Z93" s="77">
        <v>0</v>
      </c>
      <c r="AA93" s="91">
        <f t="shared" si="24"/>
        <v>5000</v>
      </c>
      <c r="AB93" s="91">
        <f t="shared" si="24"/>
        <v>0</v>
      </c>
      <c r="AC93" s="91">
        <f t="shared" si="25"/>
        <v>0</v>
      </c>
      <c r="AD93" s="92">
        <f t="shared" si="25"/>
        <v>0</v>
      </c>
      <c r="AE93" s="77">
        <v>55</v>
      </c>
      <c r="AF93" s="90">
        <v>0</v>
      </c>
      <c r="AG93" s="77">
        <v>0</v>
      </c>
      <c r="AH93" s="77">
        <v>6</v>
      </c>
      <c r="AI93" s="91">
        <f t="shared" si="26"/>
        <v>5500</v>
      </c>
      <c r="AJ93" s="91">
        <f t="shared" si="26"/>
        <v>0</v>
      </c>
      <c r="AK93" s="91">
        <f t="shared" si="27"/>
        <v>0</v>
      </c>
      <c r="AL93" s="92">
        <f t="shared" si="27"/>
        <v>1800</v>
      </c>
      <c r="AM93" s="77">
        <v>33</v>
      </c>
      <c r="AN93" s="90">
        <v>0</v>
      </c>
      <c r="AO93" s="77">
        <v>0</v>
      </c>
      <c r="AP93" s="77">
        <v>10</v>
      </c>
      <c r="AQ93" s="91">
        <f t="shared" si="36"/>
        <v>3300</v>
      </c>
      <c r="AR93" s="91">
        <f t="shared" si="36"/>
        <v>0</v>
      </c>
      <c r="AS93" s="91">
        <f t="shared" si="37"/>
        <v>0</v>
      </c>
      <c r="AT93" s="92">
        <f t="shared" si="37"/>
        <v>3000</v>
      </c>
      <c r="AU93" s="12">
        <v>36</v>
      </c>
      <c r="AV93" s="6">
        <v>0</v>
      </c>
      <c r="AW93" s="12">
        <v>0</v>
      </c>
      <c r="AX93" s="12">
        <v>12</v>
      </c>
      <c r="AY93" s="17">
        <f t="shared" si="28"/>
        <v>3600</v>
      </c>
      <c r="AZ93" s="17">
        <f t="shared" si="28"/>
        <v>0</v>
      </c>
      <c r="BA93" s="17">
        <f t="shared" si="29"/>
        <v>0</v>
      </c>
      <c r="BB93" s="25">
        <f t="shared" si="29"/>
        <v>3600</v>
      </c>
      <c r="BC93" s="12">
        <v>36</v>
      </c>
      <c r="BD93" s="6">
        <v>0</v>
      </c>
      <c r="BE93" s="12">
        <v>0</v>
      </c>
      <c r="BF93" s="12">
        <v>12</v>
      </c>
      <c r="BG93" s="17">
        <f t="shared" si="30"/>
        <v>3600</v>
      </c>
      <c r="BH93" s="17">
        <f t="shared" si="30"/>
        <v>0</v>
      </c>
      <c r="BI93" s="17">
        <f t="shared" si="31"/>
        <v>0</v>
      </c>
      <c r="BJ93" s="25">
        <f t="shared" si="31"/>
        <v>3600</v>
      </c>
      <c r="BK93" s="12">
        <v>35</v>
      </c>
      <c r="BL93" s="6">
        <v>0</v>
      </c>
      <c r="BM93" s="12">
        <v>0</v>
      </c>
      <c r="BN93" s="12">
        <v>12</v>
      </c>
      <c r="BO93" s="17">
        <f t="shared" si="32"/>
        <v>3500</v>
      </c>
      <c r="BP93" s="17">
        <f t="shared" si="32"/>
        <v>0</v>
      </c>
      <c r="BQ93" s="17">
        <f t="shared" si="33"/>
        <v>0</v>
      </c>
      <c r="BR93" s="25">
        <f t="shared" si="33"/>
        <v>3600</v>
      </c>
      <c r="BS93" s="12">
        <v>38</v>
      </c>
      <c r="BT93" s="6">
        <v>0</v>
      </c>
      <c r="BU93" s="12">
        <v>0</v>
      </c>
      <c r="BV93" s="12">
        <v>12</v>
      </c>
      <c r="BW93" s="17">
        <f t="shared" si="34"/>
        <v>3800</v>
      </c>
      <c r="BX93" s="17">
        <f t="shared" si="34"/>
        <v>0</v>
      </c>
      <c r="BY93" s="17">
        <f t="shared" si="35"/>
        <v>0</v>
      </c>
      <c r="BZ93" s="25">
        <f t="shared" si="35"/>
        <v>3600</v>
      </c>
      <c r="CA93" s="81"/>
      <c r="CB93" s="75"/>
      <c r="CC93" s="81"/>
      <c r="CD93" s="81"/>
      <c r="CE93" s="93"/>
      <c r="CF93" s="93"/>
      <c r="CG93" s="93"/>
      <c r="CH93" s="94"/>
      <c r="CI93" s="81"/>
      <c r="CJ93" s="75"/>
      <c r="CK93" s="81"/>
      <c r="CL93" s="81"/>
      <c r="CM93" s="93"/>
      <c r="CN93" s="93"/>
      <c r="CO93" s="93"/>
      <c r="CP93" s="94"/>
      <c r="CQ93" s="81"/>
      <c r="CR93" s="75"/>
      <c r="CS93" s="81"/>
      <c r="CT93" s="81"/>
      <c r="CU93" s="93"/>
      <c r="CV93" s="93"/>
      <c r="CW93" s="93"/>
      <c r="CX93" s="94"/>
      <c r="CY93" s="81"/>
      <c r="CZ93" s="75"/>
      <c r="DA93" s="81"/>
      <c r="DB93" s="81"/>
      <c r="DC93" s="93"/>
      <c r="DD93" s="93"/>
      <c r="DE93" s="93"/>
      <c r="DF93" s="94"/>
      <c r="DG93" s="81"/>
      <c r="DH93" s="75"/>
      <c r="DI93" s="81"/>
      <c r="DJ93" s="81"/>
      <c r="DK93" s="93"/>
      <c r="DL93" s="93"/>
      <c r="DM93" s="93"/>
      <c r="DN93" s="94"/>
      <c r="DO93" s="95"/>
      <c r="DP93" s="96"/>
      <c r="DQ93" s="95"/>
      <c r="DR93" s="97"/>
      <c r="DS93" s="98"/>
      <c r="DT93" s="99"/>
      <c r="DU93" s="99"/>
      <c r="DV93" s="100"/>
      <c r="DW93" s="95"/>
      <c r="DX93" s="96"/>
      <c r="DY93" s="95"/>
      <c r="DZ93" s="97"/>
      <c r="EA93" s="98"/>
      <c r="EB93" s="99"/>
      <c r="EC93" s="99"/>
      <c r="ED93" s="100"/>
      <c r="EE93" s="95"/>
      <c r="EF93" s="96"/>
      <c r="EG93" s="95"/>
      <c r="EH93" s="97"/>
      <c r="EI93" s="98"/>
      <c r="EJ93" s="99"/>
      <c r="EK93" s="99"/>
      <c r="EL93" s="100"/>
    </row>
    <row r="94" spans="1:142">
      <c r="A94" s="75">
        <v>91</v>
      </c>
      <c r="B94" s="75" t="s">
        <v>117</v>
      </c>
      <c r="F94" s="76"/>
      <c r="G94" s="77">
        <v>25</v>
      </c>
      <c r="H94" s="90">
        <v>0</v>
      </c>
      <c r="I94" s="77">
        <v>0</v>
      </c>
      <c r="J94" s="77">
        <v>8</v>
      </c>
      <c r="K94" s="91">
        <f t="shared" si="20"/>
        <v>2500</v>
      </c>
      <c r="L94" s="91">
        <f t="shared" si="20"/>
        <v>0</v>
      </c>
      <c r="M94" s="91">
        <f t="shared" si="21"/>
        <v>0</v>
      </c>
      <c r="N94" s="92">
        <f t="shared" si="21"/>
        <v>2400</v>
      </c>
      <c r="O94" s="77">
        <v>28</v>
      </c>
      <c r="P94" s="90">
        <v>0</v>
      </c>
      <c r="Q94" s="77">
        <v>0</v>
      </c>
      <c r="R94" s="77">
        <v>6</v>
      </c>
      <c r="S94" s="91">
        <f t="shared" si="22"/>
        <v>2800</v>
      </c>
      <c r="T94" s="91">
        <f t="shared" si="22"/>
        <v>0</v>
      </c>
      <c r="U94" s="91">
        <f t="shared" si="23"/>
        <v>0</v>
      </c>
      <c r="V94" s="92">
        <f t="shared" si="23"/>
        <v>1800</v>
      </c>
      <c r="W94" s="77">
        <v>32</v>
      </c>
      <c r="X94" s="90">
        <v>0</v>
      </c>
      <c r="Y94" s="77">
        <v>0</v>
      </c>
      <c r="Z94" s="77">
        <v>6</v>
      </c>
      <c r="AA94" s="91">
        <f t="shared" si="24"/>
        <v>3200</v>
      </c>
      <c r="AB94" s="91">
        <f t="shared" si="24"/>
        <v>0</v>
      </c>
      <c r="AC94" s="91">
        <f t="shared" si="25"/>
        <v>0</v>
      </c>
      <c r="AD94" s="92">
        <f t="shared" si="25"/>
        <v>1800</v>
      </c>
      <c r="AE94" s="77">
        <v>36</v>
      </c>
      <c r="AF94" s="90">
        <v>0</v>
      </c>
      <c r="AG94" s="77">
        <v>0</v>
      </c>
      <c r="AH94" s="77">
        <v>8</v>
      </c>
      <c r="AI94" s="91">
        <f t="shared" si="26"/>
        <v>3600</v>
      </c>
      <c r="AJ94" s="91">
        <f t="shared" si="26"/>
        <v>0</v>
      </c>
      <c r="AK94" s="91">
        <f t="shared" si="27"/>
        <v>0</v>
      </c>
      <c r="AL94" s="92">
        <f t="shared" si="27"/>
        <v>2400</v>
      </c>
      <c r="AM94" s="77">
        <v>25</v>
      </c>
      <c r="AN94" s="90">
        <v>0</v>
      </c>
      <c r="AO94" s="77">
        <v>0</v>
      </c>
      <c r="AP94" s="77">
        <v>10</v>
      </c>
      <c r="AQ94" s="91">
        <f t="shared" si="36"/>
        <v>2500</v>
      </c>
      <c r="AR94" s="91">
        <f t="shared" si="36"/>
        <v>0</v>
      </c>
      <c r="AS94" s="91">
        <f t="shared" si="37"/>
        <v>0</v>
      </c>
      <c r="AT94" s="92">
        <f t="shared" si="37"/>
        <v>3000</v>
      </c>
      <c r="AU94" s="12">
        <v>28</v>
      </c>
      <c r="AV94" s="6">
        <v>0</v>
      </c>
      <c r="AW94" s="12">
        <v>0</v>
      </c>
      <c r="AX94" s="12">
        <v>6</v>
      </c>
      <c r="AY94" s="17">
        <f t="shared" si="28"/>
        <v>2800</v>
      </c>
      <c r="AZ94" s="17">
        <f t="shared" si="28"/>
        <v>0</v>
      </c>
      <c r="BA94" s="17">
        <f t="shared" si="29"/>
        <v>0</v>
      </c>
      <c r="BB94" s="25">
        <f t="shared" si="29"/>
        <v>1800</v>
      </c>
      <c r="BC94" s="12">
        <v>60</v>
      </c>
      <c r="BD94" s="6">
        <v>0</v>
      </c>
      <c r="BE94" s="12">
        <v>0</v>
      </c>
      <c r="BF94" s="12">
        <v>6</v>
      </c>
      <c r="BG94" s="17">
        <f t="shared" si="30"/>
        <v>6000</v>
      </c>
      <c r="BH94" s="17">
        <f t="shared" si="30"/>
        <v>0</v>
      </c>
      <c r="BI94" s="17">
        <f t="shared" si="31"/>
        <v>0</v>
      </c>
      <c r="BJ94" s="25">
        <f t="shared" si="31"/>
        <v>1800</v>
      </c>
      <c r="BK94" s="12">
        <v>58</v>
      </c>
      <c r="BL94" s="6">
        <v>0</v>
      </c>
      <c r="BM94" s="12">
        <v>0</v>
      </c>
      <c r="BN94" s="12">
        <v>6</v>
      </c>
      <c r="BO94" s="17">
        <f t="shared" si="32"/>
        <v>5800</v>
      </c>
      <c r="BP94" s="17">
        <f t="shared" si="32"/>
        <v>0</v>
      </c>
      <c r="BQ94" s="17">
        <f t="shared" si="33"/>
        <v>0</v>
      </c>
      <c r="BR94" s="25">
        <f t="shared" si="33"/>
        <v>1800</v>
      </c>
      <c r="BS94" s="12">
        <v>58</v>
      </c>
      <c r="BT94" s="6">
        <v>0</v>
      </c>
      <c r="BU94" s="12">
        <v>0</v>
      </c>
      <c r="BV94" s="12">
        <v>6</v>
      </c>
      <c r="BW94" s="17">
        <f t="shared" si="34"/>
        <v>5800</v>
      </c>
      <c r="BX94" s="17">
        <f t="shared" si="34"/>
        <v>0</v>
      </c>
      <c r="BY94" s="17">
        <f t="shared" si="35"/>
        <v>0</v>
      </c>
      <c r="BZ94" s="25">
        <f t="shared" si="35"/>
        <v>1800</v>
      </c>
      <c r="CA94" s="81"/>
      <c r="CB94" s="75"/>
      <c r="CC94" s="81"/>
      <c r="CD94" s="81"/>
      <c r="CE94" s="93"/>
      <c r="CF94" s="93"/>
      <c r="CG94" s="93"/>
      <c r="CH94" s="94"/>
      <c r="CI94" s="81"/>
      <c r="CJ94" s="75"/>
      <c r="CK94" s="81"/>
      <c r="CL94" s="81"/>
      <c r="CM94" s="93"/>
      <c r="CN94" s="93"/>
      <c r="CO94" s="93"/>
      <c r="CP94" s="94"/>
      <c r="CQ94" s="81"/>
      <c r="CR94" s="75"/>
      <c r="CS94" s="81"/>
      <c r="CT94" s="81"/>
      <c r="CU94" s="93"/>
      <c r="CV94" s="93"/>
      <c r="CW94" s="93"/>
      <c r="CX94" s="94"/>
      <c r="CY94" s="81"/>
      <c r="CZ94" s="75"/>
      <c r="DA94" s="81"/>
      <c r="DB94" s="81"/>
      <c r="DC94" s="93"/>
      <c r="DD94" s="93"/>
      <c r="DE94" s="93"/>
      <c r="DF94" s="94"/>
      <c r="DG94" s="81"/>
      <c r="DH94" s="75"/>
      <c r="DI94" s="81"/>
      <c r="DJ94" s="81"/>
      <c r="DK94" s="93"/>
      <c r="DL94" s="93"/>
      <c r="DM94" s="93"/>
      <c r="DN94" s="94"/>
      <c r="DO94" s="95"/>
      <c r="DP94" s="96"/>
      <c r="DQ94" s="95"/>
      <c r="DR94" s="97"/>
      <c r="DS94" s="98"/>
      <c r="DT94" s="99"/>
      <c r="DU94" s="99"/>
      <c r="DV94" s="100"/>
      <c r="DW94" s="95"/>
      <c r="DX94" s="96"/>
      <c r="DY94" s="95"/>
      <c r="DZ94" s="97"/>
      <c r="EA94" s="98"/>
      <c r="EB94" s="99"/>
      <c r="EC94" s="99"/>
      <c r="ED94" s="100"/>
      <c r="EE94" s="95"/>
      <c r="EF94" s="96"/>
      <c r="EG94" s="95"/>
      <c r="EH94" s="97"/>
      <c r="EI94" s="98"/>
      <c r="EJ94" s="99"/>
      <c r="EK94" s="99"/>
      <c r="EL94" s="100"/>
    </row>
    <row r="95" spans="1:142">
      <c r="A95" s="75">
        <v>92</v>
      </c>
      <c r="B95" s="75" t="s">
        <v>118</v>
      </c>
      <c r="F95" s="76"/>
      <c r="G95" s="77">
        <v>35</v>
      </c>
      <c r="H95" s="90">
        <v>0</v>
      </c>
      <c r="I95" s="77">
        <v>0</v>
      </c>
      <c r="J95" s="77">
        <v>6</v>
      </c>
      <c r="K95" s="91">
        <f t="shared" si="20"/>
        <v>3500</v>
      </c>
      <c r="L95" s="91">
        <f t="shared" si="20"/>
        <v>0</v>
      </c>
      <c r="M95" s="91">
        <f t="shared" si="21"/>
        <v>0</v>
      </c>
      <c r="N95" s="92">
        <f t="shared" si="21"/>
        <v>1800</v>
      </c>
      <c r="O95" s="77">
        <v>32</v>
      </c>
      <c r="P95" s="90">
        <v>0</v>
      </c>
      <c r="Q95" s="77">
        <v>0</v>
      </c>
      <c r="R95" s="77">
        <v>7</v>
      </c>
      <c r="S95" s="91">
        <f t="shared" si="22"/>
        <v>3200</v>
      </c>
      <c r="T95" s="91">
        <f t="shared" si="22"/>
        <v>0</v>
      </c>
      <c r="U95" s="91">
        <f t="shared" si="23"/>
        <v>0</v>
      </c>
      <c r="V95" s="92">
        <f t="shared" si="23"/>
        <v>2100</v>
      </c>
      <c r="W95" s="77">
        <v>30</v>
      </c>
      <c r="X95" s="90">
        <v>0</v>
      </c>
      <c r="Y95" s="77">
        <v>0</v>
      </c>
      <c r="Z95" s="77">
        <v>7</v>
      </c>
      <c r="AA95" s="91">
        <f t="shared" si="24"/>
        <v>3000</v>
      </c>
      <c r="AB95" s="91">
        <f t="shared" si="24"/>
        <v>0</v>
      </c>
      <c r="AC95" s="91">
        <f t="shared" si="25"/>
        <v>0</v>
      </c>
      <c r="AD95" s="92">
        <f t="shared" si="25"/>
        <v>2100</v>
      </c>
      <c r="AE95" s="77">
        <v>32</v>
      </c>
      <c r="AF95" s="90">
        <v>0</v>
      </c>
      <c r="AG95" s="77">
        <v>0</v>
      </c>
      <c r="AH95" s="77">
        <v>7</v>
      </c>
      <c r="AI95" s="91">
        <f t="shared" si="26"/>
        <v>3200</v>
      </c>
      <c r="AJ95" s="91">
        <f t="shared" si="26"/>
        <v>0</v>
      </c>
      <c r="AK95" s="91">
        <f t="shared" si="27"/>
        <v>0</v>
      </c>
      <c r="AL95" s="92">
        <f t="shared" si="27"/>
        <v>2100</v>
      </c>
      <c r="AM95" s="77">
        <v>34</v>
      </c>
      <c r="AN95" s="90">
        <v>0</v>
      </c>
      <c r="AO95" s="77">
        <v>0</v>
      </c>
      <c r="AP95" s="77">
        <v>8</v>
      </c>
      <c r="AQ95" s="91">
        <f t="shared" si="36"/>
        <v>3400</v>
      </c>
      <c r="AR95" s="91">
        <f t="shared" si="36"/>
        <v>0</v>
      </c>
      <c r="AS95" s="91">
        <f t="shared" si="37"/>
        <v>0</v>
      </c>
      <c r="AT95" s="92">
        <f t="shared" si="37"/>
        <v>2400</v>
      </c>
      <c r="AU95" s="12">
        <v>32</v>
      </c>
      <c r="AV95" s="6">
        <v>0</v>
      </c>
      <c r="AW95" s="12">
        <v>0</v>
      </c>
      <c r="AX95" s="12">
        <v>14</v>
      </c>
      <c r="AY95" s="17">
        <f t="shared" si="28"/>
        <v>3200</v>
      </c>
      <c r="AZ95" s="17">
        <f t="shared" si="28"/>
        <v>0</v>
      </c>
      <c r="BA95" s="17">
        <f t="shared" si="29"/>
        <v>0</v>
      </c>
      <c r="BB95" s="25">
        <f t="shared" si="29"/>
        <v>4200</v>
      </c>
      <c r="BC95" s="12">
        <v>32</v>
      </c>
      <c r="BD95" s="6">
        <v>0</v>
      </c>
      <c r="BE95" s="12">
        <v>0</v>
      </c>
      <c r="BF95" s="12">
        <v>12</v>
      </c>
      <c r="BG95" s="17">
        <f t="shared" si="30"/>
        <v>3200</v>
      </c>
      <c r="BH95" s="17">
        <f t="shared" si="30"/>
        <v>0</v>
      </c>
      <c r="BI95" s="17">
        <f t="shared" si="31"/>
        <v>0</v>
      </c>
      <c r="BJ95" s="25">
        <f t="shared" si="31"/>
        <v>3600</v>
      </c>
      <c r="BK95" s="12">
        <v>36</v>
      </c>
      <c r="BL95" s="6">
        <v>0</v>
      </c>
      <c r="BM95" s="12">
        <v>0</v>
      </c>
      <c r="BN95" s="12">
        <v>12</v>
      </c>
      <c r="BO95" s="17">
        <f t="shared" si="32"/>
        <v>3600</v>
      </c>
      <c r="BP95" s="17">
        <f t="shared" si="32"/>
        <v>0</v>
      </c>
      <c r="BQ95" s="17">
        <f t="shared" si="33"/>
        <v>0</v>
      </c>
      <c r="BR95" s="25">
        <f t="shared" si="33"/>
        <v>3600</v>
      </c>
      <c r="BS95" s="12">
        <v>60</v>
      </c>
      <c r="BT95" s="6">
        <v>0</v>
      </c>
      <c r="BU95" s="12">
        <v>0</v>
      </c>
      <c r="BV95" s="12">
        <v>12</v>
      </c>
      <c r="BW95" s="17">
        <f t="shared" si="34"/>
        <v>6000</v>
      </c>
      <c r="BX95" s="17">
        <f t="shared" si="34"/>
        <v>0</v>
      </c>
      <c r="BY95" s="17">
        <f t="shared" si="35"/>
        <v>0</v>
      </c>
      <c r="BZ95" s="25">
        <f t="shared" si="35"/>
        <v>3600</v>
      </c>
      <c r="CA95" s="81"/>
      <c r="CB95" s="75"/>
      <c r="CC95" s="81"/>
      <c r="CD95" s="81"/>
      <c r="CE95" s="93"/>
      <c r="CF95" s="93"/>
      <c r="CG95" s="93"/>
      <c r="CH95" s="94"/>
      <c r="CI95" s="81"/>
      <c r="CJ95" s="75"/>
      <c r="CK95" s="81"/>
      <c r="CL95" s="81"/>
      <c r="CM95" s="93"/>
      <c r="CN95" s="93"/>
      <c r="CO95" s="93"/>
      <c r="CP95" s="94"/>
      <c r="CQ95" s="81"/>
      <c r="CR95" s="75"/>
      <c r="CS95" s="81"/>
      <c r="CT95" s="81"/>
      <c r="CU95" s="93"/>
      <c r="CV95" s="93"/>
      <c r="CW95" s="93"/>
      <c r="CX95" s="94"/>
      <c r="CY95" s="81"/>
      <c r="CZ95" s="75"/>
      <c r="DA95" s="81"/>
      <c r="DB95" s="81"/>
      <c r="DC95" s="93"/>
      <c r="DD95" s="93"/>
      <c r="DE95" s="93"/>
      <c r="DF95" s="94"/>
      <c r="DG95" s="81"/>
      <c r="DH95" s="75"/>
      <c r="DI95" s="81"/>
      <c r="DJ95" s="81"/>
      <c r="DK95" s="93"/>
      <c r="DL95" s="93"/>
      <c r="DM95" s="93"/>
      <c r="DN95" s="94"/>
      <c r="DO95" s="95"/>
      <c r="DP95" s="96"/>
      <c r="DQ95" s="95"/>
      <c r="DR95" s="97"/>
      <c r="DS95" s="98"/>
      <c r="DT95" s="99"/>
      <c r="DU95" s="99"/>
      <c r="DV95" s="100"/>
      <c r="DW95" s="95"/>
      <c r="DX95" s="96"/>
      <c r="DY95" s="95"/>
      <c r="DZ95" s="97"/>
      <c r="EA95" s="98"/>
      <c r="EB95" s="99"/>
      <c r="EC95" s="99"/>
      <c r="ED95" s="100"/>
      <c r="EE95" s="95"/>
      <c r="EF95" s="96"/>
      <c r="EG95" s="95"/>
      <c r="EH95" s="97"/>
      <c r="EI95" s="98"/>
      <c r="EJ95" s="99"/>
      <c r="EK95" s="99"/>
      <c r="EL95" s="100"/>
    </row>
    <row r="96" spans="1:142">
      <c r="A96" s="75">
        <v>93</v>
      </c>
      <c r="B96" s="75" t="s">
        <v>119</v>
      </c>
      <c r="F96" s="76"/>
      <c r="G96" s="77">
        <v>0</v>
      </c>
      <c r="H96" s="90">
        <v>35</v>
      </c>
      <c r="I96" s="77">
        <v>0</v>
      </c>
      <c r="J96" s="77">
        <v>15</v>
      </c>
      <c r="K96" s="91">
        <f t="shared" si="20"/>
        <v>0</v>
      </c>
      <c r="L96" s="91">
        <f>H96*100</f>
        <v>3500</v>
      </c>
      <c r="M96" s="91">
        <f t="shared" si="21"/>
        <v>0</v>
      </c>
      <c r="N96" s="92">
        <f t="shared" si="21"/>
        <v>4500</v>
      </c>
      <c r="O96" s="77">
        <v>0</v>
      </c>
      <c r="P96" s="90">
        <v>40</v>
      </c>
      <c r="Q96" s="77">
        <v>0</v>
      </c>
      <c r="R96" s="77">
        <v>13</v>
      </c>
      <c r="S96" s="91">
        <f t="shared" si="22"/>
        <v>0</v>
      </c>
      <c r="T96" s="91">
        <f>P96*100</f>
        <v>4000</v>
      </c>
      <c r="U96" s="91">
        <f t="shared" si="23"/>
        <v>0</v>
      </c>
      <c r="V96" s="92">
        <f t="shared" si="23"/>
        <v>3900</v>
      </c>
      <c r="W96" s="77">
        <v>0</v>
      </c>
      <c r="X96" s="90">
        <v>42</v>
      </c>
      <c r="Y96" s="77">
        <v>0</v>
      </c>
      <c r="Z96" s="77">
        <v>15</v>
      </c>
      <c r="AA96" s="91">
        <f t="shared" si="24"/>
        <v>0</v>
      </c>
      <c r="AB96" s="91">
        <f>X96*100</f>
        <v>4200</v>
      </c>
      <c r="AC96" s="91">
        <f t="shared" si="25"/>
        <v>0</v>
      </c>
      <c r="AD96" s="92">
        <f t="shared" si="25"/>
        <v>4500</v>
      </c>
      <c r="AE96" s="77">
        <v>0</v>
      </c>
      <c r="AF96" s="90">
        <v>42</v>
      </c>
      <c r="AG96" s="77">
        <v>0</v>
      </c>
      <c r="AH96" s="77">
        <v>16</v>
      </c>
      <c r="AI96" s="91">
        <f t="shared" si="26"/>
        <v>0</v>
      </c>
      <c r="AJ96" s="91">
        <f>AF96*100</f>
        <v>4200</v>
      </c>
      <c r="AK96" s="91">
        <f t="shared" si="27"/>
        <v>0</v>
      </c>
      <c r="AL96" s="92">
        <f t="shared" si="27"/>
        <v>4800</v>
      </c>
      <c r="AM96" s="77">
        <v>0</v>
      </c>
      <c r="AN96" s="90">
        <v>40</v>
      </c>
      <c r="AO96" s="77">
        <v>0</v>
      </c>
      <c r="AP96" s="77">
        <v>15</v>
      </c>
      <c r="AQ96" s="91">
        <f t="shared" si="36"/>
        <v>0</v>
      </c>
      <c r="AR96" s="91">
        <f>AN96*100</f>
        <v>4000</v>
      </c>
      <c r="AS96" s="91">
        <f t="shared" si="37"/>
        <v>0</v>
      </c>
      <c r="AT96" s="92">
        <f t="shared" si="37"/>
        <v>4500</v>
      </c>
      <c r="AU96" s="12">
        <v>0</v>
      </c>
      <c r="AV96" s="6">
        <v>40</v>
      </c>
      <c r="AW96" s="12">
        <v>0</v>
      </c>
      <c r="AX96" s="12">
        <v>9</v>
      </c>
      <c r="AY96" s="17">
        <f t="shared" si="28"/>
        <v>0</v>
      </c>
      <c r="AZ96" s="17">
        <f t="shared" si="28"/>
        <v>4000</v>
      </c>
      <c r="BA96" s="17">
        <f t="shared" si="29"/>
        <v>0</v>
      </c>
      <c r="BB96" s="25">
        <f t="shared" si="29"/>
        <v>2700</v>
      </c>
      <c r="BC96" s="12">
        <v>0</v>
      </c>
      <c r="BD96" s="6">
        <v>42</v>
      </c>
      <c r="BE96" s="12">
        <v>0</v>
      </c>
      <c r="BF96" s="12">
        <v>9</v>
      </c>
      <c r="BG96" s="17">
        <f t="shared" si="30"/>
        <v>0</v>
      </c>
      <c r="BH96" s="17">
        <f t="shared" si="30"/>
        <v>4200</v>
      </c>
      <c r="BI96" s="17">
        <f t="shared" si="31"/>
        <v>0</v>
      </c>
      <c r="BJ96" s="25">
        <f t="shared" si="31"/>
        <v>2700</v>
      </c>
      <c r="BK96" s="12">
        <v>0</v>
      </c>
      <c r="BL96" s="6">
        <v>40</v>
      </c>
      <c r="BM96" s="12">
        <v>0</v>
      </c>
      <c r="BN96" s="12">
        <v>9</v>
      </c>
      <c r="BO96" s="17">
        <f t="shared" si="32"/>
        <v>0</v>
      </c>
      <c r="BP96" s="17">
        <f t="shared" si="32"/>
        <v>4000</v>
      </c>
      <c r="BQ96" s="17">
        <f t="shared" si="33"/>
        <v>0</v>
      </c>
      <c r="BR96" s="25">
        <f t="shared" si="33"/>
        <v>2700</v>
      </c>
      <c r="BS96" s="12">
        <v>0</v>
      </c>
      <c r="BT96" s="6">
        <v>52</v>
      </c>
      <c r="BU96" s="12">
        <v>0</v>
      </c>
      <c r="BV96" s="12">
        <v>20</v>
      </c>
      <c r="BW96" s="17">
        <f t="shared" si="34"/>
        <v>0</v>
      </c>
      <c r="BX96" s="17">
        <f t="shared" si="34"/>
        <v>5200</v>
      </c>
      <c r="BY96" s="17">
        <f t="shared" si="35"/>
        <v>0</v>
      </c>
      <c r="BZ96" s="25">
        <f t="shared" si="35"/>
        <v>6000</v>
      </c>
      <c r="CA96" s="81"/>
      <c r="CB96" s="75"/>
      <c r="CC96" s="81"/>
      <c r="CD96" s="81"/>
      <c r="CE96" s="93"/>
      <c r="CF96" s="93"/>
      <c r="CG96" s="93"/>
      <c r="CH96" s="94"/>
      <c r="CI96" s="81"/>
      <c r="CJ96" s="75"/>
      <c r="CK96" s="81"/>
      <c r="CL96" s="81"/>
      <c r="CM96" s="93"/>
      <c r="CN96" s="93"/>
      <c r="CO96" s="93"/>
      <c r="CP96" s="94"/>
      <c r="CQ96" s="81"/>
      <c r="CR96" s="75"/>
      <c r="CS96" s="81"/>
      <c r="CT96" s="81"/>
      <c r="CU96" s="93"/>
      <c r="CV96" s="93"/>
      <c r="CW96" s="93"/>
      <c r="CX96" s="94"/>
      <c r="CY96" s="81"/>
      <c r="CZ96" s="75"/>
      <c r="DA96" s="81"/>
      <c r="DB96" s="81"/>
      <c r="DC96" s="93"/>
      <c r="DD96" s="93"/>
      <c r="DE96" s="93"/>
      <c r="DF96" s="94"/>
      <c r="DG96" s="81"/>
      <c r="DH96" s="75"/>
      <c r="DI96" s="81"/>
      <c r="DJ96" s="81"/>
      <c r="DK96" s="93"/>
      <c r="DL96" s="93"/>
      <c r="DM96" s="93"/>
      <c r="DN96" s="94"/>
      <c r="DO96" s="95"/>
      <c r="DP96" s="96"/>
      <c r="DQ96" s="95"/>
      <c r="DR96" s="97"/>
      <c r="DS96" s="98"/>
      <c r="DT96" s="99"/>
      <c r="DU96" s="99"/>
      <c r="DV96" s="100"/>
      <c r="DW96" s="95"/>
      <c r="DX96" s="96"/>
      <c r="DY96" s="95"/>
      <c r="DZ96" s="97"/>
      <c r="EA96" s="98"/>
      <c r="EB96" s="99"/>
      <c r="EC96" s="99"/>
      <c r="ED96" s="100"/>
      <c r="EE96" s="95"/>
      <c r="EF96" s="96"/>
      <c r="EG96" s="95"/>
      <c r="EH96" s="97"/>
      <c r="EI96" s="98"/>
      <c r="EJ96" s="99"/>
      <c r="EK96" s="99"/>
      <c r="EL96" s="100"/>
    </row>
    <row r="97" spans="1:142">
      <c r="A97" s="75">
        <v>94</v>
      </c>
      <c r="B97" s="75" t="s">
        <v>120</v>
      </c>
      <c r="F97" s="76"/>
      <c r="G97" s="77">
        <v>35</v>
      </c>
      <c r="H97" s="90">
        <v>0</v>
      </c>
      <c r="I97" s="77">
        <v>0</v>
      </c>
      <c r="J97" s="77">
        <v>0</v>
      </c>
      <c r="K97" s="91">
        <f t="shared" si="20"/>
        <v>3500</v>
      </c>
      <c r="L97" s="91">
        <f>H97*100</f>
        <v>0</v>
      </c>
      <c r="M97" s="91">
        <f t="shared" si="21"/>
        <v>0</v>
      </c>
      <c r="N97" s="92">
        <f t="shared" si="21"/>
        <v>0</v>
      </c>
      <c r="O97" s="77">
        <v>30</v>
      </c>
      <c r="P97" s="90">
        <v>0</v>
      </c>
      <c r="Q97" s="77">
        <v>0</v>
      </c>
      <c r="R97" s="77">
        <v>0</v>
      </c>
      <c r="S97" s="91">
        <f t="shared" si="22"/>
        <v>3000</v>
      </c>
      <c r="T97" s="91">
        <f>P97*100</f>
        <v>0</v>
      </c>
      <c r="U97" s="91">
        <f t="shared" si="23"/>
        <v>0</v>
      </c>
      <c r="V97" s="92">
        <f t="shared" si="23"/>
        <v>0</v>
      </c>
      <c r="W97" s="77">
        <v>50</v>
      </c>
      <c r="X97" s="90">
        <v>0</v>
      </c>
      <c r="Y97" s="77">
        <v>0</v>
      </c>
      <c r="Z97" s="77">
        <v>0</v>
      </c>
      <c r="AA97" s="91">
        <f t="shared" si="24"/>
        <v>5000</v>
      </c>
      <c r="AB97" s="91">
        <f>X97*100</f>
        <v>0</v>
      </c>
      <c r="AC97" s="91">
        <f t="shared" si="25"/>
        <v>0</v>
      </c>
      <c r="AD97" s="92">
        <f t="shared" si="25"/>
        <v>0</v>
      </c>
      <c r="AE97" s="77">
        <v>50</v>
      </c>
      <c r="AF97" s="90">
        <v>0</v>
      </c>
      <c r="AG97" s="77">
        <v>0</v>
      </c>
      <c r="AH97" s="77">
        <v>0</v>
      </c>
      <c r="AI97" s="91">
        <f t="shared" si="26"/>
        <v>5000</v>
      </c>
      <c r="AJ97" s="91">
        <f>AF97*100</f>
        <v>0</v>
      </c>
      <c r="AK97" s="91">
        <f t="shared" si="27"/>
        <v>0</v>
      </c>
      <c r="AL97" s="92">
        <f t="shared" si="27"/>
        <v>0</v>
      </c>
      <c r="AM97" s="77">
        <v>50</v>
      </c>
      <c r="AN97" s="90">
        <v>0</v>
      </c>
      <c r="AO97" s="77">
        <v>0</v>
      </c>
      <c r="AP97" s="77">
        <v>0</v>
      </c>
      <c r="AQ97" s="91">
        <f t="shared" si="36"/>
        <v>5000</v>
      </c>
      <c r="AR97" s="91">
        <f>AN97*100</f>
        <v>0</v>
      </c>
      <c r="AS97" s="91">
        <f t="shared" si="37"/>
        <v>0</v>
      </c>
      <c r="AT97" s="92">
        <f t="shared" si="37"/>
        <v>0</v>
      </c>
      <c r="AU97" s="12">
        <v>58</v>
      </c>
      <c r="AV97" s="6">
        <v>0</v>
      </c>
      <c r="AW97" s="12">
        <v>0</v>
      </c>
      <c r="AX97" s="12">
        <v>0</v>
      </c>
      <c r="AY97" s="17">
        <f t="shared" si="28"/>
        <v>5800</v>
      </c>
      <c r="AZ97" s="17">
        <f t="shared" si="28"/>
        <v>0</v>
      </c>
      <c r="BA97" s="17">
        <f t="shared" si="29"/>
        <v>0</v>
      </c>
      <c r="BB97" s="25">
        <f t="shared" si="29"/>
        <v>0</v>
      </c>
      <c r="BC97" s="12">
        <v>58</v>
      </c>
      <c r="BD97" s="6">
        <v>0</v>
      </c>
      <c r="BE97" s="12">
        <v>0</v>
      </c>
      <c r="BF97" s="12">
        <v>2</v>
      </c>
      <c r="BG97" s="17">
        <f t="shared" si="30"/>
        <v>5800</v>
      </c>
      <c r="BH97" s="17">
        <f t="shared" si="30"/>
        <v>0</v>
      </c>
      <c r="BI97" s="17">
        <f t="shared" si="31"/>
        <v>0</v>
      </c>
      <c r="BJ97" s="25">
        <f t="shared" si="31"/>
        <v>600</v>
      </c>
      <c r="BK97" s="12">
        <v>58</v>
      </c>
      <c r="BL97" s="6">
        <v>0</v>
      </c>
      <c r="BM97" s="12">
        <v>0</v>
      </c>
      <c r="BN97" s="12">
        <v>2</v>
      </c>
      <c r="BO97" s="17">
        <f t="shared" si="32"/>
        <v>5800</v>
      </c>
      <c r="BP97" s="17">
        <f t="shared" si="32"/>
        <v>0</v>
      </c>
      <c r="BQ97" s="17">
        <f t="shared" si="33"/>
        <v>0</v>
      </c>
      <c r="BR97" s="25">
        <f t="shared" si="33"/>
        <v>600</v>
      </c>
      <c r="BS97" s="12">
        <v>58</v>
      </c>
      <c r="BT97" s="6">
        <v>0</v>
      </c>
      <c r="BU97" s="12">
        <v>0</v>
      </c>
      <c r="BV97" s="12">
        <v>2</v>
      </c>
      <c r="BW97" s="17">
        <f t="shared" si="34"/>
        <v>5800</v>
      </c>
      <c r="BX97" s="17">
        <f t="shared" si="34"/>
        <v>0</v>
      </c>
      <c r="BY97" s="17">
        <f t="shared" si="35"/>
        <v>0</v>
      </c>
      <c r="BZ97" s="25">
        <f t="shared" si="35"/>
        <v>600</v>
      </c>
      <c r="CA97" s="81"/>
      <c r="CB97" s="75"/>
      <c r="CC97" s="81"/>
      <c r="CD97" s="81"/>
      <c r="CE97" s="93"/>
      <c r="CF97" s="93"/>
      <c r="CG97" s="93"/>
      <c r="CH97" s="94"/>
      <c r="CI97" s="81"/>
      <c r="CJ97" s="75"/>
      <c r="CK97" s="81"/>
      <c r="CL97" s="81"/>
      <c r="CM97" s="93"/>
      <c r="CN97" s="93"/>
      <c r="CO97" s="93"/>
      <c r="CP97" s="94"/>
      <c r="CQ97" s="81"/>
      <c r="CR97" s="75"/>
      <c r="CS97" s="81"/>
      <c r="CT97" s="81"/>
      <c r="CU97" s="93"/>
      <c r="CV97" s="93"/>
      <c r="CW97" s="93"/>
      <c r="CX97" s="94"/>
      <c r="CY97" s="81"/>
      <c r="CZ97" s="75"/>
      <c r="DA97" s="81"/>
      <c r="DB97" s="81"/>
      <c r="DC97" s="93"/>
      <c r="DD97" s="93"/>
      <c r="DE97" s="93"/>
      <c r="DF97" s="94"/>
      <c r="DG97" s="81"/>
      <c r="DH97" s="75"/>
      <c r="DI97" s="81"/>
      <c r="DJ97" s="81"/>
      <c r="DK97" s="93"/>
      <c r="DL97" s="93"/>
      <c r="DM97" s="93"/>
      <c r="DN97" s="94"/>
      <c r="DO97" s="95"/>
      <c r="DP97" s="96"/>
      <c r="DQ97" s="95"/>
      <c r="DR97" s="97"/>
      <c r="DS97" s="98"/>
      <c r="DT97" s="99"/>
      <c r="DU97" s="99"/>
      <c r="DV97" s="100"/>
      <c r="DW97" s="95"/>
      <c r="DX97" s="96"/>
      <c r="DY97" s="95"/>
      <c r="DZ97" s="97"/>
      <c r="EA97" s="98"/>
      <c r="EB97" s="99"/>
      <c r="EC97" s="99"/>
      <c r="ED97" s="100"/>
      <c r="EE97" s="95"/>
      <c r="EF97" s="96"/>
      <c r="EG97" s="95"/>
      <c r="EH97" s="97"/>
      <c r="EI97" s="98"/>
      <c r="EJ97" s="99"/>
      <c r="EK97" s="99"/>
      <c r="EL97" s="100"/>
    </row>
    <row r="98" spans="1:142">
      <c r="A98" s="75">
        <v>95</v>
      </c>
      <c r="B98" s="75" t="s">
        <v>121</v>
      </c>
      <c r="F98" s="76"/>
      <c r="G98" s="77">
        <v>40</v>
      </c>
      <c r="H98" s="90">
        <v>0</v>
      </c>
      <c r="I98" s="77">
        <v>0</v>
      </c>
      <c r="J98" s="77">
        <v>5</v>
      </c>
      <c r="K98" s="91">
        <f t="shared" si="20"/>
        <v>4000</v>
      </c>
      <c r="L98" s="91">
        <f t="shared" si="20"/>
        <v>0</v>
      </c>
      <c r="M98" s="91">
        <f t="shared" si="21"/>
        <v>0</v>
      </c>
      <c r="N98" s="92">
        <f t="shared" si="21"/>
        <v>1500</v>
      </c>
      <c r="O98" s="77">
        <v>50</v>
      </c>
      <c r="P98" s="90">
        <v>0</v>
      </c>
      <c r="Q98" s="77">
        <v>0</v>
      </c>
      <c r="R98" s="77">
        <v>10</v>
      </c>
      <c r="S98" s="91">
        <f t="shared" si="22"/>
        <v>5000</v>
      </c>
      <c r="T98" s="91">
        <f t="shared" si="22"/>
        <v>0</v>
      </c>
      <c r="U98" s="91">
        <f t="shared" si="23"/>
        <v>0</v>
      </c>
      <c r="V98" s="92">
        <f t="shared" si="23"/>
        <v>3000</v>
      </c>
      <c r="W98" s="77">
        <v>30</v>
      </c>
      <c r="X98" s="90">
        <v>0</v>
      </c>
      <c r="Y98" s="77">
        <v>0</v>
      </c>
      <c r="Z98" s="77">
        <v>10</v>
      </c>
      <c r="AA98" s="91">
        <f t="shared" si="24"/>
        <v>3000</v>
      </c>
      <c r="AB98" s="91">
        <f t="shared" si="24"/>
        <v>0</v>
      </c>
      <c r="AC98" s="91">
        <f t="shared" si="25"/>
        <v>0</v>
      </c>
      <c r="AD98" s="92">
        <f t="shared" si="25"/>
        <v>3000</v>
      </c>
      <c r="AE98" s="77">
        <v>40</v>
      </c>
      <c r="AF98" s="90">
        <v>0</v>
      </c>
      <c r="AG98" s="77">
        <v>0</v>
      </c>
      <c r="AH98" s="77">
        <v>16</v>
      </c>
      <c r="AI98" s="91">
        <f t="shared" si="26"/>
        <v>4000</v>
      </c>
      <c r="AJ98" s="91">
        <f t="shared" si="26"/>
        <v>0</v>
      </c>
      <c r="AK98" s="91">
        <f t="shared" si="27"/>
        <v>0</v>
      </c>
      <c r="AL98" s="92">
        <f t="shared" si="27"/>
        <v>4800</v>
      </c>
      <c r="AM98" s="77">
        <v>48</v>
      </c>
      <c r="AN98" s="90">
        <v>0</v>
      </c>
      <c r="AO98" s="77">
        <v>0</v>
      </c>
      <c r="AP98" s="77">
        <v>15</v>
      </c>
      <c r="AQ98" s="91">
        <f t="shared" si="36"/>
        <v>4800</v>
      </c>
      <c r="AR98" s="91">
        <f t="shared" si="36"/>
        <v>0</v>
      </c>
      <c r="AS98" s="91">
        <f t="shared" si="37"/>
        <v>0</v>
      </c>
      <c r="AT98" s="92">
        <f t="shared" si="37"/>
        <v>4500</v>
      </c>
      <c r="AU98" s="12">
        <v>48</v>
      </c>
      <c r="AV98" s="6">
        <v>0</v>
      </c>
      <c r="AW98" s="12">
        <v>0</v>
      </c>
      <c r="AX98" s="12">
        <v>11</v>
      </c>
      <c r="AY98" s="17">
        <f t="shared" si="28"/>
        <v>4800</v>
      </c>
      <c r="AZ98" s="17">
        <f t="shared" si="28"/>
        <v>0</v>
      </c>
      <c r="BA98" s="17">
        <f t="shared" si="29"/>
        <v>0</v>
      </c>
      <c r="BB98" s="25">
        <f t="shared" si="29"/>
        <v>3300</v>
      </c>
      <c r="BC98" s="12">
        <v>51</v>
      </c>
      <c r="BD98" s="6">
        <v>0</v>
      </c>
      <c r="BE98" s="12">
        <v>0</v>
      </c>
      <c r="BF98" s="12">
        <v>8</v>
      </c>
      <c r="BG98" s="17">
        <f t="shared" si="30"/>
        <v>5100</v>
      </c>
      <c r="BH98" s="17">
        <f t="shared" si="30"/>
        <v>0</v>
      </c>
      <c r="BI98" s="17">
        <f t="shared" si="31"/>
        <v>0</v>
      </c>
      <c r="BJ98" s="25">
        <f t="shared" si="31"/>
        <v>2400</v>
      </c>
      <c r="BK98" s="12">
        <v>54</v>
      </c>
      <c r="BL98" s="6">
        <v>0</v>
      </c>
      <c r="BM98" s="12">
        <v>0</v>
      </c>
      <c r="BN98" s="12">
        <v>8</v>
      </c>
      <c r="BO98" s="17">
        <f t="shared" si="32"/>
        <v>5400</v>
      </c>
      <c r="BP98" s="17">
        <f t="shared" si="32"/>
        <v>0</v>
      </c>
      <c r="BQ98" s="17">
        <f t="shared" si="33"/>
        <v>0</v>
      </c>
      <c r="BR98" s="25">
        <f t="shared" si="33"/>
        <v>2400</v>
      </c>
      <c r="BS98" s="12">
        <v>56</v>
      </c>
      <c r="BT98" s="6">
        <v>0</v>
      </c>
      <c r="BU98" s="12">
        <v>0</v>
      </c>
      <c r="BV98" s="12">
        <v>8</v>
      </c>
      <c r="BW98" s="17">
        <f t="shared" si="34"/>
        <v>5600</v>
      </c>
      <c r="BX98" s="17">
        <f t="shared" si="34"/>
        <v>0</v>
      </c>
      <c r="BY98" s="17">
        <f t="shared" si="35"/>
        <v>0</v>
      </c>
      <c r="BZ98" s="25">
        <f t="shared" si="35"/>
        <v>2400</v>
      </c>
      <c r="CA98" s="81"/>
      <c r="CB98" s="75"/>
      <c r="CC98" s="81"/>
      <c r="CD98" s="81"/>
      <c r="CE98" s="93"/>
      <c r="CF98" s="93"/>
      <c r="CG98" s="93"/>
      <c r="CH98" s="94"/>
      <c r="CI98" s="81"/>
      <c r="CJ98" s="75"/>
      <c r="CK98" s="81"/>
      <c r="CL98" s="81"/>
      <c r="CM98" s="93"/>
      <c r="CN98" s="93"/>
      <c r="CO98" s="93"/>
      <c r="CP98" s="94"/>
      <c r="CQ98" s="81"/>
      <c r="CR98" s="75"/>
      <c r="CS98" s="81"/>
      <c r="CT98" s="81"/>
      <c r="CU98" s="93"/>
      <c r="CV98" s="93"/>
      <c r="CW98" s="93"/>
      <c r="CX98" s="94"/>
      <c r="CY98" s="81"/>
      <c r="CZ98" s="75"/>
      <c r="DA98" s="81"/>
      <c r="DB98" s="81"/>
      <c r="DC98" s="93"/>
      <c r="DD98" s="93"/>
      <c r="DE98" s="93"/>
      <c r="DF98" s="94"/>
      <c r="DG98" s="81"/>
      <c r="DH98" s="75"/>
      <c r="DI98" s="81"/>
      <c r="DJ98" s="81"/>
      <c r="DK98" s="93"/>
      <c r="DL98" s="93"/>
      <c r="DM98" s="93"/>
      <c r="DN98" s="94"/>
      <c r="DO98" s="95"/>
      <c r="DP98" s="96"/>
      <c r="DQ98" s="95"/>
      <c r="DR98" s="97"/>
      <c r="DS98" s="98"/>
      <c r="DT98" s="99"/>
      <c r="DU98" s="99"/>
      <c r="DV98" s="100"/>
      <c r="DW98" s="95"/>
      <c r="DX98" s="96"/>
      <c r="DY98" s="95"/>
      <c r="DZ98" s="97"/>
      <c r="EA98" s="98"/>
      <c r="EB98" s="99"/>
      <c r="EC98" s="99"/>
      <c r="ED98" s="100"/>
      <c r="EE98" s="95"/>
      <c r="EF98" s="96"/>
      <c r="EG98" s="95"/>
      <c r="EH98" s="97"/>
      <c r="EI98" s="98"/>
      <c r="EJ98" s="99"/>
      <c r="EK98" s="99"/>
      <c r="EL98" s="100"/>
    </row>
    <row r="99" spans="1:142">
      <c r="A99" s="75">
        <v>96</v>
      </c>
      <c r="B99" s="75" t="s">
        <v>122</v>
      </c>
      <c r="F99" s="76"/>
      <c r="G99" s="77">
        <v>25</v>
      </c>
      <c r="H99" s="90">
        <v>0</v>
      </c>
      <c r="I99" s="77">
        <v>0</v>
      </c>
      <c r="J99" s="77">
        <v>5</v>
      </c>
      <c r="K99" s="91">
        <f t="shared" si="20"/>
        <v>2500</v>
      </c>
      <c r="L99" s="91">
        <f t="shared" si="20"/>
        <v>0</v>
      </c>
      <c r="M99" s="91">
        <f t="shared" si="21"/>
        <v>0</v>
      </c>
      <c r="N99" s="92">
        <f t="shared" si="21"/>
        <v>1500</v>
      </c>
      <c r="O99" s="77">
        <v>30</v>
      </c>
      <c r="P99" s="90">
        <v>0</v>
      </c>
      <c r="Q99" s="77">
        <v>0</v>
      </c>
      <c r="R99" s="77">
        <v>5</v>
      </c>
      <c r="S99" s="91">
        <f t="shared" si="22"/>
        <v>3000</v>
      </c>
      <c r="T99" s="91">
        <f t="shared" si="22"/>
        <v>0</v>
      </c>
      <c r="U99" s="91">
        <f t="shared" si="23"/>
        <v>0</v>
      </c>
      <c r="V99" s="92">
        <f t="shared" si="23"/>
        <v>1500</v>
      </c>
      <c r="W99" s="77">
        <v>32</v>
      </c>
      <c r="X99" s="90">
        <v>0</v>
      </c>
      <c r="Y99" s="77">
        <v>0</v>
      </c>
      <c r="Z99" s="77">
        <v>7</v>
      </c>
      <c r="AA99" s="91">
        <f t="shared" si="24"/>
        <v>3200</v>
      </c>
      <c r="AB99" s="91">
        <f t="shared" si="24"/>
        <v>0</v>
      </c>
      <c r="AC99" s="91">
        <f t="shared" si="25"/>
        <v>0</v>
      </c>
      <c r="AD99" s="92">
        <f t="shared" si="25"/>
        <v>2100</v>
      </c>
      <c r="AE99" s="77">
        <v>36</v>
      </c>
      <c r="AF99" s="90">
        <v>0</v>
      </c>
      <c r="AG99" s="77">
        <v>0</v>
      </c>
      <c r="AH99" s="77">
        <v>9</v>
      </c>
      <c r="AI99" s="91">
        <f t="shared" si="26"/>
        <v>3600</v>
      </c>
      <c r="AJ99" s="91">
        <f t="shared" si="26"/>
        <v>0</v>
      </c>
      <c r="AK99" s="91">
        <f t="shared" si="27"/>
        <v>0</v>
      </c>
      <c r="AL99" s="92">
        <f t="shared" si="27"/>
        <v>2700</v>
      </c>
      <c r="AM99" s="77">
        <v>35</v>
      </c>
      <c r="AN99" s="90">
        <v>0</v>
      </c>
      <c r="AO99" s="77">
        <v>0</v>
      </c>
      <c r="AP99" s="77">
        <v>5</v>
      </c>
      <c r="AQ99" s="91">
        <f t="shared" si="36"/>
        <v>3500</v>
      </c>
      <c r="AR99" s="91">
        <f t="shared" si="36"/>
        <v>0</v>
      </c>
      <c r="AS99" s="91">
        <f t="shared" si="37"/>
        <v>0</v>
      </c>
      <c r="AT99" s="92">
        <f t="shared" si="37"/>
        <v>1500</v>
      </c>
      <c r="AU99" s="12">
        <v>36</v>
      </c>
      <c r="AV99" s="6">
        <v>0</v>
      </c>
      <c r="AW99" s="12">
        <v>0</v>
      </c>
      <c r="AX99" s="12">
        <v>5</v>
      </c>
      <c r="AY99" s="17">
        <f t="shared" si="28"/>
        <v>3600</v>
      </c>
      <c r="AZ99" s="17">
        <f t="shared" si="28"/>
        <v>0</v>
      </c>
      <c r="BA99" s="17">
        <f t="shared" si="29"/>
        <v>0</v>
      </c>
      <c r="BB99" s="25">
        <f t="shared" si="29"/>
        <v>1500</v>
      </c>
      <c r="BC99" s="12">
        <v>38</v>
      </c>
      <c r="BD99" s="6">
        <v>0</v>
      </c>
      <c r="BE99" s="12">
        <v>0</v>
      </c>
      <c r="BF99" s="12">
        <v>11</v>
      </c>
      <c r="BG99" s="17">
        <f t="shared" si="30"/>
        <v>3800</v>
      </c>
      <c r="BH99" s="17">
        <f t="shared" si="30"/>
        <v>0</v>
      </c>
      <c r="BI99" s="17">
        <f t="shared" si="31"/>
        <v>0</v>
      </c>
      <c r="BJ99" s="25">
        <f t="shared" si="31"/>
        <v>3300</v>
      </c>
      <c r="BK99" s="12">
        <v>40</v>
      </c>
      <c r="BL99" s="6">
        <v>0</v>
      </c>
      <c r="BM99" s="12">
        <v>0</v>
      </c>
      <c r="BN99" s="12">
        <v>14</v>
      </c>
      <c r="BO99" s="17">
        <f t="shared" si="32"/>
        <v>4000</v>
      </c>
      <c r="BP99" s="17">
        <f t="shared" si="32"/>
        <v>0</v>
      </c>
      <c r="BQ99" s="17">
        <f t="shared" si="33"/>
        <v>0</v>
      </c>
      <c r="BR99" s="25">
        <f t="shared" si="33"/>
        <v>4200</v>
      </c>
      <c r="BS99" s="12">
        <v>45</v>
      </c>
      <c r="BT99" s="6">
        <v>0</v>
      </c>
      <c r="BU99" s="12">
        <v>0</v>
      </c>
      <c r="BV99" s="12">
        <v>14</v>
      </c>
      <c r="BW99" s="17">
        <f t="shared" si="34"/>
        <v>4500</v>
      </c>
      <c r="BX99" s="17">
        <f t="shared" si="34"/>
        <v>0</v>
      </c>
      <c r="BY99" s="17">
        <f t="shared" si="35"/>
        <v>0</v>
      </c>
      <c r="BZ99" s="25">
        <f t="shared" si="35"/>
        <v>4200</v>
      </c>
      <c r="CA99" s="81"/>
      <c r="CB99" s="75"/>
      <c r="CC99" s="81"/>
      <c r="CD99" s="81"/>
      <c r="CE99" s="93"/>
      <c r="CF99" s="93"/>
      <c r="CG99" s="93"/>
      <c r="CH99" s="94"/>
      <c r="CI99" s="81"/>
      <c r="CJ99" s="75"/>
      <c r="CK99" s="81"/>
      <c r="CL99" s="81"/>
      <c r="CM99" s="93"/>
      <c r="CN99" s="93"/>
      <c r="CO99" s="93"/>
      <c r="CP99" s="94"/>
      <c r="CQ99" s="81"/>
      <c r="CR99" s="75"/>
      <c r="CS99" s="81"/>
      <c r="CT99" s="81"/>
      <c r="CU99" s="93"/>
      <c r="CV99" s="93"/>
      <c r="CW99" s="93"/>
      <c r="CX99" s="94"/>
      <c r="CY99" s="81"/>
      <c r="CZ99" s="75"/>
      <c r="DA99" s="81"/>
      <c r="DB99" s="81"/>
      <c r="DC99" s="93"/>
      <c r="DD99" s="93"/>
      <c r="DE99" s="93"/>
      <c r="DF99" s="94"/>
      <c r="DG99" s="81"/>
      <c r="DH99" s="75"/>
      <c r="DI99" s="81"/>
      <c r="DJ99" s="81"/>
      <c r="DK99" s="93"/>
      <c r="DL99" s="93"/>
      <c r="DM99" s="93"/>
      <c r="DN99" s="94"/>
      <c r="DO99" s="95"/>
      <c r="DP99" s="96"/>
      <c r="DQ99" s="95"/>
      <c r="DR99" s="97"/>
      <c r="DS99" s="98"/>
      <c r="DT99" s="99"/>
      <c r="DU99" s="99"/>
      <c r="DV99" s="100"/>
      <c r="DW99" s="95"/>
      <c r="DX99" s="96"/>
      <c r="DY99" s="95"/>
      <c r="DZ99" s="97"/>
      <c r="EA99" s="98"/>
      <c r="EB99" s="99"/>
      <c r="EC99" s="99"/>
      <c r="ED99" s="100"/>
      <c r="EE99" s="95"/>
      <c r="EF99" s="96"/>
      <c r="EG99" s="95"/>
      <c r="EH99" s="97"/>
      <c r="EI99" s="98"/>
      <c r="EJ99" s="99"/>
      <c r="EK99" s="99"/>
      <c r="EL99" s="100"/>
    </row>
    <row r="100" spans="1:142">
      <c r="A100" s="75">
        <v>97</v>
      </c>
      <c r="B100" s="75" t="s">
        <v>123</v>
      </c>
      <c r="F100" s="76"/>
      <c r="G100" s="77">
        <v>32</v>
      </c>
      <c r="H100" s="90">
        <v>0</v>
      </c>
      <c r="I100" s="77">
        <v>0</v>
      </c>
      <c r="J100" s="77">
        <v>8</v>
      </c>
      <c r="K100" s="91">
        <f t="shared" si="20"/>
        <v>3200</v>
      </c>
      <c r="L100" s="91">
        <f t="shared" si="20"/>
        <v>0</v>
      </c>
      <c r="M100" s="91">
        <f t="shared" si="21"/>
        <v>0</v>
      </c>
      <c r="N100" s="92">
        <f t="shared" si="21"/>
        <v>2400</v>
      </c>
      <c r="O100" s="77">
        <v>38</v>
      </c>
      <c r="P100" s="90">
        <v>0</v>
      </c>
      <c r="Q100" s="77">
        <v>0</v>
      </c>
      <c r="R100" s="77">
        <v>6</v>
      </c>
      <c r="S100" s="91">
        <f t="shared" si="22"/>
        <v>3800</v>
      </c>
      <c r="T100" s="91">
        <f t="shared" si="22"/>
        <v>0</v>
      </c>
      <c r="U100" s="91">
        <f t="shared" si="23"/>
        <v>0</v>
      </c>
      <c r="V100" s="92">
        <f t="shared" si="23"/>
        <v>1800</v>
      </c>
      <c r="W100" s="77">
        <v>25</v>
      </c>
      <c r="X100" s="90">
        <v>0</v>
      </c>
      <c r="Y100" s="77">
        <v>0</v>
      </c>
      <c r="Z100" s="77">
        <v>8</v>
      </c>
      <c r="AA100" s="91">
        <f t="shared" si="24"/>
        <v>2500</v>
      </c>
      <c r="AB100" s="91">
        <f t="shared" si="24"/>
        <v>0</v>
      </c>
      <c r="AC100" s="91">
        <f t="shared" si="25"/>
        <v>0</v>
      </c>
      <c r="AD100" s="92">
        <f t="shared" si="25"/>
        <v>2400</v>
      </c>
      <c r="AE100" s="77">
        <v>28</v>
      </c>
      <c r="AF100" s="90">
        <v>0</v>
      </c>
      <c r="AG100" s="77">
        <v>0</v>
      </c>
      <c r="AH100" s="77">
        <v>10</v>
      </c>
      <c r="AI100" s="91">
        <f t="shared" si="26"/>
        <v>2800</v>
      </c>
      <c r="AJ100" s="91">
        <f t="shared" si="26"/>
        <v>0</v>
      </c>
      <c r="AK100" s="91">
        <f t="shared" si="27"/>
        <v>0</v>
      </c>
      <c r="AL100" s="92">
        <f t="shared" si="27"/>
        <v>3000</v>
      </c>
      <c r="AM100" s="77">
        <v>45</v>
      </c>
      <c r="AN100" s="90">
        <v>0</v>
      </c>
      <c r="AO100" s="77">
        <v>0</v>
      </c>
      <c r="AP100" s="77">
        <v>10</v>
      </c>
      <c r="AQ100" s="91">
        <f t="shared" si="36"/>
        <v>4500</v>
      </c>
      <c r="AR100" s="91">
        <f t="shared" si="36"/>
        <v>0</v>
      </c>
      <c r="AS100" s="91">
        <f t="shared" si="37"/>
        <v>0</v>
      </c>
      <c r="AT100" s="92">
        <f t="shared" si="37"/>
        <v>3000</v>
      </c>
      <c r="AU100" s="12">
        <v>45</v>
      </c>
      <c r="AV100" s="6">
        <v>0</v>
      </c>
      <c r="AW100" s="12">
        <v>0</v>
      </c>
      <c r="AX100" s="12">
        <v>10</v>
      </c>
      <c r="AY100" s="17">
        <f t="shared" si="28"/>
        <v>4500</v>
      </c>
      <c r="AZ100" s="17">
        <f t="shared" si="28"/>
        <v>0</v>
      </c>
      <c r="BA100" s="17">
        <f t="shared" si="29"/>
        <v>0</v>
      </c>
      <c r="BB100" s="25">
        <f t="shared" si="29"/>
        <v>3000</v>
      </c>
      <c r="BC100" s="12">
        <v>45</v>
      </c>
      <c r="BD100" s="6">
        <v>0</v>
      </c>
      <c r="BE100" s="12">
        <v>0</v>
      </c>
      <c r="BF100" s="12">
        <v>10</v>
      </c>
      <c r="BG100" s="17">
        <f t="shared" si="30"/>
        <v>4500</v>
      </c>
      <c r="BH100" s="17">
        <f t="shared" si="30"/>
        <v>0</v>
      </c>
      <c r="BI100" s="17">
        <f t="shared" si="31"/>
        <v>0</v>
      </c>
      <c r="BJ100" s="25">
        <f t="shared" si="31"/>
        <v>3000</v>
      </c>
      <c r="BK100" s="12">
        <v>45</v>
      </c>
      <c r="BL100" s="6">
        <v>0</v>
      </c>
      <c r="BM100" s="12">
        <v>0</v>
      </c>
      <c r="BN100" s="12">
        <v>10</v>
      </c>
      <c r="BO100" s="17">
        <f t="shared" si="32"/>
        <v>4500</v>
      </c>
      <c r="BP100" s="17">
        <f t="shared" si="32"/>
        <v>0</v>
      </c>
      <c r="BQ100" s="17">
        <f t="shared" si="33"/>
        <v>0</v>
      </c>
      <c r="BR100" s="25">
        <f t="shared" si="33"/>
        <v>3000</v>
      </c>
      <c r="BS100" s="12">
        <v>40</v>
      </c>
      <c r="BT100" s="6">
        <v>0</v>
      </c>
      <c r="BU100" s="12">
        <v>0</v>
      </c>
      <c r="BV100" s="12">
        <v>10</v>
      </c>
      <c r="BW100" s="17">
        <f t="shared" si="34"/>
        <v>4000</v>
      </c>
      <c r="BX100" s="17">
        <f t="shared" si="34"/>
        <v>0</v>
      </c>
      <c r="BY100" s="17">
        <f t="shared" si="35"/>
        <v>0</v>
      </c>
      <c r="BZ100" s="25">
        <f t="shared" si="35"/>
        <v>3000</v>
      </c>
      <c r="CA100" s="81"/>
      <c r="CB100" s="75"/>
      <c r="CC100" s="81"/>
      <c r="CD100" s="81"/>
      <c r="CE100" s="93"/>
      <c r="CF100" s="93"/>
      <c r="CG100" s="93"/>
      <c r="CH100" s="94"/>
      <c r="CI100" s="81"/>
      <c r="CJ100" s="75"/>
      <c r="CK100" s="81"/>
      <c r="CL100" s="81"/>
      <c r="CM100" s="93"/>
      <c r="CN100" s="93"/>
      <c r="CO100" s="93"/>
      <c r="CP100" s="94"/>
      <c r="CQ100" s="81"/>
      <c r="CR100" s="75"/>
      <c r="CS100" s="81"/>
      <c r="CT100" s="81"/>
      <c r="CU100" s="93"/>
      <c r="CV100" s="93"/>
      <c r="CW100" s="93"/>
      <c r="CX100" s="94"/>
      <c r="CY100" s="81"/>
      <c r="CZ100" s="75"/>
      <c r="DA100" s="81"/>
      <c r="DB100" s="81"/>
      <c r="DC100" s="93"/>
      <c r="DD100" s="93"/>
      <c r="DE100" s="93"/>
      <c r="DF100" s="94"/>
      <c r="DG100" s="81"/>
      <c r="DH100" s="75"/>
      <c r="DI100" s="81"/>
      <c r="DJ100" s="81"/>
      <c r="DK100" s="93"/>
      <c r="DL100" s="93"/>
      <c r="DM100" s="93"/>
      <c r="DN100" s="94"/>
      <c r="DO100" s="95"/>
      <c r="DP100" s="96"/>
      <c r="DQ100" s="95"/>
      <c r="DR100" s="97"/>
      <c r="DS100" s="98"/>
      <c r="DT100" s="99"/>
      <c r="DU100" s="99"/>
      <c r="DV100" s="100"/>
      <c r="DW100" s="95"/>
      <c r="DX100" s="96"/>
      <c r="DY100" s="95"/>
      <c r="DZ100" s="97"/>
      <c r="EA100" s="98"/>
      <c r="EB100" s="99"/>
      <c r="EC100" s="99"/>
      <c r="ED100" s="100"/>
      <c r="EE100" s="95"/>
      <c r="EF100" s="96"/>
      <c r="EG100" s="95"/>
      <c r="EH100" s="97"/>
      <c r="EI100" s="98"/>
      <c r="EJ100" s="99"/>
      <c r="EK100" s="99"/>
      <c r="EL100" s="100"/>
    </row>
    <row r="101" spans="1:142">
      <c r="A101" s="75">
        <v>98</v>
      </c>
      <c r="B101" s="75" t="s">
        <v>124</v>
      </c>
      <c r="F101" s="76"/>
      <c r="G101" s="77">
        <v>28</v>
      </c>
      <c r="H101" s="90">
        <v>0</v>
      </c>
      <c r="I101" s="77">
        <v>0</v>
      </c>
      <c r="J101" s="77">
        <v>8</v>
      </c>
      <c r="K101" s="91">
        <f t="shared" si="20"/>
        <v>2800</v>
      </c>
      <c r="L101" s="91">
        <f t="shared" si="20"/>
        <v>0</v>
      </c>
      <c r="M101" s="91">
        <f t="shared" si="21"/>
        <v>0</v>
      </c>
      <c r="N101" s="92">
        <f t="shared" si="21"/>
        <v>2400</v>
      </c>
      <c r="O101" s="77">
        <v>30</v>
      </c>
      <c r="P101" s="90">
        <v>0</v>
      </c>
      <c r="Q101" s="77">
        <v>0</v>
      </c>
      <c r="R101" s="77">
        <v>20</v>
      </c>
      <c r="S101" s="91">
        <f t="shared" si="22"/>
        <v>3000</v>
      </c>
      <c r="T101" s="91">
        <f t="shared" si="22"/>
        <v>0</v>
      </c>
      <c r="U101" s="91">
        <f t="shared" si="23"/>
        <v>0</v>
      </c>
      <c r="V101" s="92">
        <f t="shared" si="23"/>
        <v>6000</v>
      </c>
      <c r="W101" s="77">
        <v>30</v>
      </c>
      <c r="X101" s="90">
        <v>0</v>
      </c>
      <c r="Y101" s="77">
        <v>0</v>
      </c>
      <c r="Z101" s="77">
        <v>20</v>
      </c>
      <c r="AA101" s="91">
        <f t="shared" si="24"/>
        <v>3000</v>
      </c>
      <c r="AB101" s="91">
        <f t="shared" si="24"/>
        <v>0</v>
      </c>
      <c r="AC101" s="91">
        <f t="shared" si="25"/>
        <v>0</v>
      </c>
      <c r="AD101" s="92">
        <f t="shared" si="25"/>
        <v>6000</v>
      </c>
      <c r="AE101" s="77">
        <v>30</v>
      </c>
      <c r="AF101" s="90">
        <v>0</v>
      </c>
      <c r="AG101" s="77">
        <v>0</v>
      </c>
      <c r="AH101" s="77">
        <v>16</v>
      </c>
      <c r="AI101" s="91">
        <f t="shared" si="26"/>
        <v>3000</v>
      </c>
      <c r="AJ101" s="91">
        <f t="shared" si="26"/>
        <v>0</v>
      </c>
      <c r="AK101" s="91">
        <f t="shared" si="27"/>
        <v>0</v>
      </c>
      <c r="AL101" s="92">
        <f t="shared" si="27"/>
        <v>4800</v>
      </c>
      <c r="AM101" s="77">
        <v>50</v>
      </c>
      <c r="AN101" s="90">
        <v>0</v>
      </c>
      <c r="AO101" s="77">
        <v>0</v>
      </c>
      <c r="AP101" s="77">
        <v>12</v>
      </c>
      <c r="AQ101" s="91">
        <f t="shared" si="36"/>
        <v>5000</v>
      </c>
      <c r="AR101" s="91">
        <f t="shared" si="36"/>
        <v>0</v>
      </c>
      <c r="AS101" s="91">
        <f t="shared" si="37"/>
        <v>0</v>
      </c>
      <c r="AT101" s="92">
        <f t="shared" si="37"/>
        <v>3600</v>
      </c>
      <c r="AU101" s="12">
        <v>48</v>
      </c>
      <c r="AV101" s="6">
        <v>0</v>
      </c>
      <c r="AW101" s="12">
        <v>0</v>
      </c>
      <c r="AX101" s="12">
        <v>12</v>
      </c>
      <c r="AY101" s="17">
        <f t="shared" si="28"/>
        <v>4800</v>
      </c>
      <c r="AZ101" s="17">
        <f t="shared" si="28"/>
        <v>0</v>
      </c>
      <c r="BA101" s="17">
        <f t="shared" si="29"/>
        <v>0</v>
      </c>
      <c r="BB101" s="25">
        <f t="shared" si="29"/>
        <v>3600</v>
      </c>
      <c r="BC101" s="12">
        <v>50</v>
      </c>
      <c r="BD101" s="6">
        <v>0</v>
      </c>
      <c r="BE101" s="12">
        <v>0</v>
      </c>
      <c r="BF101" s="12">
        <v>12</v>
      </c>
      <c r="BG101" s="17">
        <f t="shared" si="30"/>
        <v>5000</v>
      </c>
      <c r="BH101" s="17">
        <f t="shared" si="30"/>
        <v>0</v>
      </c>
      <c r="BI101" s="17">
        <f t="shared" si="31"/>
        <v>0</v>
      </c>
      <c r="BJ101" s="25">
        <f t="shared" si="31"/>
        <v>3600</v>
      </c>
      <c r="BK101" s="12">
        <v>48</v>
      </c>
      <c r="BL101" s="6">
        <v>0</v>
      </c>
      <c r="BM101" s="12">
        <v>0</v>
      </c>
      <c r="BN101" s="12">
        <v>12</v>
      </c>
      <c r="BO101" s="17">
        <f t="shared" si="32"/>
        <v>4800</v>
      </c>
      <c r="BP101" s="17">
        <f t="shared" si="32"/>
        <v>0</v>
      </c>
      <c r="BQ101" s="17">
        <f t="shared" si="33"/>
        <v>0</v>
      </c>
      <c r="BR101" s="25">
        <f t="shared" si="33"/>
        <v>3600</v>
      </c>
      <c r="BS101" s="12">
        <v>38</v>
      </c>
      <c r="BT101" s="6">
        <v>0</v>
      </c>
      <c r="BU101" s="12">
        <v>0</v>
      </c>
      <c r="BV101" s="12">
        <v>12</v>
      </c>
      <c r="BW101" s="17">
        <f t="shared" si="34"/>
        <v>3800</v>
      </c>
      <c r="BX101" s="17">
        <f t="shared" si="34"/>
        <v>0</v>
      </c>
      <c r="BY101" s="17">
        <f t="shared" si="35"/>
        <v>0</v>
      </c>
      <c r="BZ101" s="25">
        <f t="shared" si="35"/>
        <v>3600</v>
      </c>
      <c r="CA101" s="81"/>
      <c r="CB101" s="75"/>
      <c r="CC101" s="81"/>
      <c r="CD101" s="81"/>
      <c r="CE101" s="93"/>
      <c r="CF101" s="93"/>
      <c r="CG101" s="93"/>
      <c r="CH101" s="94"/>
      <c r="CI101" s="81"/>
      <c r="CJ101" s="75"/>
      <c r="CK101" s="81"/>
      <c r="CL101" s="81"/>
      <c r="CM101" s="93"/>
      <c r="CN101" s="93"/>
      <c r="CO101" s="93"/>
      <c r="CP101" s="94"/>
      <c r="CQ101" s="81"/>
      <c r="CR101" s="75"/>
      <c r="CS101" s="81"/>
      <c r="CT101" s="81"/>
      <c r="CU101" s="93"/>
      <c r="CV101" s="93"/>
      <c r="CW101" s="93"/>
      <c r="CX101" s="94"/>
      <c r="CY101" s="81"/>
      <c r="CZ101" s="75"/>
      <c r="DA101" s="81"/>
      <c r="DB101" s="81"/>
      <c r="DC101" s="93"/>
      <c r="DD101" s="93"/>
      <c r="DE101" s="93"/>
      <c r="DF101" s="94"/>
      <c r="DG101" s="81"/>
      <c r="DH101" s="75"/>
      <c r="DI101" s="81"/>
      <c r="DJ101" s="81"/>
      <c r="DK101" s="93"/>
      <c r="DL101" s="93"/>
      <c r="DM101" s="93"/>
      <c r="DN101" s="94"/>
      <c r="DO101" s="95"/>
      <c r="DP101" s="96"/>
      <c r="DQ101" s="95"/>
      <c r="DR101" s="97"/>
      <c r="DS101" s="98"/>
      <c r="DT101" s="99"/>
      <c r="DU101" s="99"/>
      <c r="DV101" s="100"/>
      <c r="DW101" s="95"/>
      <c r="DX101" s="96"/>
      <c r="DY101" s="95"/>
      <c r="DZ101" s="97"/>
      <c r="EA101" s="98"/>
      <c r="EB101" s="99"/>
      <c r="EC101" s="99"/>
      <c r="ED101" s="100"/>
      <c r="EE101" s="95"/>
      <c r="EF101" s="96"/>
      <c r="EG101" s="95"/>
      <c r="EH101" s="97"/>
      <c r="EI101" s="98"/>
      <c r="EJ101" s="99"/>
      <c r="EK101" s="99"/>
      <c r="EL101" s="100"/>
    </row>
    <row r="102" spans="1:142">
      <c r="A102" s="75">
        <v>99</v>
      </c>
      <c r="B102" s="75" t="s">
        <v>125</v>
      </c>
      <c r="F102" s="76"/>
      <c r="G102" s="77">
        <v>30</v>
      </c>
      <c r="H102" s="90">
        <v>0</v>
      </c>
      <c r="I102" s="77">
        <v>0</v>
      </c>
      <c r="J102" s="77">
        <v>12</v>
      </c>
      <c r="K102" s="91">
        <f t="shared" si="20"/>
        <v>3000</v>
      </c>
      <c r="L102" s="91">
        <f t="shared" si="20"/>
        <v>0</v>
      </c>
      <c r="M102" s="91">
        <f t="shared" si="21"/>
        <v>0</v>
      </c>
      <c r="N102" s="92">
        <f t="shared" si="21"/>
        <v>3600</v>
      </c>
      <c r="O102" s="77">
        <v>28</v>
      </c>
      <c r="P102" s="90">
        <v>0</v>
      </c>
      <c r="Q102" s="77">
        <v>0</v>
      </c>
      <c r="R102" s="77">
        <v>14</v>
      </c>
      <c r="S102" s="91">
        <f t="shared" si="22"/>
        <v>2800</v>
      </c>
      <c r="T102" s="91">
        <f t="shared" si="22"/>
        <v>0</v>
      </c>
      <c r="U102" s="91">
        <f t="shared" si="23"/>
        <v>0</v>
      </c>
      <c r="V102" s="92">
        <f t="shared" si="23"/>
        <v>4200</v>
      </c>
      <c r="W102" s="77">
        <v>28</v>
      </c>
      <c r="X102" s="90">
        <v>0</v>
      </c>
      <c r="Y102" s="77">
        <v>0</v>
      </c>
      <c r="Z102" s="77">
        <v>14</v>
      </c>
      <c r="AA102" s="91">
        <f t="shared" si="24"/>
        <v>2800</v>
      </c>
      <c r="AB102" s="91">
        <f t="shared" si="24"/>
        <v>0</v>
      </c>
      <c r="AC102" s="91">
        <f t="shared" si="25"/>
        <v>0</v>
      </c>
      <c r="AD102" s="92">
        <f t="shared" si="25"/>
        <v>4200</v>
      </c>
      <c r="AE102" s="77">
        <v>28</v>
      </c>
      <c r="AF102" s="90">
        <v>0</v>
      </c>
      <c r="AG102" s="77">
        <v>0</v>
      </c>
      <c r="AH102" s="77">
        <v>20</v>
      </c>
      <c r="AI102" s="91">
        <f t="shared" si="26"/>
        <v>2800</v>
      </c>
      <c r="AJ102" s="91">
        <f t="shared" si="26"/>
        <v>0</v>
      </c>
      <c r="AK102" s="91">
        <f t="shared" si="27"/>
        <v>0</v>
      </c>
      <c r="AL102" s="92">
        <f t="shared" si="27"/>
        <v>6000</v>
      </c>
      <c r="AM102" s="77">
        <v>32</v>
      </c>
      <c r="AN102" s="90">
        <v>0</v>
      </c>
      <c r="AO102" s="77">
        <v>0</v>
      </c>
      <c r="AP102" s="77">
        <v>20</v>
      </c>
      <c r="AQ102" s="91">
        <f t="shared" si="36"/>
        <v>3200</v>
      </c>
      <c r="AR102" s="91">
        <f t="shared" si="36"/>
        <v>0</v>
      </c>
      <c r="AS102" s="91">
        <f t="shared" si="37"/>
        <v>0</v>
      </c>
      <c r="AT102" s="92">
        <f t="shared" si="37"/>
        <v>6000</v>
      </c>
      <c r="AU102" s="12">
        <v>34</v>
      </c>
      <c r="AV102" s="6">
        <v>0</v>
      </c>
      <c r="AW102" s="12">
        <v>0</v>
      </c>
      <c r="AX102" s="12">
        <v>20</v>
      </c>
      <c r="AY102" s="17">
        <f t="shared" si="28"/>
        <v>3400</v>
      </c>
      <c r="AZ102" s="17">
        <f t="shared" si="28"/>
        <v>0</v>
      </c>
      <c r="BA102" s="17">
        <f t="shared" si="29"/>
        <v>0</v>
      </c>
      <c r="BB102" s="25">
        <f t="shared" si="29"/>
        <v>6000</v>
      </c>
      <c r="BC102" s="12">
        <v>56</v>
      </c>
      <c r="BD102" s="6">
        <v>0</v>
      </c>
      <c r="BE102" s="12">
        <v>0</v>
      </c>
      <c r="BF102" s="12">
        <v>12</v>
      </c>
      <c r="BG102" s="17">
        <f t="shared" si="30"/>
        <v>5600</v>
      </c>
      <c r="BH102" s="17">
        <f t="shared" si="30"/>
        <v>0</v>
      </c>
      <c r="BI102" s="17">
        <f t="shared" si="31"/>
        <v>0</v>
      </c>
      <c r="BJ102" s="25">
        <f t="shared" si="31"/>
        <v>3600</v>
      </c>
      <c r="BK102" s="12">
        <v>46</v>
      </c>
      <c r="BL102" s="6">
        <v>0</v>
      </c>
      <c r="BM102" s="12">
        <v>0</v>
      </c>
      <c r="BN102" s="12">
        <v>12</v>
      </c>
      <c r="BO102" s="17">
        <f t="shared" si="32"/>
        <v>4600</v>
      </c>
      <c r="BP102" s="17">
        <f t="shared" si="32"/>
        <v>0</v>
      </c>
      <c r="BQ102" s="17">
        <f t="shared" si="33"/>
        <v>0</v>
      </c>
      <c r="BR102" s="25">
        <f t="shared" si="33"/>
        <v>3600</v>
      </c>
      <c r="BS102" s="12">
        <v>46</v>
      </c>
      <c r="BT102" s="6">
        <v>0</v>
      </c>
      <c r="BU102" s="12">
        <v>0</v>
      </c>
      <c r="BV102" s="12">
        <v>12</v>
      </c>
      <c r="BW102" s="17">
        <f t="shared" si="34"/>
        <v>4600</v>
      </c>
      <c r="BX102" s="17">
        <f t="shared" si="34"/>
        <v>0</v>
      </c>
      <c r="BY102" s="17">
        <f t="shared" si="35"/>
        <v>0</v>
      </c>
      <c r="BZ102" s="25">
        <f t="shared" si="35"/>
        <v>3600</v>
      </c>
      <c r="CA102" s="81"/>
      <c r="CB102" s="75"/>
      <c r="CC102" s="81"/>
      <c r="CD102" s="81"/>
      <c r="CE102" s="93"/>
      <c r="CF102" s="93"/>
      <c r="CG102" s="93"/>
      <c r="CH102" s="94"/>
      <c r="CI102" s="81"/>
      <c r="CJ102" s="75"/>
      <c r="CK102" s="81"/>
      <c r="CL102" s="81"/>
      <c r="CM102" s="93"/>
      <c r="CN102" s="93"/>
      <c r="CO102" s="93"/>
      <c r="CP102" s="94"/>
      <c r="CQ102" s="81"/>
      <c r="CR102" s="75"/>
      <c r="CS102" s="81"/>
      <c r="CT102" s="81"/>
      <c r="CU102" s="93"/>
      <c r="CV102" s="93"/>
      <c r="CW102" s="93"/>
      <c r="CX102" s="94"/>
      <c r="CY102" s="81"/>
      <c r="CZ102" s="75"/>
      <c r="DA102" s="81"/>
      <c r="DB102" s="81"/>
      <c r="DC102" s="93"/>
      <c r="DD102" s="93"/>
      <c r="DE102" s="93"/>
      <c r="DF102" s="94"/>
      <c r="DG102" s="81"/>
      <c r="DH102" s="75"/>
      <c r="DI102" s="81"/>
      <c r="DJ102" s="81"/>
      <c r="DK102" s="93"/>
      <c r="DL102" s="93"/>
      <c r="DM102" s="93"/>
      <c r="DN102" s="94"/>
      <c r="DO102" s="95"/>
      <c r="DP102" s="96"/>
      <c r="DQ102" s="95"/>
      <c r="DR102" s="97"/>
      <c r="DS102" s="98"/>
      <c r="DT102" s="99"/>
      <c r="DU102" s="99"/>
      <c r="DV102" s="100"/>
      <c r="DW102" s="95"/>
      <c r="DX102" s="96"/>
      <c r="DY102" s="95"/>
      <c r="DZ102" s="97"/>
      <c r="EA102" s="98"/>
      <c r="EB102" s="99"/>
      <c r="EC102" s="99"/>
      <c r="ED102" s="100"/>
      <c r="EE102" s="95"/>
      <c r="EF102" s="96"/>
      <c r="EG102" s="95"/>
      <c r="EH102" s="97"/>
      <c r="EI102" s="98"/>
      <c r="EJ102" s="99"/>
      <c r="EK102" s="99"/>
      <c r="EL102" s="100"/>
    </row>
    <row r="103" spans="1:142">
      <c r="A103" s="75">
        <v>100</v>
      </c>
      <c r="B103" s="75" t="s">
        <v>126</v>
      </c>
      <c r="C103" s="105"/>
      <c r="D103" s="105"/>
      <c r="E103" s="105"/>
      <c r="F103" s="106"/>
      <c r="G103" s="77">
        <v>32</v>
      </c>
      <c r="H103" s="90">
        <v>0</v>
      </c>
      <c r="I103" s="77">
        <v>0</v>
      </c>
      <c r="J103" s="77">
        <v>0</v>
      </c>
      <c r="K103" s="91">
        <f t="shared" si="20"/>
        <v>3200</v>
      </c>
      <c r="L103" s="91">
        <f t="shared" si="20"/>
        <v>0</v>
      </c>
      <c r="M103" s="91">
        <f t="shared" si="21"/>
        <v>0</v>
      </c>
      <c r="N103" s="92">
        <f t="shared" si="21"/>
        <v>0</v>
      </c>
      <c r="O103" s="77">
        <v>35</v>
      </c>
      <c r="P103" s="90">
        <v>0</v>
      </c>
      <c r="Q103" s="77">
        <v>0</v>
      </c>
      <c r="R103" s="77">
        <v>0</v>
      </c>
      <c r="S103" s="91">
        <f t="shared" si="22"/>
        <v>3500</v>
      </c>
      <c r="T103" s="91">
        <f t="shared" si="22"/>
        <v>0</v>
      </c>
      <c r="U103" s="91">
        <f t="shared" si="23"/>
        <v>0</v>
      </c>
      <c r="V103" s="92">
        <f t="shared" si="23"/>
        <v>0</v>
      </c>
      <c r="W103" s="77">
        <v>34</v>
      </c>
      <c r="X103" s="90">
        <v>0</v>
      </c>
      <c r="Y103" s="77">
        <v>0</v>
      </c>
      <c r="Z103" s="77">
        <v>0</v>
      </c>
      <c r="AA103" s="91">
        <f t="shared" si="24"/>
        <v>3400</v>
      </c>
      <c r="AB103" s="91">
        <f t="shared" si="24"/>
        <v>0</v>
      </c>
      <c r="AC103" s="91">
        <f t="shared" si="25"/>
        <v>0</v>
      </c>
      <c r="AD103" s="92">
        <f t="shared" si="25"/>
        <v>0</v>
      </c>
      <c r="AE103" s="77">
        <v>34</v>
      </c>
      <c r="AF103" s="90">
        <v>0</v>
      </c>
      <c r="AG103" s="77">
        <v>0</v>
      </c>
      <c r="AH103" s="77">
        <v>0</v>
      </c>
      <c r="AI103" s="91">
        <f t="shared" si="26"/>
        <v>3400</v>
      </c>
      <c r="AJ103" s="91">
        <f t="shared" si="26"/>
        <v>0</v>
      </c>
      <c r="AK103" s="91">
        <f t="shared" si="27"/>
        <v>0</v>
      </c>
      <c r="AL103" s="92">
        <f t="shared" si="27"/>
        <v>0</v>
      </c>
      <c r="AM103" s="77">
        <v>44</v>
      </c>
      <c r="AN103" s="90">
        <v>0</v>
      </c>
      <c r="AO103" s="77">
        <v>0</v>
      </c>
      <c r="AP103" s="77">
        <v>0</v>
      </c>
      <c r="AQ103" s="91">
        <f t="shared" si="36"/>
        <v>4400</v>
      </c>
      <c r="AR103" s="91">
        <f t="shared" si="36"/>
        <v>0</v>
      </c>
      <c r="AS103" s="91">
        <f t="shared" si="37"/>
        <v>0</v>
      </c>
      <c r="AT103" s="92">
        <f t="shared" si="37"/>
        <v>0</v>
      </c>
      <c r="AU103" s="12">
        <v>50</v>
      </c>
      <c r="AV103" s="6">
        <v>0</v>
      </c>
      <c r="AW103" s="12">
        <v>0</v>
      </c>
      <c r="AX103" s="12">
        <v>0</v>
      </c>
      <c r="AY103" s="17">
        <f t="shared" si="28"/>
        <v>5000</v>
      </c>
      <c r="AZ103" s="17">
        <f t="shared" si="28"/>
        <v>0</v>
      </c>
      <c r="BA103" s="17">
        <f t="shared" si="29"/>
        <v>0</v>
      </c>
      <c r="BB103" s="25">
        <f t="shared" si="29"/>
        <v>0</v>
      </c>
      <c r="BC103" s="12">
        <v>55</v>
      </c>
      <c r="BD103" s="6">
        <v>0</v>
      </c>
      <c r="BE103" s="12">
        <v>0</v>
      </c>
      <c r="BF103" s="12">
        <v>0</v>
      </c>
      <c r="BG103" s="17">
        <f t="shared" si="30"/>
        <v>5500</v>
      </c>
      <c r="BH103" s="17">
        <f t="shared" si="30"/>
        <v>0</v>
      </c>
      <c r="BI103" s="17">
        <f t="shared" si="31"/>
        <v>0</v>
      </c>
      <c r="BJ103" s="25">
        <f t="shared" si="31"/>
        <v>0</v>
      </c>
      <c r="BK103" s="12">
        <v>55</v>
      </c>
      <c r="BL103" s="6">
        <v>0</v>
      </c>
      <c r="BM103" s="12">
        <v>0</v>
      </c>
      <c r="BN103" s="12">
        <v>0</v>
      </c>
      <c r="BO103" s="17">
        <f t="shared" si="32"/>
        <v>5500</v>
      </c>
      <c r="BP103" s="17">
        <f t="shared" si="32"/>
        <v>0</v>
      </c>
      <c r="BQ103" s="17">
        <f t="shared" si="33"/>
        <v>0</v>
      </c>
      <c r="BR103" s="25">
        <f t="shared" si="33"/>
        <v>0</v>
      </c>
      <c r="BS103" s="12">
        <v>55</v>
      </c>
      <c r="BT103" s="6">
        <v>0</v>
      </c>
      <c r="BU103" s="12">
        <v>0</v>
      </c>
      <c r="BV103" s="12">
        <v>3</v>
      </c>
      <c r="BW103" s="17">
        <f t="shared" si="34"/>
        <v>5500</v>
      </c>
      <c r="BX103" s="17">
        <f t="shared" si="34"/>
        <v>0</v>
      </c>
      <c r="BY103" s="17">
        <f t="shared" si="35"/>
        <v>0</v>
      </c>
      <c r="BZ103" s="25">
        <f t="shared" si="35"/>
        <v>900</v>
      </c>
      <c r="CA103" s="81"/>
      <c r="CB103" s="75"/>
      <c r="CC103" s="81"/>
      <c r="CD103" s="81"/>
      <c r="CE103" s="93"/>
      <c r="CF103" s="93"/>
      <c r="CG103" s="93"/>
      <c r="CH103" s="94"/>
      <c r="CI103" s="81"/>
      <c r="CJ103" s="75"/>
      <c r="CK103" s="81"/>
      <c r="CL103" s="81"/>
      <c r="CM103" s="93"/>
      <c r="CN103" s="93"/>
      <c r="CO103" s="93"/>
      <c r="CP103" s="94"/>
      <c r="CQ103" s="81"/>
      <c r="CR103" s="75"/>
      <c r="CS103" s="81"/>
      <c r="CT103" s="81"/>
      <c r="CU103" s="93"/>
      <c r="CV103" s="93"/>
      <c r="CW103" s="93"/>
      <c r="CX103" s="94"/>
      <c r="CY103" s="81"/>
      <c r="CZ103" s="75"/>
      <c r="DA103" s="81"/>
      <c r="DB103" s="81"/>
      <c r="DC103" s="93"/>
      <c r="DD103" s="93"/>
      <c r="DE103" s="93"/>
      <c r="DF103" s="94"/>
      <c r="DG103" s="81"/>
      <c r="DH103" s="75"/>
      <c r="DI103" s="81"/>
      <c r="DJ103" s="81"/>
      <c r="DK103" s="93"/>
      <c r="DL103" s="93"/>
      <c r="DM103" s="93"/>
      <c r="DN103" s="94"/>
      <c r="DO103" s="95"/>
      <c r="DP103" s="96"/>
      <c r="DQ103" s="95"/>
      <c r="DR103" s="97"/>
      <c r="DS103" s="98"/>
      <c r="DT103" s="99"/>
      <c r="DU103" s="99"/>
      <c r="DV103" s="100"/>
      <c r="DW103" s="95"/>
      <c r="DX103" s="96"/>
      <c r="DY103" s="95"/>
      <c r="DZ103" s="97"/>
      <c r="EA103" s="98"/>
      <c r="EB103" s="99"/>
      <c r="EC103" s="99"/>
      <c r="ED103" s="100"/>
      <c r="EE103" s="95"/>
      <c r="EF103" s="96"/>
      <c r="EG103" s="95"/>
      <c r="EH103" s="97"/>
      <c r="EI103" s="98"/>
      <c r="EJ103" s="99"/>
      <c r="EK103" s="99"/>
      <c r="EL103" s="100"/>
    </row>
    <row r="104" spans="1:142">
      <c r="A104" s="59"/>
      <c r="B104" s="107" t="s">
        <v>151</v>
      </c>
      <c r="G104" s="108">
        <f>SUM(G4:G103)</f>
        <v>3423.5</v>
      </c>
      <c r="H104" s="109">
        <f>SUM(H4:H103)</f>
        <v>179</v>
      </c>
      <c r="I104" s="108">
        <v>0</v>
      </c>
      <c r="J104" s="108">
        <f>SUM(J4:J103)</f>
        <v>1234.5999999999999</v>
      </c>
      <c r="K104" s="110">
        <f t="shared" si="20"/>
        <v>342350</v>
      </c>
      <c r="L104" s="110">
        <f>H104*100</f>
        <v>17900</v>
      </c>
      <c r="M104" s="110">
        <f t="shared" si="21"/>
        <v>0</v>
      </c>
      <c r="N104" s="111">
        <f t="shared" si="21"/>
        <v>370380</v>
      </c>
      <c r="O104" s="108">
        <f>SUM(O4:O103)</f>
        <v>3648</v>
      </c>
      <c r="P104" s="109">
        <f>SUM(P4:P103)</f>
        <v>184</v>
      </c>
      <c r="Q104" s="108">
        <v>0</v>
      </c>
      <c r="R104" s="108">
        <f>SUM(R4:R103)</f>
        <v>1297</v>
      </c>
      <c r="S104" s="110">
        <f t="shared" si="22"/>
        <v>364800</v>
      </c>
      <c r="T104" s="110">
        <f>P104*100</f>
        <v>18400</v>
      </c>
      <c r="U104" s="110">
        <f t="shared" si="23"/>
        <v>0</v>
      </c>
      <c r="V104" s="111">
        <f t="shared" si="23"/>
        <v>389100</v>
      </c>
      <c r="W104" s="108">
        <f>SUM(W4:W103)</f>
        <v>3794</v>
      </c>
      <c r="X104" s="109">
        <f>SUM(X4:X103)</f>
        <v>196</v>
      </c>
      <c r="Y104" s="108">
        <v>0</v>
      </c>
      <c r="Z104" s="108">
        <f>SUM(Z4:Z103)</f>
        <v>1343</v>
      </c>
      <c r="AA104" s="110">
        <f t="shared" si="24"/>
        <v>379400</v>
      </c>
      <c r="AB104" s="110">
        <f>X104*100</f>
        <v>19600</v>
      </c>
      <c r="AC104" s="110">
        <f t="shared" si="25"/>
        <v>0</v>
      </c>
      <c r="AD104" s="111">
        <f t="shared" si="25"/>
        <v>402900</v>
      </c>
      <c r="AE104" s="108">
        <f>SUM(AE4:AE103)</f>
        <v>3929</v>
      </c>
      <c r="AF104" s="109">
        <f>SUM(AF4:AF103)</f>
        <v>196</v>
      </c>
      <c r="AG104" s="108">
        <v>0</v>
      </c>
      <c r="AH104" s="108">
        <f>SUM(AH4:AH103)</f>
        <v>1430</v>
      </c>
      <c r="AI104" s="110">
        <f t="shared" si="26"/>
        <v>392900</v>
      </c>
      <c r="AJ104" s="110">
        <f>AF104*100</f>
        <v>19600</v>
      </c>
      <c r="AK104" s="110">
        <f t="shared" si="27"/>
        <v>0</v>
      </c>
      <c r="AL104" s="111">
        <f t="shared" si="27"/>
        <v>429000</v>
      </c>
      <c r="AM104" s="108">
        <f t="shared" ref="AM104" si="38">SUM(AM4:AM103)</f>
        <v>4104</v>
      </c>
      <c r="AN104" s="109">
        <f>SUM(AN4:AN103)</f>
        <v>209</v>
      </c>
      <c r="AO104" s="108">
        <v>0</v>
      </c>
      <c r="AP104" s="108">
        <f>SUM(AP4:AP103)</f>
        <v>1482</v>
      </c>
      <c r="AQ104" s="110">
        <f t="shared" si="36"/>
        <v>410400</v>
      </c>
      <c r="AR104" s="110">
        <f>AN104*100</f>
        <v>20900</v>
      </c>
      <c r="AS104" s="110">
        <f t="shared" si="37"/>
        <v>0</v>
      </c>
      <c r="AT104" s="111">
        <f t="shared" si="37"/>
        <v>444600</v>
      </c>
      <c r="AU104" s="132">
        <f>SUM(AU4:AU103)</f>
        <v>4329</v>
      </c>
      <c r="AV104" s="32">
        <f>SUM(AV4:AV103)</f>
        <v>226</v>
      </c>
      <c r="AW104" s="132">
        <f>SUM(AW4:AW103)</f>
        <v>12</v>
      </c>
      <c r="AX104" s="132">
        <f>SUM(AX4:AX103)</f>
        <v>1517</v>
      </c>
      <c r="AY104" s="133">
        <f t="shared" si="28"/>
        <v>432900</v>
      </c>
      <c r="AZ104" s="133">
        <f t="shared" si="28"/>
        <v>22600</v>
      </c>
      <c r="BA104" s="133">
        <f t="shared" si="29"/>
        <v>3600</v>
      </c>
      <c r="BB104" s="134">
        <f t="shared" si="29"/>
        <v>455100</v>
      </c>
      <c r="BC104" s="132">
        <f>SUM(BC4:BC103)</f>
        <v>4503</v>
      </c>
      <c r="BD104" s="32">
        <f>SUM(BD4:BD103)</f>
        <v>235</v>
      </c>
      <c r="BE104" s="132">
        <f>SUM(BE4:BE103)</f>
        <v>22</v>
      </c>
      <c r="BF104" s="132">
        <f>SUM(BF4:BF103)</f>
        <v>1581</v>
      </c>
      <c r="BG104" s="133">
        <f t="shared" si="30"/>
        <v>450300</v>
      </c>
      <c r="BH104" s="133">
        <f t="shared" si="30"/>
        <v>23500</v>
      </c>
      <c r="BI104" s="133">
        <f t="shared" si="31"/>
        <v>6600</v>
      </c>
      <c r="BJ104" s="134">
        <f t="shared" si="31"/>
        <v>474300</v>
      </c>
      <c r="BK104" s="132">
        <f>SUM(BK4:BK103)</f>
        <v>4694</v>
      </c>
      <c r="BL104" s="32">
        <f>SUM(BL4:BL103)</f>
        <v>265</v>
      </c>
      <c r="BM104" s="132">
        <f>SUM(BM4:BM103)</f>
        <v>29</v>
      </c>
      <c r="BN104" s="132">
        <f>SUM(BN4:BN103)</f>
        <v>1641</v>
      </c>
      <c r="BO104" s="133">
        <f t="shared" si="32"/>
        <v>469400</v>
      </c>
      <c r="BP104" s="133">
        <f t="shared" si="32"/>
        <v>26500</v>
      </c>
      <c r="BQ104" s="133">
        <f t="shared" si="33"/>
        <v>8700</v>
      </c>
      <c r="BR104" s="134">
        <f t="shared" si="33"/>
        <v>492300</v>
      </c>
      <c r="BS104" s="132">
        <f>SUM(BS4:BS103)</f>
        <v>4863</v>
      </c>
      <c r="BT104" s="32">
        <f>SUM(BT4:BT103)</f>
        <v>294</v>
      </c>
      <c r="BU104" s="132">
        <f>SUM(BU4:BU103)</f>
        <v>42</v>
      </c>
      <c r="BV104" s="132">
        <f>SUM(BV4:BV103)</f>
        <v>1697</v>
      </c>
      <c r="BW104" s="133">
        <f t="shared" si="34"/>
        <v>486300</v>
      </c>
      <c r="BX104" s="133">
        <f t="shared" si="34"/>
        <v>29400</v>
      </c>
      <c r="BY104" s="133">
        <f t="shared" si="35"/>
        <v>12600</v>
      </c>
      <c r="BZ104" s="134">
        <f t="shared" si="35"/>
        <v>509100</v>
      </c>
      <c r="CA104" s="81"/>
      <c r="CB104" s="75"/>
      <c r="CC104" s="81"/>
      <c r="CD104" s="81"/>
      <c r="CE104" s="93"/>
      <c r="CF104" s="93"/>
      <c r="CG104" s="93"/>
      <c r="CH104" s="94"/>
      <c r="CI104" s="81"/>
      <c r="CJ104" s="75"/>
      <c r="CK104" s="81"/>
      <c r="CL104" s="81"/>
      <c r="CM104" s="93"/>
      <c r="CN104" s="93"/>
      <c r="CO104" s="93"/>
      <c r="CP104" s="94"/>
      <c r="CQ104" s="81"/>
      <c r="CR104" s="75"/>
      <c r="CS104" s="81"/>
      <c r="CT104" s="81"/>
      <c r="CU104" s="93"/>
      <c r="CV104" s="93"/>
      <c r="CW104" s="93"/>
      <c r="CX104" s="94"/>
      <c r="CY104" s="81"/>
      <c r="CZ104" s="75"/>
      <c r="DA104" s="81"/>
      <c r="DB104" s="81"/>
      <c r="DC104" s="93"/>
      <c r="DD104" s="93"/>
      <c r="DE104" s="93"/>
      <c r="DF104" s="94"/>
      <c r="DG104" s="81"/>
      <c r="DH104" s="75"/>
      <c r="DI104" s="81"/>
      <c r="DJ104" s="81"/>
      <c r="DK104" s="93"/>
      <c r="DL104" s="93"/>
      <c r="DM104" s="93"/>
      <c r="DN104" s="94"/>
      <c r="DO104" s="95"/>
      <c r="DP104" s="96"/>
      <c r="DQ104" s="95"/>
      <c r="DR104" s="97"/>
      <c r="DS104" s="98"/>
      <c r="DT104" s="99"/>
      <c r="DU104" s="99"/>
      <c r="DV104" s="100"/>
      <c r="DW104" s="95"/>
      <c r="DX104" s="96"/>
      <c r="DY104" s="95"/>
      <c r="DZ104" s="97"/>
      <c r="EA104" s="98"/>
      <c r="EB104" s="99"/>
      <c r="EC104" s="99"/>
      <c r="ED104" s="100"/>
      <c r="EE104" s="95"/>
      <c r="EF104" s="96"/>
      <c r="EG104" s="95"/>
      <c r="EH104" s="97"/>
      <c r="EI104" s="98"/>
      <c r="EJ104" s="99"/>
      <c r="EK104" s="99"/>
      <c r="EL104" s="100"/>
    </row>
    <row r="105" spans="1:142">
      <c r="G105" s="112"/>
      <c r="O105" s="53"/>
      <c r="P105" s="53"/>
      <c r="Q105" s="53"/>
      <c r="S105" s="53"/>
      <c r="T105" s="53"/>
      <c r="U105" s="53"/>
      <c r="V105" s="53"/>
      <c r="Z105" s="113"/>
      <c r="AD105" s="113"/>
      <c r="AM105" s="58"/>
      <c r="AN105" s="58"/>
      <c r="AO105" s="58"/>
      <c r="AP105" s="58"/>
      <c r="AQ105" s="58"/>
      <c r="AR105" s="58">
        <f>AN105*100</f>
        <v>0</v>
      </c>
      <c r="AS105" s="58"/>
      <c r="AT105" s="58"/>
    </row>
    <row r="106" spans="1:142">
      <c r="A106" s="53"/>
      <c r="B106" s="53"/>
      <c r="C106" s="54"/>
      <c r="D106" s="54"/>
      <c r="E106" s="54"/>
      <c r="F106" s="54"/>
      <c r="G106" s="55">
        <v>2022</v>
      </c>
      <c r="H106" s="56"/>
      <c r="I106" s="54"/>
      <c r="J106" s="54"/>
      <c r="O106" s="53"/>
      <c r="P106" s="53"/>
      <c r="Q106" s="53"/>
      <c r="S106" s="53"/>
      <c r="T106" s="53"/>
      <c r="U106" s="53"/>
      <c r="V106" s="53"/>
      <c r="AE106" s="53"/>
      <c r="AM106" s="58"/>
      <c r="AN106" s="58"/>
      <c r="AO106" s="58"/>
      <c r="AP106" s="58"/>
      <c r="AQ106" s="58"/>
      <c r="AR106" s="58"/>
      <c r="AS106" s="58"/>
      <c r="AT106" s="58"/>
      <c r="AU106" s="128">
        <v>2023</v>
      </c>
    </row>
    <row r="107" spans="1:142" ht="14" customHeight="1">
      <c r="A107" s="53"/>
      <c r="B107" s="53" t="s">
        <v>189</v>
      </c>
      <c r="C107" s="54"/>
      <c r="D107" s="54"/>
      <c r="E107" s="54"/>
      <c r="F107" s="54"/>
      <c r="G107" s="151" t="s">
        <v>181</v>
      </c>
      <c r="H107" s="144"/>
      <c r="I107" s="144"/>
      <c r="J107" s="144"/>
      <c r="K107" s="144"/>
      <c r="L107" s="144"/>
      <c r="M107" s="144"/>
      <c r="N107" s="145"/>
      <c r="O107" s="152" t="s">
        <v>3</v>
      </c>
      <c r="P107" s="144"/>
      <c r="Q107" s="144"/>
      <c r="R107" s="144"/>
      <c r="S107" s="144"/>
      <c r="T107" s="144"/>
      <c r="U107" s="144"/>
      <c r="V107" s="145"/>
      <c r="W107" s="152" t="s">
        <v>144</v>
      </c>
      <c r="X107" s="144"/>
      <c r="Y107" s="144"/>
      <c r="Z107" s="144"/>
      <c r="AA107" s="144"/>
      <c r="AB107" s="144"/>
      <c r="AC107" s="144"/>
      <c r="AD107" s="153"/>
      <c r="AE107" s="151" t="s">
        <v>182</v>
      </c>
      <c r="AF107" s="144"/>
      <c r="AG107" s="144"/>
      <c r="AH107" s="144"/>
      <c r="AI107" s="144"/>
      <c r="AJ107" s="144"/>
      <c r="AK107" s="144"/>
      <c r="AL107" s="145"/>
      <c r="AM107" s="143" t="s">
        <v>146</v>
      </c>
      <c r="AN107" s="144"/>
      <c r="AO107" s="144"/>
      <c r="AP107" s="144"/>
      <c r="AQ107" s="144"/>
      <c r="AR107" s="144"/>
      <c r="AS107" s="144"/>
      <c r="AT107" s="145"/>
      <c r="AU107" s="146" t="s">
        <v>147</v>
      </c>
      <c r="AV107" s="147"/>
      <c r="AW107" s="147"/>
      <c r="AX107" s="147"/>
      <c r="AY107" s="147"/>
      <c r="AZ107" s="147"/>
      <c r="BA107" s="147"/>
      <c r="BB107" s="148"/>
      <c r="BC107" s="146" t="s">
        <v>153</v>
      </c>
      <c r="BD107" s="147"/>
      <c r="BE107" s="147"/>
      <c r="BF107" s="147"/>
      <c r="BG107" s="147"/>
      <c r="BH107" s="147"/>
      <c r="BI107" s="147"/>
      <c r="BJ107" s="148"/>
      <c r="BK107" s="146" t="s">
        <v>154</v>
      </c>
      <c r="BL107" s="147"/>
      <c r="BM107" s="147"/>
      <c r="BN107" s="147"/>
      <c r="BO107" s="147"/>
      <c r="BP107" s="147"/>
      <c r="BQ107" s="147"/>
      <c r="BR107" s="148"/>
      <c r="BS107" s="146" t="s">
        <v>155</v>
      </c>
      <c r="BT107" s="147"/>
      <c r="BU107" s="147"/>
      <c r="BV107" s="147"/>
      <c r="BW107" s="147"/>
      <c r="BX107" s="147"/>
      <c r="BY107" s="147"/>
      <c r="BZ107" s="148"/>
      <c r="CA107" s="143" t="s">
        <v>156</v>
      </c>
      <c r="CB107" s="144"/>
      <c r="CC107" s="144"/>
      <c r="CD107" s="144"/>
      <c r="CE107" s="144"/>
      <c r="CF107" s="144"/>
      <c r="CG107" s="144"/>
      <c r="CH107" s="145"/>
      <c r="CI107" s="143" t="s">
        <v>0</v>
      </c>
      <c r="CJ107" s="144"/>
      <c r="CK107" s="144"/>
      <c r="CL107" s="144"/>
      <c r="CM107" s="144"/>
      <c r="CN107" s="144"/>
      <c r="CO107" s="144"/>
      <c r="CP107" s="145"/>
      <c r="CQ107" s="143" t="s">
        <v>1</v>
      </c>
      <c r="CR107" s="144"/>
      <c r="CS107" s="144"/>
      <c r="CT107" s="144"/>
      <c r="CU107" s="144"/>
      <c r="CV107" s="144"/>
      <c r="CW107" s="144"/>
      <c r="CX107" s="145"/>
      <c r="CY107" s="143" t="s">
        <v>190</v>
      </c>
      <c r="CZ107" s="144"/>
      <c r="DA107" s="144"/>
      <c r="DB107" s="144"/>
      <c r="DC107" s="144"/>
      <c r="DD107" s="144"/>
      <c r="DE107" s="144"/>
      <c r="DF107" s="145"/>
      <c r="DG107" s="143" t="s">
        <v>3</v>
      </c>
      <c r="DH107" s="144"/>
      <c r="DI107" s="144"/>
      <c r="DJ107" s="144"/>
      <c r="DK107" s="144"/>
      <c r="DL107" s="144"/>
      <c r="DM107" s="144"/>
      <c r="DN107" s="145"/>
      <c r="DO107" s="143" t="s">
        <v>185</v>
      </c>
      <c r="DP107" s="144"/>
      <c r="DQ107" s="144"/>
      <c r="DR107" s="144"/>
      <c r="DS107" s="144"/>
      <c r="DT107" s="144"/>
      <c r="DU107" s="144"/>
      <c r="DV107" s="145"/>
      <c r="DW107" s="143" t="s">
        <v>191</v>
      </c>
      <c r="DX107" s="144"/>
      <c r="DY107" s="144"/>
      <c r="DZ107" s="144"/>
      <c r="EA107" s="144"/>
      <c r="EB107" s="144"/>
      <c r="EC107" s="144"/>
      <c r="ED107" s="145"/>
      <c r="EE107" s="143" t="s">
        <v>192</v>
      </c>
      <c r="EF107" s="144"/>
      <c r="EG107" s="144"/>
      <c r="EH107" s="144"/>
      <c r="EI107" s="144"/>
      <c r="EJ107" s="144"/>
      <c r="EK107" s="144"/>
      <c r="EL107" s="145"/>
    </row>
    <row r="108" spans="1:142" ht="50" customHeight="1">
      <c r="A108" s="114"/>
      <c r="B108" s="60" t="s">
        <v>188</v>
      </c>
      <c r="C108" s="115" t="s">
        <v>6</v>
      </c>
      <c r="D108" s="115" t="s">
        <v>7</v>
      </c>
      <c r="E108" s="115" t="s">
        <v>8</v>
      </c>
      <c r="F108" s="116" t="s">
        <v>9</v>
      </c>
      <c r="G108" s="117" t="s">
        <v>10</v>
      </c>
      <c r="H108" s="117" t="s">
        <v>11</v>
      </c>
      <c r="I108" s="117" t="s">
        <v>12</v>
      </c>
      <c r="J108" s="117" t="s">
        <v>148</v>
      </c>
      <c r="K108" s="118" t="s">
        <v>13</v>
      </c>
      <c r="L108" s="118" t="s">
        <v>14</v>
      </c>
      <c r="M108" s="119" t="s">
        <v>15</v>
      </c>
      <c r="N108" s="118" t="s">
        <v>149</v>
      </c>
      <c r="O108" s="117" t="s">
        <v>10</v>
      </c>
      <c r="P108" s="117" t="s">
        <v>11</v>
      </c>
      <c r="Q108" s="117" t="s">
        <v>12</v>
      </c>
      <c r="R108" s="117" t="s">
        <v>150</v>
      </c>
      <c r="S108" s="118" t="s">
        <v>13</v>
      </c>
      <c r="T108" s="118" t="s">
        <v>14</v>
      </c>
      <c r="U108" s="118" t="s">
        <v>15</v>
      </c>
      <c r="V108" s="118" t="s">
        <v>149</v>
      </c>
      <c r="W108" s="117" t="s">
        <v>10</v>
      </c>
      <c r="X108" s="117" t="s">
        <v>11</v>
      </c>
      <c r="Y108" s="117" t="s">
        <v>12</v>
      </c>
      <c r="Z108" s="117" t="s">
        <v>148</v>
      </c>
      <c r="AA108" s="118" t="s">
        <v>13</v>
      </c>
      <c r="AB108" s="118" t="s">
        <v>14</v>
      </c>
      <c r="AC108" s="118" t="s">
        <v>15</v>
      </c>
      <c r="AD108" s="120" t="s">
        <v>149</v>
      </c>
      <c r="AE108" s="117" t="s">
        <v>10</v>
      </c>
      <c r="AF108" s="117" t="s">
        <v>11</v>
      </c>
      <c r="AG108" s="117" t="s">
        <v>12</v>
      </c>
      <c r="AH108" s="117" t="s">
        <v>148</v>
      </c>
      <c r="AI108" s="118" t="s">
        <v>13</v>
      </c>
      <c r="AJ108" s="118" t="s">
        <v>14</v>
      </c>
      <c r="AK108" s="118" t="s">
        <v>15</v>
      </c>
      <c r="AL108" s="121" t="s">
        <v>149</v>
      </c>
      <c r="AM108" s="122" t="s">
        <v>10</v>
      </c>
      <c r="AN108" s="122" t="s">
        <v>11</v>
      </c>
      <c r="AO108" s="122" t="s">
        <v>12</v>
      </c>
      <c r="AP108" s="122" t="s">
        <v>148</v>
      </c>
      <c r="AQ108" s="123" t="s">
        <v>13</v>
      </c>
      <c r="AR108" s="123" t="s">
        <v>14</v>
      </c>
      <c r="AS108" s="123" t="s">
        <v>15</v>
      </c>
      <c r="AT108" s="124" t="s">
        <v>149</v>
      </c>
      <c r="AU108" s="135" t="s">
        <v>10</v>
      </c>
      <c r="AV108" s="135" t="s">
        <v>11</v>
      </c>
      <c r="AW108" s="135" t="s">
        <v>12</v>
      </c>
      <c r="AX108" s="135" t="s">
        <v>148</v>
      </c>
      <c r="AY108" s="136" t="s">
        <v>13</v>
      </c>
      <c r="AZ108" s="136" t="s">
        <v>14</v>
      </c>
      <c r="BA108" s="136" t="s">
        <v>15</v>
      </c>
      <c r="BB108" s="137" t="s">
        <v>149</v>
      </c>
      <c r="BC108" s="135" t="s">
        <v>10</v>
      </c>
      <c r="BD108" s="135" t="s">
        <v>11</v>
      </c>
      <c r="BE108" s="135" t="s">
        <v>12</v>
      </c>
      <c r="BF108" s="135" t="s">
        <v>148</v>
      </c>
      <c r="BG108" s="136" t="s">
        <v>13</v>
      </c>
      <c r="BH108" s="136" t="s">
        <v>14</v>
      </c>
      <c r="BI108" s="136" t="s">
        <v>15</v>
      </c>
      <c r="BJ108" s="137" t="s">
        <v>149</v>
      </c>
      <c r="BK108" s="135" t="s">
        <v>10</v>
      </c>
      <c r="BL108" s="135" t="s">
        <v>11</v>
      </c>
      <c r="BM108" s="135" t="s">
        <v>12</v>
      </c>
      <c r="BN108" s="135" t="s">
        <v>148</v>
      </c>
      <c r="BO108" s="136" t="s">
        <v>13</v>
      </c>
      <c r="BP108" s="136" t="s">
        <v>14</v>
      </c>
      <c r="BQ108" s="136" t="s">
        <v>15</v>
      </c>
      <c r="BR108" s="137" t="s">
        <v>149</v>
      </c>
      <c r="BS108" s="135" t="s">
        <v>10</v>
      </c>
      <c r="BT108" s="135" t="s">
        <v>11</v>
      </c>
      <c r="BU108" s="135" t="s">
        <v>12</v>
      </c>
      <c r="BV108" s="135" t="s">
        <v>148</v>
      </c>
      <c r="BW108" s="136" t="s">
        <v>13</v>
      </c>
      <c r="BX108" s="136" t="s">
        <v>14</v>
      </c>
      <c r="BY108" s="136" t="s">
        <v>15</v>
      </c>
      <c r="BZ108" s="137" t="s">
        <v>149</v>
      </c>
      <c r="CA108" s="122" t="s">
        <v>10</v>
      </c>
      <c r="CB108" s="122" t="s">
        <v>11</v>
      </c>
      <c r="CC108" s="122" t="s">
        <v>12</v>
      </c>
      <c r="CD108" s="122" t="s">
        <v>148</v>
      </c>
      <c r="CE108" s="123" t="s">
        <v>13</v>
      </c>
      <c r="CF108" s="123" t="s">
        <v>14</v>
      </c>
      <c r="CG108" s="123" t="s">
        <v>15</v>
      </c>
      <c r="CH108" s="124" t="s">
        <v>149</v>
      </c>
      <c r="CI108" s="122" t="s">
        <v>10</v>
      </c>
      <c r="CJ108" s="122" t="s">
        <v>11</v>
      </c>
      <c r="CK108" s="122" t="s">
        <v>12</v>
      </c>
      <c r="CL108" s="122" t="s">
        <v>148</v>
      </c>
      <c r="CM108" s="123" t="s">
        <v>13</v>
      </c>
      <c r="CN108" s="123" t="s">
        <v>14</v>
      </c>
      <c r="CO108" s="123" t="s">
        <v>15</v>
      </c>
      <c r="CP108" s="124" t="s">
        <v>149</v>
      </c>
      <c r="CQ108" s="122" t="s">
        <v>10</v>
      </c>
      <c r="CR108" s="122" t="s">
        <v>11</v>
      </c>
      <c r="CS108" s="122" t="s">
        <v>12</v>
      </c>
      <c r="CT108" s="122" t="s">
        <v>148</v>
      </c>
      <c r="CU108" s="123" t="s">
        <v>13</v>
      </c>
      <c r="CV108" s="123" t="s">
        <v>14</v>
      </c>
      <c r="CW108" s="123" t="s">
        <v>15</v>
      </c>
      <c r="CX108" s="124" t="s">
        <v>149</v>
      </c>
      <c r="CY108" s="122" t="s">
        <v>10</v>
      </c>
      <c r="CZ108" s="122" t="s">
        <v>11</v>
      </c>
      <c r="DA108" s="122" t="s">
        <v>12</v>
      </c>
      <c r="DB108" s="122" t="s">
        <v>148</v>
      </c>
      <c r="DC108" s="123" t="s">
        <v>13</v>
      </c>
      <c r="DD108" s="123" t="s">
        <v>14</v>
      </c>
      <c r="DE108" s="123" t="s">
        <v>15</v>
      </c>
      <c r="DF108" s="124" t="s">
        <v>149</v>
      </c>
      <c r="DG108" s="122" t="s">
        <v>10</v>
      </c>
      <c r="DH108" s="122" t="s">
        <v>11</v>
      </c>
      <c r="DI108" s="122" t="s">
        <v>12</v>
      </c>
      <c r="DJ108" s="122" t="s">
        <v>148</v>
      </c>
      <c r="DK108" s="123" t="s">
        <v>13</v>
      </c>
      <c r="DL108" s="123" t="s">
        <v>14</v>
      </c>
      <c r="DM108" s="123" t="s">
        <v>15</v>
      </c>
      <c r="DN108" s="124" t="s">
        <v>149</v>
      </c>
      <c r="DO108" s="122" t="s">
        <v>10</v>
      </c>
      <c r="DP108" s="122" t="s">
        <v>11</v>
      </c>
      <c r="DQ108" s="122" t="s">
        <v>12</v>
      </c>
      <c r="DR108" s="122" t="s">
        <v>148</v>
      </c>
      <c r="DS108" s="123" t="s">
        <v>13</v>
      </c>
      <c r="DT108" s="123" t="s">
        <v>14</v>
      </c>
      <c r="DU108" s="123" t="s">
        <v>15</v>
      </c>
      <c r="DV108" s="124" t="s">
        <v>149</v>
      </c>
      <c r="DW108" s="122" t="s">
        <v>10</v>
      </c>
      <c r="DX108" s="122" t="s">
        <v>11</v>
      </c>
      <c r="DY108" s="122" t="s">
        <v>12</v>
      </c>
      <c r="DZ108" s="122" t="s">
        <v>148</v>
      </c>
      <c r="EA108" s="123" t="s">
        <v>13</v>
      </c>
      <c r="EB108" s="123" t="s">
        <v>14</v>
      </c>
      <c r="EC108" s="123" t="s">
        <v>15</v>
      </c>
      <c r="ED108" s="124" t="s">
        <v>149</v>
      </c>
      <c r="EE108" s="122" t="s">
        <v>10</v>
      </c>
      <c r="EF108" s="122" t="s">
        <v>11</v>
      </c>
      <c r="EG108" s="122" t="s">
        <v>12</v>
      </c>
      <c r="EH108" s="122" t="s">
        <v>148</v>
      </c>
      <c r="EI108" s="123" t="s">
        <v>13</v>
      </c>
      <c r="EJ108" s="123" t="s">
        <v>14</v>
      </c>
      <c r="EK108" s="123" t="s">
        <v>15</v>
      </c>
      <c r="EL108" s="124" t="s">
        <v>149</v>
      </c>
    </row>
    <row r="109" spans="1:142">
      <c r="A109" s="125">
        <v>1</v>
      </c>
      <c r="B109" s="81" t="s">
        <v>193</v>
      </c>
      <c r="C109" s="125"/>
      <c r="D109" s="125"/>
      <c r="E109" s="125"/>
      <c r="F109" s="125"/>
      <c r="G109" s="77">
        <v>56</v>
      </c>
      <c r="H109" s="78">
        <v>0</v>
      </c>
      <c r="I109" s="77">
        <v>0</v>
      </c>
      <c r="J109" s="125">
        <v>20</v>
      </c>
      <c r="K109" s="125">
        <f>G109*100</f>
        <v>5600</v>
      </c>
      <c r="L109" s="125">
        <f>H109*100</f>
        <v>0</v>
      </c>
      <c r="M109" s="125">
        <f>I109*300</f>
        <v>0</v>
      </c>
      <c r="N109" s="125">
        <f>J109*300</f>
        <v>6000</v>
      </c>
      <c r="O109" s="77">
        <v>54</v>
      </c>
      <c r="P109" s="78">
        <v>0</v>
      </c>
      <c r="Q109" s="77">
        <v>0</v>
      </c>
      <c r="R109" s="125">
        <v>20</v>
      </c>
      <c r="S109" s="125">
        <f>O109*100</f>
        <v>5400</v>
      </c>
      <c r="T109" s="125">
        <f>P109*100</f>
        <v>0</v>
      </c>
      <c r="U109" s="125">
        <f>Q109*300</f>
        <v>0</v>
      </c>
      <c r="V109" s="125">
        <f>R109*300</f>
        <v>6000</v>
      </c>
      <c r="W109" s="77">
        <v>52</v>
      </c>
      <c r="X109" s="78">
        <v>0</v>
      </c>
      <c r="Y109" s="77">
        <v>0</v>
      </c>
      <c r="Z109" s="125">
        <v>20</v>
      </c>
      <c r="AA109" s="125">
        <f>W109*100</f>
        <v>5200</v>
      </c>
      <c r="AB109" s="125">
        <f>X109*100</f>
        <v>0</v>
      </c>
      <c r="AC109" s="125">
        <f>Y109*300</f>
        <v>0</v>
      </c>
      <c r="AD109" s="125">
        <f>Z109*300</f>
        <v>6000</v>
      </c>
      <c r="AE109" s="77">
        <v>56</v>
      </c>
      <c r="AF109" s="78">
        <v>0</v>
      </c>
      <c r="AG109" s="77">
        <v>0</v>
      </c>
      <c r="AH109" s="125">
        <v>20</v>
      </c>
      <c r="AI109" s="125">
        <f>AE109*100</f>
        <v>5600</v>
      </c>
      <c r="AJ109" s="125">
        <f>AF109*100</f>
        <v>0</v>
      </c>
      <c r="AK109" s="125">
        <f>AG109*300</f>
        <v>0</v>
      </c>
      <c r="AL109" s="125">
        <f>AH109*300</f>
        <v>6000</v>
      </c>
      <c r="AM109" s="77">
        <v>54</v>
      </c>
      <c r="AN109" s="78">
        <v>0</v>
      </c>
      <c r="AO109" s="77">
        <v>0</v>
      </c>
      <c r="AP109" s="125">
        <v>20</v>
      </c>
      <c r="AQ109" s="125">
        <f>AM109*100</f>
        <v>5400</v>
      </c>
      <c r="AR109" s="125">
        <f>AN109*100</f>
        <v>0</v>
      </c>
      <c r="AS109" s="125">
        <f>AO109*300</f>
        <v>0</v>
      </c>
      <c r="AT109" s="125">
        <f>AP109*300</f>
        <v>6000</v>
      </c>
      <c r="AU109" s="12">
        <v>54</v>
      </c>
      <c r="AV109" s="26">
        <v>0</v>
      </c>
      <c r="AW109" s="12">
        <v>0</v>
      </c>
      <c r="AX109" s="138">
        <v>20</v>
      </c>
      <c r="AY109" s="138">
        <f t="shared" ref="AY109:AZ124" si="39">AU109*100</f>
        <v>5400</v>
      </c>
      <c r="AZ109" s="138">
        <f>AV109*100</f>
        <v>0</v>
      </c>
      <c r="BA109" s="138">
        <f>AW109*300</f>
        <v>0</v>
      </c>
      <c r="BB109" s="138">
        <f>AX109*300</f>
        <v>6000</v>
      </c>
      <c r="BC109" s="12">
        <v>55</v>
      </c>
      <c r="BD109" s="26">
        <v>0</v>
      </c>
      <c r="BE109" s="12">
        <v>0</v>
      </c>
      <c r="BF109" s="138">
        <v>19</v>
      </c>
      <c r="BG109" s="138">
        <f t="shared" ref="BG109:BH124" si="40">BC109*100</f>
        <v>5500</v>
      </c>
      <c r="BH109" s="138">
        <f>BD109*100</f>
        <v>0</v>
      </c>
      <c r="BI109" s="138">
        <f>BE109*300</f>
        <v>0</v>
      </c>
      <c r="BJ109" s="138">
        <f>BF109*300</f>
        <v>5700</v>
      </c>
      <c r="BK109" s="12">
        <v>56</v>
      </c>
      <c r="BL109" s="26">
        <v>0</v>
      </c>
      <c r="BM109" s="12">
        <v>0</v>
      </c>
      <c r="BN109" s="138">
        <v>18</v>
      </c>
      <c r="BO109" s="138">
        <f t="shared" ref="BO109:BP124" si="41">BK109*100</f>
        <v>5600</v>
      </c>
      <c r="BP109" s="138">
        <f>BL109*100</f>
        <v>0</v>
      </c>
      <c r="BQ109" s="138">
        <f>BM109*300</f>
        <v>0</v>
      </c>
      <c r="BR109" s="138">
        <f>BN109*300</f>
        <v>5400</v>
      </c>
      <c r="BS109" s="12">
        <v>56</v>
      </c>
      <c r="BT109" s="26">
        <v>0</v>
      </c>
      <c r="BU109" s="12">
        <v>0</v>
      </c>
      <c r="BV109" s="138">
        <v>18</v>
      </c>
      <c r="BW109" s="138">
        <f t="shared" ref="BW109:BX124" si="42">BS109*100</f>
        <v>5600</v>
      </c>
      <c r="BX109" s="138">
        <f>BT109*100</f>
        <v>0</v>
      </c>
      <c r="BY109" s="138">
        <f>BU109*300</f>
        <v>0</v>
      </c>
      <c r="BZ109" s="138">
        <f>BV109*300</f>
        <v>5400</v>
      </c>
      <c r="CA109" s="125"/>
      <c r="CB109" s="125"/>
      <c r="CC109" s="125"/>
      <c r="CD109" s="125"/>
      <c r="CE109" s="125"/>
      <c r="CF109" s="125"/>
      <c r="CG109" s="125"/>
      <c r="CH109" s="125"/>
      <c r="CI109" s="125"/>
      <c r="CJ109" s="125"/>
      <c r="CK109" s="125"/>
      <c r="CL109" s="125"/>
      <c r="CM109" s="125"/>
      <c r="CN109" s="125"/>
      <c r="CO109" s="125"/>
      <c r="CP109" s="125"/>
      <c r="CQ109" s="125"/>
      <c r="CR109" s="125"/>
      <c r="CS109" s="125"/>
      <c r="CT109" s="125"/>
      <c r="CU109" s="125"/>
      <c r="CV109" s="125"/>
      <c r="CW109" s="125"/>
      <c r="CX109" s="125"/>
      <c r="CY109" s="125"/>
      <c r="CZ109" s="125"/>
      <c r="DA109" s="125"/>
      <c r="DB109" s="125"/>
      <c r="DC109" s="125"/>
      <c r="DD109" s="125"/>
      <c r="DE109" s="125"/>
      <c r="DF109" s="125"/>
      <c r="DG109" s="125"/>
      <c r="DH109" s="125"/>
      <c r="DI109" s="125"/>
      <c r="DJ109" s="125"/>
      <c r="DK109" s="125"/>
      <c r="DL109" s="125"/>
      <c r="DM109" s="125"/>
      <c r="DN109" s="125"/>
      <c r="DO109" s="125"/>
      <c r="DP109" s="125"/>
      <c r="DQ109" s="125"/>
      <c r="DR109" s="125"/>
      <c r="DS109" s="125"/>
      <c r="DT109" s="125"/>
      <c r="DU109" s="125"/>
      <c r="DV109" s="125"/>
      <c r="DW109" s="125"/>
      <c r="DX109" s="125"/>
      <c r="DY109" s="125"/>
      <c r="DZ109" s="125"/>
      <c r="EA109" s="125"/>
      <c r="EB109" s="125"/>
      <c r="EC109" s="125"/>
      <c r="ED109" s="125"/>
      <c r="EE109" s="125"/>
      <c r="EF109" s="125"/>
      <c r="EG109" s="125"/>
      <c r="EH109" s="125"/>
      <c r="EI109" s="125"/>
      <c r="EJ109" s="125"/>
      <c r="EK109" s="125"/>
      <c r="EL109" s="125"/>
    </row>
    <row r="110" spans="1:142">
      <c r="A110" s="125">
        <v>2</v>
      </c>
      <c r="B110" s="81" t="s">
        <v>194</v>
      </c>
      <c r="C110" s="125"/>
      <c r="D110" s="125"/>
      <c r="E110" s="125"/>
      <c r="F110" s="125"/>
      <c r="G110" s="77">
        <v>42</v>
      </c>
      <c r="H110" s="90">
        <v>0</v>
      </c>
      <c r="I110" s="77">
        <v>0</v>
      </c>
      <c r="J110" s="125">
        <v>10</v>
      </c>
      <c r="K110" s="125">
        <f t="shared" ref="K110:L169" si="43">G110*100</f>
        <v>4200</v>
      </c>
      <c r="L110" s="125">
        <f t="shared" si="43"/>
        <v>0</v>
      </c>
      <c r="M110" s="125">
        <f t="shared" ref="M110:N169" si="44">I110*300</f>
        <v>0</v>
      </c>
      <c r="N110" s="125">
        <f>J110*300</f>
        <v>3000</v>
      </c>
      <c r="O110" s="77">
        <v>44</v>
      </c>
      <c r="P110" s="90">
        <v>0</v>
      </c>
      <c r="Q110" s="77">
        <v>0</v>
      </c>
      <c r="R110" s="125">
        <v>20</v>
      </c>
      <c r="S110" s="125">
        <f t="shared" ref="S110:T125" si="45">O110*100</f>
        <v>4400</v>
      </c>
      <c r="T110" s="125">
        <f t="shared" si="45"/>
        <v>0</v>
      </c>
      <c r="U110" s="125">
        <f t="shared" ref="U110:V169" si="46">Q110*300</f>
        <v>0</v>
      </c>
      <c r="V110" s="125">
        <f>R110*300</f>
        <v>6000</v>
      </c>
      <c r="W110" s="77">
        <v>46</v>
      </c>
      <c r="X110" s="90">
        <v>0</v>
      </c>
      <c r="Y110" s="77">
        <v>0</v>
      </c>
      <c r="Z110" s="125">
        <v>15</v>
      </c>
      <c r="AA110" s="125">
        <f t="shared" ref="AA110:AB125" si="47">W110*100</f>
        <v>4600</v>
      </c>
      <c r="AB110" s="125">
        <f t="shared" si="47"/>
        <v>0</v>
      </c>
      <c r="AC110" s="125">
        <f t="shared" ref="AC110:AD169" si="48">Y110*300</f>
        <v>0</v>
      </c>
      <c r="AD110" s="125">
        <f>Z110*300</f>
        <v>4500</v>
      </c>
      <c r="AE110" s="77">
        <v>44</v>
      </c>
      <c r="AF110" s="90">
        <v>0</v>
      </c>
      <c r="AG110" s="77">
        <v>0</v>
      </c>
      <c r="AH110" s="125">
        <v>20</v>
      </c>
      <c r="AI110" s="125">
        <f t="shared" ref="AI110:AJ125" si="49">AE110*100</f>
        <v>4400</v>
      </c>
      <c r="AJ110" s="125">
        <f t="shared" si="49"/>
        <v>0</v>
      </c>
      <c r="AK110" s="125">
        <f t="shared" ref="AK110:AL169" si="50">AG110*300</f>
        <v>0</v>
      </c>
      <c r="AL110" s="125">
        <f>AH110*300</f>
        <v>6000</v>
      </c>
      <c r="AM110" s="77">
        <v>45</v>
      </c>
      <c r="AN110" s="90">
        <v>0</v>
      </c>
      <c r="AO110" s="77">
        <v>0</v>
      </c>
      <c r="AP110" s="125">
        <v>20</v>
      </c>
      <c r="AQ110" s="125">
        <f t="shared" ref="AQ110:AR125" si="51">AM110*100</f>
        <v>4500</v>
      </c>
      <c r="AR110" s="125">
        <f t="shared" si="51"/>
        <v>0</v>
      </c>
      <c r="AS110" s="125">
        <f t="shared" ref="AS110:AT169" si="52">AO110*300</f>
        <v>0</v>
      </c>
      <c r="AT110" s="125">
        <f>AP110*300</f>
        <v>6000</v>
      </c>
      <c r="AU110" s="12">
        <v>44</v>
      </c>
      <c r="AV110" s="6">
        <v>0</v>
      </c>
      <c r="AW110" s="12">
        <v>0</v>
      </c>
      <c r="AX110" s="138">
        <v>20</v>
      </c>
      <c r="AY110" s="138">
        <f t="shared" si="39"/>
        <v>4400</v>
      </c>
      <c r="AZ110" s="138">
        <f t="shared" si="39"/>
        <v>0</v>
      </c>
      <c r="BA110" s="138">
        <f t="shared" ref="BA110:BB169" si="53">AW110*300</f>
        <v>0</v>
      </c>
      <c r="BB110" s="138">
        <f>AX110*300</f>
        <v>6000</v>
      </c>
      <c r="BC110" s="12">
        <v>45</v>
      </c>
      <c r="BD110" s="6">
        <v>0</v>
      </c>
      <c r="BE110" s="12">
        <v>0</v>
      </c>
      <c r="BF110" s="138">
        <v>20</v>
      </c>
      <c r="BG110" s="138">
        <f t="shared" si="40"/>
        <v>4500</v>
      </c>
      <c r="BH110" s="138">
        <f t="shared" si="40"/>
        <v>0</v>
      </c>
      <c r="BI110" s="138">
        <f t="shared" ref="BI110:BJ169" si="54">BE110*300</f>
        <v>0</v>
      </c>
      <c r="BJ110" s="138">
        <f>BF110*300</f>
        <v>6000</v>
      </c>
      <c r="BK110" s="12">
        <v>48</v>
      </c>
      <c r="BL110" s="6">
        <v>0</v>
      </c>
      <c r="BM110" s="12">
        <v>0</v>
      </c>
      <c r="BN110" s="138">
        <v>20</v>
      </c>
      <c r="BO110" s="138">
        <f t="shared" si="41"/>
        <v>4800</v>
      </c>
      <c r="BP110" s="138">
        <f t="shared" si="41"/>
        <v>0</v>
      </c>
      <c r="BQ110" s="138">
        <f t="shared" ref="BQ110:BR169" si="55">BM110*300</f>
        <v>0</v>
      </c>
      <c r="BR110" s="138">
        <f>BN110*300</f>
        <v>6000</v>
      </c>
      <c r="BS110" s="12">
        <v>50</v>
      </c>
      <c r="BT110" s="6">
        <v>0</v>
      </c>
      <c r="BU110" s="12">
        <v>0</v>
      </c>
      <c r="BV110" s="138">
        <v>20</v>
      </c>
      <c r="BW110" s="138">
        <f t="shared" si="42"/>
        <v>5000</v>
      </c>
      <c r="BX110" s="138">
        <f t="shared" si="42"/>
        <v>0</v>
      </c>
      <c r="BY110" s="138">
        <f t="shared" ref="BY110:BZ169" si="56">BU110*300</f>
        <v>0</v>
      </c>
      <c r="BZ110" s="138">
        <f>BV110*300</f>
        <v>6000</v>
      </c>
      <c r="CA110" s="125"/>
      <c r="CB110" s="125"/>
      <c r="CC110" s="125"/>
      <c r="CD110" s="125"/>
      <c r="CE110" s="125"/>
      <c r="CF110" s="125"/>
      <c r="CG110" s="125"/>
      <c r="CH110" s="125"/>
      <c r="CI110" s="125"/>
      <c r="CJ110" s="125"/>
      <c r="CK110" s="125"/>
      <c r="CL110" s="125"/>
      <c r="CM110" s="125"/>
      <c r="CN110" s="125"/>
      <c r="CO110" s="125"/>
      <c r="CP110" s="125"/>
      <c r="CQ110" s="125"/>
      <c r="CR110" s="125"/>
      <c r="CS110" s="125"/>
      <c r="CT110" s="125"/>
      <c r="CU110" s="125"/>
      <c r="CV110" s="125"/>
      <c r="CW110" s="125"/>
      <c r="CX110" s="125"/>
      <c r="CY110" s="125"/>
      <c r="CZ110" s="125"/>
      <c r="DA110" s="125"/>
      <c r="DB110" s="125"/>
      <c r="DC110" s="125"/>
      <c r="DD110" s="125"/>
      <c r="DE110" s="125"/>
      <c r="DF110" s="125"/>
      <c r="DG110" s="125"/>
      <c r="DH110" s="125"/>
      <c r="DI110" s="125"/>
      <c r="DJ110" s="125"/>
      <c r="DK110" s="125"/>
      <c r="DL110" s="125"/>
      <c r="DM110" s="125"/>
      <c r="DN110" s="125"/>
      <c r="DO110" s="125"/>
      <c r="DP110" s="125"/>
      <c r="DQ110" s="125"/>
      <c r="DR110" s="125"/>
      <c r="DS110" s="125"/>
      <c r="DT110" s="125"/>
      <c r="DU110" s="125"/>
      <c r="DV110" s="125"/>
      <c r="DW110" s="125"/>
      <c r="DX110" s="125"/>
      <c r="DY110" s="125"/>
      <c r="DZ110" s="125"/>
      <c r="EA110" s="125"/>
      <c r="EB110" s="125"/>
      <c r="EC110" s="125"/>
      <c r="ED110" s="125"/>
      <c r="EE110" s="125"/>
      <c r="EF110" s="125"/>
      <c r="EG110" s="125"/>
      <c r="EH110" s="125"/>
      <c r="EI110" s="125"/>
      <c r="EJ110" s="125"/>
      <c r="EK110" s="125"/>
      <c r="EL110" s="125"/>
    </row>
    <row r="111" spans="1:142">
      <c r="A111" s="125">
        <v>3</v>
      </c>
      <c r="B111" s="81" t="s">
        <v>195</v>
      </c>
      <c r="C111" s="125"/>
      <c r="D111" s="125"/>
      <c r="E111" s="125"/>
      <c r="F111" s="125"/>
      <c r="G111" s="77">
        <v>30</v>
      </c>
      <c r="H111" s="90">
        <v>0</v>
      </c>
      <c r="I111" s="77">
        <v>0</v>
      </c>
      <c r="J111" s="125">
        <v>10</v>
      </c>
      <c r="K111" s="125">
        <f t="shared" si="43"/>
        <v>3000</v>
      </c>
      <c r="L111" s="125">
        <f t="shared" si="43"/>
        <v>0</v>
      </c>
      <c r="M111" s="125">
        <f t="shared" si="44"/>
        <v>0</v>
      </c>
      <c r="N111" s="125">
        <f>J111*300</f>
        <v>3000</v>
      </c>
      <c r="O111" s="77">
        <v>32</v>
      </c>
      <c r="P111" s="90">
        <v>0</v>
      </c>
      <c r="Q111" s="77">
        <v>0</v>
      </c>
      <c r="R111" s="125">
        <v>20</v>
      </c>
      <c r="S111" s="125">
        <f t="shared" si="45"/>
        <v>3200</v>
      </c>
      <c r="T111" s="125">
        <f t="shared" si="45"/>
        <v>0</v>
      </c>
      <c r="U111" s="125">
        <f t="shared" si="46"/>
        <v>0</v>
      </c>
      <c r="V111" s="125">
        <f>R111*300</f>
        <v>6000</v>
      </c>
      <c r="W111" s="77">
        <v>30</v>
      </c>
      <c r="X111" s="90">
        <v>0</v>
      </c>
      <c r="Y111" s="77">
        <v>0</v>
      </c>
      <c r="Z111" s="125">
        <v>18</v>
      </c>
      <c r="AA111" s="125">
        <f t="shared" si="47"/>
        <v>3000</v>
      </c>
      <c r="AB111" s="125">
        <f t="shared" si="47"/>
        <v>0</v>
      </c>
      <c r="AC111" s="125">
        <f t="shared" si="48"/>
        <v>0</v>
      </c>
      <c r="AD111" s="125">
        <f>Z111*300</f>
        <v>5400</v>
      </c>
      <c r="AE111" s="77">
        <v>30</v>
      </c>
      <c r="AF111" s="90">
        <v>0</v>
      </c>
      <c r="AG111" s="77">
        <v>0</v>
      </c>
      <c r="AH111" s="125">
        <v>18</v>
      </c>
      <c r="AI111" s="125">
        <f t="shared" si="49"/>
        <v>3000</v>
      </c>
      <c r="AJ111" s="125">
        <f t="shared" si="49"/>
        <v>0</v>
      </c>
      <c r="AK111" s="125">
        <f t="shared" si="50"/>
        <v>0</v>
      </c>
      <c r="AL111" s="125">
        <f>AH111*300</f>
        <v>5400</v>
      </c>
      <c r="AM111" s="77">
        <v>34</v>
      </c>
      <c r="AN111" s="90">
        <v>0</v>
      </c>
      <c r="AO111" s="77">
        <v>0</v>
      </c>
      <c r="AP111" s="125">
        <v>18</v>
      </c>
      <c r="AQ111" s="125">
        <f t="shared" si="51"/>
        <v>3400</v>
      </c>
      <c r="AR111" s="125">
        <f t="shared" si="51"/>
        <v>0</v>
      </c>
      <c r="AS111" s="125">
        <f t="shared" si="52"/>
        <v>0</v>
      </c>
      <c r="AT111" s="125">
        <f>AP111*300</f>
        <v>5400</v>
      </c>
      <c r="AU111" s="12">
        <v>36</v>
      </c>
      <c r="AV111" s="6">
        <v>0</v>
      </c>
      <c r="AW111" s="12">
        <v>0</v>
      </c>
      <c r="AX111" s="138">
        <v>16</v>
      </c>
      <c r="AY111" s="138">
        <f t="shared" si="39"/>
        <v>3600</v>
      </c>
      <c r="AZ111" s="138">
        <f t="shared" si="39"/>
        <v>0</v>
      </c>
      <c r="BA111" s="138">
        <f t="shared" si="53"/>
        <v>0</v>
      </c>
      <c r="BB111" s="138">
        <f>AX111*300</f>
        <v>4800</v>
      </c>
      <c r="BC111" s="12">
        <v>38</v>
      </c>
      <c r="BD111" s="6">
        <v>0</v>
      </c>
      <c r="BE111" s="12">
        <v>0</v>
      </c>
      <c r="BF111" s="138">
        <v>16</v>
      </c>
      <c r="BG111" s="138">
        <f t="shared" si="40"/>
        <v>3800</v>
      </c>
      <c r="BH111" s="138">
        <f t="shared" si="40"/>
        <v>0</v>
      </c>
      <c r="BI111" s="138">
        <f t="shared" si="54"/>
        <v>0</v>
      </c>
      <c r="BJ111" s="138">
        <f>BF111*300</f>
        <v>4800</v>
      </c>
      <c r="BK111" s="12">
        <v>41</v>
      </c>
      <c r="BL111" s="6">
        <v>0</v>
      </c>
      <c r="BM111" s="12">
        <v>0</v>
      </c>
      <c r="BN111" s="138">
        <v>18</v>
      </c>
      <c r="BO111" s="138">
        <f t="shared" si="41"/>
        <v>4100</v>
      </c>
      <c r="BP111" s="138">
        <f t="shared" si="41"/>
        <v>0</v>
      </c>
      <c r="BQ111" s="138">
        <f t="shared" si="55"/>
        <v>0</v>
      </c>
      <c r="BR111" s="138">
        <f>BN111*300</f>
        <v>5400</v>
      </c>
      <c r="BS111" s="12">
        <v>45</v>
      </c>
      <c r="BT111" s="6">
        <v>0</v>
      </c>
      <c r="BU111" s="12">
        <v>0</v>
      </c>
      <c r="BV111" s="138">
        <v>18</v>
      </c>
      <c r="BW111" s="138">
        <f t="shared" si="42"/>
        <v>4500</v>
      </c>
      <c r="BX111" s="138">
        <f t="shared" si="42"/>
        <v>0</v>
      </c>
      <c r="BY111" s="138">
        <f t="shared" si="56"/>
        <v>0</v>
      </c>
      <c r="BZ111" s="138">
        <f>BV111*300</f>
        <v>5400</v>
      </c>
      <c r="CA111" s="125"/>
      <c r="CB111" s="125"/>
      <c r="CC111" s="125"/>
      <c r="CD111" s="125"/>
      <c r="CE111" s="125"/>
      <c r="CF111" s="125"/>
      <c r="CG111" s="125"/>
      <c r="CH111" s="125"/>
      <c r="CI111" s="125"/>
      <c r="CJ111" s="125"/>
      <c r="CK111" s="125"/>
      <c r="CL111" s="125"/>
      <c r="CM111" s="125"/>
      <c r="CN111" s="125"/>
      <c r="CO111" s="125"/>
      <c r="CP111" s="125"/>
      <c r="CQ111" s="125"/>
      <c r="CR111" s="125"/>
      <c r="CS111" s="125"/>
      <c r="CT111" s="125"/>
      <c r="CU111" s="125"/>
      <c r="CV111" s="125"/>
      <c r="CW111" s="125"/>
      <c r="CX111" s="125"/>
      <c r="CY111" s="125"/>
      <c r="CZ111" s="125"/>
      <c r="DA111" s="125"/>
      <c r="DB111" s="125"/>
      <c r="DC111" s="125"/>
      <c r="DD111" s="125"/>
      <c r="DE111" s="125"/>
      <c r="DF111" s="125"/>
      <c r="DG111" s="125"/>
      <c r="DH111" s="125"/>
      <c r="DI111" s="125"/>
      <c r="DJ111" s="125"/>
      <c r="DK111" s="125"/>
      <c r="DL111" s="125"/>
      <c r="DM111" s="125"/>
      <c r="DN111" s="125"/>
      <c r="DO111" s="125"/>
      <c r="DP111" s="125"/>
      <c r="DQ111" s="125"/>
      <c r="DR111" s="125"/>
      <c r="DS111" s="125"/>
      <c r="DT111" s="125"/>
      <c r="DU111" s="125"/>
      <c r="DV111" s="125"/>
      <c r="DW111" s="125"/>
      <c r="DX111" s="125"/>
      <c r="DY111" s="125"/>
      <c r="DZ111" s="125"/>
      <c r="EA111" s="125"/>
      <c r="EB111" s="125"/>
      <c r="EC111" s="125"/>
      <c r="ED111" s="125"/>
      <c r="EE111" s="125"/>
      <c r="EF111" s="125"/>
      <c r="EG111" s="125"/>
      <c r="EH111" s="125"/>
      <c r="EI111" s="125"/>
      <c r="EJ111" s="125"/>
      <c r="EK111" s="125"/>
      <c r="EL111" s="125"/>
    </row>
    <row r="112" spans="1:142">
      <c r="A112" s="125">
        <v>4</v>
      </c>
      <c r="B112" s="81" t="s">
        <v>196</v>
      </c>
      <c r="C112" s="125"/>
      <c r="D112" s="125"/>
      <c r="E112" s="125"/>
      <c r="F112" s="125"/>
      <c r="G112" s="77">
        <v>32</v>
      </c>
      <c r="H112" s="90">
        <v>0</v>
      </c>
      <c r="I112" s="77">
        <v>0</v>
      </c>
      <c r="J112" s="77">
        <v>15</v>
      </c>
      <c r="K112" s="125">
        <f t="shared" si="43"/>
        <v>3200</v>
      </c>
      <c r="L112" s="125">
        <f t="shared" si="43"/>
        <v>0</v>
      </c>
      <c r="M112" s="125">
        <f t="shared" si="44"/>
        <v>0</v>
      </c>
      <c r="N112" s="125">
        <f t="shared" si="44"/>
        <v>4500</v>
      </c>
      <c r="O112" s="77">
        <v>35</v>
      </c>
      <c r="P112" s="90">
        <v>0</v>
      </c>
      <c r="Q112" s="77">
        <v>0</v>
      </c>
      <c r="R112" s="77">
        <v>20</v>
      </c>
      <c r="S112" s="125">
        <f t="shared" si="45"/>
        <v>3500</v>
      </c>
      <c r="T112" s="125">
        <f t="shared" si="45"/>
        <v>0</v>
      </c>
      <c r="U112" s="125">
        <f t="shared" si="46"/>
        <v>0</v>
      </c>
      <c r="V112" s="125">
        <f t="shared" si="46"/>
        <v>6000</v>
      </c>
      <c r="W112" s="77">
        <v>35</v>
      </c>
      <c r="X112" s="90">
        <v>0</v>
      </c>
      <c r="Y112" s="77">
        <v>0</v>
      </c>
      <c r="Z112" s="77">
        <v>16</v>
      </c>
      <c r="AA112" s="125">
        <f t="shared" si="47"/>
        <v>3500</v>
      </c>
      <c r="AB112" s="125">
        <f t="shared" si="47"/>
        <v>0</v>
      </c>
      <c r="AC112" s="125">
        <f t="shared" si="48"/>
        <v>0</v>
      </c>
      <c r="AD112" s="125">
        <f t="shared" si="48"/>
        <v>4800</v>
      </c>
      <c r="AE112" s="77">
        <v>36</v>
      </c>
      <c r="AF112" s="90">
        <v>0</v>
      </c>
      <c r="AG112" s="77">
        <v>0</v>
      </c>
      <c r="AH112" s="77">
        <v>12</v>
      </c>
      <c r="AI112" s="125">
        <f t="shared" si="49"/>
        <v>3600</v>
      </c>
      <c r="AJ112" s="125">
        <f t="shared" si="49"/>
        <v>0</v>
      </c>
      <c r="AK112" s="125">
        <f t="shared" si="50"/>
        <v>0</v>
      </c>
      <c r="AL112" s="125">
        <f t="shared" si="50"/>
        <v>3600</v>
      </c>
      <c r="AM112" s="77">
        <v>40</v>
      </c>
      <c r="AN112" s="90">
        <v>0</v>
      </c>
      <c r="AO112" s="77">
        <v>0</v>
      </c>
      <c r="AP112" s="77">
        <v>12</v>
      </c>
      <c r="AQ112" s="125">
        <f t="shared" si="51"/>
        <v>4000</v>
      </c>
      <c r="AR112" s="125">
        <f t="shared" si="51"/>
        <v>0</v>
      </c>
      <c r="AS112" s="125">
        <f t="shared" si="52"/>
        <v>0</v>
      </c>
      <c r="AT112" s="125">
        <f t="shared" si="52"/>
        <v>3600</v>
      </c>
      <c r="AU112" s="12">
        <v>42</v>
      </c>
      <c r="AV112" s="6">
        <v>0</v>
      </c>
      <c r="AW112" s="12">
        <v>0</v>
      </c>
      <c r="AX112" s="12">
        <v>12</v>
      </c>
      <c r="AY112" s="138">
        <f t="shared" si="39"/>
        <v>4200</v>
      </c>
      <c r="AZ112" s="138">
        <f t="shared" si="39"/>
        <v>0</v>
      </c>
      <c r="BA112" s="138">
        <f t="shared" si="53"/>
        <v>0</v>
      </c>
      <c r="BB112" s="138">
        <f t="shared" si="53"/>
        <v>3600</v>
      </c>
      <c r="BC112" s="12">
        <v>44</v>
      </c>
      <c r="BD112" s="6">
        <v>0</v>
      </c>
      <c r="BE112" s="12">
        <v>0</v>
      </c>
      <c r="BF112" s="12">
        <v>20</v>
      </c>
      <c r="BG112" s="138">
        <f t="shared" si="40"/>
        <v>4400</v>
      </c>
      <c r="BH112" s="138">
        <f t="shared" si="40"/>
        <v>0</v>
      </c>
      <c r="BI112" s="138">
        <f t="shared" si="54"/>
        <v>0</v>
      </c>
      <c r="BJ112" s="138">
        <f t="shared" si="54"/>
        <v>6000</v>
      </c>
      <c r="BK112" s="12">
        <v>45</v>
      </c>
      <c r="BL112" s="6">
        <v>0</v>
      </c>
      <c r="BM112" s="12">
        <v>0</v>
      </c>
      <c r="BN112" s="12">
        <v>20</v>
      </c>
      <c r="BO112" s="138">
        <f t="shared" si="41"/>
        <v>4500</v>
      </c>
      <c r="BP112" s="138">
        <f t="shared" si="41"/>
        <v>0</v>
      </c>
      <c r="BQ112" s="138">
        <f t="shared" si="55"/>
        <v>0</v>
      </c>
      <c r="BR112" s="138">
        <f t="shared" si="55"/>
        <v>6000</v>
      </c>
      <c r="BS112" s="12">
        <v>48</v>
      </c>
      <c r="BT112" s="6">
        <v>0</v>
      </c>
      <c r="BU112" s="12">
        <v>0</v>
      </c>
      <c r="BV112" s="12">
        <v>20</v>
      </c>
      <c r="BW112" s="138">
        <f t="shared" si="42"/>
        <v>4800</v>
      </c>
      <c r="BX112" s="138">
        <f t="shared" si="42"/>
        <v>0</v>
      </c>
      <c r="BY112" s="138">
        <f t="shared" si="56"/>
        <v>0</v>
      </c>
      <c r="BZ112" s="138">
        <f t="shared" si="56"/>
        <v>6000</v>
      </c>
      <c r="CA112" s="125"/>
      <c r="CB112" s="125"/>
      <c r="CC112" s="125"/>
      <c r="CD112" s="125"/>
      <c r="CE112" s="125"/>
      <c r="CF112" s="125"/>
      <c r="CG112" s="125"/>
      <c r="CH112" s="125"/>
      <c r="CI112" s="125"/>
      <c r="CJ112" s="125"/>
      <c r="CK112" s="125"/>
      <c r="CL112" s="125"/>
      <c r="CM112" s="125"/>
      <c r="CN112" s="125"/>
      <c r="CO112" s="125"/>
      <c r="CP112" s="125"/>
      <c r="CQ112" s="125"/>
      <c r="CR112" s="125"/>
      <c r="CS112" s="125"/>
      <c r="CT112" s="125"/>
      <c r="CU112" s="125"/>
      <c r="CV112" s="125"/>
      <c r="CW112" s="125"/>
      <c r="CX112" s="125"/>
      <c r="CY112" s="125"/>
      <c r="CZ112" s="125"/>
      <c r="DA112" s="125"/>
      <c r="DB112" s="125"/>
      <c r="DC112" s="125"/>
      <c r="DD112" s="125"/>
      <c r="DE112" s="125"/>
      <c r="DF112" s="125"/>
      <c r="DG112" s="125"/>
      <c r="DH112" s="125"/>
      <c r="DI112" s="125"/>
      <c r="DJ112" s="125"/>
      <c r="DK112" s="125"/>
      <c r="DL112" s="125"/>
      <c r="DM112" s="125"/>
      <c r="DN112" s="125"/>
      <c r="DO112" s="125"/>
      <c r="DP112" s="125"/>
      <c r="DQ112" s="125"/>
      <c r="DR112" s="125"/>
      <c r="DS112" s="125"/>
      <c r="DT112" s="125"/>
      <c r="DU112" s="125"/>
      <c r="DV112" s="125"/>
      <c r="DW112" s="125"/>
      <c r="DX112" s="125"/>
      <c r="DY112" s="125"/>
      <c r="DZ112" s="125"/>
      <c r="EA112" s="125"/>
      <c r="EB112" s="125"/>
      <c r="EC112" s="125"/>
      <c r="ED112" s="125"/>
      <c r="EE112" s="125"/>
      <c r="EF112" s="125"/>
      <c r="EG112" s="125"/>
      <c r="EH112" s="125"/>
      <c r="EI112" s="125"/>
      <c r="EJ112" s="125"/>
      <c r="EK112" s="125"/>
      <c r="EL112" s="125"/>
    </row>
    <row r="113" spans="1:142">
      <c r="A113" s="125">
        <v>5</v>
      </c>
      <c r="B113" s="81" t="s">
        <v>197</v>
      </c>
      <c r="C113" s="125"/>
      <c r="D113" s="125"/>
      <c r="E113" s="125"/>
      <c r="F113" s="125"/>
      <c r="G113" s="77">
        <v>50</v>
      </c>
      <c r="H113" s="90">
        <v>0</v>
      </c>
      <c r="I113" s="77">
        <v>0</v>
      </c>
      <c r="J113" s="77">
        <v>12</v>
      </c>
      <c r="K113" s="125">
        <f t="shared" si="43"/>
        <v>5000</v>
      </c>
      <c r="L113" s="125">
        <f t="shared" si="43"/>
        <v>0</v>
      </c>
      <c r="M113" s="125">
        <f t="shared" si="44"/>
        <v>0</v>
      </c>
      <c r="N113" s="125">
        <f t="shared" si="44"/>
        <v>3600</v>
      </c>
      <c r="O113" s="77">
        <v>50</v>
      </c>
      <c r="P113" s="90">
        <v>0</v>
      </c>
      <c r="Q113" s="77">
        <v>0</v>
      </c>
      <c r="R113" s="77">
        <v>12</v>
      </c>
      <c r="S113" s="125">
        <f t="shared" si="45"/>
        <v>5000</v>
      </c>
      <c r="T113" s="125">
        <f t="shared" si="45"/>
        <v>0</v>
      </c>
      <c r="U113" s="125">
        <f t="shared" si="46"/>
        <v>0</v>
      </c>
      <c r="V113" s="125">
        <f t="shared" si="46"/>
        <v>3600</v>
      </c>
      <c r="W113" s="77">
        <v>52</v>
      </c>
      <c r="X113" s="90">
        <v>0</v>
      </c>
      <c r="Y113" s="77">
        <v>0</v>
      </c>
      <c r="Z113" s="77">
        <v>14</v>
      </c>
      <c r="AA113" s="125">
        <f t="shared" si="47"/>
        <v>5200</v>
      </c>
      <c r="AB113" s="125">
        <f t="shared" si="47"/>
        <v>0</v>
      </c>
      <c r="AC113" s="125">
        <f t="shared" si="48"/>
        <v>0</v>
      </c>
      <c r="AD113" s="125">
        <f t="shared" si="48"/>
        <v>4200</v>
      </c>
      <c r="AE113" s="77">
        <v>50</v>
      </c>
      <c r="AF113" s="90">
        <v>0</v>
      </c>
      <c r="AG113" s="77">
        <v>0</v>
      </c>
      <c r="AH113" s="77">
        <v>16</v>
      </c>
      <c r="AI113" s="125">
        <f t="shared" si="49"/>
        <v>5000</v>
      </c>
      <c r="AJ113" s="125">
        <f t="shared" si="49"/>
        <v>0</v>
      </c>
      <c r="AK113" s="125">
        <f t="shared" si="50"/>
        <v>0</v>
      </c>
      <c r="AL113" s="125">
        <f t="shared" si="50"/>
        <v>4800</v>
      </c>
      <c r="AM113" s="77">
        <v>52</v>
      </c>
      <c r="AN113" s="90">
        <v>0</v>
      </c>
      <c r="AO113" s="77">
        <v>0</v>
      </c>
      <c r="AP113" s="77">
        <v>18</v>
      </c>
      <c r="AQ113" s="125">
        <f t="shared" si="51"/>
        <v>5200</v>
      </c>
      <c r="AR113" s="125">
        <f t="shared" si="51"/>
        <v>0</v>
      </c>
      <c r="AS113" s="125">
        <f t="shared" si="52"/>
        <v>0</v>
      </c>
      <c r="AT113" s="125">
        <f t="shared" si="52"/>
        <v>5400</v>
      </c>
      <c r="AU113" s="12">
        <v>52</v>
      </c>
      <c r="AV113" s="6">
        <v>0</v>
      </c>
      <c r="AW113" s="12">
        <v>0</v>
      </c>
      <c r="AX113" s="12">
        <v>18</v>
      </c>
      <c r="AY113" s="138">
        <f t="shared" si="39"/>
        <v>5200</v>
      </c>
      <c r="AZ113" s="138">
        <f t="shared" si="39"/>
        <v>0</v>
      </c>
      <c r="BA113" s="138">
        <f t="shared" si="53"/>
        <v>0</v>
      </c>
      <c r="BB113" s="138">
        <f t="shared" si="53"/>
        <v>5400</v>
      </c>
      <c r="BC113" s="12">
        <v>56</v>
      </c>
      <c r="BD113" s="6">
        <v>0</v>
      </c>
      <c r="BE113" s="12">
        <v>0</v>
      </c>
      <c r="BF113" s="12">
        <v>18</v>
      </c>
      <c r="BG113" s="138">
        <f t="shared" si="40"/>
        <v>5600</v>
      </c>
      <c r="BH113" s="138">
        <f t="shared" si="40"/>
        <v>0</v>
      </c>
      <c r="BI113" s="138">
        <f t="shared" si="54"/>
        <v>0</v>
      </c>
      <c r="BJ113" s="138">
        <f t="shared" si="54"/>
        <v>5400</v>
      </c>
      <c r="BK113" s="12">
        <v>56</v>
      </c>
      <c r="BL113" s="6">
        <v>0</v>
      </c>
      <c r="BM113" s="12">
        <v>0</v>
      </c>
      <c r="BN113" s="12">
        <v>18</v>
      </c>
      <c r="BO113" s="138">
        <f t="shared" si="41"/>
        <v>5600</v>
      </c>
      <c r="BP113" s="138">
        <f t="shared" si="41"/>
        <v>0</v>
      </c>
      <c r="BQ113" s="138">
        <f t="shared" si="55"/>
        <v>0</v>
      </c>
      <c r="BR113" s="138">
        <f t="shared" si="55"/>
        <v>5400</v>
      </c>
      <c r="BS113" s="12">
        <v>55</v>
      </c>
      <c r="BT113" s="6">
        <v>0</v>
      </c>
      <c r="BU113" s="12">
        <v>0</v>
      </c>
      <c r="BV113" s="12">
        <v>18</v>
      </c>
      <c r="BW113" s="138">
        <f t="shared" si="42"/>
        <v>5500</v>
      </c>
      <c r="BX113" s="138">
        <f t="shared" si="42"/>
        <v>0</v>
      </c>
      <c r="BY113" s="138">
        <f t="shared" si="56"/>
        <v>0</v>
      </c>
      <c r="BZ113" s="138">
        <f t="shared" si="56"/>
        <v>5400</v>
      </c>
      <c r="CA113" s="125"/>
      <c r="CB113" s="125"/>
      <c r="CC113" s="125"/>
      <c r="CD113" s="125"/>
      <c r="CE113" s="125"/>
      <c r="CF113" s="125"/>
      <c r="CG113" s="125"/>
      <c r="CH113" s="125"/>
      <c r="CI113" s="125"/>
      <c r="CJ113" s="125"/>
      <c r="CK113" s="125"/>
      <c r="CL113" s="125"/>
      <c r="CM113" s="125"/>
      <c r="CN113" s="125"/>
      <c r="CO113" s="125"/>
      <c r="CP113" s="125"/>
      <c r="CQ113" s="125"/>
      <c r="CR113" s="125"/>
      <c r="CS113" s="125"/>
      <c r="CT113" s="125"/>
      <c r="CU113" s="125"/>
      <c r="CV113" s="125"/>
      <c r="CW113" s="125"/>
      <c r="CX113" s="125"/>
      <c r="CY113" s="125"/>
      <c r="CZ113" s="125"/>
      <c r="DA113" s="125"/>
      <c r="DB113" s="125"/>
      <c r="DC113" s="125"/>
      <c r="DD113" s="125"/>
      <c r="DE113" s="125"/>
      <c r="DF113" s="125"/>
      <c r="DG113" s="125"/>
      <c r="DH113" s="125"/>
      <c r="DI113" s="125"/>
      <c r="DJ113" s="125"/>
      <c r="DK113" s="125"/>
      <c r="DL113" s="125"/>
      <c r="DM113" s="125"/>
      <c r="DN113" s="125"/>
      <c r="DO113" s="125"/>
      <c r="DP113" s="125"/>
      <c r="DQ113" s="125"/>
      <c r="DR113" s="125"/>
      <c r="DS113" s="125"/>
      <c r="DT113" s="125"/>
      <c r="DU113" s="125"/>
      <c r="DV113" s="125"/>
      <c r="DW113" s="125"/>
      <c r="DX113" s="125"/>
      <c r="DY113" s="125"/>
      <c r="DZ113" s="125"/>
      <c r="EA113" s="125"/>
      <c r="EB113" s="125"/>
      <c r="EC113" s="125"/>
      <c r="ED113" s="125"/>
      <c r="EE113" s="125"/>
      <c r="EF113" s="125"/>
      <c r="EG113" s="125"/>
      <c r="EH113" s="125"/>
      <c r="EI113" s="125"/>
      <c r="EJ113" s="125"/>
      <c r="EK113" s="125"/>
      <c r="EL113" s="125"/>
    </row>
    <row r="114" spans="1:142">
      <c r="A114" s="125">
        <v>6</v>
      </c>
      <c r="B114" s="81" t="s">
        <v>198</v>
      </c>
      <c r="C114" s="125"/>
      <c r="D114" s="125"/>
      <c r="E114" s="125"/>
      <c r="F114" s="125"/>
      <c r="G114" s="77">
        <v>45</v>
      </c>
      <c r="H114" s="90">
        <v>0</v>
      </c>
      <c r="I114" s="77">
        <v>0</v>
      </c>
      <c r="J114" s="77">
        <v>15</v>
      </c>
      <c r="K114" s="125">
        <f>G114*100</f>
        <v>4500</v>
      </c>
      <c r="L114" s="125">
        <f t="shared" si="43"/>
        <v>0</v>
      </c>
      <c r="M114" s="125">
        <f t="shared" si="44"/>
        <v>0</v>
      </c>
      <c r="N114" s="125">
        <f t="shared" si="44"/>
        <v>4500</v>
      </c>
      <c r="O114" s="77">
        <v>45</v>
      </c>
      <c r="P114" s="90">
        <v>0</v>
      </c>
      <c r="Q114" s="77">
        <v>0</v>
      </c>
      <c r="R114" s="77">
        <v>15</v>
      </c>
      <c r="S114" s="125">
        <f>O114*100</f>
        <v>4500</v>
      </c>
      <c r="T114" s="125">
        <f t="shared" si="45"/>
        <v>0</v>
      </c>
      <c r="U114" s="125">
        <f t="shared" si="46"/>
        <v>0</v>
      </c>
      <c r="V114" s="125">
        <f t="shared" si="46"/>
        <v>4500</v>
      </c>
      <c r="W114" s="77">
        <v>44</v>
      </c>
      <c r="X114" s="90">
        <v>0</v>
      </c>
      <c r="Y114" s="77">
        <v>0</v>
      </c>
      <c r="Z114" s="77">
        <v>10</v>
      </c>
      <c r="AA114" s="125">
        <f>W114*100</f>
        <v>4400</v>
      </c>
      <c r="AB114" s="125">
        <f t="shared" si="47"/>
        <v>0</v>
      </c>
      <c r="AC114" s="125">
        <f t="shared" si="48"/>
        <v>0</v>
      </c>
      <c r="AD114" s="125">
        <f t="shared" si="48"/>
        <v>3000</v>
      </c>
      <c r="AE114" s="77">
        <v>46</v>
      </c>
      <c r="AF114" s="90">
        <v>0</v>
      </c>
      <c r="AG114" s="77">
        <v>0</v>
      </c>
      <c r="AH114" s="77">
        <v>20</v>
      </c>
      <c r="AI114" s="125">
        <f>AE114*100</f>
        <v>4600</v>
      </c>
      <c r="AJ114" s="125">
        <f t="shared" si="49"/>
        <v>0</v>
      </c>
      <c r="AK114" s="125">
        <f t="shared" si="50"/>
        <v>0</v>
      </c>
      <c r="AL114" s="125">
        <f t="shared" si="50"/>
        <v>6000</v>
      </c>
      <c r="AM114" s="77">
        <v>47</v>
      </c>
      <c r="AN114" s="90">
        <v>0</v>
      </c>
      <c r="AO114" s="77">
        <v>0</v>
      </c>
      <c r="AP114" s="77">
        <v>20</v>
      </c>
      <c r="AQ114" s="125">
        <f>AM114*100</f>
        <v>4700</v>
      </c>
      <c r="AR114" s="125">
        <f t="shared" si="51"/>
        <v>0</v>
      </c>
      <c r="AS114" s="125">
        <f t="shared" si="52"/>
        <v>0</v>
      </c>
      <c r="AT114" s="125">
        <f t="shared" si="52"/>
        <v>6000</v>
      </c>
      <c r="AU114" s="12">
        <v>45</v>
      </c>
      <c r="AV114" s="6">
        <v>0</v>
      </c>
      <c r="AW114" s="12">
        <v>0</v>
      </c>
      <c r="AX114" s="12">
        <v>20</v>
      </c>
      <c r="AY114" s="138">
        <f t="shared" si="39"/>
        <v>4500</v>
      </c>
      <c r="AZ114" s="138">
        <f t="shared" si="39"/>
        <v>0</v>
      </c>
      <c r="BA114" s="138">
        <f t="shared" si="53"/>
        <v>0</v>
      </c>
      <c r="BB114" s="138">
        <f t="shared" si="53"/>
        <v>6000</v>
      </c>
      <c r="BC114" s="12">
        <v>49</v>
      </c>
      <c r="BD114" s="6">
        <v>0</v>
      </c>
      <c r="BE114" s="12">
        <v>0</v>
      </c>
      <c r="BF114" s="12">
        <v>20</v>
      </c>
      <c r="BG114" s="138">
        <f t="shared" si="40"/>
        <v>4900</v>
      </c>
      <c r="BH114" s="138">
        <f t="shared" si="40"/>
        <v>0</v>
      </c>
      <c r="BI114" s="138">
        <f t="shared" si="54"/>
        <v>0</v>
      </c>
      <c r="BJ114" s="138">
        <f t="shared" si="54"/>
        <v>6000</v>
      </c>
      <c r="BK114" s="12">
        <v>50</v>
      </c>
      <c r="BL114" s="6">
        <v>0</v>
      </c>
      <c r="BM114" s="12">
        <v>0</v>
      </c>
      <c r="BN114" s="12">
        <v>20</v>
      </c>
      <c r="BO114" s="138">
        <f t="shared" si="41"/>
        <v>5000</v>
      </c>
      <c r="BP114" s="138">
        <f t="shared" si="41"/>
        <v>0</v>
      </c>
      <c r="BQ114" s="138">
        <f t="shared" si="55"/>
        <v>0</v>
      </c>
      <c r="BR114" s="138">
        <f t="shared" si="55"/>
        <v>6000</v>
      </c>
      <c r="BS114" s="12">
        <v>52</v>
      </c>
      <c r="BT114" s="6">
        <v>0</v>
      </c>
      <c r="BU114" s="12">
        <v>0</v>
      </c>
      <c r="BV114" s="12">
        <v>20</v>
      </c>
      <c r="BW114" s="138">
        <f t="shared" si="42"/>
        <v>5200</v>
      </c>
      <c r="BX114" s="138">
        <f t="shared" si="42"/>
        <v>0</v>
      </c>
      <c r="BY114" s="138">
        <f t="shared" si="56"/>
        <v>0</v>
      </c>
      <c r="BZ114" s="138">
        <f t="shared" si="56"/>
        <v>6000</v>
      </c>
      <c r="CA114" s="125"/>
      <c r="CB114" s="125"/>
      <c r="CC114" s="125"/>
      <c r="CD114" s="125"/>
      <c r="CE114" s="125"/>
      <c r="CF114" s="125"/>
      <c r="CG114" s="125"/>
      <c r="CH114" s="125"/>
      <c r="CI114" s="125"/>
      <c r="CJ114" s="125"/>
      <c r="CK114" s="125"/>
      <c r="CL114" s="125"/>
      <c r="CM114" s="125"/>
      <c r="CN114" s="125"/>
      <c r="CO114" s="125"/>
      <c r="CP114" s="125"/>
      <c r="CQ114" s="125"/>
      <c r="CR114" s="125"/>
      <c r="CS114" s="125"/>
      <c r="CT114" s="125"/>
      <c r="CU114" s="125"/>
      <c r="CV114" s="125"/>
      <c r="CW114" s="125"/>
      <c r="CX114" s="125"/>
      <c r="CY114" s="125"/>
      <c r="CZ114" s="125"/>
      <c r="DA114" s="125"/>
      <c r="DB114" s="125"/>
      <c r="DC114" s="125"/>
      <c r="DD114" s="125"/>
      <c r="DE114" s="125"/>
      <c r="DF114" s="125"/>
      <c r="DG114" s="125"/>
      <c r="DH114" s="125"/>
      <c r="DI114" s="125"/>
      <c r="DJ114" s="125"/>
      <c r="DK114" s="125"/>
      <c r="DL114" s="125"/>
      <c r="DM114" s="125"/>
      <c r="DN114" s="125"/>
      <c r="DO114" s="125"/>
      <c r="DP114" s="125"/>
      <c r="DQ114" s="125"/>
      <c r="DR114" s="125"/>
      <c r="DS114" s="125"/>
      <c r="DT114" s="125"/>
      <c r="DU114" s="125"/>
      <c r="DV114" s="125"/>
      <c r="DW114" s="125"/>
      <c r="DX114" s="125"/>
      <c r="DY114" s="125"/>
      <c r="DZ114" s="125"/>
      <c r="EA114" s="125"/>
      <c r="EB114" s="125"/>
      <c r="EC114" s="125"/>
      <c r="ED114" s="125"/>
      <c r="EE114" s="125"/>
      <c r="EF114" s="125"/>
      <c r="EG114" s="125"/>
      <c r="EH114" s="125"/>
      <c r="EI114" s="125"/>
      <c r="EJ114" s="125"/>
      <c r="EK114" s="125"/>
      <c r="EL114" s="125"/>
    </row>
    <row r="115" spans="1:142">
      <c r="A115" s="125">
        <v>7</v>
      </c>
      <c r="B115" s="81" t="s">
        <v>199</v>
      </c>
      <c r="C115" s="125"/>
      <c r="D115" s="125"/>
      <c r="E115" s="125"/>
      <c r="F115" s="125"/>
      <c r="G115" s="77">
        <v>55</v>
      </c>
      <c r="H115" s="90">
        <v>0</v>
      </c>
      <c r="I115" s="77">
        <v>0</v>
      </c>
      <c r="J115" s="77">
        <v>18</v>
      </c>
      <c r="K115" s="125">
        <f t="shared" si="43"/>
        <v>5500</v>
      </c>
      <c r="L115" s="125">
        <f t="shared" si="43"/>
        <v>0</v>
      </c>
      <c r="M115" s="125">
        <f t="shared" si="44"/>
        <v>0</v>
      </c>
      <c r="N115" s="125">
        <f t="shared" si="44"/>
        <v>5400</v>
      </c>
      <c r="O115" s="77">
        <v>55</v>
      </c>
      <c r="P115" s="90">
        <v>0</v>
      </c>
      <c r="Q115" s="77">
        <v>0</v>
      </c>
      <c r="R115" s="77">
        <v>18</v>
      </c>
      <c r="S115" s="125">
        <f t="shared" ref="S115:T169" si="57">O115*100</f>
        <v>5500</v>
      </c>
      <c r="T115" s="125">
        <f t="shared" si="45"/>
        <v>0</v>
      </c>
      <c r="U115" s="125">
        <f t="shared" si="46"/>
        <v>0</v>
      </c>
      <c r="V115" s="125">
        <f t="shared" si="46"/>
        <v>5400</v>
      </c>
      <c r="W115" s="77">
        <v>60</v>
      </c>
      <c r="X115" s="90">
        <v>0</v>
      </c>
      <c r="Y115" s="77">
        <v>0</v>
      </c>
      <c r="Z115" s="77">
        <v>20</v>
      </c>
      <c r="AA115" s="125">
        <f t="shared" ref="AA115:AB169" si="58">W115*100</f>
        <v>6000</v>
      </c>
      <c r="AB115" s="125">
        <f t="shared" si="47"/>
        <v>0</v>
      </c>
      <c r="AC115" s="125">
        <f t="shared" si="48"/>
        <v>0</v>
      </c>
      <c r="AD115" s="125">
        <f t="shared" si="48"/>
        <v>6000</v>
      </c>
      <c r="AE115" s="77">
        <v>60</v>
      </c>
      <c r="AF115" s="90">
        <v>0</v>
      </c>
      <c r="AG115" s="77">
        <v>0</v>
      </c>
      <c r="AH115" s="77">
        <v>8</v>
      </c>
      <c r="AI115" s="125">
        <f t="shared" ref="AI115:AJ169" si="59">AE115*100</f>
        <v>6000</v>
      </c>
      <c r="AJ115" s="125">
        <f t="shared" si="49"/>
        <v>0</v>
      </c>
      <c r="AK115" s="125">
        <f t="shared" si="50"/>
        <v>0</v>
      </c>
      <c r="AL115" s="125">
        <f t="shared" si="50"/>
        <v>2400</v>
      </c>
      <c r="AM115" s="77">
        <v>58</v>
      </c>
      <c r="AN115" s="90">
        <v>0</v>
      </c>
      <c r="AO115" s="77">
        <v>0</v>
      </c>
      <c r="AP115" s="77">
        <v>8</v>
      </c>
      <c r="AQ115" s="125">
        <f t="shared" ref="AQ115:AR169" si="60">AM115*100</f>
        <v>5800</v>
      </c>
      <c r="AR115" s="125">
        <f t="shared" si="51"/>
        <v>0</v>
      </c>
      <c r="AS115" s="125">
        <f t="shared" si="52"/>
        <v>0</v>
      </c>
      <c r="AT115" s="125">
        <f t="shared" si="52"/>
        <v>2400</v>
      </c>
      <c r="AU115" s="12">
        <v>60</v>
      </c>
      <c r="AV115" s="6">
        <v>0</v>
      </c>
      <c r="AW115" s="12">
        <v>0</v>
      </c>
      <c r="AX115" s="12">
        <v>10</v>
      </c>
      <c r="AY115" s="138">
        <f t="shared" si="39"/>
        <v>6000</v>
      </c>
      <c r="AZ115" s="138">
        <f t="shared" si="39"/>
        <v>0</v>
      </c>
      <c r="BA115" s="138">
        <f t="shared" si="53"/>
        <v>0</v>
      </c>
      <c r="BB115" s="138">
        <f t="shared" si="53"/>
        <v>3000</v>
      </c>
      <c r="BC115" s="12">
        <v>58</v>
      </c>
      <c r="BD115" s="6">
        <v>0</v>
      </c>
      <c r="BE115" s="12">
        <v>0</v>
      </c>
      <c r="BF115" s="12">
        <v>10</v>
      </c>
      <c r="BG115" s="138">
        <f t="shared" si="40"/>
        <v>5800</v>
      </c>
      <c r="BH115" s="138">
        <f t="shared" si="40"/>
        <v>0</v>
      </c>
      <c r="BI115" s="138">
        <f t="shared" si="54"/>
        <v>0</v>
      </c>
      <c r="BJ115" s="138">
        <f t="shared" si="54"/>
        <v>3000</v>
      </c>
      <c r="BK115" s="12">
        <v>60</v>
      </c>
      <c r="BL115" s="6">
        <v>0</v>
      </c>
      <c r="BM115" s="12">
        <v>0</v>
      </c>
      <c r="BN115" s="12">
        <v>10</v>
      </c>
      <c r="BO115" s="138">
        <f t="shared" si="41"/>
        <v>6000</v>
      </c>
      <c r="BP115" s="138">
        <f t="shared" si="41"/>
        <v>0</v>
      </c>
      <c r="BQ115" s="138">
        <f t="shared" si="55"/>
        <v>0</v>
      </c>
      <c r="BR115" s="138">
        <f t="shared" si="55"/>
        <v>3000</v>
      </c>
      <c r="BS115" s="12">
        <v>60</v>
      </c>
      <c r="BT115" s="6">
        <v>0</v>
      </c>
      <c r="BU115" s="12">
        <v>0</v>
      </c>
      <c r="BV115" s="12">
        <v>15</v>
      </c>
      <c r="BW115" s="138">
        <f t="shared" si="42"/>
        <v>6000</v>
      </c>
      <c r="BX115" s="138">
        <f t="shared" si="42"/>
        <v>0</v>
      </c>
      <c r="BY115" s="138">
        <f t="shared" si="56"/>
        <v>0</v>
      </c>
      <c r="BZ115" s="138">
        <f t="shared" si="56"/>
        <v>4500</v>
      </c>
      <c r="CA115" s="125"/>
      <c r="CB115" s="125"/>
      <c r="CC115" s="125"/>
      <c r="CD115" s="125"/>
      <c r="CE115" s="125"/>
      <c r="CF115" s="125"/>
      <c r="CG115" s="125"/>
      <c r="CH115" s="125"/>
      <c r="CI115" s="125"/>
      <c r="CJ115" s="125"/>
      <c r="CK115" s="125"/>
      <c r="CL115" s="125"/>
      <c r="CM115" s="125"/>
      <c r="CN115" s="125"/>
      <c r="CO115" s="125"/>
      <c r="CP115" s="125"/>
      <c r="CQ115" s="125"/>
      <c r="CR115" s="125"/>
      <c r="CS115" s="125"/>
      <c r="CT115" s="125"/>
      <c r="CU115" s="125"/>
      <c r="CV115" s="125"/>
      <c r="CW115" s="125"/>
      <c r="CX115" s="125"/>
      <c r="CY115" s="125"/>
      <c r="CZ115" s="125"/>
      <c r="DA115" s="125"/>
      <c r="DB115" s="125"/>
      <c r="DC115" s="125"/>
      <c r="DD115" s="125"/>
      <c r="DE115" s="125"/>
      <c r="DF115" s="125"/>
      <c r="DG115" s="125"/>
      <c r="DH115" s="125"/>
      <c r="DI115" s="125"/>
      <c r="DJ115" s="125"/>
      <c r="DK115" s="125"/>
      <c r="DL115" s="125"/>
      <c r="DM115" s="125"/>
      <c r="DN115" s="125"/>
      <c r="DO115" s="125"/>
      <c r="DP115" s="125"/>
      <c r="DQ115" s="125"/>
      <c r="DR115" s="125"/>
      <c r="DS115" s="125"/>
      <c r="DT115" s="125"/>
      <c r="DU115" s="125"/>
      <c r="DV115" s="125"/>
      <c r="DW115" s="125"/>
      <c r="DX115" s="125"/>
      <c r="DY115" s="125"/>
      <c r="DZ115" s="125"/>
      <c r="EA115" s="125"/>
      <c r="EB115" s="125"/>
      <c r="EC115" s="125"/>
      <c r="ED115" s="125"/>
      <c r="EE115" s="125"/>
      <c r="EF115" s="125"/>
      <c r="EG115" s="125"/>
      <c r="EH115" s="125"/>
      <c r="EI115" s="125"/>
      <c r="EJ115" s="125"/>
      <c r="EK115" s="125"/>
      <c r="EL115" s="125"/>
    </row>
    <row r="116" spans="1:142">
      <c r="A116" s="125">
        <v>8</v>
      </c>
      <c r="B116" s="81" t="s">
        <v>200</v>
      </c>
      <c r="C116" s="125"/>
      <c r="D116" s="125"/>
      <c r="E116" s="125"/>
      <c r="F116" s="125"/>
      <c r="G116" s="77">
        <v>48</v>
      </c>
      <c r="H116" s="90">
        <v>0</v>
      </c>
      <c r="I116" s="77">
        <v>0</v>
      </c>
      <c r="J116" s="77">
        <v>18</v>
      </c>
      <c r="K116" s="125">
        <f t="shared" si="43"/>
        <v>4800</v>
      </c>
      <c r="L116" s="125">
        <f t="shared" si="43"/>
        <v>0</v>
      </c>
      <c r="M116" s="125">
        <f t="shared" si="44"/>
        <v>0</v>
      </c>
      <c r="N116" s="125">
        <f t="shared" si="44"/>
        <v>5400</v>
      </c>
      <c r="O116" s="77">
        <v>48</v>
      </c>
      <c r="P116" s="90">
        <v>0</v>
      </c>
      <c r="Q116" s="77">
        <v>0</v>
      </c>
      <c r="R116" s="77">
        <v>20</v>
      </c>
      <c r="S116" s="125">
        <f t="shared" si="57"/>
        <v>4800</v>
      </c>
      <c r="T116" s="125">
        <f t="shared" si="45"/>
        <v>0</v>
      </c>
      <c r="U116" s="125">
        <f t="shared" si="46"/>
        <v>0</v>
      </c>
      <c r="V116" s="125">
        <f t="shared" si="46"/>
        <v>6000</v>
      </c>
      <c r="W116" s="77">
        <v>50</v>
      </c>
      <c r="X116" s="90">
        <v>0</v>
      </c>
      <c r="Y116" s="77">
        <v>0</v>
      </c>
      <c r="Z116" s="77">
        <v>10</v>
      </c>
      <c r="AA116" s="125">
        <f t="shared" si="58"/>
        <v>5000</v>
      </c>
      <c r="AB116" s="125">
        <f t="shared" si="47"/>
        <v>0</v>
      </c>
      <c r="AC116" s="125">
        <f t="shared" si="48"/>
        <v>0</v>
      </c>
      <c r="AD116" s="125">
        <f t="shared" si="48"/>
        <v>3000</v>
      </c>
      <c r="AE116" s="77">
        <v>55</v>
      </c>
      <c r="AF116" s="90">
        <v>0</v>
      </c>
      <c r="AG116" s="77">
        <v>0</v>
      </c>
      <c r="AH116" s="77">
        <v>14</v>
      </c>
      <c r="AI116" s="125">
        <f t="shared" si="59"/>
        <v>5500</v>
      </c>
      <c r="AJ116" s="125">
        <f t="shared" si="49"/>
        <v>0</v>
      </c>
      <c r="AK116" s="125">
        <f t="shared" si="50"/>
        <v>0</v>
      </c>
      <c r="AL116" s="125">
        <f t="shared" si="50"/>
        <v>4200</v>
      </c>
      <c r="AM116" s="77">
        <v>56</v>
      </c>
      <c r="AN116" s="90">
        <v>0</v>
      </c>
      <c r="AO116" s="77">
        <v>0</v>
      </c>
      <c r="AP116" s="77">
        <v>16</v>
      </c>
      <c r="AQ116" s="125">
        <f t="shared" si="60"/>
        <v>5600</v>
      </c>
      <c r="AR116" s="125">
        <f t="shared" si="51"/>
        <v>0</v>
      </c>
      <c r="AS116" s="125">
        <f t="shared" si="52"/>
        <v>0</v>
      </c>
      <c r="AT116" s="125">
        <f t="shared" si="52"/>
        <v>4800</v>
      </c>
      <c r="AU116" s="12">
        <v>56</v>
      </c>
      <c r="AV116" s="6">
        <v>0</v>
      </c>
      <c r="AW116" s="12">
        <v>0</v>
      </c>
      <c r="AX116" s="12">
        <v>18</v>
      </c>
      <c r="AY116" s="138">
        <f t="shared" si="39"/>
        <v>5600</v>
      </c>
      <c r="AZ116" s="138">
        <f t="shared" si="39"/>
        <v>0</v>
      </c>
      <c r="BA116" s="138">
        <f t="shared" si="53"/>
        <v>0</v>
      </c>
      <c r="BB116" s="138">
        <f t="shared" si="53"/>
        <v>5400</v>
      </c>
      <c r="BC116" s="12">
        <v>61</v>
      </c>
      <c r="BD116" s="6">
        <v>0</v>
      </c>
      <c r="BE116" s="12">
        <v>0</v>
      </c>
      <c r="BF116" s="12">
        <v>16</v>
      </c>
      <c r="BG116" s="138">
        <f t="shared" si="40"/>
        <v>6100</v>
      </c>
      <c r="BH116" s="138">
        <f t="shared" si="40"/>
        <v>0</v>
      </c>
      <c r="BI116" s="138">
        <f t="shared" si="54"/>
        <v>0</v>
      </c>
      <c r="BJ116" s="138">
        <f t="shared" si="54"/>
        <v>4800</v>
      </c>
      <c r="BK116" s="12">
        <v>59</v>
      </c>
      <c r="BL116" s="6">
        <v>0</v>
      </c>
      <c r="BM116" s="12">
        <v>0</v>
      </c>
      <c r="BN116" s="12">
        <v>20</v>
      </c>
      <c r="BO116" s="138">
        <f t="shared" si="41"/>
        <v>5900</v>
      </c>
      <c r="BP116" s="138">
        <f t="shared" si="41"/>
        <v>0</v>
      </c>
      <c r="BQ116" s="138">
        <f t="shared" si="55"/>
        <v>0</v>
      </c>
      <c r="BR116" s="138">
        <f t="shared" si="55"/>
        <v>6000</v>
      </c>
      <c r="BS116" s="12">
        <v>61</v>
      </c>
      <c r="BT116" s="6">
        <v>0</v>
      </c>
      <c r="BU116" s="12">
        <v>0</v>
      </c>
      <c r="BV116" s="12">
        <v>20</v>
      </c>
      <c r="BW116" s="138">
        <f t="shared" si="42"/>
        <v>6100</v>
      </c>
      <c r="BX116" s="138">
        <f t="shared" si="42"/>
        <v>0</v>
      </c>
      <c r="BY116" s="138">
        <f t="shared" si="56"/>
        <v>0</v>
      </c>
      <c r="BZ116" s="138">
        <f t="shared" si="56"/>
        <v>6000</v>
      </c>
      <c r="CA116" s="125"/>
      <c r="CB116" s="125"/>
      <c r="CC116" s="125"/>
      <c r="CD116" s="125"/>
      <c r="CE116" s="125"/>
      <c r="CF116" s="125"/>
      <c r="CG116" s="125"/>
      <c r="CH116" s="125"/>
      <c r="CI116" s="125"/>
      <c r="CJ116" s="125"/>
      <c r="CK116" s="125"/>
      <c r="CL116" s="125"/>
      <c r="CM116" s="125"/>
      <c r="CN116" s="125"/>
      <c r="CO116" s="125"/>
      <c r="CP116" s="125"/>
      <c r="CQ116" s="125"/>
      <c r="CR116" s="125"/>
      <c r="CS116" s="125"/>
      <c r="CT116" s="125"/>
      <c r="CU116" s="125"/>
      <c r="CV116" s="125"/>
      <c r="CW116" s="125"/>
      <c r="CX116" s="125"/>
      <c r="CY116" s="125"/>
      <c r="CZ116" s="125"/>
      <c r="DA116" s="125"/>
      <c r="DB116" s="125"/>
      <c r="DC116" s="125"/>
      <c r="DD116" s="125"/>
      <c r="DE116" s="125"/>
      <c r="DF116" s="125"/>
      <c r="DG116" s="125"/>
      <c r="DH116" s="125"/>
      <c r="DI116" s="125"/>
      <c r="DJ116" s="125"/>
      <c r="DK116" s="125"/>
      <c r="DL116" s="125"/>
      <c r="DM116" s="125"/>
      <c r="DN116" s="125"/>
      <c r="DO116" s="125"/>
      <c r="DP116" s="125"/>
      <c r="DQ116" s="125"/>
      <c r="DR116" s="125"/>
      <c r="DS116" s="125"/>
      <c r="DT116" s="125"/>
      <c r="DU116" s="125"/>
      <c r="DV116" s="125"/>
      <c r="DW116" s="125"/>
      <c r="DX116" s="125"/>
      <c r="DY116" s="125"/>
      <c r="DZ116" s="125"/>
      <c r="EA116" s="125"/>
      <c r="EB116" s="125"/>
      <c r="EC116" s="125"/>
      <c r="ED116" s="125"/>
      <c r="EE116" s="125"/>
      <c r="EF116" s="125"/>
      <c r="EG116" s="125"/>
      <c r="EH116" s="125"/>
      <c r="EI116" s="125"/>
      <c r="EJ116" s="125"/>
      <c r="EK116" s="125"/>
      <c r="EL116" s="125"/>
    </row>
    <row r="117" spans="1:142">
      <c r="A117" s="125">
        <v>9</v>
      </c>
      <c r="B117" s="81" t="s">
        <v>201</v>
      </c>
      <c r="C117" s="125"/>
      <c r="D117" s="125"/>
      <c r="E117" s="125"/>
      <c r="F117" s="125"/>
      <c r="G117" s="77">
        <v>40</v>
      </c>
      <c r="H117" s="90">
        <v>0</v>
      </c>
      <c r="I117" s="77">
        <v>0</v>
      </c>
      <c r="J117" s="77">
        <v>18</v>
      </c>
      <c r="K117" s="125">
        <f t="shared" si="43"/>
        <v>4000</v>
      </c>
      <c r="L117" s="125">
        <f t="shared" si="43"/>
        <v>0</v>
      </c>
      <c r="M117" s="125">
        <f t="shared" si="44"/>
        <v>0</v>
      </c>
      <c r="N117" s="125">
        <f t="shared" si="44"/>
        <v>5400</v>
      </c>
      <c r="O117" s="77">
        <v>40</v>
      </c>
      <c r="P117" s="90">
        <v>0</v>
      </c>
      <c r="Q117" s="77">
        <v>0</v>
      </c>
      <c r="R117" s="77">
        <v>18</v>
      </c>
      <c r="S117" s="125">
        <f t="shared" si="57"/>
        <v>4000</v>
      </c>
      <c r="T117" s="125">
        <f t="shared" si="45"/>
        <v>0</v>
      </c>
      <c r="U117" s="125">
        <f t="shared" si="46"/>
        <v>0</v>
      </c>
      <c r="V117" s="125">
        <f t="shared" si="46"/>
        <v>5400</v>
      </c>
      <c r="W117" s="77">
        <v>40</v>
      </c>
      <c r="X117" s="90">
        <v>0</v>
      </c>
      <c r="Y117" s="77">
        <v>0</v>
      </c>
      <c r="Z117" s="77">
        <v>20</v>
      </c>
      <c r="AA117" s="125">
        <f t="shared" si="58"/>
        <v>4000</v>
      </c>
      <c r="AB117" s="125">
        <f t="shared" si="47"/>
        <v>0</v>
      </c>
      <c r="AC117" s="125">
        <f t="shared" si="48"/>
        <v>0</v>
      </c>
      <c r="AD117" s="125">
        <f t="shared" si="48"/>
        <v>6000</v>
      </c>
      <c r="AE117" s="77">
        <v>42</v>
      </c>
      <c r="AF117" s="90">
        <v>0</v>
      </c>
      <c r="AG117" s="77">
        <v>0</v>
      </c>
      <c r="AH117" s="77">
        <v>20</v>
      </c>
      <c r="AI117" s="125">
        <f t="shared" si="59"/>
        <v>4200</v>
      </c>
      <c r="AJ117" s="125">
        <f t="shared" si="49"/>
        <v>0</v>
      </c>
      <c r="AK117" s="125">
        <f t="shared" si="50"/>
        <v>0</v>
      </c>
      <c r="AL117" s="125">
        <f t="shared" si="50"/>
        <v>6000</v>
      </c>
      <c r="AM117" s="77">
        <v>45</v>
      </c>
      <c r="AN117" s="90">
        <v>0</v>
      </c>
      <c r="AO117" s="77">
        <v>0</v>
      </c>
      <c r="AP117" s="77">
        <v>20</v>
      </c>
      <c r="AQ117" s="125">
        <f t="shared" si="60"/>
        <v>4500</v>
      </c>
      <c r="AR117" s="125">
        <f t="shared" si="51"/>
        <v>0</v>
      </c>
      <c r="AS117" s="125">
        <f t="shared" si="52"/>
        <v>0</v>
      </c>
      <c r="AT117" s="125">
        <f t="shared" si="52"/>
        <v>6000</v>
      </c>
      <c r="AU117" s="12">
        <v>46</v>
      </c>
      <c r="AV117" s="6">
        <v>0</v>
      </c>
      <c r="AW117" s="12">
        <v>0</v>
      </c>
      <c r="AX117" s="12">
        <v>20</v>
      </c>
      <c r="AY117" s="138">
        <f t="shared" si="39"/>
        <v>4600</v>
      </c>
      <c r="AZ117" s="138">
        <f t="shared" si="39"/>
        <v>0</v>
      </c>
      <c r="BA117" s="138">
        <f t="shared" si="53"/>
        <v>0</v>
      </c>
      <c r="BB117" s="138">
        <f t="shared" si="53"/>
        <v>6000</v>
      </c>
      <c r="BC117" s="12">
        <v>48</v>
      </c>
      <c r="BD117" s="6">
        <v>0</v>
      </c>
      <c r="BE117" s="12">
        <v>0</v>
      </c>
      <c r="BF117" s="12">
        <v>20</v>
      </c>
      <c r="BG117" s="138">
        <f t="shared" si="40"/>
        <v>4800</v>
      </c>
      <c r="BH117" s="138">
        <f t="shared" si="40"/>
        <v>0</v>
      </c>
      <c r="BI117" s="138">
        <f t="shared" si="54"/>
        <v>0</v>
      </c>
      <c r="BJ117" s="138">
        <f t="shared" si="54"/>
        <v>6000</v>
      </c>
      <c r="BK117" s="12">
        <v>48</v>
      </c>
      <c r="BL117" s="6">
        <v>0</v>
      </c>
      <c r="BM117" s="12">
        <v>0</v>
      </c>
      <c r="BN117" s="12">
        <v>19</v>
      </c>
      <c r="BO117" s="138">
        <f t="shared" si="41"/>
        <v>4800</v>
      </c>
      <c r="BP117" s="138">
        <f t="shared" si="41"/>
        <v>0</v>
      </c>
      <c r="BQ117" s="138">
        <f t="shared" si="55"/>
        <v>0</v>
      </c>
      <c r="BR117" s="138">
        <f t="shared" si="55"/>
        <v>5700</v>
      </c>
      <c r="BS117" s="12">
        <v>50</v>
      </c>
      <c r="BT117" s="6">
        <v>0</v>
      </c>
      <c r="BU117" s="12">
        <v>0</v>
      </c>
      <c r="BV117" s="12">
        <v>19</v>
      </c>
      <c r="BW117" s="138">
        <f t="shared" si="42"/>
        <v>5000</v>
      </c>
      <c r="BX117" s="138">
        <f t="shared" si="42"/>
        <v>0</v>
      </c>
      <c r="BY117" s="138">
        <f t="shared" si="56"/>
        <v>0</v>
      </c>
      <c r="BZ117" s="138">
        <f t="shared" si="56"/>
        <v>5700</v>
      </c>
      <c r="CA117" s="125"/>
      <c r="CB117" s="125"/>
      <c r="CC117" s="125"/>
      <c r="CD117" s="125"/>
      <c r="CE117" s="125"/>
      <c r="CF117" s="125"/>
      <c r="CG117" s="125"/>
      <c r="CH117" s="125"/>
      <c r="CI117" s="125"/>
      <c r="CJ117" s="125"/>
      <c r="CK117" s="125"/>
      <c r="CL117" s="125"/>
      <c r="CM117" s="125"/>
      <c r="CN117" s="125"/>
      <c r="CO117" s="125"/>
      <c r="CP117" s="125"/>
      <c r="CQ117" s="125"/>
      <c r="CR117" s="125"/>
      <c r="CS117" s="125"/>
      <c r="CT117" s="125"/>
      <c r="CU117" s="125"/>
      <c r="CV117" s="125"/>
      <c r="CW117" s="125"/>
      <c r="CX117" s="125"/>
      <c r="CY117" s="125"/>
      <c r="CZ117" s="125"/>
      <c r="DA117" s="125"/>
      <c r="DB117" s="125"/>
      <c r="DC117" s="125"/>
      <c r="DD117" s="125"/>
      <c r="DE117" s="125"/>
      <c r="DF117" s="125"/>
      <c r="DG117" s="125"/>
      <c r="DH117" s="125"/>
      <c r="DI117" s="125"/>
      <c r="DJ117" s="125"/>
      <c r="DK117" s="125"/>
      <c r="DL117" s="125"/>
      <c r="DM117" s="125"/>
      <c r="DN117" s="125"/>
      <c r="DO117" s="125"/>
      <c r="DP117" s="125"/>
      <c r="DQ117" s="125"/>
      <c r="DR117" s="125"/>
      <c r="DS117" s="125"/>
      <c r="DT117" s="125"/>
      <c r="DU117" s="125"/>
      <c r="DV117" s="125"/>
      <c r="DW117" s="125"/>
      <c r="DX117" s="125"/>
      <c r="DY117" s="125"/>
      <c r="DZ117" s="125"/>
      <c r="EA117" s="125"/>
      <c r="EB117" s="125"/>
      <c r="EC117" s="125"/>
      <c r="ED117" s="125"/>
      <c r="EE117" s="125"/>
      <c r="EF117" s="125"/>
      <c r="EG117" s="125"/>
      <c r="EH117" s="125"/>
      <c r="EI117" s="125"/>
      <c r="EJ117" s="125"/>
      <c r="EK117" s="125"/>
      <c r="EL117" s="125"/>
    </row>
    <row r="118" spans="1:142">
      <c r="A118" s="125">
        <v>10</v>
      </c>
      <c r="B118" s="81" t="s">
        <v>202</v>
      </c>
      <c r="C118" s="125"/>
      <c r="D118" s="125"/>
      <c r="E118" s="125"/>
      <c r="F118" s="125"/>
      <c r="G118" s="77">
        <v>28</v>
      </c>
      <c r="H118" s="90">
        <v>0</v>
      </c>
      <c r="I118" s="77">
        <v>0</v>
      </c>
      <c r="J118" s="125">
        <v>10</v>
      </c>
      <c r="K118" s="125">
        <f t="shared" si="43"/>
        <v>2800</v>
      </c>
      <c r="L118" s="125">
        <f t="shared" si="43"/>
        <v>0</v>
      </c>
      <c r="M118" s="125">
        <f t="shared" si="44"/>
        <v>0</v>
      </c>
      <c r="N118" s="125">
        <f t="shared" si="44"/>
        <v>3000</v>
      </c>
      <c r="O118" s="77">
        <v>28</v>
      </c>
      <c r="P118" s="90">
        <v>0</v>
      </c>
      <c r="Q118" s="77">
        <v>0</v>
      </c>
      <c r="R118" s="125">
        <v>10</v>
      </c>
      <c r="S118" s="125">
        <f t="shared" si="57"/>
        <v>2800</v>
      </c>
      <c r="T118" s="125">
        <f t="shared" si="45"/>
        <v>0</v>
      </c>
      <c r="U118" s="125">
        <f t="shared" si="46"/>
        <v>0</v>
      </c>
      <c r="V118" s="125">
        <f t="shared" si="46"/>
        <v>3000</v>
      </c>
      <c r="W118" s="77">
        <v>30</v>
      </c>
      <c r="X118" s="90">
        <v>0</v>
      </c>
      <c r="Y118" s="77">
        <v>0</v>
      </c>
      <c r="Z118" s="125">
        <v>10</v>
      </c>
      <c r="AA118" s="125">
        <f t="shared" si="58"/>
        <v>3000</v>
      </c>
      <c r="AB118" s="125">
        <f t="shared" si="47"/>
        <v>0</v>
      </c>
      <c r="AC118" s="125">
        <f t="shared" si="48"/>
        <v>0</v>
      </c>
      <c r="AD118" s="125">
        <f t="shared" si="48"/>
        <v>3000</v>
      </c>
      <c r="AE118" s="77">
        <v>35</v>
      </c>
      <c r="AF118" s="90">
        <v>0</v>
      </c>
      <c r="AG118" s="77">
        <v>0</v>
      </c>
      <c r="AH118" s="125">
        <v>12</v>
      </c>
      <c r="AI118" s="125">
        <f t="shared" si="59"/>
        <v>3500</v>
      </c>
      <c r="AJ118" s="125">
        <f t="shared" si="49"/>
        <v>0</v>
      </c>
      <c r="AK118" s="125">
        <f t="shared" si="50"/>
        <v>0</v>
      </c>
      <c r="AL118" s="125">
        <f t="shared" si="50"/>
        <v>3600</v>
      </c>
      <c r="AM118" s="77">
        <v>38</v>
      </c>
      <c r="AN118" s="90">
        <v>0</v>
      </c>
      <c r="AO118" s="77">
        <v>0</v>
      </c>
      <c r="AP118" s="125">
        <v>12</v>
      </c>
      <c r="AQ118" s="125">
        <f t="shared" si="60"/>
        <v>3800</v>
      </c>
      <c r="AR118" s="125">
        <f t="shared" si="51"/>
        <v>0</v>
      </c>
      <c r="AS118" s="125">
        <f t="shared" si="52"/>
        <v>0</v>
      </c>
      <c r="AT118" s="125">
        <f t="shared" si="52"/>
        <v>3600</v>
      </c>
      <c r="AU118" s="12">
        <v>38</v>
      </c>
      <c r="AV118" s="6">
        <v>0</v>
      </c>
      <c r="AW118" s="12">
        <v>0</v>
      </c>
      <c r="AX118" s="138">
        <v>12</v>
      </c>
      <c r="AY118" s="138">
        <f t="shared" si="39"/>
        <v>3800</v>
      </c>
      <c r="AZ118" s="138">
        <f t="shared" si="39"/>
        <v>0</v>
      </c>
      <c r="BA118" s="138">
        <f t="shared" si="53"/>
        <v>0</v>
      </c>
      <c r="BB118" s="138">
        <f t="shared" si="53"/>
        <v>3600</v>
      </c>
      <c r="BC118" s="12">
        <v>40</v>
      </c>
      <c r="BD118" s="6">
        <v>0</v>
      </c>
      <c r="BE118" s="12">
        <v>0</v>
      </c>
      <c r="BF118" s="138">
        <v>12</v>
      </c>
      <c r="BG118" s="138">
        <f t="shared" si="40"/>
        <v>4000</v>
      </c>
      <c r="BH118" s="138">
        <f t="shared" si="40"/>
        <v>0</v>
      </c>
      <c r="BI118" s="138">
        <f t="shared" si="54"/>
        <v>0</v>
      </c>
      <c r="BJ118" s="138">
        <f t="shared" si="54"/>
        <v>3600</v>
      </c>
      <c r="BK118" s="12">
        <v>44</v>
      </c>
      <c r="BL118" s="6">
        <v>0</v>
      </c>
      <c r="BM118" s="12">
        <v>0</v>
      </c>
      <c r="BN118" s="138">
        <v>18</v>
      </c>
      <c r="BO118" s="138">
        <f t="shared" si="41"/>
        <v>4400</v>
      </c>
      <c r="BP118" s="138">
        <f t="shared" si="41"/>
        <v>0</v>
      </c>
      <c r="BQ118" s="138">
        <f t="shared" si="55"/>
        <v>0</v>
      </c>
      <c r="BR118" s="138">
        <f t="shared" si="55"/>
        <v>5400</v>
      </c>
      <c r="BS118" s="12">
        <v>45</v>
      </c>
      <c r="BT118" s="6">
        <v>0</v>
      </c>
      <c r="BU118" s="12">
        <v>0</v>
      </c>
      <c r="BV118" s="138">
        <v>18</v>
      </c>
      <c r="BW118" s="138">
        <f t="shared" si="42"/>
        <v>4500</v>
      </c>
      <c r="BX118" s="138">
        <f t="shared" si="42"/>
        <v>0</v>
      </c>
      <c r="BY118" s="138">
        <f t="shared" si="56"/>
        <v>0</v>
      </c>
      <c r="BZ118" s="138">
        <f t="shared" si="56"/>
        <v>5400</v>
      </c>
      <c r="CA118" s="125"/>
      <c r="CB118" s="125"/>
      <c r="CC118" s="125"/>
      <c r="CD118" s="125"/>
      <c r="CE118" s="125"/>
      <c r="CF118" s="125"/>
      <c r="CG118" s="125"/>
      <c r="CH118" s="125"/>
      <c r="CI118" s="125"/>
      <c r="CJ118" s="125"/>
      <c r="CK118" s="125"/>
      <c r="CL118" s="125"/>
      <c r="CM118" s="125"/>
      <c r="CN118" s="125"/>
      <c r="CO118" s="125"/>
      <c r="CP118" s="125"/>
      <c r="CQ118" s="125"/>
      <c r="CR118" s="125"/>
      <c r="CS118" s="125"/>
      <c r="CT118" s="125"/>
      <c r="CU118" s="125"/>
      <c r="CV118" s="125"/>
      <c r="CW118" s="125"/>
      <c r="CX118" s="125"/>
      <c r="CY118" s="125"/>
      <c r="CZ118" s="125"/>
      <c r="DA118" s="125"/>
      <c r="DB118" s="125"/>
      <c r="DC118" s="125"/>
      <c r="DD118" s="125"/>
      <c r="DE118" s="125"/>
      <c r="DF118" s="125"/>
      <c r="DG118" s="125"/>
      <c r="DH118" s="125"/>
      <c r="DI118" s="125"/>
      <c r="DJ118" s="125"/>
      <c r="DK118" s="125"/>
      <c r="DL118" s="125"/>
      <c r="DM118" s="125"/>
      <c r="DN118" s="125"/>
      <c r="DO118" s="125"/>
      <c r="DP118" s="125"/>
      <c r="DQ118" s="125"/>
      <c r="DR118" s="125"/>
      <c r="DS118" s="125"/>
      <c r="DT118" s="125"/>
      <c r="DU118" s="125"/>
      <c r="DV118" s="125"/>
      <c r="DW118" s="125"/>
      <c r="DX118" s="125"/>
      <c r="DY118" s="125"/>
      <c r="DZ118" s="125"/>
      <c r="EA118" s="125"/>
      <c r="EB118" s="125"/>
      <c r="EC118" s="125"/>
      <c r="ED118" s="125"/>
      <c r="EE118" s="125"/>
      <c r="EF118" s="125"/>
      <c r="EG118" s="125"/>
      <c r="EH118" s="125"/>
      <c r="EI118" s="125"/>
      <c r="EJ118" s="125"/>
      <c r="EK118" s="125"/>
      <c r="EL118" s="125"/>
    </row>
    <row r="119" spans="1:142">
      <c r="A119" s="125">
        <v>11</v>
      </c>
      <c r="B119" s="81" t="s">
        <v>203</v>
      </c>
      <c r="C119" s="125"/>
      <c r="D119" s="125"/>
      <c r="E119" s="125"/>
      <c r="F119" s="125"/>
      <c r="G119" s="77">
        <v>46</v>
      </c>
      <c r="H119" s="90">
        <v>0</v>
      </c>
      <c r="I119" s="77">
        <v>0</v>
      </c>
      <c r="J119" s="125">
        <v>5</v>
      </c>
      <c r="K119" s="125">
        <f t="shared" si="43"/>
        <v>4600</v>
      </c>
      <c r="L119" s="125">
        <f t="shared" si="43"/>
        <v>0</v>
      </c>
      <c r="M119" s="125">
        <f t="shared" si="44"/>
        <v>0</v>
      </c>
      <c r="N119" s="125">
        <f t="shared" si="44"/>
        <v>1500</v>
      </c>
      <c r="O119" s="77">
        <v>46</v>
      </c>
      <c r="P119" s="90">
        <v>0</v>
      </c>
      <c r="Q119" s="77">
        <v>0</v>
      </c>
      <c r="R119" s="125">
        <v>10</v>
      </c>
      <c r="S119" s="125">
        <f t="shared" si="57"/>
        <v>4600</v>
      </c>
      <c r="T119" s="125">
        <f t="shared" si="45"/>
        <v>0</v>
      </c>
      <c r="U119" s="125">
        <f t="shared" si="46"/>
        <v>0</v>
      </c>
      <c r="V119" s="125">
        <f t="shared" si="46"/>
        <v>3000</v>
      </c>
      <c r="W119" s="77">
        <v>40</v>
      </c>
      <c r="X119" s="90">
        <v>0</v>
      </c>
      <c r="Y119" s="77">
        <v>0</v>
      </c>
      <c r="Z119" s="125">
        <v>12</v>
      </c>
      <c r="AA119" s="125">
        <f t="shared" si="58"/>
        <v>4000</v>
      </c>
      <c r="AB119" s="125">
        <f t="shared" si="47"/>
        <v>0</v>
      </c>
      <c r="AC119" s="125">
        <f t="shared" si="48"/>
        <v>0</v>
      </c>
      <c r="AD119" s="125">
        <f t="shared" si="48"/>
        <v>3600</v>
      </c>
      <c r="AE119" s="77">
        <v>28</v>
      </c>
      <c r="AF119" s="90">
        <v>0</v>
      </c>
      <c r="AG119" s="77">
        <v>0</v>
      </c>
      <c r="AH119" s="125">
        <v>20</v>
      </c>
      <c r="AI119" s="125">
        <f t="shared" si="59"/>
        <v>2800</v>
      </c>
      <c r="AJ119" s="125">
        <f t="shared" si="49"/>
        <v>0</v>
      </c>
      <c r="AK119" s="125">
        <f t="shared" si="50"/>
        <v>0</v>
      </c>
      <c r="AL119" s="125">
        <f t="shared" si="50"/>
        <v>6000</v>
      </c>
      <c r="AM119" s="77">
        <v>32</v>
      </c>
      <c r="AN119" s="90">
        <v>0</v>
      </c>
      <c r="AO119" s="77">
        <v>0</v>
      </c>
      <c r="AP119" s="125">
        <v>20</v>
      </c>
      <c r="AQ119" s="125">
        <f t="shared" si="60"/>
        <v>3200</v>
      </c>
      <c r="AR119" s="125">
        <f t="shared" si="51"/>
        <v>0</v>
      </c>
      <c r="AS119" s="125">
        <f t="shared" si="52"/>
        <v>0</v>
      </c>
      <c r="AT119" s="125">
        <f t="shared" si="52"/>
        <v>6000</v>
      </c>
      <c r="AU119" s="12">
        <v>36</v>
      </c>
      <c r="AV119" s="6">
        <v>0</v>
      </c>
      <c r="AW119" s="12">
        <v>0</v>
      </c>
      <c r="AX119" s="138">
        <v>20</v>
      </c>
      <c r="AY119" s="138">
        <f t="shared" si="39"/>
        <v>3600</v>
      </c>
      <c r="AZ119" s="138">
        <f t="shared" si="39"/>
        <v>0</v>
      </c>
      <c r="BA119" s="138">
        <f t="shared" si="53"/>
        <v>0</v>
      </c>
      <c r="BB119" s="138">
        <f t="shared" si="53"/>
        <v>6000</v>
      </c>
      <c r="BC119" s="12">
        <v>36</v>
      </c>
      <c r="BD119" s="6">
        <v>0</v>
      </c>
      <c r="BE119" s="12">
        <v>0</v>
      </c>
      <c r="BF119" s="138">
        <v>20</v>
      </c>
      <c r="BG119" s="138">
        <f t="shared" si="40"/>
        <v>3600</v>
      </c>
      <c r="BH119" s="138">
        <f t="shared" si="40"/>
        <v>0</v>
      </c>
      <c r="BI119" s="138">
        <f t="shared" si="54"/>
        <v>0</v>
      </c>
      <c r="BJ119" s="138">
        <f t="shared" si="54"/>
        <v>6000</v>
      </c>
      <c r="BK119" s="12">
        <v>36</v>
      </c>
      <c r="BL119" s="6">
        <v>0</v>
      </c>
      <c r="BM119" s="12">
        <v>0</v>
      </c>
      <c r="BN119" s="138">
        <v>20</v>
      </c>
      <c r="BO119" s="138">
        <f t="shared" si="41"/>
        <v>3600</v>
      </c>
      <c r="BP119" s="138">
        <f t="shared" si="41"/>
        <v>0</v>
      </c>
      <c r="BQ119" s="138">
        <f t="shared" si="55"/>
        <v>0</v>
      </c>
      <c r="BR119" s="138">
        <f t="shared" si="55"/>
        <v>6000</v>
      </c>
      <c r="BS119" s="12">
        <v>36</v>
      </c>
      <c r="BT119" s="6">
        <v>0</v>
      </c>
      <c r="BU119" s="12">
        <v>0</v>
      </c>
      <c r="BV119" s="138">
        <v>20</v>
      </c>
      <c r="BW119" s="138">
        <f t="shared" si="42"/>
        <v>3600</v>
      </c>
      <c r="BX119" s="138">
        <f t="shared" si="42"/>
        <v>0</v>
      </c>
      <c r="BY119" s="138">
        <f t="shared" si="56"/>
        <v>0</v>
      </c>
      <c r="BZ119" s="138">
        <f t="shared" si="56"/>
        <v>6000</v>
      </c>
      <c r="CA119" s="125"/>
      <c r="CB119" s="125"/>
      <c r="CC119" s="125"/>
      <c r="CD119" s="125"/>
      <c r="CE119" s="125"/>
      <c r="CF119" s="125"/>
      <c r="CG119" s="125"/>
      <c r="CH119" s="125"/>
      <c r="CI119" s="125"/>
      <c r="CJ119" s="125"/>
      <c r="CK119" s="125"/>
      <c r="CL119" s="125"/>
      <c r="CM119" s="125"/>
      <c r="CN119" s="125"/>
      <c r="CO119" s="125"/>
      <c r="CP119" s="125"/>
      <c r="CQ119" s="125"/>
      <c r="CR119" s="125"/>
      <c r="CS119" s="125"/>
      <c r="CT119" s="125"/>
      <c r="CU119" s="125"/>
      <c r="CV119" s="125"/>
      <c r="CW119" s="125"/>
      <c r="CX119" s="125"/>
      <c r="CY119" s="125"/>
      <c r="CZ119" s="125"/>
      <c r="DA119" s="125"/>
      <c r="DB119" s="125"/>
      <c r="DC119" s="125"/>
      <c r="DD119" s="125"/>
      <c r="DE119" s="125"/>
      <c r="DF119" s="125"/>
      <c r="DG119" s="125"/>
      <c r="DH119" s="125"/>
      <c r="DI119" s="125"/>
      <c r="DJ119" s="125"/>
      <c r="DK119" s="125"/>
      <c r="DL119" s="125"/>
      <c r="DM119" s="125"/>
      <c r="DN119" s="125"/>
      <c r="DO119" s="125"/>
      <c r="DP119" s="125"/>
      <c r="DQ119" s="125"/>
      <c r="DR119" s="125"/>
      <c r="DS119" s="125"/>
      <c r="DT119" s="125"/>
      <c r="DU119" s="125"/>
      <c r="DV119" s="125"/>
      <c r="DW119" s="125"/>
      <c r="DX119" s="125"/>
      <c r="DY119" s="125"/>
      <c r="DZ119" s="125"/>
      <c r="EA119" s="125"/>
      <c r="EB119" s="125"/>
      <c r="EC119" s="125"/>
      <c r="ED119" s="125"/>
      <c r="EE119" s="125"/>
      <c r="EF119" s="125"/>
      <c r="EG119" s="125"/>
      <c r="EH119" s="125"/>
      <c r="EI119" s="125"/>
      <c r="EJ119" s="125"/>
      <c r="EK119" s="125"/>
      <c r="EL119" s="125"/>
    </row>
    <row r="120" spans="1:142">
      <c r="A120" s="125">
        <v>12</v>
      </c>
      <c r="B120" s="81" t="s">
        <v>204</v>
      </c>
      <c r="C120" s="125"/>
      <c r="D120" s="125"/>
      <c r="E120" s="125"/>
      <c r="F120" s="125"/>
      <c r="G120" s="77">
        <v>10</v>
      </c>
      <c r="H120" s="90">
        <v>0</v>
      </c>
      <c r="I120" s="77">
        <v>0</v>
      </c>
      <c r="J120" s="125">
        <v>5</v>
      </c>
      <c r="K120" s="125">
        <f t="shared" si="43"/>
        <v>1000</v>
      </c>
      <c r="L120" s="125">
        <f t="shared" si="43"/>
        <v>0</v>
      </c>
      <c r="M120" s="125">
        <f t="shared" si="44"/>
        <v>0</v>
      </c>
      <c r="N120" s="125">
        <f t="shared" si="44"/>
        <v>1500</v>
      </c>
      <c r="O120" s="77">
        <v>10</v>
      </c>
      <c r="P120" s="90">
        <v>0</v>
      </c>
      <c r="Q120" s="77">
        <v>0</v>
      </c>
      <c r="R120" s="125">
        <v>15</v>
      </c>
      <c r="S120" s="125">
        <f t="shared" si="57"/>
        <v>1000</v>
      </c>
      <c r="T120" s="125">
        <f t="shared" si="45"/>
        <v>0</v>
      </c>
      <c r="U120" s="125">
        <f t="shared" si="46"/>
        <v>0</v>
      </c>
      <c r="V120" s="125">
        <f t="shared" si="46"/>
        <v>4500</v>
      </c>
      <c r="W120" s="77">
        <v>15</v>
      </c>
      <c r="X120" s="90">
        <v>0</v>
      </c>
      <c r="Y120" s="77">
        <v>0</v>
      </c>
      <c r="Z120" s="125">
        <v>15</v>
      </c>
      <c r="AA120" s="125">
        <f t="shared" si="58"/>
        <v>1500</v>
      </c>
      <c r="AB120" s="125">
        <f t="shared" si="47"/>
        <v>0</v>
      </c>
      <c r="AC120" s="125">
        <f t="shared" si="48"/>
        <v>0</v>
      </c>
      <c r="AD120" s="125">
        <f t="shared" si="48"/>
        <v>4500</v>
      </c>
      <c r="AE120" s="77">
        <v>18</v>
      </c>
      <c r="AF120" s="90">
        <v>0</v>
      </c>
      <c r="AG120" s="77">
        <v>0</v>
      </c>
      <c r="AH120" s="125">
        <v>20</v>
      </c>
      <c r="AI120" s="125">
        <f t="shared" si="59"/>
        <v>1800</v>
      </c>
      <c r="AJ120" s="125">
        <f t="shared" si="49"/>
        <v>0</v>
      </c>
      <c r="AK120" s="125">
        <f t="shared" si="50"/>
        <v>0</v>
      </c>
      <c r="AL120" s="125">
        <f t="shared" si="50"/>
        <v>6000</v>
      </c>
      <c r="AM120" s="77">
        <v>21</v>
      </c>
      <c r="AN120" s="90">
        <v>0</v>
      </c>
      <c r="AO120" s="77">
        <v>0</v>
      </c>
      <c r="AP120" s="125">
        <v>20</v>
      </c>
      <c r="AQ120" s="125">
        <f t="shared" si="60"/>
        <v>2100</v>
      </c>
      <c r="AR120" s="125">
        <f t="shared" si="51"/>
        <v>0</v>
      </c>
      <c r="AS120" s="125">
        <f t="shared" si="52"/>
        <v>0</v>
      </c>
      <c r="AT120" s="125">
        <f t="shared" si="52"/>
        <v>6000</v>
      </c>
      <c r="AU120" s="12">
        <v>20</v>
      </c>
      <c r="AV120" s="6">
        <v>0</v>
      </c>
      <c r="AW120" s="12">
        <v>0</v>
      </c>
      <c r="AX120" s="138">
        <v>20</v>
      </c>
      <c r="AY120" s="138">
        <f t="shared" si="39"/>
        <v>2000</v>
      </c>
      <c r="AZ120" s="138">
        <f t="shared" si="39"/>
        <v>0</v>
      </c>
      <c r="BA120" s="138">
        <f t="shared" si="53"/>
        <v>0</v>
      </c>
      <c r="BB120" s="138">
        <f t="shared" si="53"/>
        <v>6000</v>
      </c>
      <c r="BC120" s="12">
        <v>25</v>
      </c>
      <c r="BD120" s="6">
        <v>0</v>
      </c>
      <c r="BE120" s="12">
        <v>0</v>
      </c>
      <c r="BF120" s="138">
        <v>20</v>
      </c>
      <c r="BG120" s="138">
        <f t="shared" si="40"/>
        <v>2500</v>
      </c>
      <c r="BH120" s="138">
        <f t="shared" si="40"/>
        <v>0</v>
      </c>
      <c r="BI120" s="138">
        <f t="shared" si="54"/>
        <v>0</v>
      </c>
      <c r="BJ120" s="138">
        <f t="shared" si="54"/>
        <v>6000</v>
      </c>
      <c r="BK120" s="12">
        <v>32</v>
      </c>
      <c r="BL120" s="6">
        <v>0</v>
      </c>
      <c r="BM120" s="12">
        <v>0</v>
      </c>
      <c r="BN120" s="138">
        <v>20</v>
      </c>
      <c r="BO120" s="138">
        <f t="shared" si="41"/>
        <v>3200</v>
      </c>
      <c r="BP120" s="138">
        <f t="shared" si="41"/>
        <v>0</v>
      </c>
      <c r="BQ120" s="138">
        <f t="shared" si="55"/>
        <v>0</v>
      </c>
      <c r="BR120" s="138">
        <f t="shared" si="55"/>
        <v>6000</v>
      </c>
      <c r="BS120" s="12">
        <v>30</v>
      </c>
      <c r="BT120" s="6">
        <v>0</v>
      </c>
      <c r="BU120" s="12">
        <v>0</v>
      </c>
      <c r="BV120" s="138">
        <v>20</v>
      </c>
      <c r="BW120" s="138">
        <f t="shared" si="42"/>
        <v>3000</v>
      </c>
      <c r="BX120" s="138">
        <f t="shared" si="42"/>
        <v>0</v>
      </c>
      <c r="BY120" s="138">
        <f t="shared" si="56"/>
        <v>0</v>
      </c>
      <c r="BZ120" s="138">
        <f t="shared" si="56"/>
        <v>6000</v>
      </c>
      <c r="CA120" s="125"/>
      <c r="CB120" s="125"/>
      <c r="CC120" s="125"/>
      <c r="CD120" s="125"/>
      <c r="CE120" s="125"/>
      <c r="CF120" s="125"/>
      <c r="CG120" s="125"/>
      <c r="CH120" s="125"/>
      <c r="CI120" s="125"/>
      <c r="CJ120" s="125"/>
      <c r="CK120" s="125"/>
      <c r="CL120" s="125"/>
      <c r="CM120" s="125"/>
      <c r="CN120" s="125"/>
      <c r="CO120" s="125"/>
      <c r="CP120" s="125"/>
      <c r="CQ120" s="125"/>
      <c r="CR120" s="125"/>
      <c r="CS120" s="125"/>
      <c r="CT120" s="125"/>
      <c r="CU120" s="125"/>
      <c r="CV120" s="125"/>
      <c r="CW120" s="125"/>
      <c r="CX120" s="125"/>
      <c r="CY120" s="125"/>
      <c r="CZ120" s="125"/>
      <c r="DA120" s="125"/>
      <c r="DB120" s="125"/>
      <c r="DC120" s="125"/>
      <c r="DD120" s="125"/>
      <c r="DE120" s="125"/>
      <c r="DF120" s="125"/>
      <c r="DG120" s="125"/>
      <c r="DH120" s="125"/>
      <c r="DI120" s="125"/>
      <c r="DJ120" s="125"/>
      <c r="DK120" s="125"/>
      <c r="DL120" s="125"/>
      <c r="DM120" s="125"/>
      <c r="DN120" s="125"/>
      <c r="DO120" s="125"/>
      <c r="DP120" s="125"/>
      <c r="DQ120" s="125"/>
      <c r="DR120" s="125"/>
      <c r="DS120" s="125"/>
      <c r="DT120" s="125"/>
      <c r="DU120" s="125"/>
      <c r="DV120" s="125"/>
      <c r="DW120" s="125"/>
      <c r="DX120" s="125"/>
      <c r="DY120" s="125"/>
      <c r="DZ120" s="125"/>
      <c r="EA120" s="125"/>
      <c r="EB120" s="125"/>
      <c r="EC120" s="125"/>
      <c r="ED120" s="125"/>
      <c r="EE120" s="125"/>
      <c r="EF120" s="125"/>
      <c r="EG120" s="125"/>
      <c r="EH120" s="125"/>
      <c r="EI120" s="125"/>
      <c r="EJ120" s="125"/>
      <c r="EK120" s="125"/>
      <c r="EL120" s="125"/>
    </row>
    <row r="121" spans="1:142">
      <c r="A121" s="125">
        <v>13</v>
      </c>
      <c r="B121" s="81" t="s">
        <v>205</v>
      </c>
      <c r="C121" s="125"/>
      <c r="D121" s="125"/>
      <c r="E121" s="125"/>
      <c r="F121" s="125"/>
      <c r="G121" s="77">
        <v>32</v>
      </c>
      <c r="H121" s="90">
        <v>0</v>
      </c>
      <c r="I121" s="77">
        <v>0</v>
      </c>
      <c r="J121" s="125">
        <v>10</v>
      </c>
      <c r="K121" s="125">
        <f t="shared" si="43"/>
        <v>3200</v>
      </c>
      <c r="L121" s="125">
        <f t="shared" si="43"/>
        <v>0</v>
      </c>
      <c r="M121" s="125">
        <f t="shared" si="44"/>
        <v>0</v>
      </c>
      <c r="N121" s="125">
        <f t="shared" si="44"/>
        <v>3000</v>
      </c>
      <c r="O121" s="77">
        <v>35</v>
      </c>
      <c r="P121" s="90">
        <v>0</v>
      </c>
      <c r="Q121" s="77">
        <v>0</v>
      </c>
      <c r="R121" s="125">
        <v>20</v>
      </c>
      <c r="S121" s="125">
        <f t="shared" si="57"/>
        <v>3500</v>
      </c>
      <c r="T121" s="125">
        <f t="shared" si="45"/>
        <v>0</v>
      </c>
      <c r="U121" s="125">
        <f t="shared" si="46"/>
        <v>0</v>
      </c>
      <c r="V121" s="125">
        <f t="shared" si="46"/>
        <v>6000</v>
      </c>
      <c r="W121" s="77">
        <v>30</v>
      </c>
      <c r="X121" s="90">
        <v>0</v>
      </c>
      <c r="Y121" s="77">
        <v>0</v>
      </c>
      <c r="Z121" s="125">
        <v>18</v>
      </c>
      <c r="AA121" s="125">
        <f t="shared" si="58"/>
        <v>3000</v>
      </c>
      <c r="AB121" s="125">
        <f t="shared" si="47"/>
        <v>0</v>
      </c>
      <c r="AC121" s="125">
        <f t="shared" si="48"/>
        <v>0</v>
      </c>
      <c r="AD121" s="125">
        <f t="shared" si="48"/>
        <v>5400</v>
      </c>
      <c r="AE121" s="77">
        <v>32</v>
      </c>
      <c r="AF121" s="90">
        <v>0</v>
      </c>
      <c r="AG121" s="77">
        <v>0</v>
      </c>
      <c r="AH121" s="125">
        <v>18</v>
      </c>
      <c r="AI121" s="125">
        <f t="shared" si="59"/>
        <v>3200</v>
      </c>
      <c r="AJ121" s="125">
        <f t="shared" si="49"/>
        <v>0</v>
      </c>
      <c r="AK121" s="125">
        <f t="shared" si="50"/>
        <v>0</v>
      </c>
      <c r="AL121" s="125">
        <f t="shared" si="50"/>
        <v>5400</v>
      </c>
      <c r="AM121" s="77">
        <v>36</v>
      </c>
      <c r="AN121" s="90">
        <v>0</v>
      </c>
      <c r="AO121" s="77">
        <v>0</v>
      </c>
      <c r="AP121" s="125">
        <v>18</v>
      </c>
      <c r="AQ121" s="125">
        <f t="shared" si="60"/>
        <v>3600</v>
      </c>
      <c r="AR121" s="125">
        <f t="shared" si="51"/>
        <v>0</v>
      </c>
      <c r="AS121" s="125">
        <f t="shared" si="52"/>
        <v>0</v>
      </c>
      <c r="AT121" s="125">
        <f t="shared" si="52"/>
        <v>5400</v>
      </c>
      <c r="AU121" s="12">
        <v>40</v>
      </c>
      <c r="AV121" s="6">
        <v>0</v>
      </c>
      <c r="AW121" s="12">
        <v>0</v>
      </c>
      <c r="AX121" s="138">
        <v>18</v>
      </c>
      <c r="AY121" s="138">
        <f t="shared" si="39"/>
        <v>4000</v>
      </c>
      <c r="AZ121" s="138">
        <f t="shared" si="39"/>
        <v>0</v>
      </c>
      <c r="BA121" s="138">
        <f t="shared" si="53"/>
        <v>0</v>
      </c>
      <c r="BB121" s="138">
        <f t="shared" si="53"/>
        <v>5400</v>
      </c>
      <c r="BC121" s="12">
        <v>42</v>
      </c>
      <c r="BD121" s="6">
        <v>0</v>
      </c>
      <c r="BE121" s="12">
        <v>0</v>
      </c>
      <c r="BF121" s="138">
        <v>18</v>
      </c>
      <c r="BG121" s="138">
        <f t="shared" si="40"/>
        <v>4200</v>
      </c>
      <c r="BH121" s="138">
        <f t="shared" si="40"/>
        <v>0</v>
      </c>
      <c r="BI121" s="138">
        <f t="shared" si="54"/>
        <v>0</v>
      </c>
      <c r="BJ121" s="138">
        <f t="shared" si="54"/>
        <v>5400</v>
      </c>
      <c r="BK121" s="12">
        <v>44</v>
      </c>
      <c r="BL121" s="6">
        <v>0</v>
      </c>
      <c r="BM121" s="12">
        <v>0</v>
      </c>
      <c r="BN121" s="138">
        <v>18</v>
      </c>
      <c r="BO121" s="138">
        <f t="shared" si="41"/>
        <v>4400</v>
      </c>
      <c r="BP121" s="138">
        <f t="shared" si="41"/>
        <v>0</v>
      </c>
      <c r="BQ121" s="138">
        <f t="shared" si="55"/>
        <v>0</v>
      </c>
      <c r="BR121" s="138">
        <f t="shared" si="55"/>
        <v>5400</v>
      </c>
      <c r="BS121" s="12">
        <v>54</v>
      </c>
      <c r="BT121" s="6">
        <v>0</v>
      </c>
      <c r="BU121" s="12">
        <v>0</v>
      </c>
      <c r="BV121" s="138">
        <v>18</v>
      </c>
      <c r="BW121" s="138">
        <f t="shared" si="42"/>
        <v>5400</v>
      </c>
      <c r="BX121" s="138">
        <f t="shared" si="42"/>
        <v>0</v>
      </c>
      <c r="BY121" s="138">
        <f t="shared" si="56"/>
        <v>0</v>
      </c>
      <c r="BZ121" s="138">
        <f t="shared" si="56"/>
        <v>5400</v>
      </c>
      <c r="CA121" s="125"/>
      <c r="CB121" s="125"/>
      <c r="CC121" s="125"/>
      <c r="CD121" s="125"/>
      <c r="CE121" s="125"/>
      <c r="CF121" s="125"/>
      <c r="CG121" s="125"/>
      <c r="CH121" s="125"/>
      <c r="CI121" s="125"/>
      <c r="CJ121" s="125"/>
      <c r="CK121" s="125"/>
      <c r="CL121" s="125"/>
      <c r="CM121" s="125"/>
      <c r="CN121" s="125"/>
      <c r="CO121" s="125"/>
      <c r="CP121" s="125"/>
      <c r="CQ121" s="125"/>
      <c r="CR121" s="125"/>
      <c r="CS121" s="125"/>
      <c r="CT121" s="125"/>
      <c r="CU121" s="125"/>
      <c r="CV121" s="125"/>
      <c r="CW121" s="125"/>
      <c r="CX121" s="125"/>
      <c r="CY121" s="125"/>
      <c r="CZ121" s="125"/>
      <c r="DA121" s="125"/>
      <c r="DB121" s="125"/>
      <c r="DC121" s="125"/>
      <c r="DD121" s="125"/>
      <c r="DE121" s="125"/>
      <c r="DF121" s="125"/>
      <c r="DG121" s="125"/>
      <c r="DH121" s="125"/>
      <c r="DI121" s="125"/>
      <c r="DJ121" s="125"/>
      <c r="DK121" s="125"/>
      <c r="DL121" s="125"/>
      <c r="DM121" s="125"/>
      <c r="DN121" s="125"/>
      <c r="DO121" s="125"/>
      <c r="DP121" s="125"/>
      <c r="DQ121" s="125"/>
      <c r="DR121" s="125"/>
      <c r="DS121" s="125"/>
      <c r="DT121" s="125"/>
      <c r="DU121" s="125"/>
      <c r="DV121" s="125"/>
      <c r="DW121" s="125"/>
      <c r="DX121" s="125"/>
      <c r="DY121" s="125"/>
      <c r="DZ121" s="125"/>
      <c r="EA121" s="125"/>
      <c r="EB121" s="125"/>
      <c r="EC121" s="125"/>
      <c r="ED121" s="125"/>
      <c r="EE121" s="125"/>
      <c r="EF121" s="125"/>
      <c r="EG121" s="125"/>
      <c r="EH121" s="125"/>
      <c r="EI121" s="125"/>
      <c r="EJ121" s="125"/>
      <c r="EK121" s="125"/>
      <c r="EL121" s="125"/>
    </row>
    <row r="122" spans="1:142">
      <c r="A122" s="125">
        <v>14</v>
      </c>
      <c r="B122" s="81" t="s">
        <v>206</v>
      </c>
      <c r="C122" s="125"/>
      <c r="D122" s="125"/>
      <c r="E122" s="125"/>
      <c r="F122" s="125"/>
      <c r="G122" s="77">
        <v>0</v>
      </c>
      <c r="H122" s="90">
        <v>32</v>
      </c>
      <c r="I122" s="77">
        <v>0</v>
      </c>
      <c r="J122" s="125">
        <v>0</v>
      </c>
      <c r="K122" s="125">
        <f t="shared" si="43"/>
        <v>0</v>
      </c>
      <c r="L122" s="125">
        <f t="shared" si="43"/>
        <v>3200</v>
      </c>
      <c r="M122" s="125">
        <f t="shared" si="44"/>
        <v>0</v>
      </c>
      <c r="N122" s="125">
        <f t="shared" si="44"/>
        <v>0</v>
      </c>
      <c r="O122" s="77">
        <v>0</v>
      </c>
      <c r="P122" s="90">
        <v>35</v>
      </c>
      <c r="Q122" s="77">
        <v>0</v>
      </c>
      <c r="R122" s="125">
        <v>0</v>
      </c>
      <c r="S122" s="125">
        <f t="shared" si="57"/>
        <v>0</v>
      </c>
      <c r="T122" s="125">
        <f t="shared" si="45"/>
        <v>3500</v>
      </c>
      <c r="U122" s="125">
        <f t="shared" si="46"/>
        <v>0</v>
      </c>
      <c r="V122" s="125">
        <f t="shared" si="46"/>
        <v>0</v>
      </c>
      <c r="W122" s="77">
        <v>0</v>
      </c>
      <c r="X122" s="90">
        <v>35</v>
      </c>
      <c r="Y122" s="77">
        <v>0</v>
      </c>
      <c r="Z122" s="125">
        <v>0</v>
      </c>
      <c r="AA122" s="125">
        <f t="shared" si="58"/>
        <v>0</v>
      </c>
      <c r="AB122" s="125">
        <f t="shared" si="47"/>
        <v>3500</v>
      </c>
      <c r="AC122" s="125">
        <f t="shared" si="48"/>
        <v>0</v>
      </c>
      <c r="AD122" s="125">
        <f t="shared" si="48"/>
        <v>0</v>
      </c>
      <c r="AE122" s="77">
        <v>0</v>
      </c>
      <c r="AF122" s="90">
        <v>40</v>
      </c>
      <c r="AG122" s="77">
        <v>0</v>
      </c>
      <c r="AH122" s="125">
        <v>0</v>
      </c>
      <c r="AI122" s="125">
        <f t="shared" si="59"/>
        <v>0</v>
      </c>
      <c r="AJ122" s="125">
        <f t="shared" si="49"/>
        <v>4000</v>
      </c>
      <c r="AK122" s="125">
        <f t="shared" si="50"/>
        <v>0</v>
      </c>
      <c r="AL122" s="125">
        <f t="shared" si="50"/>
        <v>0</v>
      </c>
      <c r="AM122" s="77">
        <v>0</v>
      </c>
      <c r="AN122" s="90">
        <v>42</v>
      </c>
      <c r="AO122" s="77">
        <v>0</v>
      </c>
      <c r="AP122" s="125">
        <v>0</v>
      </c>
      <c r="AQ122" s="125">
        <f t="shared" si="60"/>
        <v>0</v>
      </c>
      <c r="AR122" s="125">
        <f t="shared" si="51"/>
        <v>4200</v>
      </c>
      <c r="AS122" s="125">
        <f t="shared" si="52"/>
        <v>0</v>
      </c>
      <c r="AT122" s="125">
        <f t="shared" si="52"/>
        <v>0</v>
      </c>
      <c r="AU122" s="12">
        <v>0</v>
      </c>
      <c r="AV122" s="6">
        <v>50</v>
      </c>
      <c r="AW122" s="12">
        <v>6</v>
      </c>
      <c r="AX122" s="138">
        <v>0</v>
      </c>
      <c r="AY122" s="138">
        <f t="shared" si="39"/>
        <v>0</v>
      </c>
      <c r="AZ122" s="138">
        <f t="shared" si="39"/>
        <v>5000</v>
      </c>
      <c r="BA122" s="138">
        <f t="shared" si="53"/>
        <v>1800</v>
      </c>
      <c r="BB122" s="138">
        <f t="shared" si="53"/>
        <v>0</v>
      </c>
      <c r="BC122" s="12">
        <v>0</v>
      </c>
      <c r="BD122" s="6">
        <v>51</v>
      </c>
      <c r="BE122" s="12">
        <v>8</v>
      </c>
      <c r="BF122" s="138">
        <v>0</v>
      </c>
      <c r="BG122" s="138">
        <f t="shared" si="40"/>
        <v>0</v>
      </c>
      <c r="BH122" s="138">
        <f t="shared" si="40"/>
        <v>5100</v>
      </c>
      <c r="BI122" s="138">
        <f t="shared" si="54"/>
        <v>2400</v>
      </c>
      <c r="BJ122" s="138">
        <f t="shared" si="54"/>
        <v>0</v>
      </c>
      <c r="BK122" s="12">
        <v>0</v>
      </c>
      <c r="BL122" s="6">
        <v>56</v>
      </c>
      <c r="BM122" s="12">
        <v>12</v>
      </c>
      <c r="BN122" s="138">
        <v>0</v>
      </c>
      <c r="BO122" s="138">
        <f t="shared" si="41"/>
        <v>0</v>
      </c>
      <c r="BP122" s="138">
        <f t="shared" si="41"/>
        <v>5600</v>
      </c>
      <c r="BQ122" s="138">
        <f t="shared" si="55"/>
        <v>3600</v>
      </c>
      <c r="BR122" s="138">
        <f t="shared" si="55"/>
        <v>0</v>
      </c>
      <c r="BS122" s="12">
        <v>0</v>
      </c>
      <c r="BT122" s="6">
        <v>60</v>
      </c>
      <c r="BU122" s="12">
        <v>15</v>
      </c>
      <c r="BV122" s="138">
        <v>10</v>
      </c>
      <c r="BW122" s="138">
        <f t="shared" si="42"/>
        <v>0</v>
      </c>
      <c r="BX122" s="138">
        <f t="shared" si="42"/>
        <v>6000</v>
      </c>
      <c r="BY122" s="138">
        <f t="shared" si="56"/>
        <v>4500</v>
      </c>
      <c r="BZ122" s="138">
        <f t="shared" si="56"/>
        <v>3000</v>
      </c>
      <c r="CA122" s="125"/>
      <c r="CB122" s="125"/>
      <c r="CC122" s="125"/>
      <c r="CD122" s="125"/>
      <c r="CE122" s="125"/>
      <c r="CF122" s="125"/>
      <c r="CG122" s="125"/>
      <c r="CH122" s="125"/>
      <c r="CI122" s="125"/>
      <c r="CJ122" s="125"/>
      <c r="CK122" s="125"/>
      <c r="CL122" s="125"/>
      <c r="CM122" s="125"/>
      <c r="CN122" s="125"/>
      <c r="CO122" s="125"/>
      <c r="CP122" s="125"/>
      <c r="CQ122" s="125"/>
      <c r="CR122" s="125"/>
      <c r="CS122" s="125"/>
      <c r="CT122" s="125"/>
      <c r="CU122" s="125"/>
      <c r="CV122" s="125"/>
      <c r="CW122" s="125"/>
      <c r="CX122" s="125"/>
      <c r="CY122" s="125"/>
      <c r="CZ122" s="125"/>
      <c r="DA122" s="125"/>
      <c r="DB122" s="125"/>
      <c r="DC122" s="125"/>
      <c r="DD122" s="125"/>
      <c r="DE122" s="125"/>
      <c r="DF122" s="125"/>
      <c r="DG122" s="125"/>
      <c r="DH122" s="125"/>
      <c r="DI122" s="125"/>
      <c r="DJ122" s="125"/>
      <c r="DK122" s="125"/>
      <c r="DL122" s="125"/>
      <c r="DM122" s="125"/>
      <c r="DN122" s="125"/>
      <c r="DO122" s="125"/>
      <c r="DP122" s="125"/>
      <c r="DQ122" s="125"/>
      <c r="DR122" s="125"/>
      <c r="DS122" s="125"/>
      <c r="DT122" s="125"/>
      <c r="DU122" s="125"/>
      <c r="DV122" s="125"/>
      <c r="DW122" s="125"/>
      <c r="DX122" s="125"/>
      <c r="DY122" s="125"/>
      <c r="DZ122" s="125"/>
      <c r="EA122" s="125"/>
      <c r="EB122" s="125"/>
      <c r="EC122" s="125"/>
      <c r="ED122" s="125"/>
      <c r="EE122" s="125"/>
      <c r="EF122" s="125"/>
      <c r="EG122" s="125"/>
      <c r="EH122" s="125"/>
      <c r="EI122" s="125"/>
      <c r="EJ122" s="125"/>
      <c r="EK122" s="125"/>
      <c r="EL122" s="125"/>
    </row>
    <row r="123" spans="1:142">
      <c r="A123" s="125">
        <v>15</v>
      </c>
      <c r="B123" s="81" t="s">
        <v>207</v>
      </c>
      <c r="C123" s="125"/>
      <c r="D123" s="125"/>
      <c r="E123" s="125"/>
      <c r="F123" s="125"/>
      <c r="G123" s="77">
        <v>30</v>
      </c>
      <c r="H123" s="90">
        <v>0</v>
      </c>
      <c r="I123" s="77">
        <v>0</v>
      </c>
      <c r="J123" s="125">
        <v>3</v>
      </c>
      <c r="K123" s="125">
        <f t="shared" si="43"/>
        <v>3000</v>
      </c>
      <c r="L123" s="125">
        <f t="shared" si="43"/>
        <v>0</v>
      </c>
      <c r="M123" s="125">
        <f t="shared" si="44"/>
        <v>0</v>
      </c>
      <c r="N123" s="125">
        <f t="shared" si="44"/>
        <v>900</v>
      </c>
      <c r="O123" s="77">
        <v>30</v>
      </c>
      <c r="P123" s="90">
        <v>0</v>
      </c>
      <c r="Q123" s="77">
        <v>0</v>
      </c>
      <c r="R123" s="125">
        <v>10</v>
      </c>
      <c r="S123" s="125">
        <f t="shared" si="57"/>
        <v>3000</v>
      </c>
      <c r="T123" s="125">
        <f t="shared" si="45"/>
        <v>0</v>
      </c>
      <c r="U123" s="125">
        <f t="shared" si="46"/>
        <v>0</v>
      </c>
      <c r="V123" s="125">
        <f t="shared" si="46"/>
        <v>3000</v>
      </c>
      <c r="W123" s="77">
        <v>40</v>
      </c>
      <c r="X123" s="90">
        <v>0</v>
      </c>
      <c r="Y123" s="77">
        <v>0</v>
      </c>
      <c r="Z123" s="125">
        <v>15</v>
      </c>
      <c r="AA123" s="125">
        <f t="shared" si="58"/>
        <v>4000</v>
      </c>
      <c r="AB123" s="125">
        <f t="shared" si="47"/>
        <v>0</v>
      </c>
      <c r="AC123" s="125">
        <f t="shared" si="48"/>
        <v>0</v>
      </c>
      <c r="AD123" s="125">
        <f t="shared" si="48"/>
        <v>4500</v>
      </c>
      <c r="AE123" s="77">
        <v>42</v>
      </c>
      <c r="AF123" s="90">
        <v>0</v>
      </c>
      <c r="AG123" s="77">
        <v>0</v>
      </c>
      <c r="AH123" s="125">
        <v>20</v>
      </c>
      <c r="AI123" s="125">
        <f t="shared" si="59"/>
        <v>4200</v>
      </c>
      <c r="AJ123" s="125">
        <f t="shared" si="49"/>
        <v>0</v>
      </c>
      <c r="AK123" s="125">
        <f t="shared" si="50"/>
        <v>0</v>
      </c>
      <c r="AL123" s="125">
        <f t="shared" si="50"/>
        <v>6000</v>
      </c>
      <c r="AM123" s="77">
        <v>46</v>
      </c>
      <c r="AN123" s="90">
        <v>0</v>
      </c>
      <c r="AO123" s="77">
        <v>0</v>
      </c>
      <c r="AP123" s="125">
        <v>20</v>
      </c>
      <c r="AQ123" s="125">
        <f t="shared" si="60"/>
        <v>4600</v>
      </c>
      <c r="AR123" s="125">
        <f t="shared" si="51"/>
        <v>0</v>
      </c>
      <c r="AS123" s="125">
        <f t="shared" si="52"/>
        <v>0</v>
      </c>
      <c r="AT123" s="125">
        <f t="shared" si="52"/>
        <v>6000</v>
      </c>
      <c r="AU123" s="12">
        <v>48</v>
      </c>
      <c r="AV123" s="6">
        <v>0</v>
      </c>
      <c r="AW123" s="12">
        <v>0</v>
      </c>
      <c r="AX123" s="138">
        <v>20</v>
      </c>
      <c r="AY123" s="138">
        <f t="shared" si="39"/>
        <v>4800</v>
      </c>
      <c r="AZ123" s="138">
        <f t="shared" si="39"/>
        <v>0</v>
      </c>
      <c r="BA123" s="138">
        <f t="shared" si="53"/>
        <v>0</v>
      </c>
      <c r="BB123" s="138">
        <f t="shared" si="53"/>
        <v>6000</v>
      </c>
      <c r="BC123" s="12">
        <v>50</v>
      </c>
      <c r="BD123" s="6">
        <v>0</v>
      </c>
      <c r="BE123" s="12">
        <v>0</v>
      </c>
      <c r="BF123" s="138">
        <v>20</v>
      </c>
      <c r="BG123" s="138">
        <f t="shared" si="40"/>
        <v>5000</v>
      </c>
      <c r="BH123" s="138">
        <f t="shared" si="40"/>
        <v>0</v>
      </c>
      <c r="BI123" s="138">
        <f t="shared" si="54"/>
        <v>0</v>
      </c>
      <c r="BJ123" s="138">
        <f t="shared" si="54"/>
        <v>6000</v>
      </c>
      <c r="BK123" s="12">
        <v>52</v>
      </c>
      <c r="BL123" s="6">
        <v>0</v>
      </c>
      <c r="BM123" s="12">
        <v>0</v>
      </c>
      <c r="BN123" s="138">
        <v>20</v>
      </c>
      <c r="BO123" s="138">
        <f t="shared" si="41"/>
        <v>5200</v>
      </c>
      <c r="BP123" s="138">
        <f t="shared" si="41"/>
        <v>0</v>
      </c>
      <c r="BQ123" s="138">
        <f t="shared" si="55"/>
        <v>0</v>
      </c>
      <c r="BR123" s="138">
        <f t="shared" si="55"/>
        <v>6000</v>
      </c>
      <c r="BS123" s="12">
        <v>55</v>
      </c>
      <c r="BT123" s="6">
        <v>0</v>
      </c>
      <c r="BU123" s="12">
        <v>0</v>
      </c>
      <c r="BV123" s="138">
        <v>20</v>
      </c>
      <c r="BW123" s="138">
        <f t="shared" si="42"/>
        <v>5500</v>
      </c>
      <c r="BX123" s="138">
        <f t="shared" si="42"/>
        <v>0</v>
      </c>
      <c r="BY123" s="138">
        <f t="shared" si="56"/>
        <v>0</v>
      </c>
      <c r="BZ123" s="138">
        <f t="shared" si="56"/>
        <v>6000</v>
      </c>
      <c r="CA123" s="125"/>
      <c r="CB123" s="125"/>
      <c r="CC123" s="125"/>
      <c r="CD123" s="125"/>
      <c r="CE123" s="125"/>
      <c r="CF123" s="125"/>
      <c r="CG123" s="125"/>
      <c r="CH123" s="125"/>
      <c r="CI123" s="125"/>
      <c r="CJ123" s="125"/>
      <c r="CK123" s="125"/>
      <c r="CL123" s="125"/>
      <c r="CM123" s="125"/>
      <c r="CN123" s="125"/>
      <c r="CO123" s="125"/>
      <c r="CP123" s="125"/>
      <c r="CQ123" s="125"/>
      <c r="CR123" s="125"/>
      <c r="CS123" s="125"/>
      <c r="CT123" s="125"/>
      <c r="CU123" s="125"/>
      <c r="CV123" s="125"/>
      <c r="CW123" s="125"/>
      <c r="CX123" s="125"/>
      <c r="CY123" s="125"/>
      <c r="CZ123" s="125"/>
      <c r="DA123" s="125"/>
      <c r="DB123" s="125"/>
      <c r="DC123" s="125"/>
      <c r="DD123" s="125"/>
      <c r="DE123" s="125"/>
      <c r="DF123" s="125"/>
      <c r="DG123" s="125"/>
      <c r="DH123" s="125"/>
      <c r="DI123" s="125"/>
      <c r="DJ123" s="125"/>
      <c r="DK123" s="125"/>
      <c r="DL123" s="125"/>
      <c r="DM123" s="125"/>
      <c r="DN123" s="125"/>
      <c r="DO123" s="125"/>
      <c r="DP123" s="125"/>
      <c r="DQ123" s="125"/>
      <c r="DR123" s="125"/>
      <c r="DS123" s="125"/>
      <c r="DT123" s="125"/>
      <c r="DU123" s="125"/>
      <c r="DV123" s="125"/>
      <c r="DW123" s="125"/>
      <c r="DX123" s="125"/>
      <c r="DY123" s="125"/>
      <c r="DZ123" s="125"/>
      <c r="EA123" s="125"/>
      <c r="EB123" s="125"/>
      <c r="EC123" s="125"/>
      <c r="ED123" s="125"/>
      <c r="EE123" s="125"/>
      <c r="EF123" s="125"/>
      <c r="EG123" s="125"/>
      <c r="EH123" s="125"/>
      <c r="EI123" s="125"/>
      <c r="EJ123" s="125"/>
      <c r="EK123" s="125"/>
      <c r="EL123" s="125"/>
    </row>
    <row r="124" spans="1:142">
      <c r="A124" s="125">
        <v>16</v>
      </c>
      <c r="B124" s="81" t="s">
        <v>208</v>
      </c>
      <c r="C124" s="125"/>
      <c r="D124" s="125"/>
      <c r="E124" s="125"/>
      <c r="F124" s="125"/>
      <c r="G124" s="77">
        <v>30</v>
      </c>
      <c r="H124" s="90">
        <v>0</v>
      </c>
      <c r="I124" s="77">
        <v>0</v>
      </c>
      <c r="J124" s="125">
        <v>10</v>
      </c>
      <c r="K124" s="125">
        <f t="shared" si="43"/>
        <v>3000</v>
      </c>
      <c r="L124" s="125">
        <f t="shared" si="43"/>
        <v>0</v>
      </c>
      <c r="M124" s="125">
        <f t="shared" si="44"/>
        <v>0</v>
      </c>
      <c r="N124" s="125">
        <f t="shared" si="44"/>
        <v>3000</v>
      </c>
      <c r="O124" s="77">
        <v>40</v>
      </c>
      <c r="P124" s="90">
        <v>0</v>
      </c>
      <c r="Q124" s="77">
        <v>0</v>
      </c>
      <c r="R124" s="125">
        <v>10</v>
      </c>
      <c r="S124" s="125">
        <f t="shared" si="57"/>
        <v>4000</v>
      </c>
      <c r="T124" s="125">
        <f t="shared" si="45"/>
        <v>0</v>
      </c>
      <c r="U124" s="125">
        <f t="shared" si="46"/>
        <v>0</v>
      </c>
      <c r="V124" s="125">
        <f t="shared" si="46"/>
        <v>3000</v>
      </c>
      <c r="W124" s="77">
        <v>45</v>
      </c>
      <c r="X124" s="90">
        <v>0</v>
      </c>
      <c r="Y124" s="77">
        <v>0</v>
      </c>
      <c r="Z124" s="125">
        <v>10</v>
      </c>
      <c r="AA124" s="125">
        <f t="shared" si="58"/>
        <v>4500</v>
      </c>
      <c r="AB124" s="125">
        <f t="shared" si="47"/>
        <v>0</v>
      </c>
      <c r="AC124" s="125">
        <f t="shared" si="48"/>
        <v>0</v>
      </c>
      <c r="AD124" s="125">
        <f t="shared" si="48"/>
        <v>3000</v>
      </c>
      <c r="AE124" s="77">
        <v>50</v>
      </c>
      <c r="AF124" s="90">
        <v>0</v>
      </c>
      <c r="AG124" s="77">
        <v>0</v>
      </c>
      <c r="AH124" s="125">
        <v>10</v>
      </c>
      <c r="AI124" s="125">
        <f t="shared" si="59"/>
        <v>5000</v>
      </c>
      <c r="AJ124" s="125">
        <f t="shared" si="49"/>
        <v>0</v>
      </c>
      <c r="AK124" s="125">
        <f t="shared" si="50"/>
        <v>0</v>
      </c>
      <c r="AL124" s="125">
        <f t="shared" si="50"/>
        <v>3000</v>
      </c>
      <c r="AM124" s="77">
        <v>51</v>
      </c>
      <c r="AN124" s="90">
        <v>0</v>
      </c>
      <c r="AO124" s="77">
        <v>0</v>
      </c>
      <c r="AP124" s="125">
        <v>13</v>
      </c>
      <c r="AQ124" s="125">
        <f t="shared" si="60"/>
        <v>5100</v>
      </c>
      <c r="AR124" s="125">
        <f t="shared" si="51"/>
        <v>0</v>
      </c>
      <c r="AS124" s="125">
        <f t="shared" si="52"/>
        <v>0</v>
      </c>
      <c r="AT124" s="125">
        <f t="shared" si="52"/>
        <v>3900</v>
      </c>
      <c r="AU124" s="12">
        <v>53</v>
      </c>
      <c r="AV124" s="6">
        <v>0</v>
      </c>
      <c r="AW124" s="12">
        <v>0</v>
      </c>
      <c r="AX124" s="138">
        <v>13</v>
      </c>
      <c r="AY124" s="138">
        <f t="shared" si="39"/>
        <v>5300</v>
      </c>
      <c r="AZ124" s="138">
        <f t="shared" si="39"/>
        <v>0</v>
      </c>
      <c r="BA124" s="138">
        <f t="shared" si="53"/>
        <v>0</v>
      </c>
      <c r="BB124" s="138">
        <f t="shared" si="53"/>
        <v>3900</v>
      </c>
      <c r="BC124" s="12">
        <v>53</v>
      </c>
      <c r="BD124" s="6">
        <v>0</v>
      </c>
      <c r="BE124" s="12">
        <v>0</v>
      </c>
      <c r="BF124" s="138">
        <v>13</v>
      </c>
      <c r="BG124" s="138">
        <f t="shared" si="40"/>
        <v>5300</v>
      </c>
      <c r="BH124" s="138">
        <f t="shared" si="40"/>
        <v>0</v>
      </c>
      <c r="BI124" s="138">
        <f t="shared" si="54"/>
        <v>0</v>
      </c>
      <c r="BJ124" s="138">
        <f t="shared" si="54"/>
        <v>3900</v>
      </c>
      <c r="BK124" s="12">
        <v>55</v>
      </c>
      <c r="BL124" s="6">
        <v>0</v>
      </c>
      <c r="BM124" s="12">
        <v>0</v>
      </c>
      <c r="BN124" s="138">
        <v>17</v>
      </c>
      <c r="BO124" s="138">
        <f t="shared" si="41"/>
        <v>5500</v>
      </c>
      <c r="BP124" s="138">
        <f t="shared" si="41"/>
        <v>0</v>
      </c>
      <c r="BQ124" s="138">
        <f t="shared" si="55"/>
        <v>0</v>
      </c>
      <c r="BR124" s="138">
        <f t="shared" si="55"/>
        <v>5100</v>
      </c>
      <c r="BS124" s="12">
        <v>52</v>
      </c>
      <c r="BT124" s="6">
        <v>0</v>
      </c>
      <c r="BU124" s="12">
        <v>0</v>
      </c>
      <c r="BV124" s="138">
        <v>17</v>
      </c>
      <c r="BW124" s="138">
        <f t="shared" si="42"/>
        <v>5200</v>
      </c>
      <c r="BX124" s="138">
        <f t="shared" si="42"/>
        <v>0</v>
      </c>
      <c r="BY124" s="138">
        <f t="shared" si="56"/>
        <v>0</v>
      </c>
      <c r="BZ124" s="138">
        <f t="shared" si="56"/>
        <v>5100</v>
      </c>
      <c r="CA124" s="125"/>
      <c r="CB124" s="125"/>
      <c r="CC124" s="125"/>
      <c r="CD124" s="125"/>
      <c r="CE124" s="125"/>
      <c r="CF124" s="125"/>
      <c r="CG124" s="125"/>
      <c r="CH124" s="125"/>
      <c r="CI124" s="125"/>
      <c r="CJ124" s="125"/>
      <c r="CK124" s="125"/>
      <c r="CL124" s="125"/>
      <c r="CM124" s="125"/>
      <c r="CN124" s="125"/>
      <c r="CO124" s="125"/>
      <c r="CP124" s="125"/>
      <c r="CQ124" s="125"/>
      <c r="CR124" s="125"/>
      <c r="CS124" s="125"/>
      <c r="CT124" s="125"/>
      <c r="CU124" s="125"/>
      <c r="CV124" s="125"/>
      <c r="CW124" s="125"/>
      <c r="CX124" s="125"/>
      <c r="CY124" s="125"/>
      <c r="CZ124" s="125"/>
      <c r="DA124" s="125"/>
      <c r="DB124" s="125"/>
      <c r="DC124" s="125"/>
      <c r="DD124" s="125"/>
      <c r="DE124" s="125"/>
      <c r="DF124" s="125"/>
      <c r="DG124" s="125"/>
      <c r="DH124" s="125"/>
      <c r="DI124" s="125"/>
      <c r="DJ124" s="125"/>
      <c r="DK124" s="125"/>
      <c r="DL124" s="125"/>
      <c r="DM124" s="125"/>
      <c r="DN124" s="125"/>
      <c r="DO124" s="125"/>
      <c r="DP124" s="125"/>
      <c r="DQ124" s="125"/>
      <c r="DR124" s="125"/>
      <c r="DS124" s="125"/>
      <c r="DT124" s="125"/>
      <c r="DU124" s="125"/>
      <c r="DV124" s="125"/>
      <c r="DW124" s="125"/>
      <c r="DX124" s="125"/>
      <c r="DY124" s="125"/>
      <c r="DZ124" s="125"/>
      <c r="EA124" s="125"/>
      <c r="EB124" s="125"/>
      <c r="EC124" s="125"/>
      <c r="ED124" s="125"/>
      <c r="EE124" s="125"/>
      <c r="EF124" s="125"/>
      <c r="EG124" s="125"/>
      <c r="EH124" s="125"/>
      <c r="EI124" s="125"/>
      <c r="EJ124" s="125"/>
      <c r="EK124" s="125"/>
      <c r="EL124" s="125"/>
    </row>
    <row r="125" spans="1:142">
      <c r="A125" s="125">
        <v>17</v>
      </c>
      <c r="B125" s="81" t="s">
        <v>209</v>
      </c>
      <c r="C125" s="125"/>
      <c r="D125" s="125"/>
      <c r="E125" s="125"/>
      <c r="F125" s="125"/>
      <c r="G125" s="77">
        <v>45</v>
      </c>
      <c r="H125" s="90">
        <v>15</v>
      </c>
      <c r="I125" s="77">
        <v>0</v>
      </c>
      <c r="J125" s="77">
        <v>16</v>
      </c>
      <c r="K125" s="125">
        <f t="shared" si="43"/>
        <v>4500</v>
      </c>
      <c r="L125" s="125">
        <f t="shared" si="43"/>
        <v>1500</v>
      </c>
      <c r="M125" s="125">
        <f t="shared" si="44"/>
        <v>0</v>
      </c>
      <c r="N125" s="125">
        <f t="shared" si="44"/>
        <v>4800</v>
      </c>
      <c r="O125" s="77">
        <v>40</v>
      </c>
      <c r="P125" s="90">
        <v>15</v>
      </c>
      <c r="Q125" s="77">
        <v>0</v>
      </c>
      <c r="R125" s="77">
        <v>16</v>
      </c>
      <c r="S125" s="125">
        <f t="shared" si="57"/>
        <v>4000</v>
      </c>
      <c r="T125" s="125">
        <f t="shared" si="45"/>
        <v>1500</v>
      </c>
      <c r="U125" s="125">
        <f t="shared" si="46"/>
        <v>0</v>
      </c>
      <c r="V125" s="125">
        <f t="shared" si="46"/>
        <v>4800</v>
      </c>
      <c r="W125" s="77">
        <v>38</v>
      </c>
      <c r="X125" s="90">
        <v>15</v>
      </c>
      <c r="Y125" s="77">
        <v>0</v>
      </c>
      <c r="Z125" s="77">
        <v>14</v>
      </c>
      <c r="AA125" s="125">
        <f t="shared" si="58"/>
        <v>3800</v>
      </c>
      <c r="AB125" s="125">
        <f t="shared" si="47"/>
        <v>1500</v>
      </c>
      <c r="AC125" s="125">
        <f t="shared" si="48"/>
        <v>0</v>
      </c>
      <c r="AD125" s="125">
        <f t="shared" si="48"/>
        <v>4200</v>
      </c>
      <c r="AE125" s="77">
        <v>36</v>
      </c>
      <c r="AF125" s="90">
        <v>15</v>
      </c>
      <c r="AG125" s="77">
        <v>0</v>
      </c>
      <c r="AH125" s="77">
        <v>20</v>
      </c>
      <c r="AI125" s="125">
        <f t="shared" si="59"/>
        <v>3600</v>
      </c>
      <c r="AJ125" s="125">
        <f t="shared" si="49"/>
        <v>1500</v>
      </c>
      <c r="AK125" s="125">
        <f t="shared" si="50"/>
        <v>0</v>
      </c>
      <c r="AL125" s="125">
        <f t="shared" si="50"/>
        <v>6000</v>
      </c>
      <c r="AM125" s="77">
        <v>38</v>
      </c>
      <c r="AN125" s="90">
        <v>15</v>
      </c>
      <c r="AO125" s="77">
        <v>0</v>
      </c>
      <c r="AP125" s="77">
        <v>20</v>
      </c>
      <c r="AQ125" s="125">
        <f t="shared" si="60"/>
        <v>3800</v>
      </c>
      <c r="AR125" s="125">
        <f t="shared" si="51"/>
        <v>1500</v>
      </c>
      <c r="AS125" s="125">
        <f t="shared" si="52"/>
        <v>0</v>
      </c>
      <c r="AT125" s="125">
        <f t="shared" si="52"/>
        <v>6000</v>
      </c>
      <c r="AU125" s="12">
        <v>38</v>
      </c>
      <c r="AV125" s="6">
        <v>15</v>
      </c>
      <c r="AW125" s="12">
        <v>0</v>
      </c>
      <c r="AX125" s="12">
        <v>20</v>
      </c>
      <c r="AY125" s="138">
        <f t="shared" ref="AY125:AZ169" si="61">AU125*100</f>
        <v>3800</v>
      </c>
      <c r="AZ125" s="138">
        <f t="shared" si="61"/>
        <v>1500</v>
      </c>
      <c r="BA125" s="138">
        <f t="shared" si="53"/>
        <v>0</v>
      </c>
      <c r="BB125" s="138">
        <f t="shared" si="53"/>
        <v>6000</v>
      </c>
      <c r="BC125" s="12">
        <v>38</v>
      </c>
      <c r="BD125" s="6">
        <v>15</v>
      </c>
      <c r="BE125" s="12">
        <v>0</v>
      </c>
      <c r="BF125" s="12">
        <v>20</v>
      </c>
      <c r="BG125" s="138">
        <f t="shared" ref="BG125:BH169" si="62">BC125*100</f>
        <v>3800</v>
      </c>
      <c r="BH125" s="138">
        <f t="shared" si="62"/>
        <v>1500</v>
      </c>
      <c r="BI125" s="138">
        <f t="shared" si="54"/>
        <v>0</v>
      </c>
      <c r="BJ125" s="138">
        <f t="shared" si="54"/>
        <v>6000</v>
      </c>
      <c r="BK125" s="12">
        <v>38</v>
      </c>
      <c r="BL125" s="6">
        <v>15</v>
      </c>
      <c r="BM125" s="12">
        <v>0</v>
      </c>
      <c r="BN125" s="12">
        <v>20</v>
      </c>
      <c r="BO125" s="138">
        <f t="shared" ref="BO125:BP169" si="63">BK125*100</f>
        <v>3800</v>
      </c>
      <c r="BP125" s="138">
        <f t="shared" si="63"/>
        <v>1500</v>
      </c>
      <c r="BQ125" s="138">
        <f t="shared" si="55"/>
        <v>0</v>
      </c>
      <c r="BR125" s="138">
        <f t="shared" si="55"/>
        <v>6000</v>
      </c>
      <c r="BS125" s="12">
        <v>40</v>
      </c>
      <c r="BT125" s="6">
        <v>15</v>
      </c>
      <c r="BU125" s="12">
        <v>0</v>
      </c>
      <c r="BV125" s="12">
        <v>20</v>
      </c>
      <c r="BW125" s="138">
        <f t="shared" ref="BW125:BX169" si="64">BS125*100</f>
        <v>4000</v>
      </c>
      <c r="BX125" s="138">
        <f t="shared" si="64"/>
        <v>1500</v>
      </c>
      <c r="BY125" s="138">
        <f t="shared" si="56"/>
        <v>0</v>
      </c>
      <c r="BZ125" s="138">
        <f t="shared" si="56"/>
        <v>6000</v>
      </c>
      <c r="CA125" s="125"/>
      <c r="CB125" s="125"/>
      <c r="CC125" s="125"/>
      <c r="CD125" s="125"/>
      <c r="CE125" s="125"/>
      <c r="CF125" s="125"/>
      <c r="CG125" s="125"/>
      <c r="CH125" s="125"/>
      <c r="CI125" s="125"/>
      <c r="CJ125" s="125"/>
      <c r="CK125" s="125"/>
      <c r="CL125" s="125"/>
      <c r="CM125" s="125"/>
      <c r="CN125" s="125"/>
      <c r="CO125" s="125"/>
      <c r="CP125" s="125"/>
      <c r="CQ125" s="125"/>
      <c r="CR125" s="125"/>
      <c r="CS125" s="125"/>
      <c r="CT125" s="125"/>
      <c r="CU125" s="125"/>
      <c r="CV125" s="125"/>
      <c r="CW125" s="125"/>
      <c r="CX125" s="125"/>
      <c r="CY125" s="125"/>
      <c r="CZ125" s="125"/>
      <c r="DA125" s="125"/>
      <c r="DB125" s="125"/>
      <c r="DC125" s="125"/>
      <c r="DD125" s="125"/>
      <c r="DE125" s="125"/>
      <c r="DF125" s="125"/>
      <c r="DG125" s="125"/>
      <c r="DH125" s="125"/>
      <c r="DI125" s="125"/>
      <c r="DJ125" s="125"/>
      <c r="DK125" s="125"/>
      <c r="DL125" s="125"/>
      <c r="DM125" s="125"/>
      <c r="DN125" s="125"/>
      <c r="DO125" s="125"/>
      <c r="DP125" s="125"/>
      <c r="DQ125" s="125"/>
      <c r="DR125" s="125"/>
      <c r="DS125" s="125"/>
      <c r="DT125" s="125"/>
      <c r="DU125" s="125"/>
      <c r="DV125" s="125"/>
      <c r="DW125" s="125"/>
      <c r="DX125" s="125"/>
      <c r="DY125" s="125"/>
      <c r="DZ125" s="125"/>
      <c r="EA125" s="125"/>
      <c r="EB125" s="125"/>
      <c r="EC125" s="125"/>
      <c r="ED125" s="125"/>
      <c r="EE125" s="125"/>
      <c r="EF125" s="125"/>
      <c r="EG125" s="125"/>
      <c r="EH125" s="125"/>
      <c r="EI125" s="125"/>
      <c r="EJ125" s="125"/>
      <c r="EK125" s="125"/>
      <c r="EL125" s="125"/>
    </row>
    <row r="126" spans="1:142">
      <c r="A126" s="125">
        <v>18</v>
      </c>
      <c r="B126" s="81" t="s">
        <v>210</v>
      </c>
      <c r="C126" s="125"/>
      <c r="D126" s="125"/>
      <c r="E126" s="125"/>
      <c r="F126" s="125"/>
      <c r="G126" s="77">
        <v>35</v>
      </c>
      <c r="H126" s="90">
        <v>0</v>
      </c>
      <c r="I126" s="77">
        <v>0</v>
      </c>
      <c r="J126" s="77">
        <v>20</v>
      </c>
      <c r="K126" s="125">
        <f t="shared" si="43"/>
        <v>3500</v>
      </c>
      <c r="L126" s="125">
        <f t="shared" si="43"/>
        <v>0</v>
      </c>
      <c r="M126" s="125">
        <f t="shared" si="44"/>
        <v>0</v>
      </c>
      <c r="N126" s="125">
        <f t="shared" si="44"/>
        <v>6000</v>
      </c>
      <c r="O126" s="77">
        <v>32</v>
      </c>
      <c r="P126" s="90">
        <v>0</v>
      </c>
      <c r="Q126" s="77">
        <v>0</v>
      </c>
      <c r="R126" s="77">
        <v>20</v>
      </c>
      <c r="S126" s="125">
        <f t="shared" si="57"/>
        <v>3200</v>
      </c>
      <c r="T126" s="125">
        <f t="shared" si="57"/>
        <v>0</v>
      </c>
      <c r="U126" s="125">
        <f t="shared" si="46"/>
        <v>0</v>
      </c>
      <c r="V126" s="125">
        <f t="shared" si="46"/>
        <v>6000</v>
      </c>
      <c r="W126" s="77">
        <v>36</v>
      </c>
      <c r="X126" s="90">
        <v>0</v>
      </c>
      <c r="Y126" s="77">
        <v>0</v>
      </c>
      <c r="Z126" s="77">
        <v>15</v>
      </c>
      <c r="AA126" s="125">
        <f t="shared" si="58"/>
        <v>3600</v>
      </c>
      <c r="AB126" s="125">
        <f t="shared" si="58"/>
        <v>0</v>
      </c>
      <c r="AC126" s="125">
        <f t="shared" si="48"/>
        <v>0</v>
      </c>
      <c r="AD126" s="125">
        <f t="shared" si="48"/>
        <v>4500</v>
      </c>
      <c r="AE126" s="77">
        <v>32</v>
      </c>
      <c r="AF126" s="90">
        <v>0</v>
      </c>
      <c r="AG126" s="77">
        <v>0</v>
      </c>
      <c r="AH126" s="77">
        <v>16</v>
      </c>
      <c r="AI126" s="125">
        <f t="shared" si="59"/>
        <v>3200</v>
      </c>
      <c r="AJ126" s="125">
        <f t="shared" si="59"/>
        <v>0</v>
      </c>
      <c r="AK126" s="125">
        <f t="shared" si="50"/>
        <v>0</v>
      </c>
      <c r="AL126" s="125">
        <f t="shared" si="50"/>
        <v>4800</v>
      </c>
      <c r="AM126" s="77">
        <v>34</v>
      </c>
      <c r="AN126" s="90">
        <v>0</v>
      </c>
      <c r="AO126" s="77">
        <v>0</v>
      </c>
      <c r="AP126" s="77">
        <v>16</v>
      </c>
      <c r="AQ126" s="125">
        <f t="shared" si="60"/>
        <v>3400</v>
      </c>
      <c r="AR126" s="125">
        <f t="shared" si="60"/>
        <v>0</v>
      </c>
      <c r="AS126" s="125">
        <f t="shared" si="52"/>
        <v>0</v>
      </c>
      <c r="AT126" s="125">
        <f t="shared" si="52"/>
        <v>4800</v>
      </c>
      <c r="AU126" s="12">
        <v>44</v>
      </c>
      <c r="AV126" s="6">
        <v>0</v>
      </c>
      <c r="AW126" s="12">
        <v>0</v>
      </c>
      <c r="AX126" s="12">
        <v>18</v>
      </c>
      <c r="AY126" s="138">
        <f t="shared" si="61"/>
        <v>4400</v>
      </c>
      <c r="AZ126" s="138">
        <f t="shared" si="61"/>
        <v>0</v>
      </c>
      <c r="BA126" s="138">
        <f t="shared" si="53"/>
        <v>0</v>
      </c>
      <c r="BB126" s="138">
        <f t="shared" si="53"/>
        <v>5400</v>
      </c>
      <c r="BC126" s="12">
        <v>44</v>
      </c>
      <c r="BD126" s="6">
        <v>0</v>
      </c>
      <c r="BE126" s="12">
        <v>0</v>
      </c>
      <c r="BF126" s="12">
        <v>18</v>
      </c>
      <c r="BG126" s="138">
        <f t="shared" si="62"/>
        <v>4400</v>
      </c>
      <c r="BH126" s="138">
        <f t="shared" si="62"/>
        <v>0</v>
      </c>
      <c r="BI126" s="138">
        <f t="shared" si="54"/>
        <v>0</v>
      </c>
      <c r="BJ126" s="138">
        <f t="shared" si="54"/>
        <v>5400</v>
      </c>
      <c r="BK126" s="12">
        <v>50</v>
      </c>
      <c r="BL126" s="6">
        <v>0</v>
      </c>
      <c r="BM126" s="12">
        <v>0</v>
      </c>
      <c r="BN126" s="12">
        <v>18</v>
      </c>
      <c r="BO126" s="138">
        <f t="shared" si="63"/>
        <v>5000</v>
      </c>
      <c r="BP126" s="138">
        <f t="shared" si="63"/>
        <v>0</v>
      </c>
      <c r="BQ126" s="138">
        <f t="shared" si="55"/>
        <v>0</v>
      </c>
      <c r="BR126" s="138">
        <f t="shared" si="55"/>
        <v>5400</v>
      </c>
      <c r="BS126" s="12">
        <v>50</v>
      </c>
      <c r="BT126" s="6">
        <v>0</v>
      </c>
      <c r="BU126" s="12">
        <v>0</v>
      </c>
      <c r="BV126" s="12">
        <v>18</v>
      </c>
      <c r="BW126" s="138">
        <f t="shared" si="64"/>
        <v>5000</v>
      </c>
      <c r="BX126" s="138">
        <f t="shared" si="64"/>
        <v>0</v>
      </c>
      <c r="BY126" s="138">
        <f t="shared" si="56"/>
        <v>0</v>
      </c>
      <c r="BZ126" s="138">
        <f t="shared" si="56"/>
        <v>5400</v>
      </c>
      <c r="CA126" s="125"/>
      <c r="CB126" s="125"/>
      <c r="CC126" s="125"/>
      <c r="CD126" s="125"/>
      <c r="CE126" s="125"/>
      <c r="CF126" s="125"/>
      <c r="CG126" s="125"/>
      <c r="CH126" s="125"/>
      <c r="CI126" s="125"/>
      <c r="CJ126" s="125"/>
      <c r="CK126" s="125"/>
      <c r="CL126" s="125"/>
      <c r="CM126" s="125"/>
      <c r="CN126" s="125"/>
      <c r="CO126" s="125"/>
      <c r="CP126" s="125"/>
      <c r="CQ126" s="125"/>
      <c r="CR126" s="125"/>
      <c r="CS126" s="125"/>
      <c r="CT126" s="125"/>
      <c r="CU126" s="125"/>
      <c r="CV126" s="125"/>
      <c r="CW126" s="125"/>
      <c r="CX126" s="125"/>
      <c r="CY126" s="125"/>
      <c r="CZ126" s="125"/>
      <c r="DA126" s="125"/>
      <c r="DB126" s="125"/>
      <c r="DC126" s="125"/>
      <c r="DD126" s="125"/>
      <c r="DE126" s="125"/>
      <c r="DF126" s="125"/>
      <c r="DG126" s="125"/>
      <c r="DH126" s="125"/>
      <c r="DI126" s="125"/>
      <c r="DJ126" s="125"/>
      <c r="DK126" s="125"/>
      <c r="DL126" s="125"/>
      <c r="DM126" s="125"/>
      <c r="DN126" s="125"/>
      <c r="DO126" s="125"/>
      <c r="DP126" s="125"/>
      <c r="DQ126" s="125"/>
      <c r="DR126" s="125"/>
      <c r="DS126" s="125"/>
      <c r="DT126" s="125"/>
      <c r="DU126" s="125"/>
      <c r="DV126" s="125"/>
      <c r="DW126" s="125"/>
      <c r="DX126" s="125"/>
      <c r="DY126" s="125"/>
      <c r="DZ126" s="125"/>
      <c r="EA126" s="125"/>
      <c r="EB126" s="125"/>
      <c r="EC126" s="125"/>
      <c r="ED126" s="125"/>
      <c r="EE126" s="125"/>
      <c r="EF126" s="125"/>
      <c r="EG126" s="125"/>
      <c r="EH126" s="125"/>
      <c r="EI126" s="125"/>
      <c r="EJ126" s="125"/>
      <c r="EK126" s="125"/>
      <c r="EL126" s="125"/>
    </row>
    <row r="127" spans="1:142">
      <c r="A127" s="125">
        <v>19</v>
      </c>
      <c r="B127" s="81" t="s">
        <v>211</v>
      </c>
      <c r="C127" s="125"/>
      <c r="D127" s="125"/>
      <c r="E127" s="125"/>
      <c r="F127" s="125"/>
      <c r="G127" s="77">
        <v>30</v>
      </c>
      <c r="H127" s="90">
        <v>0</v>
      </c>
      <c r="I127" s="77">
        <v>0</v>
      </c>
      <c r="J127" s="77">
        <v>0</v>
      </c>
      <c r="K127" s="125">
        <f t="shared" si="43"/>
        <v>3000</v>
      </c>
      <c r="L127" s="125">
        <f t="shared" si="43"/>
        <v>0</v>
      </c>
      <c r="M127" s="125">
        <f t="shared" si="44"/>
        <v>0</v>
      </c>
      <c r="N127" s="125">
        <f t="shared" si="44"/>
        <v>0</v>
      </c>
      <c r="O127" s="77">
        <v>30</v>
      </c>
      <c r="P127" s="90">
        <v>0</v>
      </c>
      <c r="Q127" s="77">
        <v>0</v>
      </c>
      <c r="R127" s="77">
        <v>0</v>
      </c>
      <c r="S127" s="125">
        <f t="shared" si="57"/>
        <v>3000</v>
      </c>
      <c r="T127" s="125">
        <f t="shared" si="57"/>
        <v>0</v>
      </c>
      <c r="U127" s="125">
        <f t="shared" si="46"/>
        <v>0</v>
      </c>
      <c r="V127" s="125">
        <f t="shared" si="46"/>
        <v>0</v>
      </c>
      <c r="W127" s="77">
        <v>30</v>
      </c>
      <c r="X127" s="90">
        <v>0</v>
      </c>
      <c r="Y127" s="77">
        <v>0</v>
      </c>
      <c r="Z127" s="77">
        <v>0</v>
      </c>
      <c r="AA127" s="125">
        <f t="shared" si="58"/>
        <v>3000</v>
      </c>
      <c r="AB127" s="125">
        <f t="shared" si="58"/>
        <v>0</v>
      </c>
      <c r="AC127" s="125">
        <f t="shared" si="48"/>
        <v>0</v>
      </c>
      <c r="AD127" s="125">
        <f t="shared" si="48"/>
        <v>0</v>
      </c>
      <c r="AE127" s="77">
        <v>30</v>
      </c>
      <c r="AF127" s="90">
        <v>0</v>
      </c>
      <c r="AG127" s="77">
        <v>0</v>
      </c>
      <c r="AH127" s="77">
        <v>0</v>
      </c>
      <c r="AI127" s="125">
        <f t="shared" si="59"/>
        <v>3000</v>
      </c>
      <c r="AJ127" s="125">
        <f t="shared" si="59"/>
        <v>0</v>
      </c>
      <c r="AK127" s="125">
        <f t="shared" si="50"/>
        <v>0</v>
      </c>
      <c r="AL127" s="125">
        <f t="shared" si="50"/>
        <v>0</v>
      </c>
      <c r="AM127" s="77">
        <v>50</v>
      </c>
      <c r="AN127" s="90">
        <v>0</v>
      </c>
      <c r="AO127" s="77">
        <v>0</v>
      </c>
      <c r="AP127" s="77">
        <v>0</v>
      </c>
      <c r="AQ127" s="125">
        <f t="shared" si="60"/>
        <v>5000</v>
      </c>
      <c r="AR127" s="125">
        <f t="shared" si="60"/>
        <v>0</v>
      </c>
      <c r="AS127" s="125">
        <f t="shared" si="52"/>
        <v>0</v>
      </c>
      <c r="AT127" s="125">
        <f t="shared" si="52"/>
        <v>0</v>
      </c>
      <c r="AU127" s="12">
        <v>52</v>
      </c>
      <c r="AV127" s="6">
        <v>0</v>
      </c>
      <c r="AW127" s="12">
        <v>0</v>
      </c>
      <c r="AX127" s="12">
        <v>18</v>
      </c>
      <c r="AY127" s="138">
        <f t="shared" si="61"/>
        <v>5200</v>
      </c>
      <c r="AZ127" s="138">
        <f t="shared" si="61"/>
        <v>0</v>
      </c>
      <c r="BA127" s="138">
        <f t="shared" si="53"/>
        <v>0</v>
      </c>
      <c r="BB127" s="138">
        <f t="shared" si="53"/>
        <v>5400</v>
      </c>
      <c r="BC127" s="12">
        <v>52</v>
      </c>
      <c r="BD127" s="6">
        <v>0</v>
      </c>
      <c r="BE127" s="12">
        <v>0</v>
      </c>
      <c r="BF127" s="12">
        <v>18</v>
      </c>
      <c r="BG127" s="138">
        <f t="shared" si="62"/>
        <v>5200</v>
      </c>
      <c r="BH127" s="138">
        <f t="shared" si="62"/>
        <v>0</v>
      </c>
      <c r="BI127" s="138">
        <f t="shared" si="54"/>
        <v>0</v>
      </c>
      <c r="BJ127" s="138">
        <f t="shared" si="54"/>
        <v>5400</v>
      </c>
      <c r="BK127" s="12">
        <v>53</v>
      </c>
      <c r="BL127" s="6">
        <v>0</v>
      </c>
      <c r="BM127" s="12">
        <v>0</v>
      </c>
      <c r="BN127" s="12">
        <v>18</v>
      </c>
      <c r="BO127" s="138">
        <f t="shared" si="63"/>
        <v>5300</v>
      </c>
      <c r="BP127" s="138">
        <f t="shared" si="63"/>
        <v>0</v>
      </c>
      <c r="BQ127" s="138">
        <f t="shared" si="55"/>
        <v>0</v>
      </c>
      <c r="BR127" s="138">
        <f t="shared" si="55"/>
        <v>5400</v>
      </c>
      <c r="BS127" s="12">
        <v>53</v>
      </c>
      <c r="BT127" s="6">
        <v>0</v>
      </c>
      <c r="BU127" s="12">
        <v>0</v>
      </c>
      <c r="BV127" s="12">
        <v>18</v>
      </c>
      <c r="BW127" s="138">
        <f t="shared" si="64"/>
        <v>5300</v>
      </c>
      <c r="BX127" s="138">
        <f t="shared" si="64"/>
        <v>0</v>
      </c>
      <c r="BY127" s="138">
        <f t="shared" si="56"/>
        <v>0</v>
      </c>
      <c r="BZ127" s="138">
        <f t="shared" si="56"/>
        <v>5400</v>
      </c>
      <c r="CA127" s="125"/>
      <c r="CB127" s="125"/>
      <c r="CC127" s="125"/>
      <c r="CD127" s="125"/>
      <c r="CE127" s="125"/>
      <c r="CF127" s="125"/>
      <c r="CG127" s="125"/>
      <c r="CH127" s="125"/>
      <c r="CI127" s="125"/>
      <c r="CJ127" s="125"/>
      <c r="CK127" s="125"/>
      <c r="CL127" s="125"/>
      <c r="CM127" s="125"/>
      <c r="CN127" s="125"/>
      <c r="CO127" s="125"/>
      <c r="CP127" s="125"/>
      <c r="CQ127" s="125"/>
      <c r="CR127" s="125"/>
      <c r="CS127" s="125"/>
      <c r="CT127" s="125"/>
      <c r="CU127" s="125"/>
      <c r="CV127" s="125"/>
      <c r="CW127" s="125"/>
      <c r="CX127" s="125"/>
      <c r="CY127" s="125"/>
      <c r="CZ127" s="125"/>
      <c r="DA127" s="125"/>
      <c r="DB127" s="125"/>
      <c r="DC127" s="125"/>
      <c r="DD127" s="125"/>
      <c r="DE127" s="125"/>
      <c r="DF127" s="125"/>
      <c r="DG127" s="125"/>
      <c r="DH127" s="125"/>
      <c r="DI127" s="125"/>
      <c r="DJ127" s="125"/>
      <c r="DK127" s="125"/>
      <c r="DL127" s="125"/>
      <c r="DM127" s="125"/>
      <c r="DN127" s="125"/>
      <c r="DO127" s="125"/>
      <c r="DP127" s="125"/>
      <c r="DQ127" s="125"/>
      <c r="DR127" s="125"/>
      <c r="DS127" s="125"/>
      <c r="DT127" s="125"/>
      <c r="DU127" s="125"/>
      <c r="DV127" s="125"/>
      <c r="DW127" s="125"/>
      <c r="DX127" s="125"/>
      <c r="DY127" s="125"/>
      <c r="DZ127" s="125"/>
      <c r="EA127" s="125"/>
      <c r="EB127" s="125"/>
      <c r="EC127" s="125"/>
      <c r="ED127" s="125"/>
      <c r="EE127" s="125"/>
      <c r="EF127" s="125"/>
      <c r="EG127" s="125"/>
      <c r="EH127" s="125"/>
      <c r="EI127" s="125"/>
      <c r="EJ127" s="125"/>
      <c r="EK127" s="125"/>
      <c r="EL127" s="125"/>
    </row>
    <row r="128" spans="1:142">
      <c r="A128" s="125">
        <v>20</v>
      </c>
      <c r="B128" s="81" t="s">
        <v>212</v>
      </c>
      <c r="C128" s="125"/>
      <c r="D128" s="125"/>
      <c r="E128" s="125"/>
      <c r="F128" s="125"/>
      <c r="G128" s="77">
        <v>40</v>
      </c>
      <c r="H128" s="90">
        <v>0</v>
      </c>
      <c r="I128" s="77">
        <v>0</v>
      </c>
      <c r="J128" s="77">
        <v>3</v>
      </c>
      <c r="K128" s="125">
        <f t="shared" si="43"/>
        <v>4000</v>
      </c>
      <c r="L128" s="125">
        <f t="shared" si="43"/>
        <v>0</v>
      </c>
      <c r="M128" s="125">
        <f t="shared" si="44"/>
        <v>0</v>
      </c>
      <c r="N128" s="125">
        <f t="shared" si="44"/>
        <v>900</v>
      </c>
      <c r="O128" s="77">
        <v>40</v>
      </c>
      <c r="P128" s="90">
        <v>0</v>
      </c>
      <c r="Q128" s="77">
        <v>0</v>
      </c>
      <c r="R128" s="77">
        <v>20</v>
      </c>
      <c r="S128" s="125">
        <f t="shared" si="57"/>
        <v>4000</v>
      </c>
      <c r="T128" s="125">
        <f t="shared" si="57"/>
        <v>0</v>
      </c>
      <c r="U128" s="125">
        <f t="shared" si="46"/>
        <v>0</v>
      </c>
      <c r="V128" s="125">
        <f t="shared" si="46"/>
        <v>6000</v>
      </c>
      <c r="W128" s="77">
        <v>42</v>
      </c>
      <c r="X128" s="90">
        <v>0</v>
      </c>
      <c r="Y128" s="77">
        <v>0</v>
      </c>
      <c r="Z128" s="77">
        <v>20</v>
      </c>
      <c r="AA128" s="125">
        <f t="shared" si="58"/>
        <v>4200</v>
      </c>
      <c r="AB128" s="125">
        <f t="shared" si="58"/>
        <v>0</v>
      </c>
      <c r="AC128" s="125">
        <f t="shared" si="48"/>
        <v>0</v>
      </c>
      <c r="AD128" s="125">
        <f t="shared" si="48"/>
        <v>6000</v>
      </c>
      <c r="AE128" s="77">
        <v>44</v>
      </c>
      <c r="AF128" s="90">
        <v>0</v>
      </c>
      <c r="AG128" s="77">
        <v>0</v>
      </c>
      <c r="AH128" s="77">
        <v>20</v>
      </c>
      <c r="AI128" s="125">
        <f t="shared" si="59"/>
        <v>4400</v>
      </c>
      <c r="AJ128" s="125">
        <f t="shared" si="59"/>
        <v>0</v>
      </c>
      <c r="AK128" s="125">
        <f t="shared" si="50"/>
        <v>0</v>
      </c>
      <c r="AL128" s="125">
        <f t="shared" si="50"/>
        <v>6000</v>
      </c>
      <c r="AM128" s="77">
        <v>44</v>
      </c>
      <c r="AN128" s="90">
        <v>0</v>
      </c>
      <c r="AO128" s="77">
        <v>0</v>
      </c>
      <c r="AP128" s="77">
        <v>20</v>
      </c>
      <c r="AQ128" s="125">
        <f t="shared" si="60"/>
        <v>4400</v>
      </c>
      <c r="AR128" s="125">
        <f t="shared" si="60"/>
        <v>0</v>
      </c>
      <c r="AS128" s="125">
        <f t="shared" si="52"/>
        <v>0</v>
      </c>
      <c r="AT128" s="125">
        <f t="shared" si="52"/>
        <v>6000</v>
      </c>
      <c r="AU128" s="12">
        <v>48</v>
      </c>
      <c r="AV128" s="6">
        <v>0</v>
      </c>
      <c r="AW128" s="12">
        <v>0</v>
      </c>
      <c r="AX128" s="12">
        <v>20</v>
      </c>
      <c r="AY128" s="138">
        <f t="shared" si="61"/>
        <v>4800</v>
      </c>
      <c r="AZ128" s="138">
        <f t="shared" si="61"/>
        <v>0</v>
      </c>
      <c r="BA128" s="138">
        <f t="shared" si="53"/>
        <v>0</v>
      </c>
      <c r="BB128" s="138">
        <f t="shared" si="53"/>
        <v>6000</v>
      </c>
      <c r="BC128" s="12">
        <v>48</v>
      </c>
      <c r="BD128" s="6">
        <v>0</v>
      </c>
      <c r="BE128" s="12">
        <v>0</v>
      </c>
      <c r="BF128" s="12">
        <v>20</v>
      </c>
      <c r="BG128" s="138">
        <f t="shared" si="62"/>
        <v>4800</v>
      </c>
      <c r="BH128" s="138">
        <f t="shared" si="62"/>
        <v>0</v>
      </c>
      <c r="BI128" s="138">
        <f t="shared" si="54"/>
        <v>0</v>
      </c>
      <c r="BJ128" s="138">
        <f t="shared" si="54"/>
        <v>6000</v>
      </c>
      <c r="BK128" s="12">
        <v>48</v>
      </c>
      <c r="BL128" s="6">
        <v>0</v>
      </c>
      <c r="BM128" s="12">
        <v>0</v>
      </c>
      <c r="BN128" s="12">
        <v>20</v>
      </c>
      <c r="BO128" s="138">
        <f t="shared" si="63"/>
        <v>4800</v>
      </c>
      <c r="BP128" s="138">
        <f t="shared" si="63"/>
        <v>0</v>
      </c>
      <c r="BQ128" s="138">
        <f t="shared" si="55"/>
        <v>0</v>
      </c>
      <c r="BR128" s="138">
        <f t="shared" si="55"/>
        <v>6000</v>
      </c>
      <c r="BS128" s="12">
        <v>50</v>
      </c>
      <c r="BT128" s="6">
        <v>0</v>
      </c>
      <c r="BU128" s="12">
        <v>0</v>
      </c>
      <c r="BV128" s="12">
        <v>20</v>
      </c>
      <c r="BW128" s="138">
        <f t="shared" si="64"/>
        <v>5000</v>
      </c>
      <c r="BX128" s="138">
        <f t="shared" si="64"/>
        <v>0</v>
      </c>
      <c r="BY128" s="138">
        <f t="shared" si="56"/>
        <v>0</v>
      </c>
      <c r="BZ128" s="138">
        <f t="shared" si="56"/>
        <v>6000</v>
      </c>
      <c r="CA128" s="125"/>
      <c r="CB128" s="125"/>
      <c r="CC128" s="125"/>
      <c r="CD128" s="125"/>
      <c r="CE128" s="125"/>
      <c r="CF128" s="125"/>
      <c r="CG128" s="125"/>
      <c r="CH128" s="125"/>
      <c r="CI128" s="125"/>
      <c r="CJ128" s="125"/>
      <c r="CK128" s="125"/>
      <c r="CL128" s="125"/>
      <c r="CM128" s="125"/>
      <c r="CN128" s="125"/>
      <c r="CO128" s="125"/>
      <c r="CP128" s="125"/>
      <c r="CQ128" s="125"/>
      <c r="CR128" s="125"/>
      <c r="CS128" s="125"/>
      <c r="CT128" s="125"/>
      <c r="CU128" s="125"/>
      <c r="CV128" s="125"/>
      <c r="CW128" s="125"/>
      <c r="CX128" s="125"/>
      <c r="CY128" s="125"/>
      <c r="CZ128" s="125"/>
      <c r="DA128" s="125"/>
      <c r="DB128" s="125"/>
      <c r="DC128" s="125"/>
      <c r="DD128" s="125"/>
      <c r="DE128" s="125"/>
      <c r="DF128" s="125"/>
      <c r="DG128" s="125"/>
      <c r="DH128" s="125"/>
      <c r="DI128" s="125"/>
      <c r="DJ128" s="125"/>
      <c r="DK128" s="125"/>
      <c r="DL128" s="125"/>
      <c r="DM128" s="125"/>
      <c r="DN128" s="125"/>
      <c r="DO128" s="125"/>
      <c r="DP128" s="125"/>
      <c r="DQ128" s="125"/>
      <c r="DR128" s="125"/>
      <c r="DS128" s="125"/>
      <c r="DT128" s="125"/>
      <c r="DU128" s="125"/>
      <c r="DV128" s="125"/>
      <c r="DW128" s="125"/>
      <c r="DX128" s="125"/>
      <c r="DY128" s="125"/>
      <c r="DZ128" s="125"/>
      <c r="EA128" s="125"/>
      <c r="EB128" s="125"/>
      <c r="EC128" s="125"/>
      <c r="ED128" s="125"/>
      <c r="EE128" s="125"/>
      <c r="EF128" s="125"/>
      <c r="EG128" s="125"/>
      <c r="EH128" s="125"/>
      <c r="EI128" s="125"/>
      <c r="EJ128" s="125"/>
      <c r="EK128" s="125"/>
      <c r="EL128" s="125"/>
    </row>
    <row r="129" spans="1:142">
      <c r="A129" s="125">
        <v>21</v>
      </c>
      <c r="B129" s="81" t="s">
        <v>213</v>
      </c>
      <c r="C129" s="125"/>
      <c r="D129" s="125"/>
      <c r="E129" s="125"/>
      <c r="F129" s="125"/>
      <c r="G129" s="77">
        <v>30</v>
      </c>
      <c r="H129" s="90">
        <v>0</v>
      </c>
      <c r="I129" s="77">
        <v>0</v>
      </c>
      <c r="J129" s="125">
        <v>5</v>
      </c>
      <c r="K129" s="125">
        <f t="shared" si="43"/>
        <v>3000</v>
      </c>
      <c r="L129" s="125">
        <f t="shared" si="43"/>
        <v>0</v>
      </c>
      <c r="M129" s="125">
        <f t="shared" si="44"/>
        <v>0</v>
      </c>
      <c r="N129" s="125">
        <f t="shared" si="44"/>
        <v>1500</v>
      </c>
      <c r="O129" s="77">
        <v>45</v>
      </c>
      <c r="P129" s="90">
        <v>0</v>
      </c>
      <c r="Q129" s="77">
        <v>0</v>
      </c>
      <c r="R129" s="125">
        <v>5</v>
      </c>
      <c r="S129" s="125">
        <f t="shared" si="57"/>
        <v>4500</v>
      </c>
      <c r="T129" s="125">
        <f t="shared" si="57"/>
        <v>0</v>
      </c>
      <c r="U129" s="125">
        <f t="shared" si="46"/>
        <v>0</v>
      </c>
      <c r="V129" s="125">
        <f t="shared" si="46"/>
        <v>1500</v>
      </c>
      <c r="W129" s="77">
        <v>44</v>
      </c>
      <c r="X129" s="90">
        <v>0</v>
      </c>
      <c r="Y129" s="77">
        <v>0</v>
      </c>
      <c r="Z129" s="125">
        <v>8</v>
      </c>
      <c r="AA129" s="125">
        <f t="shared" si="58"/>
        <v>4400</v>
      </c>
      <c r="AB129" s="125">
        <f t="shared" si="58"/>
        <v>0</v>
      </c>
      <c r="AC129" s="125">
        <f t="shared" si="48"/>
        <v>0</v>
      </c>
      <c r="AD129" s="125">
        <f t="shared" si="48"/>
        <v>2400</v>
      </c>
      <c r="AE129" s="77">
        <v>40</v>
      </c>
      <c r="AF129" s="90">
        <v>0</v>
      </c>
      <c r="AG129" s="77">
        <v>0</v>
      </c>
      <c r="AH129" s="125">
        <v>6</v>
      </c>
      <c r="AI129" s="125">
        <f t="shared" si="59"/>
        <v>4000</v>
      </c>
      <c r="AJ129" s="125">
        <f t="shared" si="59"/>
        <v>0</v>
      </c>
      <c r="AK129" s="125">
        <f t="shared" si="50"/>
        <v>0</v>
      </c>
      <c r="AL129" s="125">
        <f t="shared" si="50"/>
        <v>1800</v>
      </c>
      <c r="AM129" s="77">
        <v>42</v>
      </c>
      <c r="AN129" s="90">
        <v>0</v>
      </c>
      <c r="AO129" s="77">
        <v>0</v>
      </c>
      <c r="AP129" s="125">
        <v>6</v>
      </c>
      <c r="AQ129" s="125">
        <f t="shared" si="60"/>
        <v>4200</v>
      </c>
      <c r="AR129" s="125">
        <f t="shared" si="60"/>
        <v>0</v>
      </c>
      <c r="AS129" s="125">
        <f t="shared" si="52"/>
        <v>0</v>
      </c>
      <c r="AT129" s="125">
        <f t="shared" si="52"/>
        <v>1800</v>
      </c>
      <c r="AU129" s="12">
        <v>49</v>
      </c>
      <c r="AV129" s="6">
        <v>0</v>
      </c>
      <c r="AW129" s="12">
        <v>0</v>
      </c>
      <c r="AX129" s="138">
        <v>11</v>
      </c>
      <c r="AY129" s="138">
        <f t="shared" si="61"/>
        <v>4900</v>
      </c>
      <c r="AZ129" s="138">
        <f t="shared" si="61"/>
        <v>0</v>
      </c>
      <c r="BA129" s="138">
        <f t="shared" si="53"/>
        <v>0</v>
      </c>
      <c r="BB129" s="138">
        <f t="shared" si="53"/>
        <v>3300</v>
      </c>
      <c r="BC129" s="12">
        <v>49</v>
      </c>
      <c r="BD129" s="6">
        <v>0</v>
      </c>
      <c r="BE129" s="12">
        <v>0</v>
      </c>
      <c r="BF129" s="138">
        <v>14</v>
      </c>
      <c r="BG129" s="138">
        <f t="shared" si="62"/>
        <v>4900</v>
      </c>
      <c r="BH129" s="138">
        <f t="shared" si="62"/>
        <v>0</v>
      </c>
      <c r="BI129" s="138">
        <f t="shared" si="54"/>
        <v>0</v>
      </c>
      <c r="BJ129" s="138">
        <f t="shared" si="54"/>
        <v>4200</v>
      </c>
      <c r="BK129" s="12">
        <v>58</v>
      </c>
      <c r="BL129" s="6">
        <v>0</v>
      </c>
      <c r="BM129" s="12">
        <v>0</v>
      </c>
      <c r="BN129" s="138">
        <v>20</v>
      </c>
      <c r="BO129" s="138">
        <f t="shared" si="63"/>
        <v>5800</v>
      </c>
      <c r="BP129" s="138">
        <f t="shared" si="63"/>
        <v>0</v>
      </c>
      <c r="BQ129" s="138">
        <f t="shared" si="55"/>
        <v>0</v>
      </c>
      <c r="BR129" s="138">
        <f t="shared" si="55"/>
        <v>6000</v>
      </c>
      <c r="BS129" s="12">
        <v>58</v>
      </c>
      <c r="BT129" s="6">
        <v>0</v>
      </c>
      <c r="BU129" s="12">
        <v>0</v>
      </c>
      <c r="BV129" s="138">
        <v>20</v>
      </c>
      <c r="BW129" s="138">
        <f t="shared" si="64"/>
        <v>5800</v>
      </c>
      <c r="BX129" s="138">
        <f t="shared" si="64"/>
        <v>0</v>
      </c>
      <c r="BY129" s="138">
        <f t="shared" si="56"/>
        <v>0</v>
      </c>
      <c r="BZ129" s="138">
        <f t="shared" si="56"/>
        <v>6000</v>
      </c>
      <c r="CA129" s="125"/>
      <c r="CB129" s="125"/>
      <c r="CC129" s="125"/>
      <c r="CD129" s="125"/>
      <c r="CE129" s="125"/>
      <c r="CF129" s="125"/>
      <c r="CG129" s="125"/>
      <c r="CH129" s="125"/>
      <c r="CI129" s="125"/>
      <c r="CJ129" s="125"/>
      <c r="CK129" s="125"/>
      <c r="CL129" s="125"/>
      <c r="CM129" s="125"/>
      <c r="CN129" s="125"/>
      <c r="CO129" s="125"/>
      <c r="CP129" s="125"/>
      <c r="CQ129" s="125"/>
      <c r="CR129" s="125"/>
      <c r="CS129" s="125"/>
      <c r="CT129" s="125"/>
      <c r="CU129" s="125"/>
      <c r="CV129" s="125"/>
      <c r="CW129" s="125"/>
      <c r="CX129" s="125"/>
      <c r="CY129" s="125"/>
      <c r="CZ129" s="125"/>
      <c r="DA129" s="125"/>
      <c r="DB129" s="125"/>
      <c r="DC129" s="125"/>
      <c r="DD129" s="125"/>
      <c r="DE129" s="125"/>
      <c r="DF129" s="125"/>
      <c r="DG129" s="125"/>
      <c r="DH129" s="125"/>
      <c r="DI129" s="125"/>
      <c r="DJ129" s="125"/>
      <c r="DK129" s="125"/>
      <c r="DL129" s="125"/>
      <c r="DM129" s="125"/>
      <c r="DN129" s="125"/>
      <c r="DO129" s="125"/>
      <c r="DP129" s="125"/>
      <c r="DQ129" s="125"/>
      <c r="DR129" s="125"/>
      <c r="DS129" s="125"/>
      <c r="DT129" s="125"/>
      <c r="DU129" s="125"/>
      <c r="DV129" s="125"/>
      <c r="DW129" s="125"/>
      <c r="DX129" s="125"/>
      <c r="DY129" s="125"/>
      <c r="DZ129" s="125"/>
      <c r="EA129" s="125"/>
      <c r="EB129" s="125"/>
      <c r="EC129" s="125"/>
      <c r="ED129" s="125"/>
      <c r="EE129" s="125"/>
      <c r="EF129" s="125"/>
      <c r="EG129" s="125"/>
      <c r="EH129" s="125"/>
      <c r="EI129" s="125"/>
      <c r="EJ129" s="125"/>
      <c r="EK129" s="125"/>
      <c r="EL129" s="125"/>
    </row>
    <row r="130" spans="1:142">
      <c r="A130" s="125">
        <v>22</v>
      </c>
      <c r="B130" s="81" t="s">
        <v>214</v>
      </c>
      <c r="C130" s="125"/>
      <c r="D130" s="125"/>
      <c r="E130" s="125"/>
      <c r="F130" s="125"/>
      <c r="G130" s="77">
        <v>35</v>
      </c>
      <c r="H130" s="90">
        <v>0</v>
      </c>
      <c r="I130" s="77">
        <v>0</v>
      </c>
      <c r="J130" s="125">
        <v>3</v>
      </c>
      <c r="K130" s="125">
        <f t="shared" si="43"/>
        <v>3500</v>
      </c>
      <c r="L130" s="125">
        <f t="shared" si="43"/>
        <v>0</v>
      </c>
      <c r="M130" s="125">
        <f t="shared" si="44"/>
        <v>0</v>
      </c>
      <c r="N130" s="125">
        <f t="shared" si="44"/>
        <v>900</v>
      </c>
      <c r="O130" s="77">
        <v>35</v>
      </c>
      <c r="P130" s="90">
        <v>0</v>
      </c>
      <c r="Q130" s="77">
        <v>0</v>
      </c>
      <c r="R130" s="125">
        <v>3</v>
      </c>
      <c r="S130" s="125">
        <f t="shared" si="57"/>
        <v>3500</v>
      </c>
      <c r="T130" s="125">
        <f t="shared" si="57"/>
        <v>0</v>
      </c>
      <c r="U130" s="125">
        <f t="shared" si="46"/>
        <v>0</v>
      </c>
      <c r="V130" s="125">
        <f t="shared" si="46"/>
        <v>900</v>
      </c>
      <c r="W130" s="77">
        <v>38</v>
      </c>
      <c r="X130" s="90">
        <v>0</v>
      </c>
      <c r="Y130" s="77">
        <v>0</v>
      </c>
      <c r="Z130" s="125">
        <v>3</v>
      </c>
      <c r="AA130" s="125">
        <f t="shared" si="58"/>
        <v>3800</v>
      </c>
      <c r="AB130" s="125">
        <f t="shared" si="58"/>
        <v>0</v>
      </c>
      <c r="AC130" s="125">
        <f t="shared" si="48"/>
        <v>0</v>
      </c>
      <c r="AD130" s="125">
        <f t="shared" si="48"/>
        <v>900</v>
      </c>
      <c r="AE130" s="77">
        <v>38</v>
      </c>
      <c r="AF130" s="90">
        <v>0</v>
      </c>
      <c r="AG130" s="77">
        <v>0</v>
      </c>
      <c r="AH130" s="125">
        <v>6</v>
      </c>
      <c r="AI130" s="125">
        <f t="shared" si="59"/>
        <v>3800</v>
      </c>
      <c r="AJ130" s="125">
        <f t="shared" si="59"/>
        <v>0</v>
      </c>
      <c r="AK130" s="125">
        <f t="shared" si="50"/>
        <v>0</v>
      </c>
      <c r="AL130" s="125">
        <f t="shared" si="50"/>
        <v>1800</v>
      </c>
      <c r="AM130" s="77">
        <v>43</v>
      </c>
      <c r="AN130" s="90">
        <v>0</v>
      </c>
      <c r="AO130" s="77">
        <v>0</v>
      </c>
      <c r="AP130" s="125">
        <v>8</v>
      </c>
      <c r="AQ130" s="125">
        <f t="shared" si="60"/>
        <v>4300</v>
      </c>
      <c r="AR130" s="125">
        <f t="shared" si="60"/>
        <v>0</v>
      </c>
      <c r="AS130" s="125">
        <f t="shared" si="52"/>
        <v>0</v>
      </c>
      <c r="AT130" s="125">
        <f t="shared" si="52"/>
        <v>2400</v>
      </c>
      <c r="AU130" s="12">
        <v>43</v>
      </c>
      <c r="AV130" s="6">
        <v>0</v>
      </c>
      <c r="AW130" s="12">
        <v>0</v>
      </c>
      <c r="AX130" s="138">
        <v>10</v>
      </c>
      <c r="AY130" s="138">
        <f t="shared" si="61"/>
        <v>4300</v>
      </c>
      <c r="AZ130" s="138">
        <f t="shared" si="61"/>
        <v>0</v>
      </c>
      <c r="BA130" s="138">
        <f t="shared" si="53"/>
        <v>0</v>
      </c>
      <c r="BB130" s="138">
        <f t="shared" si="53"/>
        <v>3000</v>
      </c>
      <c r="BC130" s="12">
        <v>43</v>
      </c>
      <c r="BD130" s="6">
        <v>0</v>
      </c>
      <c r="BE130" s="12">
        <v>0</v>
      </c>
      <c r="BF130" s="138">
        <v>12</v>
      </c>
      <c r="BG130" s="138">
        <f t="shared" si="62"/>
        <v>4300</v>
      </c>
      <c r="BH130" s="138">
        <f t="shared" si="62"/>
        <v>0</v>
      </c>
      <c r="BI130" s="138">
        <f t="shared" si="54"/>
        <v>0</v>
      </c>
      <c r="BJ130" s="138">
        <f t="shared" si="54"/>
        <v>3600</v>
      </c>
      <c r="BK130" s="12">
        <v>43</v>
      </c>
      <c r="BL130" s="6">
        <v>0</v>
      </c>
      <c r="BM130" s="12">
        <v>0</v>
      </c>
      <c r="BN130" s="138">
        <v>18</v>
      </c>
      <c r="BO130" s="138">
        <f t="shared" si="63"/>
        <v>4300</v>
      </c>
      <c r="BP130" s="138">
        <f t="shared" si="63"/>
        <v>0</v>
      </c>
      <c r="BQ130" s="138">
        <f t="shared" si="55"/>
        <v>0</v>
      </c>
      <c r="BR130" s="138">
        <f t="shared" si="55"/>
        <v>5400</v>
      </c>
      <c r="BS130" s="12">
        <v>47</v>
      </c>
      <c r="BT130" s="6">
        <v>0</v>
      </c>
      <c r="BU130" s="12">
        <v>0</v>
      </c>
      <c r="BV130" s="138">
        <v>18</v>
      </c>
      <c r="BW130" s="138">
        <f t="shared" si="64"/>
        <v>4700</v>
      </c>
      <c r="BX130" s="138">
        <f t="shared" si="64"/>
        <v>0</v>
      </c>
      <c r="BY130" s="138">
        <f t="shared" si="56"/>
        <v>0</v>
      </c>
      <c r="BZ130" s="138">
        <f t="shared" si="56"/>
        <v>5400</v>
      </c>
      <c r="CA130" s="125"/>
      <c r="CB130" s="125"/>
      <c r="CC130" s="125"/>
      <c r="CD130" s="125"/>
      <c r="CE130" s="125"/>
      <c r="CF130" s="125"/>
      <c r="CG130" s="125"/>
      <c r="CH130" s="125"/>
      <c r="CI130" s="125"/>
      <c r="CJ130" s="125"/>
      <c r="CK130" s="125"/>
      <c r="CL130" s="125"/>
      <c r="CM130" s="125"/>
      <c r="CN130" s="125"/>
      <c r="CO130" s="125"/>
      <c r="CP130" s="125"/>
      <c r="CQ130" s="125"/>
      <c r="CR130" s="125"/>
      <c r="CS130" s="125"/>
      <c r="CT130" s="125"/>
      <c r="CU130" s="125"/>
      <c r="CV130" s="125"/>
      <c r="CW130" s="125"/>
      <c r="CX130" s="125"/>
      <c r="CY130" s="125"/>
      <c r="CZ130" s="125"/>
      <c r="DA130" s="125"/>
      <c r="DB130" s="125"/>
      <c r="DC130" s="125"/>
      <c r="DD130" s="125"/>
      <c r="DE130" s="125"/>
      <c r="DF130" s="125"/>
      <c r="DG130" s="125"/>
      <c r="DH130" s="125"/>
      <c r="DI130" s="125"/>
      <c r="DJ130" s="125"/>
      <c r="DK130" s="125"/>
      <c r="DL130" s="125"/>
      <c r="DM130" s="125"/>
      <c r="DN130" s="125"/>
      <c r="DO130" s="125"/>
      <c r="DP130" s="125"/>
      <c r="DQ130" s="125"/>
      <c r="DR130" s="125"/>
      <c r="DS130" s="125"/>
      <c r="DT130" s="125"/>
      <c r="DU130" s="125"/>
      <c r="DV130" s="125"/>
      <c r="DW130" s="125"/>
      <c r="DX130" s="125"/>
      <c r="DY130" s="125"/>
      <c r="DZ130" s="125"/>
      <c r="EA130" s="125"/>
      <c r="EB130" s="125"/>
      <c r="EC130" s="125"/>
      <c r="ED130" s="125"/>
      <c r="EE130" s="125"/>
      <c r="EF130" s="125"/>
      <c r="EG130" s="125"/>
      <c r="EH130" s="125"/>
      <c r="EI130" s="125"/>
      <c r="EJ130" s="125"/>
      <c r="EK130" s="125"/>
      <c r="EL130" s="125"/>
    </row>
    <row r="131" spans="1:142">
      <c r="A131" s="125">
        <v>23</v>
      </c>
      <c r="B131" s="81" t="s">
        <v>215</v>
      </c>
      <c r="C131" s="125"/>
      <c r="D131" s="125"/>
      <c r="E131" s="125"/>
      <c r="F131" s="125"/>
      <c r="G131" s="77">
        <v>25</v>
      </c>
      <c r="H131" s="90">
        <v>0</v>
      </c>
      <c r="I131" s="77">
        <v>0</v>
      </c>
      <c r="J131" s="77">
        <v>15</v>
      </c>
      <c r="K131" s="125">
        <f t="shared" si="43"/>
        <v>2500</v>
      </c>
      <c r="L131" s="125">
        <f t="shared" si="43"/>
        <v>0</v>
      </c>
      <c r="M131" s="125">
        <f t="shared" si="44"/>
        <v>0</v>
      </c>
      <c r="N131" s="125">
        <f t="shared" si="44"/>
        <v>4500</v>
      </c>
      <c r="O131" s="77">
        <v>22</v>
      </c>
      <c r="P131" s="90">
        <v>0</v>
      </c>
      <c r="Q131" s="77">
        <v>0</v>
      </c>
      <c r="R131" s="77">
        <v>15</v>
      </c>
      <c r="S131" s="125">
        <f t="shared" si="57"/>
        <v>2200</v>
      </c>
      <c r="T131" s="125">
        <f t="shared" si="57"/>
        <v>0</v>
      </c>
      <c r="U131" s="125">
        <f t="shared" si="46"/>
        <v>0</v>
      </c>
      <c r="V131" s="125">
        <f t="shared" si="46"/>
        <v>4500</v>
      </c>
      <c r="W131" s="77">
        <v>20</v>
      </c>
      <c r="X131" s="90">
        <v>0</v>
      </c>
      <c r="Y131" s="77">
        <v>0</v>
      </c>
      <c r="Z131" s="77">
        <v>20</v>
      </c>
      <c r="AA131" s="125">
        <f t="shared" si="58"/>
        <v>2000</v>
      </c>
      <c r="AB131" s="125">
        <f t="shared" si="58"/>
        <v>0</v>
      </c>
      <c r="AC131" s="125">
        <f t="shared" si="48"/>
        <v>0</v>
      </c>
      <c r="AD131" s="125">
        <f t="shared" si="48"/>
        <v>6000</v>
      </c>
      <c r="AE131" s="77">
        <v>20</v>
      </c>
      <c r="AF131" s="90">
        <v>0</v>
      </c>
      <c r="AG131" s="77">
        <v>0</v>
      </c>
      <c r="AH131" s="77">
        <v>16</v>
      </c>
      <c r="AI131" s="125">
        <f t="shared" si="59"/>
        <v>2000</v>
      </c>
      <c r="AJ131" s="125">
        <f t="shared" si="59"/>
        <v>0</v>
      </c>
      <c r="AK131" s="125">
        <f t="shared" si="50"/>
        <v>0</v>
      </c>
      <c r="AL131" s="125">
        <f t="shared" si="50"/>
        <v>4800</v>
      </c>
      <c r="AM131" s="77">
        <v>25</v>
      </c>
      <c r="AN131" s="90">
        <v>0</v>
      </c>
      <c r="AO131" s="77">
        <v>0</v>
      </c>
      <c r="AP131" s="77">
        <v>16</v>
      </c>
      <c r="AQ131" s="125">
        <f t="shared" si="60"/>
        <v>2500</v>
      </c>
      <c r="AR131" s="125">
        <f t="shared" si="60"/>
        <v>0</v>
      </c>
      <c r="AS131" s="125">
        <f t="shared" si="52"/>
        <v>0</v>
      </c>
      <c r="AT131" s="125">
        <f t="shared" si="52"/>
        <v>4800</v>
      </c>
      <c r="AU131" s="12">
        <v>28</v>
      </c>
      <c r="AV131" s="6">
        <v>0</v>
      </c>
      <c r="AW131" s="12">
        <v>0</v>
      </c>
      <c r="AX131" s="12">
        <v>16</v>
      </c>
      <c r="AY131" s="138">
        <f t="shared" si="61"/>
        <v>2800</v>
      </c>
      <c r="AZ131" s="138">
        <f t="shared" si="61"/>
        <v>0</v>
      </c>
      <c r="BA131" s="138">
        <f t="shared" si="53"/>
        <v>0</v>
      </c>
      <c r="BB131" s="138">
        <f t="shared" si="53"/>
        <v>4800</v>
      </c>
      <c r="BC131" s="12">
        <v>30</v>
      </c>
      <c r="BD131" s="6">
        <v>0</v>
      </c>
      <c r="BE131" s="12">
        <v>0</v>
      </c>
      <c r="BF131" s="12">
        <v>16</v>
      </c>
      <c r="BG131" s="138">
        <f t="shared" si="62"/>
        <v>3000</v>
      </c>
      <c r="BH131" s="138">
        <f t="shared" si="62"/>
        <v>0</v>
      </c>
      <c r="BI131" s="138">
        <f t="shared" si="54"/>
        <v>0</v>
      </c>
      <c r="BJ131" s="138">
        <f t="shared" si="54"/>
        <v>4800</v>
      </c>
      <c r="BK131" s="12">
        <v>35</v>
      </c>
      <c r="BL131" s="6">
        <v>0</v>
      </c>
      <c r="BM131" s="12">
        <v>0</v>
      </c>
      <c r="BN131" s="12">
        <v>20</v>
      </c>
      <c r="BO131" s="138">
        <f t="shared" si="63"/>
        <v>3500</v>
      </c>
      <c r="BP131" s="138">
        <f t="shared" si="63"/>
        <v>0</v>
      </c>
      <c r="BQ131" s="138">
        <f t="shared" si="55"/>
        <v>0</v>
      </c>
      <c r="BR131" s="138">
        <f t="shared" si="55"/>
        <v>6000</v>
      </c>
      <c r="BS131" s="12">
        <v>38</v>
      </c>
      <c r="BT131" s="6">
        <v>0</v>
      </c>
      <c r="BU131" s="12">
        <v>0</v>
      </c>
      <c r="BV131" s="12">
        <v>20</v>
      </c>
      <c r="BW131" s="138">
        <f t="shared" si="64"/>
        <v>3800</v>
      </c>
      <c r="BX131" s="138">
        <f t="shared" si="64"/>
        <v>0</v>
      </c>
      <c r="BY131" s="138">
        <f t="shared" si="56"/>
        <v>0</v>
      </c>
      <c r="BZ131" s="138">
        <f t="shared" si="56"/>
        <v>6000</v>
      </c>
      <c r="CA131" s="125"/>
      <c r="CB131" s="125"/>
      <c r="CC131" s="125"/>
      <c r="CD131" s="125"/>
      <c r="CE131" s="125"/>
      <c r="CF131" s="125"/>
      <c r="CG131" s="125"/>
      <c r="CH131" s="125"/>
      <c r="CI131" s="125"/>
      <c r="CJ131" s="125"/>
      <c r="CK131" s="125"/>
      <c r="CL131" s="125"/>
      <c r="CM131" s="125"/>
      <c r="CN131" s="125"/>
      <c r="CO131" s="125"/>
      <c r="CP131" s="125"/>
      <c r="CQ131" s="125"/>
      <c r="CR131" s="125"/>
      <c r="CS131" s="125"/>
      <c r="CT131" s="125"/>
      <c r="CU131" s="125"/>
      <c r="CV131" s="125"/>
      <c r="CW131" s="125"/>
      <c r="CX131" s="125"/>
      <c r="CY131" s="125"/>
      <c r="CZ131" s="125"/>
      <c r="DA131" s="125"/>
      <c r="DB131" s="125"/>
      <c r="DC131" s="125"/>
      <c r="DD131" s="125"/>
      <c r="DE131" s="125"/>
      <c r="DF131" s="125"/>
      <c r="DG131" s="125"/>
      <c r="DH131" s="125"/>
      <c r="DI131" s="125"/>
      <c r="DJ131" s="125"/>
      <c r="DK131" s="125"/>
      <c r="DL131" s="125"/>
      <c r="DM131" s="125"/>
      <c r="DN131" s="125"/>
      <c r="DO131" s="125"/>
      <c r="DP131" s="125"/>
      <c r="DQ131" s="125"/>
      <c r="DR131" s="125"/>
      <c r="DS131" s="125"/>
      <c r="DT131" s="125"/>
      <c r="DU131" s="125"/>
      <c r="DV131" s="125"/>
      <c r="DW131" s="125"/>
      <c r="DX131" s="125"/>
      <c r="DY131" s="125"/>
      <c r="DZ131" s="125"/>
      <c r="EA131" s="125"/>
      <c r="EB131" s="125"/>
      <c r="EC131" s="125"/>
      <c r="ED131" s="125"/>
      <c r="EE131" s="125"/>
      <c r="EF131" s="125"/>
      <c r="EG131" s="125"/>
      <c r="EH131" s="125"/>
      <c r="EI131" s="125"/>
      <c r="EJ131" s="125"/>
      <c r="EK131" s="125"/>
      <c r="EL131" s="125"/>
    </row>
    <row r="132" spans="1:142">
      <c r="A132" s="125">
        <v>24</v>
      </c>
      <c r="B132" s="81" t="s">
        <v>216</v>
      </c>
      <c r="C132" s="125"/>
      <c r="D132" s="125"/>
      <c r="E132" s="125"/>
      <c r="F132" s="125"/>
      <c r="G132" s="77">
        <v>30</v>
      </c>
      <c r="H132" s="90">
        <v>0</v>
      </c>
      <c r="I132" s="77">
        <v>0</v>
      </c>
      <c r="J132" s="77">
        <v>5</v>
      </c>
      <c r="K132" s="125">
        <f t="shared" si="43"/>
        <v>3000</v>
      </c>
      <c r="L132" s="125">
        <f t="shared" si="43"/>
        <v>0</v>
      </c>
      <c r="M132" s="125">
        <f t="shared" si="44"/>
        <v>0</v>
      </c>
      <c r="N132" s="125">
        <f t="shared" si="44"/>
        <v>1500</v>
      </c>
      <c r="O132" s="77">
        <v>30</v>
      </c>
      <c r="P132" s="90">
        <v>0</v>
      </c>
      <c r="Q132" s="77">
        <v>0</v>
      </c>
      <c r="R132" s="77">
        <v>5</v>
      </c>
      <c r="S132" s="125">
        <f t="shared" si="57"/>
        <v>3000</v>
      </c>
      <c r="T132" s="125">
        <f t="shared" si="57"/>
        <v>0</v>
      </c>
      <c r="U132" s="125">
        <f t="shared" si="46"/>
        <v>0</v>
      </c>
      <c r="V132" s="125">
        <f t="shared" si="46"/>
        <v>1500</v>
      </c>
      <c r="W132" s="77">
        <v>32</v>
      </c>
      <c r="X132" s="90">
        <v>0</v>
      </c>
      <c r="Y132" s="77">
        <v>0</v>
      </c>
      <c r="Z132" s="77">
        <v>4</v>
      </c>
      <c r="AA132" s="125">
        <f t="shared" si="58"/>
        <v>3200</v>
      </c>
      <c r="AB132" s="125">
        <f t="shared" si="58"/>
        <v>0</v>
      </c>
      <c r="AC132" s="125">
        <f t="shared" si="48"/>
        <v>0</v>
      </c>
      <c r="AD132" s="125">
        <f t="shared" si="48"/>
        <v>1200</v>
      </c>
      <c r="AE132" s="77">
        <v>32</v>
      </c>
      <c r="AF132" s="90">
        <v>0</v>
      </c>
      <c r="AG132" s="77">
        <v>0</v>
      </c>
      <c r="AH132" s="77">
        <v>4</v>
      </c>
      <c r="AI132" s="125">
        <f t="shared" si="59"/>
        <v>3200</v>
      </c>
      <c r="AJ132" s="125">
        <f t="shared" si="59"/>
        <v>0</v>
      </c>
      <c r="AK132" s="125">
        <f t="shared" si="50"/>
        <v>0</v>
      </c>
      <c r="AL132" s="125">
        <f t="shared" si="50"/>
        <v>1200</v>
      </c>
      <c r="AM132" s="77">
        <v>36</v>
      </c>
      <c r="AN132" s="90">
        <v>0</v>
      </c>
      <c r="AO132" s="77">
        <v>0</v>
      </c>
      <c r="AP132" s="77">
        <v>6</v>
      </c>
      <c r="AQ132" s="125">
        <f t="shared" si="60"/>
        <v>3600</v>
      </c>
      <c r="AR132" s="125">
        <f t="shared" si="60"/>
        <v>0</v>
      </c>
      <c r="AS132" s="125">
        <f t="shared" si="52"/>
        <v>0</v>
      </c>
      <c r="AT132" s="125">
        <f t="shared" si="52"/>
        <v>1800</v>
      </c>
      <c r="AU132" s="12">
        <v>40</v>
      </c>
      <c r="AV132" s="6">
        <v>0</v>
      </c>
      <c r="AW132" s="12">
        <v>0</v>
      </c>
      <c r="AX132" s="12">
        <v>12</v>
      </c>
      <c r="AY132" s="138">
        <f t="shared" si="61"/>
        <v>4000</v>
      </c>
      <c r="AZ132" s="138">
        <f t="shared" si="61"/>
        <v>0</v>
      </c>
      <c r="BA132" s="138">
        <f t="shared" si="53"/>
        <v>0</v>
      </c>
      <c r="BB132" s="138">
        <f t="shared" si="53"/>
        <v>3600</v>
      </c>
      <c r="BC132" s="12">
        <v>41</v>
      </c>
      <c r="BD132" s="6">
        <v>0</v>
      </c>
      <c r="BE132" s="12">
        <v>0</v>
      </c>
      <c r="BF132" s="12">
        <v>12</v>
      </c>
      <c r="BG132" s="138">
        <f t="shared" si="62"/>
        <v>4100</v>
      </c>
      <c r="BH132" s="138">
        <f t="shared" si="62"/>
        <v>0</v>
      </c>
      <c r="BI132" s="138">
        <f t="shared" si="54"/>
        <v>0</v>
      </c>
      <c r="BJ132" s="138">
        <f t="shared" si="54"/>
        <v>3600</v>
      </c>
      <c r="BK132" s="12">
        <v>41</v>
      </c>
      <c r="BL132" s="6">
        <v>0</v>
      </c>
      <c r="BM132" s="12">
        <v>0</v>
      </c>
      <c r="BN132" s="12">
        <v>12</v>
      </c>
      <c r="BO132" s="138">
        <f t="shared" si="63"/>
        <v>4100</v>
      </c>
      <c r="BP132" s="138">
        <f t="shared" si="63"/>
        <v>0</v>
      </c>
      <c r="BQ132" s="138">
        <f t="shared" si="55"/>
        <v>0</v>
      </c>
      <c r="BR132" s="138">
        <f t="shared" si="55"/>
        <v>3600</v>
      </c>
      <c r="BS132" s="12">
        <v>48</v>
      </c>
      <c r="BT132" s="6">
        <v>0</v>
      </c>
      <c r="BU132" s="12">
        <v>0</v>
      </c>
      <c r="BV132" s="12">
        <v>12</v>
      </c>
      <c r="BW132" s="138">
        <f t="shared" si="64"/>
        <v>4800</v>
      </c>
      <c r="BX132" s="138">
        <f t="shared" si="64"/>
        <v>0</v>
      </c>
      <c r="BY132" s="138">
        <f t="shared" si="56"/>
        <v>0</v>
      </c>
      <c r="BZ132" s="138">
        <f t="shared" si="56"/>
        <v>3600</v>
      </c>
      <c r="CA132" s="125"/>
      <c r="CB132" s="125"/>
      <c r="CC132" s="125"/>
      <c r="CD132" s="125"/>
      <c r="CE132" s="125"/>
      <c r="CF132" s="125"/>
      <c r="CG132" s="125"/>
      <c r="CH132" s="125"/>
      <c r="CI132" s="125"/>
      <c r="CJ132" s="125"/>
      <c r="CK132" s="125"/>
      <c r="CL132" s="125"/>
      <c r="CM132" s="125"/>
      <c r="CN132" s="125"/>
      <c r="CO132" s="125"/>
      <c r="CP132" s="125"/>
      <c r="CQ132" s="125"/>
      <c r="CR132" s="125"/>
      <c r="CS132" s="125"/>
      <c r="CT132" s="125"/>
      <c r="CU132" s="125"/>
      <c r="CV132" s="125"/>
      <c r="CW132" s="125"/>
      <c r="CX132" s="125"/>
      <c r="CY132" s="125"/>
      <c r="CZ132" s="125"/>
      <c r="DA132" s="125"/>
      <c r="DB132" s="125"/>
      <c r="DC132" s="125"/>
      <c r="DD132" s="125"/>
      <c r="DE132" s="125"/>
      <c r="DF132" s="125"/>
      <c r="DG132" s="125"/>
      <c r="DH132" s="125"/>
      <c r="DI132" s="125"/>
      <c r="DJ132" s="125"/>
      <c r="DK132" s="125"/>
      <c r="DL132" s="125"/>
      <c r="DM132" s="125"/>
      <c r="DN132" s="125"/>
      <c r="DO132" s="125"/>
      <c r="DP132" s="125"/>
      <c r="DQ132" s="125"/>
      <c r="DR132" s="125"/>
      <c r="DS132" s="125"/>
      <c r="DT132" s="125"/>
      <c r="DU132" s="125"/>
      <c r="DV132" s="125"/>
      <c r="DW132" s="125"/>
      <c r="DX132" s="125"/>
      <c r="DY132" s="125"/>
      <c r="DZ132" s="125"/>
      <c r="EA132" s="125"/>
      <c r="EB132" s="125"/>
      <c r="EC132" s="125"/>
      <c r="ED132" s="125"/>
      <c r="EE132" s="125"/>
      <c r="EF132" s="125"/>
      <c r="EG132" s="125"/>
      <c r="EH132" s="125"/>
      <c r="EI132" s="125"/>
      <c r="EJ132" s="125"/>
      <c r="EK132" s="125"/>
      <c r="EL132" s="125"/>
    </row>
    <row r="133" spans="1:142">
      <c r="A133" s="125">
        <v>25</v>
      </c>
      <c r="B133" s="81" t="s">
        <v>217</v>
      </c>
      <c r="C133" s="125"/>
      <c r="D133" s="125"/>
      <c r="E133" s="125"/>
      <c r="F133" s="125"/>
      <c r="G133" s="77">
        <v>30</v>
      </c>
      <c r="H133" s="90">
        <v>0</v>
      </c>
      <c r="I133" s="77">
        <v>0</v>
      </c>
      <c r="J133" s="77">
        <v>10</v>
      </c>
      <c r="K133" s="125">
        <f t="shared" si="43"/>
        <v>3000</v>
      </c>
      <c r="L133" s="125">
        <f t="shared" si="43"/>
        <v>0</v>
      </c>
      <c r="M133" s="125">
        <f t="shared" si="44"/>
        <v>0</v>
      </c>
      <c r="N133" s="125">
        <f t="shared" si="44"/>
        <v>3000</v>
      </c>
      <c r="O133" s="77">
        <v>35</v>
      </c>
      <c r="P133" s="90">
        <v>0</v>
      </c>
      <c r="Q133" s="77">
        <v>0</v>
      </c>
      <c r="R133" s="77">
        <v>10</v>
      </c>
      <c r="S133" s="125">
        <f t="shared" si="57"/>
        <v>3500</v>
      </c>
      <c r="T133" s="125">
        <f t="shared" si="57"/>
        <v>0</v>
      </c>
      <c r="U133" s="125">
        <f t="shared" si="46"/>
        <v>0</v>
      </c>
      <c r="V133" s="125">
        <f t="shared" si="46"/>
        <v>3000</v>
      </c>
      <c r="W133" s="77">
        <v>35</v>
      </c>
      <c r="X133" s="90">
        <v>0</v>
      </c>
      <c r="Y133" s="77">
        <v>0</v>
      </c>
      <c r="Z133" s="77">
        <v>12</v>
      </c>
      <c r="AA133" s="125">
        <f t="shared" si="58"/>
        <v>3500</v>
      </c>
      <c r="AB133" s="125">
        <f t="shared" si="58"/>
        <v>0</v>
      </c>
      <c r="AC133" s="125">
        <f t="shared" si="48"/>
        <v>0</v>
      </c>
      <c r="AD133" s="125">
        <f t="shared" si="48"/>
        <v>3600</v>
      </c>
      <c r="AE133" s="77">
        <v>35</v>
      </c>
      <c r="AF133" s="90">
        <v>0</v>
      </c>
      <c r="AG133" s="77">
        <v>0</v>
      </c>
      <c r="AH133" s="77">
        <v>16</v>
      </c>
      <c r="AI133" s="125">
        <f t="shared" si="59"/>
        <v>3500</v>
      </c>
      <c r="AJ133" s="125">
        <f t="shared" si="59"/>
        <v>0</v>
      </c>
      <c r="AK133" s="125">
        <f t="shared" si="50"/>
        <v>0</v>
      </c>
      <c r="AL133" s="125">
        <f t="shared" si="50"/>
        <v>4800</v>
      </c>
      <c r="AM133" s="77">
        <v>39</v>
      </c>
      <c r="AN133" s="90">
        <v>0</v>
      </c>
      <c r="AO133" s="77">
        <v>0</v>
      </c>
      <c r="AP133" s="77">
        <v>14</v>
      </c>
      <c r="AQ133" s="125">
        <f t="shared" si="60"/>
        <v>3900</v>
      </c>
      <c r="AR133" s="125">
        <f t="shared" si="60"/>
        <v>0</v>
      </c>
      <c r="AS133" s="125">
        <f t="shared" si="52"/>
        <v>0</v>
      </c>
      <c r="AT133" s="125">
        <f t="shared" si="52"/>
        <v>4200</v>
      </c>
      <c r="AU133" s="12">
        <v>39</v>
      </c>
      <c r="AV133" s="6">
        <v>0</v>
      </c>
      <c r="AW133" s="12">
        <v>0</v>
      </c>
      <c r="AX133" s="12">
        <v>14</v>
      </c>
      <c r="AY133" s="138">
        <f t="shared" si="61"/>
        <v>3900</v>
      </c>
      <c r="AZ133" s="138">
        <f t="shared" si="61"/>
        <v>0</v>
      </c>
      <c r="BA133" s="138">
        <f t="shared" si="53"/>
        <v>0</v>
      </c>
      <c r="BB133" s="138">
        <f t="shared" si="53"/>
        <v>4200</v>
      </c>
      <c r="BC133" s="12">
        <v>51</v>
      </c>
      <c r="BD133" s="6">
        <v>0</v>
      </c>
      <c r="BE133" s="12">
        <v>0</v>
      </c>
      <c r="BF133" s="12">
        <v>14</v>
      </c>
      <c r="BG133" s="138">
        <f t="shared" si="62"/>
        <v>5100</v>
      </c>
      <c r="BH133" s="138">
        <f t="shared" si="62"/>
        <v>0</v>
      </c>
      <c r="BI133" s="138">
        <f t="shared" si="54"/>
        <v>0</v>
      </c>
      <c r="BJ133" s="138">
        <f t="shared" si="54"/>
        <v>4200</v>
      </c>
      <c r="BK133" s="12">
        <v>51</v>
      </c>
      <c r="BL133" s="6">
        <v>0</v>
      </c>
      <c r="BM133" s="12">
        <v>0</v>
      </c>
      <c r="BN133" s="12">
        <v>14</v>
      </c>
      <c r="BO133" s="138">
        <f t="shared" si="63"/>
        <v>5100</v>
      </c>
      <c r="BP133" s="138">
        <f t="shared" si="63"/>
        <v>0</v>
      </c>
      <c r="BQ133" s="138">
        <f t="shared" si="55"/>
        <v>0</v>
      </c>
      <c r="BR133" s="138">
        <f t="shared" si="55"/>
        <v>4200</v>
      </c>
      <c r="BS133" s="12">
        <v>53</v>
      </c>
      <c r="BT133" s="6">
        <v>0</v>
      </c>
      <c r="BU133" s="12">
        <v>0</v>
      </c>
      <c r="BV133" s="12">
        <v>14</v>
      </c>
      <c r="BW133" s="138">
        <f t="shared" si="64"/>
        <v>5300</v>
      </c>
      <c r="BX133" s="138">
        <f t="shared" si="64"/>
        <v>0</v>
      </c>
      <c r="BY133" s="138">
        <f t="shared" si="56"/>
        <v>0</v>
      </c>
      <c r="BZ133" s="138">
        <f t="shared" si="56"/>
        <v>4200</v>
      </c>
      <c r="CA133" s="125"/>
      <c r="CB133" s="125"/>
      <c r="CC133" s="125"/>
      <c r="CD133" s="125"/>
      <c r="CE133" s="125"/>
      <c r="CF133" s="125"/>
      <c r="CG133" s="125"/>
      <c r="CH133" s="125"/>
      <c r="CI133" s="125"/>
      <c r="CJ133" s="125"/>
      <c r="CK133" s="125"/>
      <c r="CL133" s="125"/>
      <c r="CM133" s="125"/>
      <c r="CN133" s="125"/>
      <c r="CO133" s="125"/>
      <c r="CP133" s="125"/>
      <c r="CQ133" s="125"/>
      <c r="CR133" s="125"/>
      <c r="CS133" s="125"/>
      <c r="CT133" s="125"/>
      <c r="CU133" s="125"/>
      <c r="CV133" s="125"/>
      <c r="CW133" s="125"/>
      <c r="CX133" s="125"/>
      <c r="CY133" s="125"/>
      <c r="CZ133" s="125"/>
      <c r="DA133" s="125"/>
      <c r="DB133" s="125"/>
      <c r="DC133" s="125"/>
      <c r="DD133" s="125"/>
      <c r="DE133" s="125"/>
      <c r="DF133" s="125"/>
      <c r="DG133" s="125"/>
      <c r="DH133" s="125"/>
      <c r="DI133" s="125"/>
      <c r="DJ133" s="125"/>
      <c r="DK133" s="125"/>
      <c r="DL133" s="125"/>
      <c r="DM133" s="125"/>
      <c r="DN133" s="125"/>
      <c r="DO133" s="125"/>
      <c r="DP133" s="125"/>
      <c r="DQ133" s="125"/>
      <c r="DR133" s="125"/>
      <c r="DS133" s="125"/>
      <c r="DT133" s="125"/>
      <c r="DU133" s="125"/>
      <c r="DV133" s="125"/>
      <c r="DW133" s="125"/>
      <c r="DX133" s="125"/>
      <c r="DY133" s="125"/>
      <c r="DZ133" s="125"/>
      <c r="EA133" s="125"/>
      <c r="EB133" s="125"/>
      <c r="EC133" s="125"/>
      <c r="ED133" s="125"/>
      <c r="EE133" s="125"/>
      <c r="EF133" s="125"/>
      <c r="EG133" s="125"/>
      <c r="EH133" s="125"/>
      <c r="EI133" s="125"/>
      <c r="EJ133" s="125"/>
      <c r="EK133" s="125"/>
      <c r="EL133" s="125"/>
    </row>
    <row r="134" spans="1:142">
      <c r="A134" s="125">
        <v>26</v>
      </c>
      <c r="B134" s="81" t="s">
        <v>218</v>
      </c>
      <c r="C134" s="125"/>
      <c r="D134" s="125"/>
      <c r="E134" s="125"/>
      <c r="F134" s="125"/>
      <c r="G134" s="77">
        <v>25</v>
      </c>
      <c r="H134" s="90">
        <v>0</v>
      </c>
      <c r="I134" s="77">
        <v>0</v>
      </c>
      <c r="J134" s="77">
        <v>8</v>
      </c>
      <c r="K134" s="125">
        <f t="shared" si="43"/>
        <v>2500</v>
      </c>
      <c r="L134" s="125">
        <f t="shared" si="43"/>
        <v>0</v>
      </c>
      <c r="M134" s="125">
        <f t="shared" si="44"/>
        <v>0</v>
      </c>
      <c r="N134" s="125">
        <f t="shared" si="44"/>
        <v>2400</v>
      </c>
      <c r="O134" s="77">
        <v>25</v>
      </c>
      <c r="P134" s="90">
        <v>0</v>
      </c>
      <c r="Q134" s="77">
        <v>0</v>
      </c>
      <c r="R134" s="77">
        <v>8</v>
      </c>
      <c r="S134" s="125">
        <f t="shared" si="57"/>
        <v>2500</v>
      </c>
      <c r="T134" s="125">
        <f t="shared" si="57"/>
        <v>0</v>
      </c>
      <c r="U134" s="125">
        <f t="shared" si="46"/>
        <v>0</v>
      </c>
      <c r="V134" s="125">
        <f t="shared" si="46"/>
        <v>2400</v>
      </c>
      <c r="W134" s="77">
        <v>30</v>
      </c>
      <c r="X134" s="90">
        <v>0</v>
      </c>
      <c r="Y134" s="77">
        <v>0</v>
      </c>
      <c r="Z134" s="77">
        <v>10</v>
      </c>
      <c r="AA134" s="125">
        <f t="shared" si="58"/>
        <v>3000</v>
      </c>
      <c r="AB134" s="125">
        <f t="shared" si="58"/>
        <v>0</v>
      </c>
      <c r="AC134" s="125">
        <f t="shared" si="48"/>
        <v>0</v>
      </c>
      <c r="AD134" s="125">
        <f t="shared" si="48"/>
        <v>3000</v>
      </c>
      <c r="AE134" s="77">
        <v>44</v>
      </c>
      <c r="AF134" s="90">
        <v>0</v>
      </c>
      <c r="AG134" s="77">
        <v>0</v>
      </c>
      <c r="AH134" s="77">
        <v>3</v>
      </c>
      <c r="AI134" s="125">
        <f t="shared" si="59"/>
        <v>4400</v>
      </c>
      <c r="AJ134" s="125">
        <f t="shared" si="59"/>
        <v>0</v>
      </c>
      <c r="AK134" s="125">
        <f t="shared" si="50"/>
        <v>0</v>
      </c>
      <c r="AL134" s="125">
        <f t="shared" si="50"/>
        <v>900</v>
      </c>
      <c r="AM134" s="77">
        <v>44</v>
      </c>
      <c r="AN134" s="90">
        <v>0</v>
      </c>
      <c r="AO134" s="77">
        <v>0</v>
      </c>
      <c r="AP134" s="77">
        <v>6</v>
      </c>
      <c r="AQ134" s="125">
        <f t="shared" si="60"/>
        <v>4400</v>
      </c>
      <c r="AR134" s="125">
        <f t="shared" si="60"/>
        <v>0</v>
      </c>
      <c r="AS134" s="125">
        <f t="shared" si="52"/>
        <v>0</v>
      </c>
      <c r="AT134" s="125">
        <f t="shared" si="52"/>
        <v>1800</v>
      </c>
      <c r="AU134" s="12">
        <v>44</v>
      </c>
      <c r="AV134" s="6">
        <v>0</v>
      </c>
      <c r="AW134" s="12">
        <v>0</v>
      </c>
      <c r="AX134" s="12">
        <v>8</v>
      </c>
      <c r="AY134" s="138">
        <f t="shared" si="61"/>
        <v>4400</v>
      </c>
      <c r="AZ134" s="138">
        <f t="shared" si="61"/>
        <v>0</v>
      </c>
      <c r="BA134" s="138">
        <f t="shared" si="53"/>
        <v>0</v>
      </c>
      <c r="BB134" s="138">
        <f t="shared" si="53"/>
        <v>2400</v>
      </c>
      <c r="BC134" s="12">
        <v>44</v>
      </c>
      <c r="BD134" s="6">
        <v>0</v>
      </c>
      <c r="BE134" s="12">
        <v>0</v>
      </c>
      <c r="BF134" s="12">
        <v>8</v>
      </c>
      <c r="BG134" s="138">
        <f t="shared" si="62"/>
        <v>4400</v>
      </c>
      <c r="BH134" s="138">
        <f t="shared" si="62"/>
        <v>0</v>
      </c>
      <c r="BI134" s="138">
        <f t="shared" si="54"/>
        <v>0</v>
      </c>
      <c r="BJ134" s="138">
        <f t="shared" si="54"/>
        <v>2400</v>
      </c>
      <c r="BK134" s="12">
        <v>50</v>
      </c>
      <c r="BL134" s="6">
        <v>0</v>
      </c>
      <c r="BM134" s="12">
        <v>0</v>
      </c>
      <c r="BN134" s="12">
        <v>19</v>
      </c>
      <c r="BO134" s="138">
        <f t="shared" si="63"/>
        <v>5000</v>
      </c>
      <c r="BP134" s="138">
        <f t="shared" si="63"/>
        <v>0</v>
      </c>
      <c r="BQ134" s="138">
        <f t="shared" si="55"/>
        <v>0</v>
      </c>
      <c r="BR134" s="138">
        <f t="shared" si="55"/>
        <v>5700</v>
      </c>
      <c r="BS134" s="12">
        <v>55</v>
      </c>
      <c r="BT134" s="6">
        <v>0</v>
      </c>
      <c r="BU134" s="12">
        <v>0</v>
      </c>
      <c r="BV134" s="12">
        <v>19</v>
      </c>
      <c r="BW134" s="138">
        <f t="shared" si="64"/>
        <v>5500</v>
      </c>
      <c r="BX134" s="138">
        <f t="shared" si="64"/>
        <v>0</v>
      </c>
      <c r="BY134" s="138">
        <f t="shared" si="56"/>
        <v>0</v>
      </c>
      <c r="BZ134" s="138">
        <f t="shared" si="56"/>
        <v>5700</v>
      </c>
      <c r="CA134" s="125"/>
      <c r="CB134" s="125"/>
      <c r="CC134" s="125"/>
      <c r="CD134" s="125"/>
      <c r="CE134" s="125"/>
      <c r="CF134" s="125"/>
      <c r="CG134" s="125"/>
      <c r="CH134" s="125"/>
      <c r="CI134" s="125"/>
      <c r="CJ134" s="125"/>
      <c r="CK134" s="125"/>
      <c r="CL134" s="125"/>
      <c r="CM134" s="125"/>
      <c r="CN134" s="125"/>
      <c r="CO134" s="125"/>
      <c r="CP134" s="125"/>
      <c r="CQ134" s="125"/>
      <c r="CR134" s="125"/>
      <c r="CS134" s="125"/>
      <c r="CT134" s="125"/>
      <c r="CU134" s="125"/>
      <c r="CV134" s="125"/>
      <c r="CW134" s="125"/>
      <c r="CX134" s="125"/>
      <c r="CY134" s="125"/>
      <c r="CZ134" s="125"/>
      <c r="DA134" s="125"/>
      <c r="DB134" s="125"/>
      <c r="DC134" s="125"/>
      <c r="DD134" s="125"/>
      <c r="DE134" s="125"/>
      <c r="DF134" s="125"/>
      <c r="DG134" s="125"/>
      <c r="DH134" s="125"/>
      <c r="DI134" s="125"/>
      <c r="DJ134" s="125"/>
      <c r="DK134" s="125"/>
      <c r="DL134" s="125"/>
      <c r="DM134" s="125"/>
      <c r="DN134" s="125"/>
      <c r="DO134" s="125"/>
      <c r="DP134" s="125"/>
      <c r="DQ134" s="125"/>
      <c r="DR134" s="125"/>
      <c r="DS134" s="125"/>
      <c r="DT134" s="125"/>
      <c r="DU134" s="125"/>
      <c r="DV134" s="125"/>
      <c r="DW134" s="125"/>
      <c r="DX134" s="125"/>
      <c r="DY134" s="125"/>
      <c r="DZ134" s="125"/>
      <c r="EA134" s="125"/>
      <c r="EB134" s="125"/>
      <c r="EC134" s="125"/>
      <c r="ED134" s="125"/>
      <c r="EE134" s="125"/>
      <c r="EF134" s="125"/>
      <c r="EG134" s="125"/>
      <c r="EH134" s="125"/>
      <c r="EI134" s="125"/>
      <c r="EJ134" s="125"/>
      <c r="EK134" s="125"/>
      <c r="EL134" s="125"/>
    </row>
    <row r="135" spans="1:142">
      <c r="A135" s="125">
        <v>27</v>
      </c>
      <c r="B135" s="81" t="s">
        <v>219</v>
      </c>
      <c r="C135" s="125"/>
      <c r="D135" s="125"/>
      <c r="E135" s="125"/>
      <c r="F135" s="125"/>
      <c r="G135" s="77">
        <v>32</v>
      </c>
      <c r="H135" s="90">
        <v>0</v>
      </c>
      <c r="I135" s="77">
        <v>0</v>
      </c>
      <c r="J135" s="77">
        <v>12</v>
      </c>
      <c r="K135" s="125">
        <f t="shared" si="43"/>
        <v>3200</v>
      </c>
      <c r="L135" s="125">
        <f t="shared" si="43"/>
        <v>0</v>
      </c>
      <c r="M135" s="125">
        <f t="shared" si="44"/>
        <v>0</v>
      </c>
      <c r="N135" s="125">
        <f t="shared" si="44"/>
        <v>3600</v>
      </c>
      <c r="O135" s="77">
        <v>35</v>
      </c>
      <c r="P135" s="90">
        <v>0</v>
      </c>
      <c r="Q135" s="77">
        <v>0</v>
      </c>
      <c r="R135" s="77">
        <v>12</v>
      </c>
      <c r="S135" s="125">
        <f t="shared" si="57"/>
        <v>3500</v>
      </c>
      <c r="T135" s="125">
        <f t="shared" si="57"/>
        <v>0</v>
      </c>
      <c r="U135" s="125">
        <f t="shared" si="46"/>
        <v>0</v>
      </c>
      <c r="V135" s="125">
        <f t="shared" si="46"/>
        <v>3600</v>
      </c>
      <c r="W135" s="77">
        <v>35</v>
      </c>
      <c r="X135" s="90">
        <v>0</v>
      </c>
      <c r="Y135" s="77">
        <v>0</v>
      </c>
      <c r="Z135" s="77">
        <v>12</v>
      </c>
      <c r="AA135" s="125">
        <f t="shared" si="58"/>
        <v>3500</v>
      </c>
      <c r="AB135" s="125">
        <f t="shared" si="58"/>
        <v>0</v>
      </c>
      <c r="AC135" s="125">
        <f t="shared" si="48"/>
        <v>0</v>
      </c>
      <c r="AD135" s="125">
        <f t="shared" si="48"/>
        <v>3600</v>
      </c>
      <c r="AE135" s="77">
        <v>42</v>
      </c>
      <c r="AF135" s="90">
        <v>0</v>
      </c>
      <c r="AG135" s="77">
        <v>0</v>
      </c>
      <c r="AH135" s="77">
        <v>15</v>
      </c>
      <c r="AI135" s="125">
        <f t="shared" si="59"/>
        <v>4200</v>
      </c>
      <c r="AJ135" s="125">
        <f t="shared" si="59"/>
        <v>0</v>
      </c>
      <c r="AK135" s="125">
        <f t="shared" si="50"/>
        <v>0</v>
      </c>
      <c r="AL135" s="125">
        <f t="shared" si="50"/>
        <v>4500</v>
      </c>
      <c r="AM135" s="77">
        <v>44</v>
      </c>
      <c r="AN135" s="90">
        <v>0</v>
      </c>
      <c r="AO135" s="77">
        <v>0</v>
      </c>
      <c r="AP135" s="77">
        <v>16</v>
      </c>
      <c r="AQ135" s="125">
        <f t="shared" si="60"/>
        <v>4400</v>
      </c>
      <c r="AR135" s="125">
        <f t="shared" si="60"/>
        <v>0</v>
      </c>
      <c r="AS135" s="125">
        <f t="shared" si="52"/>
        <v>0</v>
      </c>
      <c r="AT135" s="125">
        <f t="shared" si="52"/>
        <v>4800</v>
      </c>
      <c r="AU135" s="12">
        <v>48</v>
      </c>
      <c r="AV135" s="6">
        <v>0</v>
      </c>
      <c r="AW135" s="12">
        <v>0</v>
      </c>
      <c r="AX135" s="12">
        <v>16</v>
      </c>
      <c r="AY135" s="138">
        <f t="shared" si="61"/>
        <v>4800</v>
      </c>
      <c r="AZ135" s="138">
        <f t="shared" si="61"/>
        <v>0</v>
      </c>
      <c r="BA135" s="138">
        <f t="shared" si="53"/>
        <v>0</v>
      </c>
      <c r="BB135" s="138">
        <f t="shared" si="53"/>
        <v>4800</v>
      </c>
      <c r="BC135" s="12">
        <v>48</v>
      </c>
      <c r="BD135" s="6">
        <v>0</v>
      </c>
      <c r="BE135" s="12">
        <v>0</v>
      </c>
      <c r="BF135" s="12">
        <v>16</v>
      </c>
      <c r="BG135" s="138">
        <f t="shared" si="62"/>
        <v>4800</v>
      </c>
      <c r="BH135" s="138">
        <f t="shared" si="62"/>
        <v>0</v>
      </c>
      <c r="BI135" s="138">
        <f t="shared" si="54"/>
        <v>0</v>
      </c>
      <c r="BJ135" s="138">
        <f t="shared" si="54"/>
        <v>4800</v>
      </c>
      <c r="BK135" s="12">
        <v>50</v>
      </c>
      <c r="BL135" s="6">
        <v>0</v>
      </c>
      <c r="BM135" s="12">
        <v>0</v>
      </c>
      <c r="BN135" s="12">
        <v>16</v>
      </c>
      <c r="BO135" s="138">
        <f t="shared" si="63"/>
        <v>5000</v>
      </c>
      <c r="BP135" s="138">
        <f t="shared" si="63"/>
        <v>0</v>
      </c>
      <c r="BQ135" s="138">
        <f t="shared" si="55"/>
        <v>0</v>
      </c>
      <c r="BR135" s="138">
        <f t="shared" si="55"/>
        <v>4800</v>
      </c>
      <c r="BS135" s="12">
        <v>52</v>
      </c>
      <c r="BT135" s="6">
        <v>0</v>
      </c>
      <c r="BU135" s="12">
        <v>0</v>
      </c>
      <c r="BV135" s="12">
        <v>20</v>
      </c>
      <c r="BW135" s="138">
        <f t="shared" si="64"/>
        <v>5200</v>
      </c>
      <c r="BX135" s="138">
        <f t="shared" si="64"/>
        <v>0</v>
      </c>
      <c r="BY135" s="138">
        <f t="shared" si="56"/>
        <v>0</v>
      </c>
      <c r="BZ135" s="138">
        <f t="shared" si="56"/>
        <v>6000</v>
      </c>
      <c r="CA135" s="125"/>
      <c r="CB135" s="125"/>
      <c r="CC135" s="125"/>
      <c r="CD135" s="125"/>
      <c r="CE135" s="125"/>
      <c r="CF135" s="125"/>
      <c r="CG135" s="125"/>
      <c r="CH135" s="125"/>
      <c r="CI135" s="125"/>
      <c r="CJ135" s="125"/>
      <c r="CK135" s="125"/>
      <c r="CL135" s="125"/>
      <c r="CM135" s="125"/>
      <c r="CN135" s="125"/>
      <c r="CO135" s="125"/>
      <c r="CP135" s="125"/>
      <c r="CQ135" s="125"/>
      <c r="CR135" s="125"/>
      <c r="CS135" s="125"/>
      <c r="CT135" s="125"/>
      <c r="CU135" s="125"/>
      <c r="CV135" s="125"/>
      <c r="CW135" s="125"/>
      <c r="CX135" s="125"/>
      <c r="CY135" s="125"/>
      <c r="CZ135" s="125"/>
      <c r="DA135" s="125"/>
      <c r="DB135" s="125"/>
      <c r="DC135" s="125"/>
      <c r="DD135" s="125"/>
      <c r="DE135" s="125"/>
      <c r="DF135" s="125"/>
      <c r="DG135" s="125"/>
      <c r="DH135" s="125"/>
      <c r="DI135" s="125"/>
      <c r="DJ135" s="125"/>
      <c r="DK135" s="125"/>
      <c r="DL135" s="125"/>
      <c r="DM135" s="125"/>
      <c r="DN135" s="125"/>
      <c r="DO135" s="125"/>
      <c r="DP135" s="125"/>
      <c r="DQ135" s="125"/>
      <c r="DR135" s="125"/>
      <c r="DS135" s="125"/>
      <c r="DT135" s="125"/>
      <c r="DU135" s="125"/>
      <c r="DV135" s="125"/>
      <c r="DW135" s="125"/>
      <c r="DX135" s="125"/>
      <c r="DY135" s="125"/>
      <c r="DZ135" s="125"/>
      <c r="EA135" s="125"/>
      <c r="EB135" s="125"/>
      <c r="EC135" s="125"/>
      <c r="ED135" s="125"/>
      <c r="EE135" s="125"/>
      <c r="EF135" s="125"/>
      <c r="EG135" s="125"/>
      <c r="EH135" s="125"/>
      <c r="EI135" s="125"/>
      <c r="EJ135" s="125"/>
      <c r="EK135" s="125"/>
      <c r="EL135" s="125"/>
    </row>
    <row r="136" spans="1:142">
      <c r="A136" s="125">
        <v>28</v>
      </c>
      <c r="B136" s="81" t="s">
        <v>220</v>
      </c>
      <c r="C136" s="125"/>
      <c r="D136" s="125"/>
      <c r="E136" s="125"/>
      <c r="F136" s="125"/>
      <c r="G136" s="77">
        <v>30</v>
      </c>
      <c r="H136" s="90">
        <v>0</v>
      </c>
      <c r="I136" s="77">
        <v>0</v>
      </c>
      <c r="J136" s="77">
        <v>10</v>
      </c>
      <c r="K136" s="125">
        <f t="shared" si="43"/>
        <v>3000</v>
      </c>
      <c r="L136" s="125">
        <f t="shared" si="43"/>
        <v>0</v>
      </c>
      <c r="M136" s="125">
        <f t="shared" si="44"/>
        <v>0</v>
      </c>
      <c r="N136" s="125">
        <f t="shared" si="44"/>
        <v>3000</v>
      </c>
      <c r="O136" s="77">
        <v>32</v>
      </c>
      <c r="P136" s="90">
        <v>0</v>
      </c>
      <c r="Q136" s="77">
        <v>0</v>
      </c>
      <c r="R136" s="77">
        <v>8</v>
      </c>
      <c r="S136" s="125">
        <f t="shared" si="57"/>
        <v>3200</v>
      </c>
      <c r="T136" s="125">
        <f t="shared" si="57"/>
        <v>0</v>
      </c>
      <c r="U136" s="125">
        <f t="shared" si="46"/>
        <v>0</v>
      </c>
      <c r="V136" s="125">
        <f t="shared" si="46"/>
        <v>2400</v>
      </c>
      <c r="W136" s="77">
        <v>33</v>
      </c>
      <c r="X136" s="90">
        <v>0</v>
      </c>
      <c r="Y136" s="77">
        <v>0</v>
      </c>
      <c r="Z136" s="77">
        <v>16</v>
      </c>
      <c r="AA136" s="125">
        <f t="shared" si="58"/>
        <v>3300</v>
      </c>
      <c r="AB136" s="125">
        <f t="shared" si="58"/>
        <v>0</v>
      </c>
      <c r="AC136" s="125">
        <f t="shared" si="48"/>
        <v>0</v>
      </c>
      <c r="AD136" s="125">
        <f t="shared" si="48"/>
        <v>4800</v>
      </c>
      <c r="AE136" s="77">
        <v>32</v>
      </c>
      <c r="AF136" s="90">
        <v>0</v>
      </c>
      <c r="AG136" s="77">
        <v>0</v>
      </c>
      <c r="AH136" s="77">
        <v>10</v>
      </c>
      <c r="AI136" s="125">
        <f t="shared" si="59"/>
        <v>3200</v>
      </c>
      <c r="AJ136" s="125">
        <f t="shared" si="59"/>
        <v>0</v>
      </c>
      <c r="AK136" s="125">
        <f t="shared" si="50"/>
        <v>0</v>
      </c>
      <c r="AL136" s="125">
        <f t="shared" si="50"/>
        <v>3000</v>
      </c>
      <c r="AM136" s="77">
        <v>34</v>
      </c>
      <c r="AN136" s="90">
        <v>0</v>
      </c>
      <c r="AO136" s="77">
        <v>0</v>
      </c>
      <c r="AP136" s="77">
        <v>11</v>
      </c>
      <c r="AQ136" s="125">
        <f t="shared" si="60"/>
        <v>3400</v>
      </c>
      <c r="AR136" s="125">
        <f t="shared" si="60"/>
        <v>0</v>
      </c>
      <c r="AS136" s="125">
        <f t="shared" si="52"/>
        <v>0</v>
      </c>
      <c r="AT136" s="125">
        <f t="shared" si="52"/>
        <v>3300</v>
      </c>
      <c r="AU136" s="12">
        <v>40</v>
      </c>
      <c r="AV136" s="6">
        <v>0</v>
      </c>
      <c r="AW136" s="12">
        <v>0</v>
      </c>
      <c r="AX136" s="12">
        <v>15</v>
      </c>
      <c r="AY136" s="138">
        <f t="shared" si="61"/>
        <v>4000</v>
      </c>
      <c r="AZ136" s="138">
        <f t="shared" si="61"/>
        <v>0</v>
      </c>
      <c r="BA136" s="138">
        <f t="shared" si="53"/>
        <v>0</v>
      </c>
      <c r="BB136" s="138">
        <f t="shared" si="53"/>
        <v>4500</v>
      </c>
      <c r="BC136" s="12">
        <v>40</v>
      </c>
      <c r="BD136" s="6">
        <v>0</v>
      </c>
      <c r="BE136" s="12">
        <v>0</v>
      </c>
      <c r="BF136" s="12">
        <v>15</v>
      </c>
      <c r="BG136" s="138">
        <f t="shared" si="62"/>
        <v>4000</v>
      </c>
      <c r="BH136" s="138">
        <f t="shared" si="62"/>
        <v>0</v>
      </c>
      <c r="BI136" s="138">
        <f t="shared" si="54"/>
        <v>0</v>
      </c>
      <c r="BJ136" s="138">
        <f t="shared" si="54"/>
        <v>4500</v>
      </c>
      <c r="BK136" s="12">
        <v>45</v>
      </c>
      <c r="BL136" s="6">
        <v>0</v>
      </c>
      <c r="BM136" s="12">
        <v>0</v>
      </c>
      <c r="BN136" s="12">
        <v>18</v>
      </c>
      <c r="BO136" s="138">
        <f t="shared" si="63"/>
        <v>4500</v>
      </c>
      <c r="BP136" s="138">
        <f t="shared" si="63"/>
        <v>0</v>
      </c>
      <c r="BQ136" s="138">
        <f t="shared" si="55"/>
        <v>0</v>
      </c>
      <c r="BR136" s="138">
        <f t="shared" si="55"/>
        <v>5400</v>
      </c>
      <c r="BS136" s="12">
        <v>47</v>
      </c>
      <c r="BT136" s="6">
        <v>0</v>
      </c>
      <c r="BU136" s="12">
        <v>0</v>
      </c>
      <c r="BV136" s="12">
        <v>18</v>
      </c>
      <c r="BW136" s="138">
        <f t="shared" si="64"/>
        <v>4700</v>
      </c>
      <c r="BX136" s="138">
        <f t="shared" si="64"/>
        <v>0</v>
      </c>
      <c r="BY136" s="138">
        <f t="shared" si="56"/>
        <v>0</v>
      </c>
      <c r="BZ136" s="138">
        <f t="shared" si="56"/>
        <v>5400</v>
      </c>
      <c r="CA136" s="125"/>
      <c r="CB136" s="125"/>
      <c r="CC136" s="125"/>
      <c r="CD136" s="125"/>
      <c r="CE136" s="125"/>
      <c r="CF136" s="125"/>
      <c r="CG136" s="125"/>
      <c r="CH136" s="125"/>
      <c r="CI136" s="125"/>
      <c r="CJ136" s="125"/>
      <c r="CK136" s="125"/>
      <c r="CL136" s="125"/>
      <c r="CM136" s="125"/>
      <c r="CN136" s="125"/>
      <c r="CO136" s="125"/>
      <c r="CP136" s="125"/>
      <c r="CQ136" s="125"/>
      <c r="CR136" s="125"/>
      <c r="CS136" s="125"/>
      <c r="CT136" s="125"/>
      <c r="CU136" s="125"/>
      <c r="CV136" s="125"/>
      <c r="CW136" s="125"/>
      <c r="CX136" s="125"/>
      <c r="CY136" s="125"/>
      <c r="CZ136" s="125"/>
      <c r="DA136" s="125"/>
      <c r="DB136" s="125"/>
      <c r="DC136" s="125"/>
      <c r="DD136" s="125"/>
      <c r="DE136" s="125"/>
      <c r="DF136" s="125"/>
      <c r="DG136" s="125"/>
      <c r="DH136" s="125"/>
      <c r="DI136" s="125"/>
      <c r="DJ136" s="125"/>
      <c r="DK136" s="125"/>
      <c r="DL136" s="125"/>
      <c r="DM136" s="125"/>
      <c r="DN136" s="125"/>
      <c r="DO136" s="125"/>
      <c r="DP136" s="125"/>
      <c r="DQ136" s="125"/>
      <c r="DR136" s="125"/>
      <c r="DS136" s="125"/>
      <c r="DT136" s="125"/>
      <c r="DU136" s="125"/>
      <c r="DV136" s="125"/>
      <c r="DW136" s="125"/>
      <c r="DX136" s="125"/>
      <c r="DY136" s="125"/>
      <c r="DZ136" s="125"/>
      <c r="EA136" s="125"/>
      <c r="EB136" s="125"/>
      <c r="EC136" s="125"/>
      <c r="ED136" s="125"/>
      <c r="EE136" s="125"/>
      <c r="EF136" s="125"/>
      <c r="EG136" s="125"/>
      <c r="EH136" s="125"/>
      <c r="EI136" s="125"/>
      <c r="EJ136" s="125"/>
      <c r="EK136" s="125"/>
      <c r="EL136" s="125"/>
    </row>
    <row r="137" spans="1:142">
      <c r="A137" s="125">
        <v>29</v>
      </c>
      <c r="B137" s="81" t="s">
        <v>221</v>
      </c>
      <c r="C137" s="125"/>
      <c r="D137" s="125"/>
      <c r="E137" s="125"/>
      <c r="F137" s="125"/>
      <c r="G137" s="77">
        <v>50</v>
      </c>
      <c r="H137" s="90">
        <v>0</v>
      </c>
      <c r="I137" s="77">
        <v>0</v>
      </c>
      <c r="J137" s="77">
        <v>16</v>
      </c>
      <c r="K137" s="125">
        <f t="shared" si="43"/>
        <v>5000</v>
      </c>
      <c r="L137" s="125">
        <f t="shared" si="43"/>
        <v>0</v>
      </c>
      <c r="M137" s="125">
        <f t="shared" si="44"/>
        <v>0</v>
      </c>
      <c r="N137" s="125">
        <f t="shared" si="44"/>
        <v>4800</v>
      </c>
      <c r="O137" s="77">
        <v>48</v>
      </c>
      <c r="P137" s="90">
        <v>0</v>
      </c>
      <c r="Q137" s="77">
        <v>0</v>
      </c>
      <c r="R137" s="77">
        <v>12</v>
      </c>
      <c r="S137" s="125">
        <f t="shared" si="57"/>
        <v>4800</v>
      </c>
      <c r="T137" s="125">
        <f t="shared" si="57"/>
        <v>0</v>
      </c>
      <c r="U137" s="125">
        <f t="shared" si="46"/>
        <v>0</v>
      </c>
      <c r="V137" s="125">
        <f t="shared" si="46"/>
        <v>3600</v>
      </c>
      <c r="W137" s="77">
        <v>50</v>
      </c>
      <c r="X137" s="90">
        <v>0</v>
      </c>
      <c r="Y137" s="77">
        <v>0</v>
      </c>
      <c r="Z137" s="77">
        <v>12</v>
      </c>
      <c r="AA137" s="125">
        <f t="shared" si="58"/>
        <v>5000</v>
      </c>
      <c r="AB137" s="125">
        <f t="shared" si="58"/>
        <v>0</v>
      </c>
      <c r="AC137" s="125">
        <f t="shared" si="48"/>
        <v>0</v>
      </c>
      <c r="AD137" s="125">
        <f t="shared" si="48"/>
        <v>3600</v>
      </c>
      <c r="AE137" s="77">
        <v>35</v>
      </c>
      <c r="AF137" s="90">
        <v>0</v>
      </c>
      <c r="AG137" s="77">
        <v>0</v>
      </c>
      <c r="AH137" s="77">
        <v>5</v>
      </c>
      <c r="AI137" s="125">
        <f t="shared" si="59"/>
        <v>3500</v>
      </c>
      <c r="AJ137" s="125">
        <f t="shared" si="59"/>
        <v>0</v>
      </c>
      <c r="AK137" s="125">
        <f t="shared" si="50"/>
        <v>0</v>
      </c>
      <c r="AL137" s="125">
        <f t="shared" si="50"/>
        <v>1500</v>
      </c>
      <c r="AM137" s="77">
        <v>35</v>
      </c>
      <c r="AN137" s="90">
        <v>0</v>
      </c>
      <c r="AO137" s="77">
        <v>0</v>
      </c>
      <c r="AP137" s="77">
        <v>8</v>
      </c>
      <c r="AQ137" s="125">
        <f t="shared" si="60"/>
        <v>3500</v>
      </c>
      <c r="AR137" s="125">
        <f t="shared" si="60"/>
        <v>0</v>
      </c>
      <c r="AS137" s="125">
        <f t="shared" si="52"/>
        <v>0</v>
      </c>
      <c r="AT137" s="125">
        <f t="shared" si="52"/>
        <v>2400</v>
      </c>
      <c r="AU137" s="12">
        <v>35</v>
      </c>
      <c r="AV137" s="6">
        <v>0</v>
      </c>
      <c r="AW137" s="12">
        <v>0</v>
      </c>
      <c r="AX137" s="12">
        <v>18</v>
      </c>
      <c r="AY137" s="138">
        <f t="shared" si="61"/>
        <v>3500</v>
      </c>
      <c r="AZ137" s="138">
        <f t="shared" si="61"/>
        <v>0</v>
      </c>
      <c r="BA137" s="138">
        <f t="shared" si="53"/>
        <v>0</v>
      </c>
      <c r="BB137" s="138">
        <f t="shared" si="53"/>
        <v>5400</v>
      </c>
      <c r="BC137" s="12">
        <v>36</v>
      </c>
      <c r="BD137" s="6">
        <v>0</v>
      </c>
      <c r="BE137" s="12">
        <v>0</v>
      </c>
      <c r="BF137" s="12">
        <v>18</v>
      </c>
      <c r="BG137" s="138">
        <f t="shared" si="62"/>
        <v>3600</v>
      </c>
      <c r="BH137" s="138">
        <f t="shared" si="62"/>
        <v>0</v>
      </c>
      <c r="BI137" s="138">
        <f t="shared" si="54"/>
        <v>0</v>
      </c>
      <c r="BJ137" s="138">
        <f t="shared" si="54"/>
        <v>5400</v>
      </c>
      <c r="BK137" s="12">
        <v>36</v>
      </c>
      <c r="BL137" s="6">
        <v>0</v>
      </c>
      <c r="BM137" s="12">
        <v>0</v>
      </c>
      <c r="BN137" s="12">
        <v>18</v>
      </c>
      <c r="BO137" s="138">
        <f t="shared" si="63"/>
        <v>3600</v>
      </c>
      <c r="BP137" s="138">
        <f t="shared" si="63"/>
        <v>0</v>
      </c>
      <c r="BQ137" s="138">
        <f t="shared" si="55"/>
        <v>0</v>
      </c>
      <c r="BR137" s="138">
        <f t="shared" si="55"/>
        <v>5400</v>
      </c>
      <c r="BS137" s="12">
        <v>38</v>
      </c>
      <c r="BT137" s="6">
        <v>0</v>
      </c>
      <c r="BU137" s="12">
        <v>0</v>
      </c>
      <c r="BV137" s="12">
        <v>18</v>
      </c>
      <c r="BW137" s="138">
        <f t="shared" si="64"/>
        <v>3800</v>
      </c>
      <c r="BX137" s="138">
        <f t="shared" si="64"/>
        <v>0</v>
      </c>
      <c r="BY137" s="138">
        <f t="shared" si="56"/>
        <v>0</v>
      </c>
      <c r="BZ137" s="138">
        <f t="shared" si="56"/>
        <v>5400</v>
      </c>
      <c r="CA137" s="125"/>
      <c r="CB137" s="125"/>
      <c r="CC137" s="125"/>
      <c r="CD137" s="125"/>
      <c r="CE137" s="125"/>
      <c r="CF137" s="125"/>
      <c r="CG137" s="125"/>
      <c r="CH137" s="125"/>
      <c r="CI137" s="125"/>
      <c r="CJ137" s="125"/>
      <c r="CK137" s="125"/>
      <c r="CL137" s="125"/>
      <c r="CM137" s="125"/>
      <c r="CN137" s="125"/>
      <c r="CO137" s="125"/>
      <c r="CP137" s="125"/>
      <c r="CQ137" s="125"/>
      <c r="CR137" s="125"/>
      <c r="CS137" s="125"/>
      <c r="CT137" s="125"/>
      <c r="CU137" s="125"/>
      <c r="CV137" s="125"/>
      <c r="CW137" s="125"/>
      <c r="CX137" s="125"/>
      <c r="CY137" s="125"/>
      <c r="CZ137" s="125"/>
      <c r="DA137" s="125"/>
      <c r="DB137" s="125"/>
      <c r="DC137" s="125"/>
      <c r="DD137" s="125"/>
      <c r="DE137" s="125"/>
      <c r="DF137" s="125"/>
      <c r="DG137" s="125"/>
      <c r="DH137" s="125"/>
      <c r="DI137" s="125"/>
      <c r="DJ137" s="125"/>
      <c r="DK137" s="125"/>
      <c r="DL137" s="125"/>
      <c r="DM137" s="125"/>
      <c r="DN137" s="125"/>
      <c r="DO137" s="125"/>
      <c r="DP137" s="125"/>
      <c r="DQ137" s="125"/>
      <c r="DR137" s="125"/>
      <c r="DS137" s="125"/>
      <c r="DT137" s="125"/>
      <c r="DU137" s="125"/>
      <c r="DV137" s="125"/>
      <c r="DW137" s="125"/>
      <c r="DX137" s="125"/>
      <c r="DY137" s="125"/>
      <c r="DZ137" s="125"/>
      <c r="EA137" s="125"/>
      <c r="EB137" s="125"/>
      <c r="EC137" s="125"/>
      <c r="ED137" s="125"/>
      <c r="EE137" s="125"/>
      <c r="EF137" s="125"/>
      <c r="EG137" s="125"/>
      <c r="EH137" s="125"/>
      <c r="EI137" s="125"/>
      <c r="EJ137" s="125"/>
      <c r="EK137" s="125"/>
      <c r="EL137" s="125"/>
    </row>
    <row r="138" spans="1:142">
      <c r="A138" s="125">
        <v>30</v>
      </c>
      <c r="B138" s="81" t="s">
        <v>222</v>
      </c>
      <c r="C138" s="125"/>
      <c r="D138" s="125"/>
      <c r="E138" s="125"/>
      <c r="F138" s="125"/>
      <c r="G138" s="77">
        <v>55</v>
      </c>
      <c r="H138" s="90">
        <v>0</v>
      </c>
      <c r="I138" s="77">
        <v>0</v>
      </c>
      <c r="J138" s="77">
        <v>15</v>
      </c>
      <c r="K138" s="125">
        <f t="shared" si="43"/>
        <v>5500</v>
      </c>
      <c r="L138" s="125">
        <f t="shared" si="43"/>
        <v>0</v>
      </c>
      <c r="M138" s="125">
        <f t="shared" si="44"/>
        <v>0</v>
      </c>
      <c r="N138" s="125">
        <f t="shared" si="44"/>
        <v>4500</v>
      </c>
      <c r="O138" s="77">
        <v>52</v>
      </c>
      <c r="P138" s="90">
        <v>0</v>
      </c>
      <c r="Q138" s="77">
        <v>0</v>
      </c>
      <c r="R138" s="77">
        <v>20</v>
      </c>
      <c r="S138" s="125">
        <f t="shared" si="57"/>
        <v>5200</v>
      </c>
      <c r="T138" s="125">
        <f t="shared" si="57"/>
        <v>0</v>
      </c>
      <c r="U138" s="125">
        <f t="shared" si="46"/>
        <v>0</v>
      </c>
      <c r="V138" s="125">
        <f t="shared" si="46"/>
        <v>6000</v>
      </c>
      <c r="W138" s="77">
        <v>55</v>
      </c>
      <c r="X138" s="90">
        <v>0</v>
      </c>
      <c r="Y138" s="77">
        <v>0</v>
      </c>
      <c r="Z138" s="77">
        <v>20</v>
      </c>
      <c r="AA138" s="125">
        <f t="shared" si="58"/>
        <v>5500</v>
      </c>
      <c r="AB138" s="125">
        <f t="shared" si="58"/>
        <v>0</v>
      </c>
      <c r="AC138" s="125">
        <f t="shared" si="48"/>
        <v>0</v>
      </c>
      <c r="AD138" s="125">
        <f t="shared" si="48"/>
        <v>6000</v>
      </c>
      <c r="AE138" s="77">
        <v>45</v>
      </c>
      <c r="AF138" s="90">
        <v>0</v>
      </c>
      <c r="AG138" s="77">
        <v>0</v>
      </c>
      <c r="AH138" s="77">
        <v>10</v>
      </c>
      <c r="AI138" s="125">
        <f t="shared" si="59"/>
        <v>4500</v>
      </c>
      <c r="AJ138" s="125">
        <f t="shared" si="59"/>
        <v>0</v>
      </c>
      <c r="AK138" s="125">
        <f t="shared" si="50"/>
        <v>0</v>
      </c>
      <c r="AL138" s="125">
        <f t="shared" si="50"/>
        <v>3000</v>
      </c>
      <c r="AM138" s="77">
        <v>45</v>
      </c>
      <c r="AN138" s="90">
        <v>0</v>
      </c>
      <c r="AO138" s="77">
        <v>0</v>
      </c>
      <c r="AP138" s="77">
        <v>10</v>
      </c>
      <c r="AQ138" s="125">
        <f t="shared" si="60"/>
        <v>4500</v>
      </c>
      <c r="AR138" s="125">
        <f t="shared" si="60"/>
        <v>0</v>
      </c>
      <c r="AS138" s="125">
        <f t="shared" si="52"/>
        <v>0</v>
      </c>
      <c r="AT138" s="125">
        <f t="shared" si="52"/>
        <v>3000</v>
      </c>
      <c r="AU138" s="12">
        <v>45</v>
      </c>
      <c r="AV138" s="6">
        <v>0</v>
      </c>
      <c r="AW138" s="12">
        <v>0</v>
      </c>
      <c r="AX138" s="12">
        <v>10</v>
      </c>
      <c r="AY138" s="138">
        <f t="shared" si="61"/>
        <v>4500</v>
      </c>
      <c r="AZ138" s="138">
        <f t="shared" si="61"/>
        <v>0</v>
      </c>
      <c r="BA138" s="138">
        <f t="shared" si="53"/>
        <v>0</v>
      </c>
      <c r="BB138" s="138">
        <f t="shared" si="53"/>
        <v>3000</v>
      </c>
      <c r="BC138" s="12">
        <v>48</v>
      </c>
      <c r="BD138" s="6">
        <v>0</v>
      </c>
      <c r="BE138" s="12">
        <v>0</v>
      </c>
      <c r="BF138" s="12">
        <v>10</v>
      </c>
      <c r="BG138" s="138">
        <f t="shared" si="62"/>
        <v>4800</v>
      </c>
      <c r="BH138" s="138">
        <f t="shared" si="62"/>
        <v>0</v>
      </c>
      <c r="BI138" s="138">
        <f t="shared" si="54"/>
        <v>0</v>
      </c>
      <c r="BJ138" s="138">
        <f t="shared" si="54"/>
        <v>3000</v>
      </c>
      <c r="BK138" s="12">
        <v>48</v>
      </c>
      <c r="BL138" s="6">
        <v>0</v>
      </c>
      <c r="BM138" s="12">
        <v>0</v>
      </c>
      <c r="BN138" s="12">
        <v>20</v>
      </c>
      <c r="BO138" s="138">
        <f t="shared" si="63"/>
        <v>4800</v>
      </c>
      <c r="BP138" s="138">
        <f t="shared" si="63"/>
        <v>0</v>
      </c>
      <c r="BQ138" s="138">
        <f t="shared" si="55"/>
        <v>0</v>
      </c>
      <c r="BR138" s="138">
        <f t="shared" si="55"/>
        <v>6000</v>
      </c>
      <c r="BS138" s="12">
        <v>51</v>
      </c>
      <c r="BT138" s="6">
        <v>0</v>
      </c>
      <c r="BU138" s="12">
        <v>0</v>
      </c>
      <c r="BV138" s="12">
        <v>20</v>
      </c>
      <c r="BW138" s="138">
        <f t="shared" si="64"/>
        <v>5100</v>
      </c>
      <c r="BX138" s="138">
        <f t="shared" si="64"/>
        <v>0</v>
      </c>
      <c r="BY138" s="138">
        <f t="shared" si="56"/>
        <v>0</v>
      </c>
      <c r="BZ138" s="138">
        <f t="shared" si="56"/>
        <v>6000</v>
      </c>
      <c r="CA138" s="125"/>
      <c r="CB138" s="125"/>
      <c r="CC138" s="125"/>
      <c r="CD138" s="125"/>
      <c r="CE138" s="125"/>
      <c r="CF138" s="125"/>
      <c r="CG138" s="125"/>
      <c r="CH138" s="125"/>
      <c r="CI138" s="125"/>
      <c r="CJ138" s="125"/>
      <c r="CK138" s="125"/>
      <c r="CL138" s="125"/>
      <c r="CM138" s="125"/>
      <c r="CN138" s="125"/>
      <c r="CO138" s="125"/>
      <c r="CP138" s="125"/>
      <c r="CQ138" s="125"/>
      <c r="CR138" s="125"/>
      <c r="CS138" s="125"/>
      <c r="CT138" s="125"/>
      <c r="CU138" s="125"/>
      <c r="CV138" s="125"/>
      <c r="CW138" s="125"/>
      <c r="CX138" s="125"/>
      <c r="CY138" s="125"/>
      <c r="CZ138" s="125"/>
      <c r="DA138" s="125"/>
      <c r="DB138" s="125"/>
      <c r="DC138" s="125"/>
      <c r="DD138" s="125"/>
      <c r="DE138" s="125"/>
      <c r="DF138" s="125"/>
      <c r="DG138" s="125"/>
      <c r="DH138" s="125"/>
      <c r="DI138" s="125"/>
      <c r="DJ138" s="125"/>
      <c r="DK138" s="125"/>
      <c r="DL138" s="125"/>
      <c r="DM138" s="125"/>
      <c r="DN138" s="125"/>
      <c r="DO138" s="125"/>
      <c r="DP138" s="125"/>
      <c r="DQ138" s="125"/>
      <c r="DR138" s="125"/>
      <c r="DS138" s="125"/>
      <c r="DT138" s="125"/>
      <c r="DU138" s="125"/>
      <c r="DV138" s="125"/>
      <c r="DW138" s="125"/>
      <c r="DX138" s="125"/>
      <c r="DY138" s="125"/>
      <c r="DZ138" s="125"/>
      <c r="EA138" s="125"/>
      <c r="EB138" s="125"/>
      <c r="EC138" s="125"/>
      <c r="ED138" s="125"/>
      <c r="EE138" s="125"/>
      <c r="EF138" s="125"/>
      <c r="EG138" s="125"/>
      <c r="EH138" s="125"/>
      <c r="EI138" s="125"/>
      <c r="EJ138" s="125"/>
      <c r="EK138" s="125"/>
      <c r="EL138" s="125"/>
    </row>
    <row r="139" spans="1:142">
      <c r="A139" s="125">
        <v>31</v>
      </c>
      <c r="B139" s="81" t="s">
        <v>223</v>
      </c>
      <c r="C139" s="125"/>
      <c r="D139" s="125"/>
      <c r="E139" s="125"/>
      <c r="F139" s="125"/>
      <c r="G139" s="77">
        <v>40</v>
      </c>
      <c r="H139" s="90">
        <v>0</v>
      </c>
      <c r="I139" s="77">
        <v>0</v>
      </c>
      <c r="J139" s="77">
        <v>15</v>
      </c>
      <c r="K139" s="125">
        <f t="shared" si="43"/>
        <v>4000</v>
      </c>
      <c r="L139" s="125">
        <f t="shared" si="43"/>
        <v>0</v>
      </c>
      <c r="M139" s="125">
        <f t="shared" si="44"/>
        <v>0</v>
      </c>
      <c r="N139" s="125">
        <f t="shared" si="44"/>
        <v>4500</v>
      </c>
      <c r="O139" s="77">
        <v>42</v>
      </c>
      <c r="P139" s="90">
        <v>0</v>
      </c>
      <c r="Q139" s="77">
        <v>0</v>
      </c>
      <c r="R139" s="77">
        <v>12</v>
      </c>
      <c r="S139" s="125">
        <f t="shared" si="57"/>
        <v>4200</v>
      </c>
      <c r="T139" s="125">
        <f t="shared" si="57"/>
        <v>0</v>
      </c>
      <c r="U139" s="125">
        <f t="shared" si="46"/>
        <v>0</v>
      </c>
      <c r="V139" s="125">
        <f t="shared" si="46"/>
        <v>3600</v>
      </c>
      <c r="W139" s="77">
        <v>40</v>
      </c>
      <c r="X139" s="90">
        <v>0</v>
      </c>
      <c r="Y139" s="77">
        <v>0</v>
      </c>
      <c r="Z139" s="77">
        <v>14</v>
      </c>
      <c r="AA139" s="125">
        <f t="shared" si="58"/>
        <v>4000</v>
      </c>
      <c r="AB139" s="125">
        <f t="shared" si="58"/>
        <v>0</v>
      </c>
      <c r="AC139" s="125">
        <f t="shared" si="48"/>
        <v>0</v>
      </c>
      <c r="AD139" s="125">
        <f t="shared" si="48"/>
        <v>4200</v>
      </c>
      <c r="AE139" s="77">
        <v>37</v>
      </c>
      <c r="AF139" s="90">
        <v>0</v>
      </c>
      <c r="AG139" s="77">
        <v>0</v>
      </c>
      <c r="AH139" s="77">
        <v>10</v>
      </c>
      <c r="AI139" s="125">
        <f t="shared" si="59"/>
        <v>3700</v>
      </c>
      <c r="AJ139" s="125">
        <f t="shared" si="59"/>
        <v>0</v>
      </c>
      <c r="AK139" s="125">
        <f t="shared" si="50"/>
        <v>0</v>
      </c>
      <c r="AL139" s="125">
        <f t="shared" si="50"/>
        <v>3000</v>
      </c>
      <c r="AM139" s="77">
        <v>37</v>
      </c>
      <c r="AN139" s="90">
        <v>0</v>
      </c>
      <c r="AO139" s="77">
        <v>0</v>
      </c>
      <c r="AP139" s="77">
        <v>10</v>
      </c>
      <c r="AQ139" s="125">
        <f t="shared" si="60"/>
        <v>3700</v>
      </c>
      <c r="AR139" s="125">
        <f t="shared" si="60"/>
        <v>0</v>
      </c>
      <c r="AS139" s="125">
        <f t="shared" si="52"/>
        <v>0</v>
      </c>
      <c r="AT139" s="125">
        <f t="shared" si="52"/>
        <v>3000</v>
      </c>
      <c r="AU139" s="12">
        <v>42</v>
      </c>
      <c r="AV139" s="6">
        <v>0</v>
      </c>
      <c r="AW139" s="12">
        <v>0</v>
      </c>
      <c r="AX139" s="12">
        <v>10</v>
      </c>
      <c r="AY139" s="138">
        <f t="shared" si="61"/>
        <v>4200</v>
      </c>
      <c r="AZ139" s="138">
        <f t="shared" si="61"/>
        <v>0</v>
      </c>
      <c r="BA139" s="138">
        <f t="shared" si="53"/>
        <v>0</v>
      </c>
      <c r="BB139" s="138">
        <f t="shared" si="53"/>
        <v>3000</v>
      </c>
      <c r="BC139" s="12">
        <v>50</v>
      </c>
      <c r="BD139" s="6">
        <v>0</v>
      </c>
      <c r="BE139" s="12">
        <v>0</v>
      </c>
      <c r="BF139" s="12">
        <v>10</v>
      </c>
      <c r="BG139" s="138">
        <f t="shared" si="62"/>
        <v>5000</v>
      </c>
      <c r="BH139" s="138">
        <f t="shared" si="62"/>
        <v>0</v>
      </c>
      <c r="BI139" s="138">
        <f t="shared" si="54"/>
        <v>0</v>
      </c>
      <c r="BJ139" s="138">
        <f t="shared" si="54"/>
        <v>3000</v>
      </c>
      <c r="BK139" s="12">
        <v>55</v>
      </c>
      <c r="BL139" s="6">
        <v>0</v>
      </c>
      <c r="BM139" s="12">
        <v>0</v>
      </c>
      <c r="BN139" s="12">
        <v>15</v>
      </c>
      <c r="BO139" s="138">
        <f t="shared" si="63"/>
        <v>5500</v>
      </c>
      <c r="BP139" s="138">
        <f t="shared" si="63"/>
        <v>0</v>
      </c>
      <c r="BQ139" s="138">
        <f t="shared" si="55"/>
        <v>0</v>
      </c>
      <c r="BR139" s="138">
        <f t="shared" si="55"/>
        <v>4500</v>
      </c>
      <c r="BS139" s="12">
        <v>55</v>
      </c>
      <c r="BT139" s="6">
        <v>0</v>
      </c>
      <c r="BU139" s="12">
        <v>0</v>
      </c>
      <c r="BV139" s="12">
        <v>15</v>
      </c>
      <c r="BW139" s="138">
        <f t="shared" si="64"/>
        <v>5500</v>
      </c>
      <c r="BX139" s="138">
        <f t="shared" si="64"/>
        <v>0</v>
      </c>
      <c r="BY139" s="138">
        <f t="shared" si="56"/>
        <v>0</v>
      </c>
      <c r="BZ139" s="138">
        <f t="shared" si="56"/>
        <v>4500</v>
      </c>
      <c r="CA139" s="125"/>
      <c r="CB139" s="125"/>
      <c r="CC139" s="125"/>
      <c r="CD139" s="125"/>
      <c r="CE139" s="125"/>
      <c r="CF139" s="125"/>
      <c r="CG139" s="125"/>
      <c r="CH139" s="125"/>
      <c r="CI139" s="125"/>
      <c r="CJ139" s="125"/>
      <c r="CK139" s="125"/>
      <c r="CL139" s="125"/>
      <c r="CM139" s="125"/>
      <c r="CN139" s="125"/>
      <c r="CO139" s="125"/>
      <c r="CP139" s="125"/>
      <c r="CQ139" s="125"/>
      <c r="CR139" s="125"/>
      <c r="CS139" s="125"/>
      <c r="CT139" s="125"/>
      <c r="CU139" s="125"/>
      <c r="CV139" s="125"/>
      <c r="CW139" s="125"/>
      <c r="CX139" s="125"/>
      <c r="CY139" s="125"/>
      <c r="CZ139" s="125"/>
      <c r="DA139" s="125"/>
      <c r="DB139" s="125"/>
      <c r="DC139" s="125"/>
      <c r="DD139" s="125"/>
      <c r="DE139" s="125"/>
      <c r="DF139" s="125"/>
      <c r="DG139" s="125"/>
      <c r="DH139" s="125"/>
      <c r="DI139" s="125"/>
      <c r="DJ139" s="125"/>
      <c r="DK139" s="125"/>
      <c r="DL139" s="125"/>
      <c r="DM139" s="125"/>
      <c r="DN139" s="125"/>
      <c r="DO139" s="125"/>
      <c r="DP139" s="125"/>
      <c r="DQ139" s="125"/>
      <c r="DR139" s="125"/>
      <c r="DS139" s="125"/>
      <c r="DT139" s="125"/>
      <c r="DU139" s="125"/>
      <c r="DV139" s="125"/>
      <c r="DW139" s="125"/>
      <c r="DX139" s="125"/>
      <c r="DY139" s="125"/>
      <c r="DZ139" s="125"/>
      <c r="EA139" s="125"/>
      <c r="EB139" s="125"/>
      <c r="EC139" s="125"/>
      <c r="ED139" s="125"/>
      <c r="EE139" s="125"/>
      <c r="EF139" s="125"/>
      <c r="EG139" s="125"/>
      <c r="EH139" s="125"/>
      <c r="EI139" s="125"/>
      <c r="EJ139" s="125"/>
      <c r="EK139" s="125"/>
      <c r="EL139" s="125"/>
    </row>
    <row r="140" spans="1:142">
      <c r="A140" s="125">
        <v>32</v>
      </c>
      <c r="B140" s="81" t="s">
        <v>224</v>
      </c>
      <c r="C140" s="125"/>
      <c r="D140" s="125"/>
      <c r="E140" s="125"/>
      <c r="F140" s="125"/>
      <c r="G140" s="77">
        <v>45</v>
      </c>
      <c r="H140" s="90">
        <v>0</v>
      </c>
      <c r="I140" s="77">
        <v>0</v>
      </c>
      <c r="J140" s="125">
        <v>6</v>
      </c>
      <c r="K140" s="125">
        <f t="shared" si="43"/>
        <v>4500</v>
      </c>
      <c r="L140" s="125">
        <f t="shared" si="43"/>
        <v>0</v>
      </c>
      <c r="M140" s="125">
        <f t="shared" si="44"/>
        <v>0</v>
      </c>
      <c r="N140" s="125">
        <f t="shared" si="44"/>
        <v>1800</v>
      </c>
      <c r="O140" s="77">
        <v>55</v>
      </c>
      <c r="P140" s="90">
        <v>0</v>
      </c>
      <c r="Q140" s="77">
        <v>0</v>
      </c>
      <c r="R140" s="125">
        <v>8</v>
      </c>
      <c r="S140" s="125">
        <f t="shared" si="57"/>
        <v>5500</v>
      </c>
      <c r="T140" s="125">
        <f t="shared" si="57"/>
        <v>0</v>
      </c>
      <c r="U140" s="125">
        <f t="shared" si="46"/>
        <v>0</v>
      </c>
      <c r="V140" s="125">
        <f t="shared" si="46"/>
        <v>2400</v>
      </c>
      <c r="W140" s="77">
        <v>60</v>
      </c>
      <c r="X140" s="90">
        <v>0</v>
      </c>
      <c r="Y140" s="77">
        <v>0</v>
      </c>
      <c r="Z140" s="125">
        <v>10</v>
      </c>
      <c r="AA140" s="125">
        <f t="shared" si="58"/>
        <v>6000</v>
      </c>
      <c r="AB140" s="125">
        <f t="shared" si="58"/>
        <v>0</v>
      </c>
      <c r="AC140" s="125">
        <f t="shared" si="48"/>
        <v>0</v>
      </c>
      <c r="AD140" s="125">
        <f t="shared" si="48"/>
        <v>3000</v>
      </c>
      <c r="AE140" s="77">
        <v>45</v>
      </c>
      <c r="AF140" s="90">
        <v>0</v>
      </c>
      <c r="AG140" s="77">
        <v>0</v>
      </c>
      <c r="AH140" s="77">
        <v>10</v>
      </c>
      <c r="AI140" s="125">
        <f t="shared" si="59"/>
        <v>4500</v>
      </c>
      <c r="AJ140" s="125">
        <f t="shared" si="59"/>
        <v>0</v>
      </c>
      <c r="AK140" s="125">
        <f t="shared" si="50"/>
        <v>0</v>
      </c>
      <c r="AL140" s="125">
        <f t="shared" si="50"/>
        <v>3000</v>
      </c>
      <c r="AM140" s="77">
        <v>45</v>
      </c>
      <c r="AN140" s="90">
        <v>0</v>
      </c>
      <c r="AO140" s="77">
        <v>0</v>
      </c>
      <c r="AP140" s="77">
        <v>10</v>
      </c>
      <c r="AQ140" s="125">
        <f t="shared" si="60"/>
        <v>4500</v>
      </c>
      <c r="AR140" s="125">
        <f t="shared" si="60"/>
        <v>0</v>
      </c>
      <c r="AS140" s="125">
        <f t="shared" si="52"/>
        <v>0</v>
      </c>
      <c r="AT140" s="125">
        <f t="shared" si="52"/>
        <v>3000</v>
      </c>
      <c r="AU140" s="12">
        <v>49</v>
      </c>
      <c r="AV140" s="6">
        <v>0</v>
      </c>
      <c r="AW140" s="12">
        <v>0</v>
      </c>
      <c r="AX140" s="12">
        <v>10</v>
      </c>
      <c r="AY140" s="138">
        <f t="shared" si="61"/>
        <v>4900</v>
      </c>
      <c r="AZ140" s="138">
        <f t="shared" si="61"/>
        <v>0</v>
      </c>
      <c r="BA140" s="138">
        <f t="shared" si="53"/>
        <v>0</v>
      </c>
      <c r="BB140" s="138">
        <f t="shared" si="53"/>
        <v>3000</v>
      </c>
      <c r="BC140" s="12">
        <v>51</v>
      </c>
      <c r="BD140" s="6">
        <v>0</v>
      </c>
      <c r="BE140" s="12">
        <v>0</v>
      </c>
      <c r="BF140" s="12">
        <v>10</v>
      </c>
      <c r="BG140" s="138">
        <f t="shared" si="62"/>
        <v>5100</v>
      </c>
      <c r="BH140" s="138">
        <f t="shared" si="62"/>
        <v>0</v>
      </c>
      <c r="BI140" s="138">
        <f t="shared" si="54"/>
        <v>0</v>
      </c>
      <c r="BJ140" s="138">
        <f t="shared" si="54"/>
        <v>3000</v>
      </c>
      <c r="BK140" s="12">
        <v>51</v>
      </c>
      <c r="BL140" s="6">
        <v>0</v>
      </c>
      <c r="BM140" s="12">
        <v>0</v>
      </c>
      <c r="BN140" s="12">
        <v>20</v>
      </c>
      <c r="BO140" s="138">
        <f t="shared" si="63"/>
        <v>5100</v>
      </c>
      <c r="BP140" s="138">
        <f t="shared" si="63"/>
        <v>0</v>
      </c>
      <c r="BQ140" s="138">
        <f t="shared" si="55"/>
        <v>0</v>
      </c>
      <c r="BR140" s="138">
        <f t="shared" si="55"/>
        <v>6000</v>
      </c>
      <c r="BS140" s="12">
        <v>50</v>
      </c>
      <c r="BT140" s="6">
        <v>0</v>
      </c>
      <c r="BU140" s="12">
        <v>0</v>
      </c>
      <c r="BV140" s="12">
        <v>20</v>
      </c>
      <c r="BW140" s="138">
        <f t="shared" si="64"/>
        <v>5000</v>
      </c>
      <c r="BX140" s="138">
        <f t="shared" si="64"/>
        <v>0</v>
      </c>
      <c r="BY140" s="138">
        <f t="shared" si="56"/>
        <v>0</v>
      </c>
      <c r="BZ140" s="138">
        <f t="shared" si="56"/>
        <v>6000</v>
      </c>
      <c r="CA140" s="125"/>
      <c r="CB140" s="125"/>
      <c r="CC140" s="125"/>
      <c r="CD140" s="125"/>
      <c r="CE140" s="125"/>
      <c r="CF140" s="125"/>
      <c r="CG140" s="125"/>
      <c r="CH140" s="125"/>
      <c r="CI140" s="125"/>
      <c r="CJ140" s="125"/>
      <c r="CK140" s="125"/>
      <c r="CL140" s="125"/>
      <c r="CM140" s="125"/>
      <c r="CN140" s="125"/>
      <c r="CO140" s="125"/>
      <c r="CP140" s="125"/>
      <c r="CQ140" s="125"/>
      <c r="CR140" s="125"/>
      <c r="CS140" s="125"/>
      <c r="CT140" s="125"/>
      <c r="CU140" s="125"/>
      <c r="CV140" s="125"/>
      <c r="CW140" s="125"/>
      <c r="CX140" s="125"/>
      <c r="CY140" s="125"/>
      <c r="CZ140" s="125"/>
      <c r="DA140" s="125"/>
      <c r="DB140" s="125"/>
      <c r="DC140" s="125"/>
      <c r="DD140" s="125"/>
      <c r="DE140" s="125"/>
      <c r="DF140" s="125"/>
      <c r="DG140" s="125"/>
      <c r="DH140" s="125"/>
      <c r="DI140" s="125"/>
      <c r="DJ140" s="125"/>
      <c r="DK140" s="125"/>
      <c r="DL140" s="125"/>
      <c r="DM140" s="125"/>
      <c r="DN140" s="125"/>
      <c r="DO140" s="125"/>
      <c r="DP140" s="125"/>
      <c r="DQ140" s="125"/>
      <c r="DR140" s="125"/>
      <c r="DS140" s="125"/>
      <c r="DT140" s="125"/>
      <c r="DU140" s="125"/>
      <c r="DV140" s="125"/>
      <c r="DW140" s="125"/>
      <c r="DX140" s="125"/>
      <c r="DY140" s="125"/>
      <c r="DZ140" s="125"/>
      <c r="EA140" s="125"/>
      <c r="EB140" s="125"/>
      <c r="EC140" s="125"/>
      <c r="ED140" s="125"/>
      <c r="EE140" s="125"/>
      <c r="EF140" s="125"/>
      <c r="EG140" s="125"/>
      <c r="EH140" s="125"/>
      <c r="EI140" s="125"/>
      <c r="EJ140" s="125"/>
      <c r="EK140" s="125"/>
      <c r="EL140" s="125"/>
    </row>
    <row r="141" spans="1:142">
      <c r="A141" s="125">
        <v>33</v>
      </c>
      <c r="B141" s="81" t="s">
        <v>225</v>
      </c>
      <c r="C141" s="125"/>
      <c r="D141" s="125"/>
      <c r="E141" s="125"/>
      <c r="F141" s="125"/>
      <c r="G141" s="77">
        <v>25</v>
      </c>
      <c r="H141" s="90">
        <v>0</v>
      </c>
      <c r="I141" s="77">
        <v>0</v>
      </c>
      <c r="J141" s="125">
        <v>8</v>
      </c>
      <c r="K141" s="125">
        <f t="shared" si="43"/>
        <v>2500</v>
      </c>
      <c r="L141" s="125">
        <f t="shared" si="43"/>
        <v>0</v>
      </c>
      <c r="M141" s="125">
        <f t="shared" si="44"/>
        <v>0</v>
      </c>
      <c r="N141" s="125">
        <f t="shared" si="44"/>
        <v>2400</v>
      </c>
      <c r="O141" s="77">
        <v>30</v>
      </c>
      <c r="P141" s="90">
        <v>0</v>
      </c>
      <c r="Q141" s="77">
        <v>0</v>
      </c>
      <c r="R141" s="125">
        <v>6</v>
      </c>
      <c r="S141" s="125">
        <f t="shared" si="57"/>
        <v>3000</v>
      </c>
      <c r="T141" s="125">
        <f t="shared" si="57"/>
        <v>0</v>
      </c>
      <c r="U141" s="125">
        <f t="shared" si="46"/>
        <v>0</v>
      </c>
      <c r="V141" s="125">
        <f t="shared" si="46"/>
        <v>1800</v>
      </c>
      <c r="W141" s="77">
        <v>32</v>
      </c>
      <c r="X141" s="90">
        <v>0</v>
      </c>
      <c r="Y141" s="77">
        <v>0</v>
      </c>
      <c r="Z141" s="125">
        <v>8</v>
      </c>
      <c r="AA141" s="125">
        <f t="shared" si="58"/>
        <v>3200</v>
      </c>
      <c r="AB141" s="125">
        <f t="shared" si="58"/>
        <v>0</v>
      </c>
      <c r="AC141" s="125">
        <f t="shared" si="48"/>
        <v>0</v>
      </c>
      <c r="AD141" s="125">
        <f t="shared" si="48"/>
        <v>2400</v>
      </c>
      <c r="AE141" s="77">
        <v>50</v>
      </c>
      <c r="AF141" s="90">
        <v>0</v>
      </c>
      <c r="AG141" s="77">
        <v>0</v>
      </c>
      <c r="AH141" s="77">
        <v>20</v>
      </c>
      <c r="AI141" s="125">
        <f t="shared" si="59"/>
        <v>5000</v>
      </c>
      <c r="AJ141" s="125">
        <f t="shared" si="59"/>
        <v>0</v>
      </c>
      <c r="AK141" s="125">
        <f t="shared" si="50"/>
        <v>0</v>
      </c>
      <c r="AL141" s="125">
        <f t="shared" si="50"/>
        <v>6000</v>
      </c>
      <c r="AM141" s="77">
        <v>50</v>
      </c>
      <c r="AN141" s="90">
        <v>0</v>
      </c>
      <c r="AO141" s="77">
        <v>0</v>
      </c>
      <c r="AP141" s="77">
        <v>20</v>
      </c>
      <c r="AQ141" s="125">
        <f t="shared" si="60"/>
        <v>5000</v>
      </c>
      <c r="AR141" s="125">
        <f t="shared" si="60"/>
        <v>0</v>
      </c>
      <c r="AS141" s="125">
        <f t="shared" si="52"/>
        <v>0</v>
      </c>
      <c r="AT141" s="125">
        <f t="shared" si="52"/>
        <v>6000</v>
      </c>
      <c r="AU141" s="12">
        <v>55</v>
      </c>
      <c r="AV141" s="6">
        <v>0</v>
      </c>
      <c r="AW141" s="12">
        <v>0</v>
      </c>
      <c r="AX141" s="12">
        <v>20</v>
      </c>
      <c r="AY141" s="138">
        <f t="shared" si="61"/>
        <v>5500</v>
      </c>
      <c r="AZ141" s="138">
        <f t="shared" si="61"/>
        <v>0</v>
      </c>
      <c r="BA141" s="138">
        <f t="shared" si="53"/>
        <v>0</v>
      </c>
      <c r="BB141" s="138">
        <f t="shared" si="53"/>
        <v>6000</v>
      </c>
      <c r="BC141" s="12">
        <v>55</v>
      </c>
      <c r="BD141" s="6">
        <v>0</v>
      </c>
      <c r="BE141" s="12">
        <v>0</v>
      </c>
      <c r="BF141" s="12">
        <v>20</v>
      </c>
      <c r="BG141" s="138">
        <f t="shared" si="62"/>
        <v>5500</v>
      </c>
      <c r="BH141" s="138">
        <f t="shared" si="62"/>
        <v>0</v>
      </c>
      <c r="BI141" s="138">
        <f t="shared" si="54"/>
        <v>0</v>
      </c>
      <c r="BJ141" s="138">
        <f t="shared" si="54"/>
        <v>6000</v>
      </c>
      <c r="BK141" s="12">
        <v>60</v>
      </c>
      <c r="BL141" s="6">
        <v>0</v>
      </c>
      <c r="BM141" s="12">
        <v>0</v>
      </c>
      <c r="BN141" s="12">
        <v>20</v>
      </c>
      <c r="BO141" s="138">
        <f t="shared" si="63"/>
        <v>6000</v>
      </c>
      <c r="BP141" s="138">
        <f t="shared" si="63"/>
        <v>0</v>
      </c>
      <c r="BQ141" s="138">
        <f t="shared" si="55"/>
        <v>0</v>
      </c>
      <c r="BR141" s="138">
        <f t="shared" si="55"/>
        <v>6000</v>
      </c>
      <c r="BS141" s="12">
        <v>60</v>
      </c>
      <c r="BT141" s="6">
        <v>0</v>
      </c>
      <c r="BU141" s="12">
        <v>0</v>
      </c>
      <c r="BV141" s="12">
        <v>20</v>
      </c>
      <c r="BW141" s="138">
        <f t="shared" si="64"/>
        <v>6000</v>
      </c>
      <c r="BX141" s="138">
        <f t="shared" si="64"/>
        <v>0</v>
      </c>
      <c r="BY141" s="138">
        <f t="shared" si="56"/>
        <v>0</v>
      </c>
      <c r="BZ141" s="138">
        <f t="shared" si="56"/>
        <v>6000</v>
      </c>
      <c r="CA141" s="125"/>
      <c r="CB141" s="125"/>
      <c r="CC141" s="125"/>
      <c r="CD141" s="125"/>
      <c r="CE141" s="125"/>
      <c r="CF141" s="125"/>
      <c r="CG141" s="125"/>
      <c r="CH141" s="125"/>
      <c r="CI141" s="125"/>
      <c r="CJ141" s="125"/>
      <c r="CK141" s="125"/>
      <c r="CL141" s="125"/>
      <c r="CM141" s="125"/>
      <c r="CN141" s="125"/>
      <c r="CO141" s="125"/>
      <c r="CP141" s="125"/>
      <c r="CQ141" s="125"/>
      <c r="CR141" s="125"/>
      <c r="CS141" s="125"/>
      <c r="CT141" s="125"/>
      <c r="CU141" s="125"/>
      <c r="CV141" s="125"/>
      <c r="CW141" s="125"/>
      <c r="CX141" s="125"/>
      <c r="CY141" s="125"/>
      <c r="CZ141" s="125"/>
      <c r="DA141" s="125"/>
      <c r="DB141" s="125"/>
      <c r="DC141" s="125"/>
      <c r="DD141" s="125"/>
      <c r="DE141" s="125"/>
      <c r="DF141" s="125"/>
      <c r="DG141" s="125"/>
      <c r="DH141" s="125"/>
      <c r="DI141" s="125"/>
      <c r="DJ141" s="125"/>
      <c r="DK141" s="125"/>
      <c r="DL141" s="125"/>
      <c r="DM141" s="125"/>
      <c r="DN141" s="125"/>
      <c r="DO141" s="125"/>
      <c r="DP141" s="125"/>
      <c r="DQ141" s="125"/>
      <c r="DR141" s="125"/>
      <c r="DS141" s="125"/>
      <c r="DT141" s="125"/>
      <c r="DU141" s="125"/>
      <c r="DV141" s="125"/>
      <c r="DW141" s="125"/>
      <c r="DX141" s="125"/>
      <c r="DY141" s="125"/>
      <c r="DZ141" s="125"/>
      <c r="EA141" s="125"/>
      <c r="EB141" s="125"/>
      <c r="EC141" s="125"/>
      <c r="ED141" s="125"/>
      <c r="EE141" s="125"/>
      <c r="EF141" s="125"/>
      <c r="EG141" s="125"/>
      <c r="EH141" s="125"/>
      <c r="EI141" s="125"/>
      <c r="EJ141" s="125"/>
      <c r="EK141" s="125"/>
      <c r="EL141" s="125"/>
    </row>
    <row r="142" spans="1:142">
      <c r="A142" s="125">
        <v>34</v>
      </c>
      <c r="B142" s="81" t="s">
        <v>226</v>
      </c>
      <c r="C142" s="125"/>
      <c r="D142" s="125"/>
      <c r="E142" s="125"/>
      <c r="F142" s="125"/>
      <c r="G142" s="102">
        <v>30</v>
      </c>
      <c r="H142" s="90">
        <v>0</v>
      </c>
      <c r="I142" s="77">
        <v>0</v>
      </c>
      <c r="J142" s="125">
        <v>5</v>
      </c>
      <c r="K142" s="125">
        <f t="shared" si="43"/>
        <v>3000</v>
      </c>
      <c r="L142" s="125">
        <f t="shared" si="43"/>
        <v>0</v>
      </c>
      <c r="M142" s="125">
        <f t="shared" si="44"/>
        <v>0</v>
      </c>
      <c r="N142" s="125">
        <f t="shared" si="44"/>
        <v>1500</v>
      </c>
      <c r="O142" s="102">
        <v>30</v>
      </c>
      <c r="P142" s="90">
        <v>0</v>
      </c>
      <c r="Q142" s="77">
        <v>0</v>
      </c>
      <c r="R142" s="125">
        <v>3</v>
      </c>
      <c r="S142" s="125">
        <f t="shared" si="57"/>
        <v>3000</v>
      </c>
      <c r="T142" s="125">
        <f t="shared" si="57"/>
        <v>0</v>
      </c>
      <c r="U142" s="125">
        <f t="shared" si="46"/>
        <v>0</v>
      </c>
      <c r="V142" s="125">
        <f t="shared" si="46"/>
        <v>900</v>
      </c>
      <c r="W142" s="102">
        <v>30</v>
      </c>
      <c r="X142" s="90">
        <v>0</v>
      </c>
      <c r="Y142" s="77">
        <v>0</v>
      </c>
      <c r="Z142" s="125">
        <v>3</v>
      </c>
      <c r="AA142" s="125">
        <f t="shared" si="58"/>
        <v>3000</v>
      </c>
      <c r="AB142" s="125">
        <f t="shared" si="58"/>
        <v>0</v>
      </c>
      <c r="AC142" s="125">
        <f t="shared" si="48"/>
        <v>0</v>
      </c>
      <c r="AD142" s="125">
        <f t="shared" si="48"/>
        <v>900</v>
      </c>
      <c r="AE142" s="77">
        <v>36</v>
      </c>
      <c r="AF142" s="90">
        <v>0</v>
      </c>
      <c r="AG142" s="77">
        <v>0</v>
      </c>
      <c r="AH142" s="77">
        <v>20</v>
      </c>
      <c r="AI142" s="125">
        <f t="shared" si="59"/>
        <v>3600</v>
      </c>
      <c r="AJ142" s="125">
        <f t="shared" si="59"/>
        <v>0</v>
      </c>
      <c r="AK142" s="125">
        <f t="shared" si="50"/>
        <v>0</v>
      </c>
      <c r="AL142" s="125">
        <f t="shared" si="50"/>
        <v>6000</v>
      </c>
      <c r="AM142" s="77">
        <v>60</v>
      </c>
      <c r="AN142" s="90">
        <v>0</v>
      </c>
      <c r="AO142" s="77">
        <v>0</v>
      </c>
      <c r="AP142" s="77">
        <v>20</v>
      </c>
      <c r="AQ142" s="125">
        <f t="shared" si="60"/>
        <v>6000</v>
      </c>
      <c r="AR142" s="125">
        <f t="shared" si="60"/>
        <v>0</v>
      </c>
      <c r="AS142" s="125">
        <f t="shared" si="52"/>
        <v>0</v>
      </c>
      <c r="AT142" s="125">
        <f t="shared" si="52"/>
        <v>6000</v>
      </c>
      <c r="AU142" s="12">
        <v>62</v>
      </c>
      <c r="AV142" s="6">
        <v>0</v>
      </c>
      <c r="AW142" s="12">
        <v>0</v>
      </c>
      <c r="AX142" s="12">
        <v>20</v>
      </c>
      <c r="AY142" s="138">
        <f t="shared" si="61"/>
        <v>6200</v>
      </c>
      <c r="AZ142" s="138">
        <f t="shared" si="61"/>
        <v>0</v>
      </c>
      <c r="BA142" s="138">
        <f t="shared" si="53"/>
        <v>0</v>
      </c>
      <c r="BB142" s="138">
        <f t="shared" si="53"/>
        <v>6000</v>
      </c>
      <c r="BC142" s="12">
        <v>62</v>
      </c>
      <c r="BD142" s="6">
        <v>0</v>
      </c>
      <c r="BE142" s="12">
        <v>0</v>
      </c>
      <c r="BF142" s="12">
        <v>20</v>
      </c>
      <c r="BG142" s="138">
        <f t="shared" si="62"/>
        <v>6200</v>
      </c>
      <c r="BH142" s="138">
        <f t="shared" si="62"/>
        <v>0</v>
      </c>
      <c r="BI142" s="138">
        <f t="shared" si="54"/>
        <v>0</v>
      </c>
      <c r="BJ142" s="138">
        <f t="shared" si="54"/>
        <v>6000</v>
      </c>
      <c r="BK142" s="12">
        <v>62</v>
      </c>
      <c r="BL142" s="6">
        <v>0</v>
      </c>
      <c r="BM142" s="12">
        <v>0</v>
      </c>
      <c r="BN142" s="12">
        <v>20</v>
      </c>
      <c r="BO142" s="138">
        <f t="shared" si="63"/>
        <v>6200</v>
      </c>
      <c r="BP142" s="138">
        <f t="shared" si="63"/>
        <v>0</v>
      </c>
      <c r="BQ142" s="138">
        <f t="shared" si="55"/>
        <v>0</v>
      </c>
      <c r="BR142" s="138">
        <f t="shared" si="55"/>
        <v>6000</v>
      </c>
      <c r="BS142" s="12">
        <v>62</v>
      </c>
      <c r="BT142" s="6">
        <v>0</v>
      </c>
      <c r="BU142" s="12">
        <v>0</v>
      </c>
      <c r="BV142" s="12">
        <v>20</v>
      </c>
      <c r="BW142" s="138">
        <f t="shared" si="64"/>
        <v>6200</v>
      </c>
      <c r="BX142" s="138">
        <f t="shared" si="64"/>
        <v>0</v>
      </c>
      <c r="BY142" s="138">
        <f t="shared" si="56"/>
        <v>0</v>
      </c>
      <c r="BZ142" s="138">
        <f t="shared" si="56"/>
        <v>6000</v>
      </c>
      <c r="CA142" s="125"/>
      <c r="CB142" s="125"/>
      <c r="CC142" s="125"/>
      <c r="CD142" s="125"/>
      <c r="CE142" s="125"/>
      <c r="CF142" s="125"/>
      <c r="CG142" s="125"/>
      <c r="CH142" s="125"/>
      <c r="CI142" s="125"/>
      <c r="CJ142" s="125"/>
      <c r="CK142" s="125"/>
      <c r="CL142" s="125"/>
      <c r="CM142" s="125"/>
      <c r="CN142" s="125"/>
      <c r="CO142" s="125"/>
      <c r="CP142" s="125"/>
      <c r="CQ142" s="125"/>
      <c r="CR142" s="125"/>
      <c r="CS142" s="125"/>
      <c r="CT142" s="125"/>
      <c r="CU142" s="125"/>
      <c r="CV142" s="125"/>
      <c r="CW142" s="125"/>
      <c r="CX142" s="125"/>
      <c r="CY142" s="125"/>
      <c r="CZ142" s="125"/>
      <c r="DA142" s="125"/>
      <c r="DB142" s="125"/>
      <c r="DC142" s="125"/>
      <c r="DD142" s="125"/>
      <c r="DE142" s="125"/>
      <c r="DF142" s="125"/>
      <c r="DG142" s="125"/>
      <c r="DH142" s="125"/>
      <c r="DI142" s="125"/>
      <c r="DJ142" s="125"/>
      <c r="DK142" s="125"/>
      <c r="DL142" s="125"/>
      <c r="DM142" s="125"/>
      <c r="DN142" s="125"/>
      <c r="DO142" s="125"/>
      <c r="DP142" s="125"/>
      <c r="DQ142" s="125"/>
      <c r="DR142" s="125"/>
      <c r="DS142" s="125"/>
      <c r="DT142" s="125"/>
      <c r="DU142" s="125"/>
      <c r="DV142" s="125"/>
      <c r="DW142" s="125"/>
      <c r="DX142" s="125"/>
      <c r="DY142" s="125"/>
      <c r="DZ142" s="125"/>
      <c r="EA142" s="125"/>
      <c r="EB142" s="125"/>
      <c r="EC142" s="125"/>
      <c r="ED142" s="125"/>
      <c r="EE142" s="125"/>
      <c r="EF142" s="125"/>
      <c r="EG142" s="125"/>
      <c r="EH142" s="125"/>
      <c r="EI142" s="125"/>
      <c r="EJ142" s="125"/>
      <c r="EK142" s="125"/>
      <c r="EL142" s="125"/>
    </row>
    <row r="143" spans="1:142">
      <c r="A143" s="125">
        <v>35</v>
      </c>
      <c r="B143" s="81" t="s">
        <v>227</v>
      </c>
      <c r="C143" s="125"/>
      <c r="D143" s="125"/>
      <c r="E143" s="125"/>
      <c r="F143" s="125"/>
      <c r="G143" s="77">
        <v>23</v>
      </c>
      <c r="H143" s="90">
        <v>0</v>
      </c>
      <c r="I143" s="77">
        <v>0</v>
      </c>
      <c r="J143" s="77">
        <v>12</v>
      </c>
      <c r="K143" s="125">
        <f t="shared" si="43"/>
        <v>2300</v>
      </c>
      <c r="L143" s="125">
        <f t="shared" si="43"/>
        <v>0</v>
      </c>
      <c r="M143" s="125">
        <f t="shared" si="44"/>
        <v>0</v>
      </c>
      <c r="N143" s="125">
        <f t="shared" si="44"/>
        <v>3600</v>
      </c>
      <c r="O143" s="77">
        <v>25</v>
      </c>
      <c r="P143" s="90">
        <v>0</v>
      </c>
      <c r="Q143" s="77">
        <v>0</v>
      </c>
      <c r="R143" s="77">
        <v>10</v>
      </c>
      <c r="S143" s="125">
        <f t="shared" si="57"/>
        <v>2500</v>
      </c>
      <c r="T143" s="125">
        <f t="shared" si="57"/>
        <v>0</v>
      </c>
      <c r="U143" s="125">
        <f t="shared" si="46"/>
        <v>0</v>
      </c>
      <c r="V143" s="125">
        <f t="shared" si="46"/>
        <v>3000</v>
      </c>
      <c r="W143" s="77">
        <v>28</v>
      </c>
      <c r="X143" s="90">
        <v>0</v>
      </c>
      <c r="Y143" s="77">
        <v>0</v>
      </c>
      <c r="Z143" s="77">
        <v>15</v>
      </c>
      <c r="AA143" s="125">
        <f t="shared" si="58"/>
        <v>2800</v>
      </c>
      <c r="AB143" s="125">
        <f t="shared" si="58"/>
        <v>0</v>
      </c>
      <c r="AC143" s="125">
        <f t="shared" si="48"/>
        <v>0</v>
      </c>
      <c r="AD143" s="125">
        <f t="shared" si="48"/>
        <v>4500</v>
      </c>
      <c r="AE143" s="77">
        <v>25</v>
      </c>
      <c r="AF143" s="90">
        <v>0</v>
      </c>
      <c r="AG143" s="77">
        <v>0</v>
      </c>
      <c r="AH143" s="77">
        <v>15</v>
      </c>
      <c r="AI143" s="125">
        <f t="shared" si="59"/>
        <v>2500</v>
      </c>
      <c r="AJ143" s="125">
        <f t="shared" si="59"/>
        <v>0</v>
      </c>
      <c r="AK143" s="125">
        <f t="shared" si="50"/>
        <v>0</v>
      </c>
      <c r="AL143" s="125">
        <f t="shared" si="50"/>
        <v>4500</v>
      </c>
      <c r="AM143" s="77">
        <v>35</v>
      </c>
      <c r="AN143" s="90">
        <v>0</v>
      </c>
      <c r="AO143" s="77">
        <v>0</v>
      </c>
      <c r="AP143" s="77">
        <v>15</v>
      </c>
      <c r="AQ143" s="125">
        <f t="shared" si="60"/>
        <v>3500</v>
      </c>
      <c r="AR143" s="125">
        <f t="shared" si="60"/>
        <v>0</v>
      </c>
      <c r="AS143" s="125">
        <f t="shared" si="52"/>
        <v>0</v>
      </c>
      <c r="AT143" s="125">
        <f t="shared" si="52"/>
        <v>4500</v>
      </c>
      <c r="AU143" s="12">
        <v>39</v>
      </c>
      <c r="AV143" s="6">
        <v>0</v>
      </c>
      <c r="AW143" s="12">
        <v>0</v>
      </c>
      <c r="AX143" s="12">
        <v>15</v>
      </c>
      <c r="AY143" s="138">
        <f t="shared" si="61"/>
        <v>3900</v>
      </c>
      <c r="AZ143" s="138">
        <f t="shared" si="61"/>
        <v>0</v>
      </c>
      <c r="BA143" s="138">
        <f t="shared" si="53"/>
        <v>0</v>
      </c>
      <c r="BB143" s="138">
        <f t="shared" si="53"/>
        <v>4500</v>
      </c>
      <c r="BC143" s="12">
        <v>40</v>
      </c>
      <c r="BD143" s="6">
        <v>0</v>
      </c>
      <c r="BE143" s="12">
        <v>0</v>
      </c>
      <c r="BF143" s="12">
        <v>15</v>
      </c>
      <c r="BG143" s="138">
        <f t="shared" si="62"/>
        <v>4000</v>
      </c>
      <c r="BH143" s="138">
        <f t="shared" si="62"/>
        <v>0</v>
      </c>
      <c r="BI143" s="138">
        <f t="shared" si="54"/>
        <v>0</v>
      </c>
      <c r="BJ143" s="138">
        <f t="shared" si="54"/>
        <v>4500</v>
      </c>
      <c r="BK143" s="12">
        <v>48</v>
      </c>
      <c r="BL143" s="6">
        <v>0</v>
      </c>
      <c r="BM143" s="12">
        <v>0</v>
      </c>
      <c r="BN143" s="12">
        <v>20</v>
      </c>
      <c r="BO143" s="138">
        <f t="shared" si="63"/>
        <v>4800</v>
      </c>
      <c r="BP143" s="138">
        <f t="shared" si="63"/>
        <v>0</v>
      </c>
      <c r="BQ143" s="138">
        <f t="shared" si="55"/>
        <v>0</v>
      </c>
      <c r="BR143" s="138">
        <f t="shared" si="55"/>
        <v>6000</v>
      </c>
      <c r="BS143" s="12">
        <v>51</v>
      </c>
      <c r="BT143" s="6">
        <v>0</v>
      </c>
      <c r="BU143" s="12">
        <v>0</v>
      </c>
      <c r="BV143" s="12">
        <v>20</v>
      </c>
      <c r="BW143" s="138">
        <f t="shared" si="64"/>
        <v>5100</v>
      </c>
      <c r="BX143" s="138">
        <f t="shared" si="64"/>
        <v>0</v>
      </c>
      <c r="BY143" s="138">
        <f t="shared" si="56"/>
        <v>0</v>
      </c>
      <c r="BZ143" s="138">
        <f t="shared" si="56"/>
        <v>6000</v>
      </c>
      <c r="CA143" s="125"/>
      <c r="CB143" s="125"/>
      <c r="CC143" s="125"/>
      <c r="CD143" s="125"/>
      <c r="CE143" s="125"/>
      <c r="CF143" s="125"/>
      <c r="CG143" s="125"/>
      <c r="CH143" s="125"/>
      <c r="CI143" s="125"/>
      <c r="CJ143" s="125"/>
      <c r="CK143" s="125"/>
      <c r="CL143" s="125"/>
      <c r="CM143" s="125"/>
      <c r="CN143" s="125"/>
      <c r="CO143" s="125"/>
      <c r="CP143" s="125"/>
      <c r="CQ143" s="125"/>
      <c r="CR143" s="125"/>
      <c r="CS143" s="125"/>
      <c r="CT143" s="125"/>
      <c r="CU143" s="125"/>
      <c r="CV143" s="125"/>
      <c r="CW143" s="125"/>
      <c r="CX143" s="125"/>
      <c r="CY143" s="125"/>
      <c r="CZ143" s="125"/>
      <c r="DA143" s="125"/>
      <c r="DB143" s="125"/>
      <c r="DC143" s="125"/>
      <c r="DD143" s="125"/>
      <c r="DE143" s="125"/>
      <c r="DF143" s="125"/>
      <c r="DG143" s="125"/>
      <c r="DH143" s="125"/>
      <c r="DI143" s="125"/>
      <c r="DJ143" s="125"/>
      <c r="DK143" s="125"/>
      <c r="DL143" s="125"/>
      <c r="DM143" s="125"/>
      <c r="DN143" s="125"/>
      <c r="DO143" s="125"/>
      <c r="DP143" s="125"/>
      <c r="DQ143" s="125"/>
      <c r="DR143" s="125"/>
      <c r="DS143" s="125"/>
      <c r="DT143" s="125"/>
      <c r="DU143" s="125"/>
      <c r="DV143" s="125"/>
      <c r="DW143" s="125"/>
      <c r="DX143" s="125"/>
      <c r="DY143" s="125"/>
      <c r="DZ143" s="125"/>
      <c r="EA143" s="125"/>
      <c r="EB143" s="125"/>
      <c r="EC143" s="125"/>
      <c r="ED143" s="125"/>
      <c r="EE143" s="125"/>
      <c r="EF143" s="125"/>
      <c r="EG143" s="125"/>
      <c r="EH143" s="125"/>
      <c r="EI143" s="125"/>
      <c r="EJ143" s="125"/>
      <c r="EK143" s="125"/>
      <c r="EL143" s="125"/>
    </row>
    <row r="144" spans="1:142">
      <c r="A144" s="125">
        <v>36</v>
      </c>
      <c r="B144" s="81" t="s">
        <v>228</v>
      </c>
      <c r="C144" s="125"/>
      <c r="D144" s="125"/>
      <c r="E144" s="125"/>
      <c r="F144" s="125"/>
      <c r="G144" s="77">
        <v>45</v>
      </c>
      <c r="H144" s="90">
        <v>0</v>
      </c>
      <c r="I144" s="77">
        <v>0</v>
      </c>
      <c r="J144" s="77">
        <v>20</v>
      </c>
      <c r="K144" s="125">
        <f t="shared" si="43"/>
        <v>4500</v>
      </c>
      <c r="L144" s="125">
        <f t="shared" si="43"/>
        <v>0</v>
      </c>
      <c r="M144" s="125">
        <f t="shared" si="44"/>
        <v>0</v>
      </c>
      <c r="N144" s="125">
        <f t="shared" si="44"/>
        <v>6000</v>
      </c>
      <c r="O144" s="77">
        <v>42</v>
      </c>
      <c r="P144" s="90">
        <v>0</v>
      </c>
      <c r="Q144" s="77">
        <v>0</v>
      </c>
      <c r="R144" s="77">
        <v>16</v>
      </c>
      <c r="S144" s="125">
        <f t="shared" si="57"/>
        <v>4200</v>
      </c>
      <c r="T144" s="125">
        <f t="shared" si="57"/>
        <v>0</v>
      </c>
      <c r="U144" s="125">
        <f t="shared" si="46"/>
        <v>0</v>
      </c>
      <c r="V144" s="125">
        <f t="shared" si="46"/>
        <v>4800</v>
      </c>
      <c r="W144" s="77">
        <v>44</v>
      </c>
      <c r="X144" s="90">
        <v>0</v>
      </c>
      <c r="Y144" s="77">
        <v>0</v>
      </c>
      <c r="Z144" s="77">
        <v>18</v>
      </c>
      <c r="AA144" s="125">
        <f t="shared" si="58"/>
        <v>4400</v>
      </c>
      <c r="AB144" s="125">
        <f t="shared" si="58"/>
        <v>0</v>
      </c>
      <c r="AC144" s="125">
        <f t="shared" si="48"/>
        <v>0</v>
      </c>
      <c r="AD144" s="125">
        <f t="shared" si="48"/>
        <v>5400</v>
      </c>
      <c r="AE144" s="77">
        <v>45</v>
      </c>
      <c r="AF144" s="90">
        <v>0</v>
      </c>
      <c r="AG144" s="77">
        <v>0</v>
      </c>
      <c r="AH144" s="77">
        <v>20</v>
      </c>
      <c r="AI144" s="125">
        <f t="shared" si="59"/>
        <v>4500</v>
      </c>
      <c r="AJ144" s="125">
        <f t="shared" si="59"/>
        <v>0</v>
      </c>
      <c r="AK144" s="125">
        <f t="shared" si="50"/>
        <v>0</v>
      </c>
      <c r="AL144" s="125">
        <f t="shared" si="50"/>
        <v>6000</v>
      </c>
      <c r="AM144" s="77">
        <v>48</v>
      </c>
      <c r="AN144" s="90">
        <v>0</v>
      </c>
      <c r="AO144" s="77">
        <v>0</v>
      </c>
      <c r="AP144" s="77">
        <v>20</v>
      </c>
      <c r="AQ144" s="125">
        <f t="shared" si="60"/>
        <v>4800</v>
      </c>
      <c r="AR144" s="125">
        <f t="shared" si="60"/>
        <v>0</v>
      </c>
      <c r="AS144" s="125">
        <f t="shared" si="52"/>
        <v>0</v>
      </c>
      <c r="AT144" s="125">
        <f t="shared" si="52"/>
        <v>6000</v>
      </c>
      <c r="AU144" s="12">
        <v>48</v>
      </c>
      <c r="AV144" s="6">
        <v>0</v>
      </c>
      <c r="AW144" s="12">
        <v>0</v>
      </c>
      <c r="AX144" s="12">
        <v>20</v>
      </c>
      <c r="AY144" s="138">
        <f t="shared" si="61"/>
        <v>4800</v>
      </c>
      <c r="AZ144" s="138">
        <f t="shared" si="61"/>
        <v>0</v>
      </c>
      <c r="BA144" s="138">
        <f t="shared" si="53"/>
        <v>0</v>
      </c>
      <c r="BB144" s="138">
        <f t="shared" si="53"/>
        <v>6000</v>
      </c>
      <c r="BC144" s="12">
        <v>48</v>
      </c>
      <c r="BD144" s="6">
        <v>0</v>
      </c>
      <c r="BE144" s="12">
        <v>0</v>
      </c>
      <c r="BF144" s="12">
        <v>20</v>
      </c>
      <c r="BG144" s="138">
        <f t="shared" si="62"/>
        <v>4800</v>
      </c>
      <c r="BH144" s="138">
        <f t="shared" si="62"/>
        <v>0</v>
      </c>
      <c r="BI144" s="138">
        <f t="shared" si="54"/>
        <v>0</v>
      </c>
      <c r="BJ144" s="138">
        <f t="shared" si="54"/>
        <v>6000</v>
      </c>
      <c r="BK144" s="12">
        <v>60</v>
      </c>
      <c r="BL144" s="6">
        <v>0</v>
      </c>
      <c r="BM144" s="12">
        <v>0</v>
      </c>
      <c r="BN144" s="12">
        <v>15</v>
      </c>
      <c r="BO144" s="138">
        <f t="shared" si="63"/>
        <v>6000</v>
      </c>
      <c r="BP144" s="138">
        <f t="shared" si="63"/>
        <v>0</v>
      </c>
      <c r="BQ144" s="138">
        <f t="shared" si="55"/>
        <v>0</v>
      </c>
      <c r="BR144" s="138">
        <f t="shared" si="55"/>
        <v>4500</v>
      </c>
      <c r="BS144" s="12">
        <v>60</v>
      </c>
      <c r="BT144" s="6">
        <v>0</v>
      </c>
      <c r="BU144" s="12">
        <v>0</v>
      </c>
      <c r="BV144" s="12">
        <v>18</v>
      </c>
      <c r="BW144" s="138">
        <f t="shared" si="64"/>
        <v>6000</v>
      </c>
      <c r="BX144" s="138">
        <f t="shared" si="64"/>
        <v>0</v>
      </c>
      <c r="BY144" s="138">
        <f t="shared" si="56"/>
        <v>0</v>
      </c>
      <c r="BZ144" s="138">
        <f t="shared" si="56"/>
        <v>5400</v>
      </c>
      <c r="CA144" s="125"/>
      <c r="CB144" s="125"/>
      <c r="CC144" s="125"/>
      <c r="CD144" s="125"/>
      <c r="CE144" s="125"/>
      <c r="CF144" s="125"/>
      <c r="CG144" s="125"/>
      <c r="CH144" s="125"/>
      <c r="CI144" s="125"/>
      <c r="CJ144" s="125"/>
      <c r="CK144" s="125"/>
      <c r="CL144" s="125"/>
      <c r="CM144" s="125"/>
      <c r="CN144" s="125"/>
      <c r="CO144" s="125"/>
      <c r="CP144" s="125"/>
      <c r="CQ144" s="125"/>
      <c r="CR144" s="125"/>
      <c r="CS144" s="125"/>
      <c r="CT144" s="125"/>
      <c r="CU144" s="125"/>
      <c r="CV144" s="125"/>
      <c r="CW144" s="125"/>
      <c r="CX144" s="125"/>
      <c r="CY144" s="125"/>
      <c r="CZ144" s="125"/>
      <c r="DA144" s="125"/>
      <c r="DB144" s="125"/>
      <c r="DC144" s="125"/>
      <c r="DD144" s="125"/>
      <c r="DE144" s="125"/>
      <c r="DF144" s="125"/>
      <c r="DG144" s="125"/>
      <c r="DH144" s="125"/>
      <c r="DI144" s="125"/>
      <c r="DJ144" s="125"/>
      <c r="DK144" s="125"/>
      <c r="DL144" s="125"/>
      <c r="DM144" s="125"/>
      <c r="DN144" s="125"/>
      <c r="DO144" s="125"/>
      <c r="DP144" s="125"/>
      <c r="DQ144" s="125"/>
      <c r="DR144" s="125"/>
      <c r="DS144" s="125"/>
      <c r="DT144" s="125"/>
      <c r="DU144" s="125"/>
      <c r="DV144" s="125"/>
      <c r="DW144" s="125"/>
      <c r="DX144" s="125"/>
      <c r="DY144" s="125"/>
      <c r="DZ144" s="125"/>
      <c r="EA144" s="125"/>
      <c r="EB144" s="125"/>
      <c r="EC144" s="125"/>
      <c r="ED144" s="125"/>
      <c r="EE144" s="125"/>
      <c r="EF144" s="125"/>
      <c r="EG144" s="125"/>
      <c r="EH144" s="125"/>
      <c r="EI144" s="125"/>
      <c r="EJ144" s="125"/>
      <c r="EK144" s="125"/>
      <c r="EL144" s="125"/>
    </row>
    <row r="145" spans="1:142">
      <c r="A145" s="125">
        <v>37</v>
      </c>
      <c r="B145" s="81" t="s">
        <v>229</v>
      </c>
      <c r="C145" s="125"/>
      <c r="D145" s="125"/>
      <c r="E145" s="125"/>
      <c r="F145" s="125"/>
      <c r="G145" s="77">
        <v>20</v>
      </c>
      <c r="H145" s="90">
        <v>0</v>
      </c>
      <c r="I145" s="77">
        <v>0</v>
      </c>
      <c r="J145" s="77">
        <v>15</v>
      </c>
      <c r="K145" s="125">
        <f t="shared" si="43"/>
        <v>2000</v>
      </c>
      <c r="L145" s="125">
        <f t="shared" si="43"/>
        <v>0</v>
      </c>
      <c r="M145" s="125">
        <f t="shared" si="44"/>
        <v>0</v>
      </c>
      <c r="N145" s="125">
        <f t="shared" si="44"/>
        <v>4500</v>
      </c>
      <c r="O145" s="77">
        <v>20</v>
      </c>
      <c r="P145" s="90">
        <v>0</v>
      </c>
      <c r="Q145" s="77">
        <v>0</v>
      </c>
      <c r="R145" s="77">
        <v>8</v>
      </c>
      <c r="S145" s="125">
        <f t="shared" si="57"/>
        <v>2000</v>
      </c>
      <c r="T145" s="125">
        <f t="shared" si="57"/>
        <v>0</v>
      </c>
      <c r="U145" s="125">
        <f t="shared" si="46"/>
        <v>0</v>
      </c>
      <c r="V145" s="125">
        <f t="shared" si="46"/>
        <v>2400</v>
      </c>
      <c r="W145" s="77">
        <v>22</v>
      </c>
      <c r="X145" s="90">
        <v>0</v>
      </c>
      <c r="Y145" s="77">
        <v>0</v>
      </c>
      <c r="Z145" s="77">
        <v>8</v>
      </c>
      <c r="AA145" s="125">
        <f t="shared" si="58"/>
        <v>2200</v>
      </c>
      <c r="AB145" s="125">
        <f t="shared" si="58"/>
        <v>0</v>
      </c>
      <c r="AC145" s="125">
        <f t="shared" si="48"/>
        <v>0</v>
      </c>
      <c r="AD145" s="125">
        <f t="shared" si="48"/>
        <v>2400</v>
      </c>
      <c r="AE145" s="77">
        <v>30</v>
      </c>
      <c r="AF145" s="90">
        <v>0</v>
      </c>
      <c r="AG145" s="77">
        <v>0</v>
      </c>
      <c r="AH145" s="77">
        <v>10</v>
      </c>
      <c r="AI145" s="125">
        <f t="shared" si="59"/>
        <v>3000</v>
      </c>
      <c r="AJ145" s="125">
        <f t="shared" si="59"/>
        <v>0</v>
      </c>
      <c r="AK145" s="125">
        <f t="shared" si="50"/>
        <v>0</v>
      </c>
      <c r="AL145" s="125">
        <f t="shared" si="50"/>
        <v>3000</v>
      </c>
      <c r="AM145" s="77">
        <v>32</v>
      </c>
      <c r="AN145" s="90">
        <v>0</v>
      </c>
      <c r="AO145" s="77">
        <v>0</v>
      </c>
      <c r="AP145" s="77">
        <v>12</v>
      </c>
      <c r="AQ145" s="125">
        <f t="shared" si="60"/>
        <v>3200</v>
      </c>
      <c r="AR145" s="125">
        <f t="shared" si="60"/>
        <v>0</v>
      </c>
      <c r="AS145" s="125">
        <f t="shared" si="52"/>
        <v>0</v>
      </c>
      <c r="AT145" s="125">
        <f t="shared" si="52"/>
        <v>3600</v>
      </c>
      <c r="AU145" s="12">
        <v>32</v>
      </c>
      <c r="AV145" s="6">
        <v>0</v>
      </c>
      <c r="AW145" s="12">
        <v>0</v>
      </c>
      <c r="AX145" s="12">
        <v>12</v>
      </c>
      <c r="AY145" s="138">
        <f t="shared" si="61"/>
        <v>3200</v>
      </c>
      <c r="AZ145" s="138">
        <f t="shared" si="61"/>
        <v>0</v>
      </c>
      <c r="BA145" s="138">
        <f t="shared" si="53"/>
        <v>0</v>
      </c>
      <c r="BB145" s="138">
        <f t="shared" si="53"/>
        <v>3600</v>
      </c>
      <c r="BC145" s="12">
        <v>36</v>
      </c>
      <c r="BD145" s="6">
        <v>0</v>
      </c>
      <c r="BE145" s="12">
        <v>0</v>
      </c>
      <c r="BF145" s="12">
        <v>20</v>
      </c>
      <c r="BG145" s="138">
        <f t="shared" si="62"/>
        <v>3600</v>
      </c>
      <c r="BH145" s="138">
        <f t="shared" si="62"/>
        <v>0</v>
      </c>
      <c r="BI145" s="138">
        <f t="shared" si="54"/>
        <v>0</v>
      </c>
      <c r="BJ145" s="138">
        <f t="shared" si="54"/>
        <v>6000</v>
      </c>
      <c r="BK145" s="12">
        <v>45</v>
      </c>
      <c r="BL145" s="6">
        <v>0</v>
      </c>
      <c r="BM145" s="12">
        <v>0</v>
      </c>
      <c r="BN145" s="12">
        <v>20</v>
      </c>
      <c r="BO145" s="138">
        <f t="shared" si="63"/>
        <v>4500</v>
      </c>
      <c r="BP145" s="138">
        <f t="shared" si="63"/>
        <v>0</v>
      </c>
      <c r="BQ145" s="138">
        <f t="shared" si="55"/>
        <v>0</v>
      </c>
      <c r="BR145" s="138">
        <f t="shared" si="55"/>
        <v>6000</v>
      </c>
      <c r="BS145" s="12">
        <v>45</v>
      </c>
      <c r="BT145" s="6">
        <v>0</v>
      </c>
      <c r="BU145" s="12">
        <v>0</v>
      </c>
      <c r="BV145" s="12">
        <v>20</v>
      </c>
      <c r="BW145" s="138">
        <f t="shared" si="64"/>
        <v>4500</v>
      </c>
      <c r="BX145" s="138">
        <f t="shared" si="64"/>
        <v>0</v>
      </c>
      <c r="BY145" s="138">
        <f t="shared" si="56"/>
        <v>0</v>
      </c>
      <c r="BZ145" s="138">
        <f t="shared" si="56"/>
        <v>6000</v>
      </c>
      <c r="CA145" s="125"/>
      <c r="CB145" s="125"/>
      <c r="CC145" s="125"/>
      <c r="CD145" s="125"/>
      <c r="CE145" s="125"/>
      <c r="CF145" s="125"/>
      <c r="CG145" s="125"/>
      <c r="CH145" s="125"/>
      <c r="CI145" s="125"/>
      <c r="CJ145" s="125"/>
      <c r="CK145" s="125"/>
      <c r="CL145" s="125"/>
      <c r="CM145" s="125"/>
      <c r="CN145" s="125"/>
      <c r="CO145" s="125"/>
      <c r="CP145" s="125"/>
      <c r="CQ145" s="125"/>
      <c r="CR145" s="125"/>
      <c r="CS145" s="125"/>
      <c r="CT145" s="125"/>
      <c r="CU145" s="125"/>
      <c r="CV145" s="125"/>
      <c r="CW145" s="125"/>
      <c r="CX145" s="125"/>
      <c r="CY145" s="125"/>
      <c r="CZ145" s="125"/>
      <c r="DA145" s="125"/>
      <c r="DB145" s="125"/>
      <c r="DC145" s="125"/>
      <c r="DD145" s="125"/>
      <c r="DE145" s="125"/>
      <c r="DF145" s="125"/>
      <c r="DG145" s="125"/>
      <c r="DH145" s="125"/>
      <c r="DI145" s="125"/>
      <c r="DJ145" s="125"/>
      <c r="DK145" s="125"/>
      <c r="DL145" s="125"/>
      <c r="DM145" s="125"/>
      <c r="DN145" s="125"/>
      <c r="DO145" s="125"/>
      <c r="DP145" s="125"/>
      <c r="DQ145" s="125"/>
      <c r="DR145" s="125"/>
      <c r="DS145" s="125"/>
      <c r="DT145" s="125"/>
      <c r="DU145" s="125"/>
      <c r="DV145" s="125"/>
      <c r="DW145" s="125"/>
      <c r="DX145" s="125"/>
      <c r="DY145" s="125"/>
      <c r="DZ145" s="125"/>
      <c r="EA145" s="125"/>
      <c r="EB145" s="125"/>
      <c r="EC145" s="125"/>
      <c r="ED145" s="125"/>
      <c r="EE145" s="125"/>
      <c r="EF145" s="125"/>
      <c r="EG145" s="125"/>
      <c r="EH145" s="125"/>
      <c r="EI145" s="125"/>
      <c r="EJ145" s="125"/>
      <c r="EK145" s="125"/>
      <c r="EL145" s="125"/>
    </row>
    <row r="146" spans="1:142">
      <c r="A146" s="125">
        <v>38</v>
      </c>
      <c r="B146" s="81" t="s">
        <v>230</v>
      </c>
      <c r="C146" s="125"/>
      <c r="D146" s="125"/>
      <c r="E146" s="125"/>
      <c r="F146" s="125"/>
      <c r="G146" s="77">
        <v>42</v>
      </c>
      <c r="H146" s="90">
        <v>0</v>
      </c>
      <c r="I146" s="77">
        <v>0</v>
      </c>
      <c r="J146" s="77">
        <v>5</v>
      </c>
      <c r="K146" s="125">
        <f t="shared" si="43"/>
        <v>4200</v>
      </c>
      <c r="L146" s="125">
        <f t="shared" si="43"/>
        <v>0</v>
      </c>
      <c r="M146" s="125">
        <f t="shared" si="44"/>
        <v>0</v>
      </c>
      <c r="N146" s="125">
        <f t="shared" si="44"/>
        <v>1500</v>
      </c>
      <c r="O146" s="77">
        <v>43</v>
      </c>
      <c r="P146" s="90">
        <v>0</v>
      </c>
      <c r="Q146" s="77">
        <v>0</v>
      </c>
      <c r="R146" s="77">
        <v>5</v>
      </c>
      <c r="S146" s="125">
        <f t="shared" si="57"/>
        <v>4300</v>
      </c>
      <c r="T146" s="125">
        <f t="shared" si="57"/>
        <v>0</v>
      </c>
      <c r="U146" s="125">
        <f t="shared" si="46"/>
        <v>0</v>
      </c>
      <c r="V146" s="125">
        <f t="shared" si="46"/>
        <v>1500</v>
      </c>
      <c r="W146" s="77">
        <v>40</v>
      </c>
      <c r="X146" s="90">
        <v>0</v>
      </c>
      <c r="Y146" s="77">
        <v>0</v>
      </c>
      <c r="Z146" s="77">
        <v>10</v>
      </c>
      <c r="AA146" s="125">
        <f t="shared" si="58"/>
        <v>4000</v>
      </c>
      <c r="AB146" s="125">
        <f t="shared" si="58"/>
        <v>0</v>
      </c>
      <c r="AC146" s="125">
        <f t="shared" si="48"/>
        <v>0</v>
      </c>
      <c r="AD146" s="125">
        <f t="shared" si="48"/>
        <v>3000</v>
      </c>
      <c r="AE146" s="77">
        <v>24</v>
      </c>
      <c r="AF146" s="90">
        <v>0</v>
      </c>
      <c r="AG146" s="77">
        <v>0</v>
      </c>
      <c r="AH146" s="77">
        <v>15</v>
      </c>
      <c r="AI146" s="125">
        <f t="shared" si="59"/>
        <v>2400</v>
      </c>
      <c r="AJ146" s="125">
        <f t="shared" si="59"/>
        <v>0</v>
      </c>
      <c r="AK146" s="125">
        <f t="shared" si="50"/>
        <v>0</v>
      </c>
      <c r="AL146" s="125">
        <f t="shared" si="50"/>
        <v>4500</v>
      </c>
      <c r="AM146" s="77">
        <v>25</v>
      </c>
      <c r="AN146" s="90">
        <v>0</v>
      </c>
      <c r="AO146" s="77">
        <v>0</v>
      </c>
      <c r="AP146" s="77">
        <v>18</v>
      </c>
      <c r="AQ146" s="125">
        <f t="shared" si="60"/>
        <v>2500</v>
      </c>
      <c r="AR146" s="125">
        <f t="shared" si="60"/>
        <v>0</v>
      </c>
      <c r="AS146" s="125">
        <f t="shared" si="52"/>
        <v>0</v>
      </c>
      <c r="AT146" s="125">
        <f t="shared" si="52"/>
        <v>5400</v>
      </c>
      <c r="AU146" s="12">
        <v>33</v>
      </c>
      <c r="AV146" s="6">
        <v>0</v>
      </c>
      <c r="AW146" s="12">
        <v>0</v>
      </c>
      <c r="AX146" s="12">
        <v>18</v>
      </c>
      <c r="AY146" s="138">
        <f t="shared" si="61"/>
        <v>3300</v>
      </c>
      <c r="AZ146" s="138">
        <f t="shared" si="61"/>
        <v>0</v>
      </c>
      <c r="BA146" s="138">
        <f t="shared" si="53"/>
        <v>0</v>
      </c>
      <c r="BB146" s="138">
        <f t="shared" si="53"/>
        <v>5400</v>
      </c>
      <c r="BC146" s="12">
        <v>39</v>
      </c>
      <c r="BD146" s="6">
        <v>0</v>
      </c>
      <c r="BE146" s="12">
        <v>0</v>
      </c>
      <c r="BF146" s="12">
        <v>18</v>
      </c>
      <c r="BG146" s="138">
        <f t="shared" si="62"/>
        <v>3900</v>
      </c>
      <c r="BH146" s="138">
        <f t="shared" si="62"/>
        <v>0</v>
      </c>
      <c r="BI146" s="138">
        <f t="shared" si="54"/>
        <v>0</v>
      </c>
      <c r="BJ146" s="138">
        <f t="shared" si="54"/>
        <v>5400</v>
      </c>
      <c r="BK146" s="12">
        <v>43</v>
      </c>
      <c r="BL146" s="6">
        <v>0</v>
      </c>
      <c r="BM146" s="12">
        <v>0</v>
      </c>
      <c r="BN146" s="12">
        <v>16</v>
      </c>
      <c r="BO146" s="138">
        <f t="shared" si="63"/>
        <v>4300</v>
      </c>
      <c r="BP146" s="138">
        <f t="shared" si="63"/>
        <v>0</v>
      </c>
      <c r="BQ146" s="138">
        <f t="shared" si="55"/>
        <v>0</v>
      </c>
      <c r="BR146" s="138">
        <f t="shared" si="55"/>
        <v>4800</v>
      </c>
      <c r="BS146" s="12">
        <v>43</v>
      </c>
      <c r="BT146" s="6">
        <v>0</v>
      </c>
      <c r="BU146" s="12">
        <v>0</v>
      </c>
      <c r="BV146" s="12">
        <v>16</v>
      </c>
      <c r="BW146" s="138">
        <f t="shared" si="64"/>
        <v>4300</v>
      </c>
      <c r="BX146" s="138">
        <f t="shared" si="64"/>
        <v>0</v>
      </c>
      <c r="BY146" s="138">
        <f t="shared" si="56"/>
        <v>0</v>
      </c>
      <c r="BZ146" s="138">
        <f t="shared" si="56"/>
        <v>4800</v>
      </c>
      <c r="CA146" s="125"/>
      <c r="CB146" s="125"/>
      <c r="CC146" s="125"/>
      <c r="CD146" s="125"/>
      <c r="CE146" s="125"/>
      <c r="CF146" s="125"/>
      <c r="CG146" s="125"/>
      <c r="CH146" s="125"/>
      <c r="CI146" s="125"/>
      <c r="CJ146" s="125"/>
      <c r="CK146" s="125"/>
      <c r="CL146" s="125"/>
      <c r="CM146" s="125"/>
      <c r="CN146" s="125"/>
      <c r="CO146" s="125"/>
      <c r="CP146" s="125"/>
      <c r="CQ146" s="125"/>
      <c r="CR146" s="125"/>
      <c r="CS146" s="125"/>
      <c r="CT146" s="125"/>
      <c r="CU146" s="125"/>
      <c r="CV146" s="125"/>
      <c r="CW146" s="125"/>
      <c r="CX146" s="125"/>
      <c r="CY146" s="125"/>
      <c r="CZ146" s="125"/>
      <c r="DA146" s="125"/>
      <c r="DB146" s="125"/>
      <c r="DC146" s="125"/>
      <c r="DD146" s="125"/>
      <c r="DE146" s="125"/>
      <c r="DF146" s="125"/>
      <c r="DG146" s="125"/>
      <c r="DH146" s="125"/>
      <c r="DI146" s="125"/>
      <c r="DJ146" s="125"/>
      <c r="DK146" s="125"/>
      <c r="DL146" s="125"/>
      <c r="DM146" s="125"/>
      <c r="DN146" s="125"/>
      <c r="DO146" s="125"/>
      <c r="DP146" s="125"/>
      <c r="DQ146" s="125"/>
      <c r="DR146" s="125"/>
      <c r="DS146" s="125"/>
      <c r="DT146" s="125"/>
      <c r="DU146" s="125"/>
      <c r="DV146" s="125"/>
      <c r="DW146" s="125"/>
      <c r="DX146" s="125"/>
      <c r="DY146" s="125"/>
      <c r="DZ146" s="125"/>
      <c r="EA146" s="125"/>
      <c r="EB146" s="125"/>
      <c r="EC146" s="125"/>
      <c r="ED146" s="125"/>
      <c r="EE146" s="125"/>
      <c r="EF146" s="125"/>
      <c r="EG146" s="125"/>
      <c r="EH146" s="125"/>
      <c r="EI146" s="125"/>
      <c r="EJ146" s="125"/>
      <c r="EK146" s="125"/>
      <c r="EL146" s="125"/>
    </row>
    <row r="147" spans="1:142">
      <c r="A147" s="125">
        <v>39</v>
      </c>
      <c r="B147" s="81" t="s">
        <v>231</v>
      </c>
      <c r="C147" s="125"/>
      <c r="D147" s="125"/>
      <c r="E147" s="125"/>
      <c r="F147" s="125"/>
      <c r="G147" s="77">
        <v>55</v>
      </c>
      <c r="H147" s="90">
        <v>0</v>
      </c>
      <c r="I147" s="77">
        <v>0</v>
      </c>
      <c r="J147" s="77">
        <v>5</v>
      </c>
      <c r="K147" s="125">
        <f t="shared" si="43"/>
        <v>5500</v>
      </c>
      <c r="L147" s="125">
        <f t="shared" si="43"/>
        <v>0</v>
      </c>
      <c r="M147" s="125">
        <f t="shared" si="44"/>
        <v>0</v>
      </c>
      <c r="N147" s="125">
        <f t="shared" si="44"/>
        <v>1500</v>
      </c>
      <c r="O147" s="77">
        <v>53</v>
      </c>
      <c r="P147" s="90">
        <v>0</v>
      </c>
      <c r="Q147" s="77">
        <v>0</v>
      </c>
      <c r="R147" s="77">
        <v>3</v>
      </c>
      <c r="S147" s="125">
        <f t="shared" si="57"/>
        <v>5300</v>
      </c>
      <c r="T147" s="125">
        <f t="shared" si="57"/>
        <v>0</v>
      </c>
      <c r="U147" s="125">
        <f t="shared" si="46"/>
        <v>0</v>
      </c>
      <c r="V147" s="125">
        <f t="shared" si="46"/>
        <v>900</v>
      </c>
      <c r="W147" s="77">
        <v>55</v>
      </c>
      <c r="X147" s="90">
        <v>0</v>
      </c>
      <c r="Y147" s="77">
        <v>0</v>
      </c>
      <c r="Z147" s="77">
        <v>6</v>
      </c>
      <c r="AA147" s="125">
        <f t="shared" si="58"/>
        <v>5500</v>
      </c>
      <c r="AB147" s="125">
        <f t="shared" si="58"/>
        <v>0</v>
      </c>
      <c r="AC147" s="125">
        <f t="shared" si="48"/>
        <v>0</v>
      </c>
      <c r="AD147" s="125">
        <f t="shared" si="48"/>
        <v>1800</v>
      </c>
      <c r="AE147" s="77">
        <v>38</v>
      </c>
      <c r="AF147" s="90">
        <v>0</v>
      </c>
      <c r="AG147" s="77">
        <v>0</v>
      </c>
      <c r="AH147" s="77">
        <v>10</v>
      </c>
      <c r="AI147" s="125">
        <f t="shared" si="59"/>
        <v>3800</v>
      </c>
      <c r="AJ147" s="125">
        <f t="shared" si="59"/>
        <v>0</v>
      </c>
      <c r="AK147" s="125">
        <f t="shared" si="50"/>
        <v>0</v>
      </c>
      <c r="AL147" s="125">
        <f t="shared" si="50"/>
        <v>3000</v>
      </c>
      <c r="AM147" s="77">
        <v>40</v>
      </c>
      <c r="AN147" s="90">
        <v>0</v>
      </c>
      <c r="AO147" s="77">
        <v>0</v>
      </c>
      <c r="AP147" s="77">
        <v>12</v>
      </c>
      <c r="AQ147" s="125">
        <f t="shared" si="60"/>
        <v>4000</v>
      </c>
      <c r="AR147" s="125">
        <f t="shared" si="60"/>
        <v>0</v>
      </c>
      <c r="AS147" s="125">
        <f t="shared" si="52"/>
        <v>0</v>
      </c>
      <c r="AT147" s="125">
        <f t="shared" si="52"/>
        <v>3600</v>
      </c>
      <c r="AU147" s="12">
        <v>45</v>
      </c>
      <c r="AV147" s="6">
        <v>0</v>
      </c>
      <c r="AW147" s="12">
        <v>0</v>
      </c>
      <c r="AX147" s="12">
        <v>19</v>
      </c>
      <c r="AY147" s="138">
        <f t="shared" si="61"/>
        <v>4500</v>
      </c>
      <c r="AZ147" s="138">
        <f t="shared" si="61"/>
        <v>0</v>
      </c>
      <c r="BA147" s="138">
        <f t="shared" si="53"/>
        <v>0</v>
      </c>
      <c r="BB147" s="138">
        <f t="shared" si="53"/>
        <v>5700</v>
      </c>
      <c r="BC147" s="12">
        <v>48</v>
      </c>
      <c r="BD147" s="6">
        <v>0</v>
      </c>
      <c r="BE147" s="12">
        <v>0</v>
      </c>
      <c r="BF147" s="12">
        <v>20</v>
      </c>
      <c r="BG147" s="138">
        <f t="shared" si="62"/>
        <v>4800</v>
      </c>
      <c r="BH147" s="138">
        <f t="shared" si="62"/>
        <v>0</v>
      </c>
      <c r="BI147" s="138">
        <f t="shared" si="54"/>
        <v>0</v>
      </c>
      <c r="BJ147" s="138">
        <f t="shared" si="54"/>
        <v>6000</v>
      </c>
      <c r="BK147" s="12">
        <v>48</v>
      </c>
      <c r="BL147" s="6">
        <v>0</v>
      </c>
      <c r="BM147" s="12">
        <v>0</v>
      </c>
      <c r="BN147" s="12">
        <v>20</v>
      </c>
      <c r="BO147" s="138">
        <f t="shared" si="63"/>
        <v>4800</v>
      </c>
      <c r="BP147" s="138">
        <f t="shared" si="63"/>
        <v>0</v>
      </c>
      <c r="BQ147" s="138">
        <f t="shared" si="55"/>
        <v>0</v>
      </c>
      <c r="BR147" s="138">
        <f t="shared" si="55"/>
        <v>6000</v>
      </c>
      <c r="BS147" s="12">
        <v>48</v>
      </c>
      <c r="BT147" s="6">
        <v>0</v>
      </c>
      <c r="BU147" s="12">
        <v>0</v>
      </c>
      <c r="BV147" s="12">
        <v>20</v>
      </c>
      <c r="BW147" s="138">
        <f t="shared" si="64"/>
        <v>4800</v>
      </c>
      <c r="BX147" s="138">
        <f t="shared" si="64"/>
        <v>0</v>
      </c>
      <c r="BY147" s="138">
        <f t="shared" si="56"/>
        <v>0</v>
      </c>
      <c r="BZ147" s="138">
        <f t="shared" si="56"/>
        <v>6000</v>
      </c>
      <c r="CA147" s="125"/>
      <c r="CB147" s="125"/>
      <c r="CC147" s="125"/>
      <c r="CD147" s="125"/>
      <c r="CE147" s="125"/>
      <c r="CF147" s="125"/>
      <c r="CG147" s="125"/>
      <c r="CH147" s="125"/>
      <c r="CI147" s="125"/>
      <c r="CJ147" s="125"/>
      <c r="CK147" s="125"/>
      <c r="CL147" s="125"/>
      <c r="CM147" s="125"/>
      <c r="CN147" s="125"/>
      <c r="CO147" s="125"/>
      <c r="CP147" s="125"/>
      <c r="CQ147" s="125"/>
      <c r="CR147" s="125"/>
      <c r="CS147" s="125"/>
      <c r="CT147" s="125"/>
      <c r="CU147" s="125"/>
      <c r="CV147" s="125"/>
      <c r="CW147" s="125"/>
      <c r="CX147" s="125"/>
      <c r="CY147" s="125"/>
      <c r="CZ147" s="125"/>
      <c r="DA147" s="125"/>
      <c r="DB147" s="125"/>
      <c r="DC147" s="125"/>
      <c r="DD147" s="125"/>
      <c r="DE147" s="125"/>
      <c r="DF147" s="125"/>
      <c r="DG147" s="125"/>
      <c r="DH147" s="125"/>
      <c r="DI147" s="125"/>
      <c r="DJ147" s="125"/>
      <c r="DK147" s="125"/>
      <c r="DL147" s="125"/>
      <c r="DM147" s="125"/>
      <c r="DN147" s="125"/>
      <c r="DO147" s="125"/>
      <c r="DP147" s="125"/>
      <c r="DQ147" s="125"/>
      <c r="DR147" s="125"/>
      <c r="DS147" s="125"/>
      <c r="DT147" s="125"/>
      <c r="DU147" s="125"/>
      <c r="DV147" s="125"/>
      <c r="DW147" s="125"/>
      <c r="DX147" s="125"/>
      <c r="DY147" s="125"/>
      <c r="DZ147" s="125"/>
      <c r="EA147" s="125"/>
      <c r="EB147" s="125"/>
      <c r="EC147" s="125"/>
      <c r="ED147" s="125"/>
      <c r="EE147" s="125"/>
      <c r="EF147" s="125"/>
      <c r="EG147" s="125"/>
      <c r="EH147" s="125"/>
      <c r="EI147" s="125"/>
      <c r="EJ147" s="125"/>
      <c r="EK147" s="125"/>
      <c r="EL147" s="125"/>
    </row>
    <row r="148" spans="1:142">
      <c r="A148" s="125">
        <v>40</v>
      </c>
      <c r="B148" s="81" t="s">
        <v>232</v>
      </c>
      <c r="C148" s="125"/>
      <c r="D148" s="125"/>
      <c r="E148" s="125"/>
      <c r="F148" s="125"/>
      <c r="G148" s="77">
        <v>35</v>
      </c>
      <c r="H148" s="90">
        <v>25</v>
      </c>
      <c r="I148" s="77">
        <v>0</v>
      </c>
      <c r="J148" s="77">
        <v>5</v>
      </c>
      <c r="K148" s="125">
        <f t="shared" si="43"/>
        <v>3500</v>
      </c>
      <c r="L148" s="125">
        <f t="shared" si="43"/>
        <v>2500</v>
      </c>
      <c r="M148" s="125">
        <f t="shared" si="44"/>
        <v>0</v>
      </c>
      <c r="N148" s="125">
        <f t="shared" si="44"/>
        <v>1500</v>
      </c>
      <c r="O148" s="77">
        <v>32</v>
      </c>
      <c r="P148" s="90">
        <v>30</v>
      </c>
      <c r="Q148" s="77">
        <v>0</v>
      </c>
      <c r="R148" s="77">
        <v>4</v>
      </c>
      <c r="S148" s="125">
        <f t="shared" si="57"/>
        <v>3200</v>
      </c>
      <c r="T148" s="125">
        <f t="shared" si="57"/>
        <v>3000</v>
      </c>
      <c r="U148" s="125">
        <f t="shared" si="46"/>
        <v>0</v>
      </c>
      <c r="V148" s="125">
        <f t="shared" si="46"/>
        <v>1200</v>
      </c>
      <c r="W148" s="77">
        <v>35</v>
      </c>
      <c r="X148" s="90">
        <v>30</v>
      </c>
      <c r="Y148" s="77">
        <v>0</v>
      </c>
      <c r="Z148" s="77">
        <v>8</v>
      </c>
      <c r="AA148" s="125">
        <f t="shared" si="58"/>
        <v>3500</v>
      </c>
      <c r="AB148" s="125">
        <f t="shared" si="58"/>
        <v>3000</v>
      </c>
      <c r="AC148" s="125">
        <f t="shared" si="48"/>
        <v>0</v>
      </c>
      <c r="AD148" s="125">
        <f t="shared" si="48"/>
        <v>2400</v>
      </c>
      <c r="AE148" s="77">
        <v>35</v>
      </c>
      <c r="AF148" s="90">
        <v>30</v>
      </c>
      <c r="AG148" s="77">
        <v>0</v>
      </c>
      <c r="AH148" s="77">
        <v>12.5</v>
      </c>
      <c r="AI148" s="125">
        <f t="shared" si="59"/>
        <v>3500</v>
      </c>
      <c r="AJ148" s="125">
        <f t="shared" si="59"/>
        <v>3000</v>
      </c>
      <c r="AK148" s="125">
        <f t="shared" si="50"/>
        <v>0</v>
      </c>
      <c r="AL148" s="125">
        <f t="shared" si="50"/>
        <v>3750</v>
      </c>
      <c r="AM148" s="77">
        <v>36</v>
      </c>
      <c r="AN148" s="90">
        <v>32</v>
      </c>
      <c r="AO148" s="77">
        <v>0</v>
      </c>
      <c r="AP148" s="77">
        <v>14</v>
      </c>
      <c r="AQ148" s="125">
        <f t="shared" si="60"/>
        <v>3600</v>
      </c>
      <c r="AR148" s="125">
        <f t="shared" si="60"/>
        <v>3200</v>
      </c>
      <c r="AS148" s="125">
        <f t="shared" si="52"/>
        <v>0</v>
      </c>
      <c r="AT148" s="125">
        <f t="shared" si="52"/>
        <v>4200</v>
      </c>
      <c r="AU148" s="12">
        <v>38</v>
      </c>
      <c r="AV148" s="6">
        <v>32</v>
      </c>
      <c r="AW148" s="12">
        <v>0</v>
      </c>
      <c r="AX148" s="12">
        <v>20</v>
      </c>
      <c r="AY148" s="138">
        <f t="shared" si="61"/>
        <v>3800</v>
      </c>
      <c r="AZ148" s="138">
        <f t="shared" si="61"/>
        <v>3200</v>
      </c>
      <c r="BA148" s="138">
        <f t="shared" si="53"/>
        <v>0</v>
      </c>
      <c r="BB148" s="138">
        <f t="shared" si="53"/>
        <v>6000</v>
      </c>
      <c r="BC148" s="12">
        <v>43</v>
      </c>
      <c r="BD148" s="6">
        <v>32</v>
      </c>
      <c r="BE148" s="12">
        <v>0</v>
      </c>
      <c r="BF148" s="12">
        <v>20</v>
      </c>
      <c r="BG148" s="138">
        <f t="shared" si="62"/>
        <v>4300</v>
      </c>
      <c r="BH148" s="138">
        <f t="shared" si="62"/>
        <v>3200</v>
      </c>
      <c r="BI148" s="138">
        <f t="shared" si="54"/>
        <v>0</v>
      </c>
      <c r="BJ148" s="138">
        <f t="shared" si="54"/>
        <v>6000</v>
      </c>
      <c r="BK148" s="12">
        <v>50</v>
      </c>
      <c r="BL148" s="6">
        <v>32</v>
      </c>
      <c r="BM148" s="12">
        <v>0</v>
      </c>
      <c r="BN148" s="12">
        <v>18</v>
      </c>
      <c r="BO148" s="138">
        <f t="shared" si="63"/>
        <v>5000</v>
      </c>
      <c r="BP148" s="138">
        <f t="shared" si="63"/>
        <v>3200</v>
      </c>
      <c r="BQ148" s="138">
        <f t="shared" si="55"/>
        <v>0</v>
      </c>
      <c r="BR148" s="138">
        <f t="shared" si="55"/>
        <v>5400</v>
      </c>
      <c r="BS148" s="12">
        <v>50</v>
      </c>
      <c r="BT148" s="6">
        <v>32</v>
      </c>
      <c r="BU148" s="12">
        <v>0</v>
      </c>
      <c r="BV148" s="12">
        <v>18</v>
      </c>
      <c r="BW148" s="138">
        <f t="shared" si="64"/>
        <v>5000</v>
      </c>
      <c r="BX148" s="138">
        <f t="shared" si="64"/>
        <v>3200</v>
      </c>
      <c r="BY148" s="138">
        <f t="shared" si="56"/>
        <v>0</v>
      </c>
      <c r="BZ148" s="138">
        <f t="shared" si="56"/>
        <v>5400</v>
      </c>
      <c r="CA148" s="125"/>
      <c r="CB148" s="125"/>
      <c r="CC148" s="125"/>
      <c r="CD148" s="125"/>
      <c r="CE148" s="125"/>
      <c r="CF148" s="125"/>
      <c r="CG148" s="125"/>
      <c r="CH148" s="125"/>
      <c r="CI148" s="125"/>
      <c r="CJ148" s="125"/>
      <c r="CK148" s="125"/>
      <c r="CL148" s="125"/>
      <c r="CM148" s="125"/>
      <c r="CN148" s="125"/>
      <c r="CO148" s="125"/>
      <c r="CP148" s="125"/>
      <c r="CQ148" s="125"/>
      <c r="CR148" s="125"/>
      <c r="CS148" s="125"/>
      <c r="CT148" s="125"/>
      <c r="CU148" s="125"/>
      <c r="CV148" s="125"/>
      <c r="CW148" s="125"/>
      <c r="CX148" s="125"/>
      <c r="CY148" s="125"/>
      <c r="CZ148" s="125"/>
      <c r="DA148" s="125"/>
      <c r="DB148" s="125"/>
      <c r="DC148" s="125"/>
      <c r="DD148" s="125"/>
      <c r="DE148" s="125"/>
      <c r="DF148" s="125"/>
      <c r="DG148" s="125"/>
      <c r="DH148" s="125"/>
      <c r="DI148" s="125"/>
      <c r="DJ148" s="125"/>
      <c r="DK148" s="125"/>
      <c r="DL148" s="125"/>
      <c r="DM148" s="125"/>
      <c r="DN148" s="125"/>
      <c r="DO148" s="125"/>
      <c r="DP148" s="125"/>
      <c r="DQ148" s="125"/>
      <c r="DR148" s="125"/>
      <c r="DS148" s="125"/>
      <c r="DT148" s="125"/>
      <c r="DU148" s="125"/>
      <c r="DV148" s="125"/>
      <c r="DW148" s="125"/>
      <c r="DX148" s="125"/>
      <c r="DY148" s="125"/>
      <c r="DZ148" s="125"/>
      <c r="EA148" s="125"/>
      <c r="EB148" s="125"/>
      <c r="EC148" s="125"/>
      <c r="ED148" s="125"/>
      <c r="EE148" s="125"/>
      <c r="EF148" s="125"/>
      <c r="EG148" s="125"/>
      <c r="EH148" s="125"/>
      <c r="EI148" s="125"/>
      <c r="EJ148" s="125"/>
      <c r="EK148" s="125"/>
      <c r="EL148" s="125"/>
    </row>
    <row r="149" spans="1:142">
      <c r="A149" s="125">
        <v>41</v>
      </c>
      <c r="B149" s="81" t="s">
        <v>233</v>
      </c>
      <c r="C149" s="125"/>
      <c r="D149" s="125"/>
      <c r="E149" s="125"/>
      <c r="F149" s="125"/>
      <c r="G149" s="77">
        <v>30</v>
      </c>
      <c r="H149" s="90">
        <v>0</v>
      </c>
      <c r="I149" s="77">
        <v>0</v>
      </c>
      <c r="J149" s="77">
        <v>20</v>
      </c>
      <c r="K149" s="125">
        <f t="shared" si="43"/>
        <v>3000</v>
      </c>
      <c r="L149" s="125">
        <f t="shared" si="43"/>
        <v>0</v>
      </c>
      <c r="M149" s="125">
        <f t="shared" si="44"/>
        <v>0</v>
      </c>
      <c r="N149" s="125">
        <f t="shared" si="44"/>
        <v>6000</v>
      </c>
      <c r="O149" s="77">
        <v>32</v>
      </c>
      <c r="P149" s="90">
        <v>0</v>
      </c>
      <c r="Q149" s="77">
        <v>0</v>
      </c>
      <c r="R149" s="77">
        <v>20</v>
      </c>
      <c r="S149" s="125">
        <f t="shared" si="57"/>
        <v>3200</v>
      </c>
      <c r="T149" s="125">
        <f t="shared" si="57"/>
        <v>0</v>
      </c>
      <c r="U149" s="125">
        <f t="shared" si="46"/>
        <v>0</v>
      </c>
      <c r="V149" s="125">
        <f t="shared" si="46"/>
        <v>6000</v>
      </c>
      <c r="W149" s="77">
        <v>34</v>
      </c>
      <c r="X149" s="90">
        <v>0</v>
      </c>
      <c r="Y149" s="77">
        <v>0</v>
      </c>
      <c r="Z149" s="77">
        <v>20</v>
      </c>
      <c r="AA149" s="125">
        <f t="shared" si="58"/>
        <v>3400</v>
      </c>
      <c r="AB149" s="125">
        <f t="shared" si="58"/>
        <v>0</v>
      </c>
      <c r="AC149" s="125">
        <f t="shared" si="48"/>
        <v>0</v>
      </c>
      <c r="AD149" s="125">
        <f t="shared" si="48"/>
        <v>6000</v>
      </c>
      <c r="AE149" s="77">
        <v>30</v>
      </c>
      <c r="AF149" s="90">
        <v>0</v>
      </c>
      <c r="AG149" s="77">
        <v>0</v>
      </c>
      <c r="AH149" s="77">
        <v>10</v>
      </c>
      <c r="AI149" s="125">
        <f t="shared" si="59"/>
        <v>3000</v>
      </c>
      <c r="AJ149" s="125">
        <f t="shared" si="59"/>
        <v>0</v>
      </c>
      <c r="AK149" s="125">
        <f t="shared" si="50"/>
        <v>0</v>
      </c>
      <c r="AL149" s="125">
        <f t="shared" si="50"/>
        <v>3000</v>
      </c>
      <c r="AM149" s="77">
        <v>38</v>
      </c>
      <c r="AN149" s="90">
        <v>0</v>
      </c>
      <c r="AO149" s="77">
        <v>0</v>
      </c>
      <c r="AP149" s="77">
        <v>10</v>
      </c>
      <c r="AQ149" s="125">
        <f t="shared" si="60"/>
        <v>3800</v>
      </c>
      <c r="AR149" s="125">
        <f t="shared" si="60"/>
        <v>0</v>
      </c>
      <c r="AS149" s="125">
        <f t="shared" si="52"/>
        <v>0</v>
      </c>
      <c r="AT149" s="125">
        <f t="shared" si="52"/>
        <v>3000</v>
      </c>
      <c r="AU149" s="12">
        <v>42</v>
      </c>
      <c r="AV149" s="6">
        <v>0</v>
      </c>
      <c r="AW149" s="12">
        <v>0</v>
      </c>
      <c r="AX149" s="12">
        <v>12</v>
      </c>
      <c r="AY149" s="138">
        <f t="shared" si="61"/>
        <v>4200</v>
      </c>
      <c r="AZ149" s="138">
        <f t="shared" si="61"/>
        <v>0</v>
      </c>
      <c r="BA149" s="138">
        <f t="shared" si="53"/>
        <v>0</v>
      </c>
      <c r="BB149" s="138">
        <f t="shared" si="53"/>
        <v>3600</v>
      </c>
      <c r="BC149" s="12">
        <v>46</v>
      </c>
      <c r="BD149" s="6">
        <v>0</v>
      </c>
      <c r="BE149" s="12">
        <v>0</v>
      </c>
      <c r="BF149" s="12">
        <v>12</v>
      </c>
      <c r="BG149" s="138">
        <f t="shared" si="62"/>
        <v>4600</v>
      </c>
      <c r="BH149" s="138">
        <f t="shared" si="62"/>
        <v>0</v>
      </c>
      <c r="BI149" s="138">
        <f t="shared" si="54"/>
        <v>0</v>
      </c>
      <c r="BJ149" s="138">
        <f t="shared" si="54"/>
        <v>3600</v>
      </c>
      <c r="BK149" s="12">
        <v>46</v>
      </c>
      <c r="BL149" s="6">
        <v>0</v>
      </c>
      <c r="BM149" s="12">
        <v>0</v>
      </c>
      <c r="BN149" s="12">
        <v>20</v>
      </c>
      <c r="BO149" s="138">
        <f t="shared" si="63"/>
        <v>4600</v>
      </c>
      <c r="BP149" s="138">
        <f t="shared" si="63"/>
        <v>0</v>
      </c>
      <c r="BQ149" s="138">
        <f t="shared" si="55"/>
        <v>0</v>
      </c>
      <c r="BR149" s="138">
        <f t="shared" si="55"/>
        <v>6000</v>
      </c>
      <c r="BS149" s="12">
        <v>48</v>
      </c>
      <c r="BT149" s="6">
        <v>0</v>
      </c>
      <c r="BU149" s="12">
        <v>0</v>
      </c>
      <c r="BV149" s="12">
        <v>20</v>
      </c>
      <c r="BW149" s="138">
        <f t="shared" si="64"/>
        <v>4800</v>
      </c>
      <c r="BX149" s="138">
        <f t="shared" si="64"/>
        <v>0</v>
      </c>
      <c r="BY149" s="138">
        <f t="shared" si="56"/>
        <v>0</v>
      </c>
      <c r="BZ149" s="138">
        <f t="shared" si="56"/>
        <v>6000</v>
      </c>
      <c r="CA149" s="125"/>
      <c r="CB149" s="125"/>
      <c r="CC149" s="125"/>
      <c r="CD149" s="125"/>
      <c r="CE149" s="125"/>
      <c r="CF149" s="125"/>
      <c r="CG149" s="125"/>
      <c r="CH149" s="125"/>
      <c r="CI149" s="125"/>
      <c r="CJ149" s="125"/>
      <c r="CK149" s="125"/>
      <c r="CL149" s="125"/>
      <c r="CM149" s="125"/>
      <c r="CN149" s="125"/>
      <c r="CO149" s="125"/>
      <c r="CP149" s="125"/>
      <c r="CQ149" s="125"/>
      <c r="CR149" s="125"/>
      <c r="CS149" s="125"/>
      <c r="CT149" s="125"/>
      <c r="CU149" s="125"/>
      <c r="CV149" s="125"/>
      <c r="CW149" s="125"/>
      <c r="CX149" s="125"/>
      <c r="CY149" s="125"/>
      <c r="CZ149" s="125"/>
      <c r="DA149" s="125"/>
      <c r="DB149" s="125"/>
      <c r="DC149" s="125"/>
      <c r="DD149" s="125"/>
      <c r="DE149" s="125"/>
      <c r="DF149" s="125"/>
      <c r="DG149" s="125"/>
      <c r="DH149" s="125"/>
      <c r="DI149" s="125"/>
      <c r="DJ149" s="125"/>
      <c r="DK149" s="125"/>
      <c r="DL149" s="125"/>
      <c r="DM149" s="125"/>
      <c r="DN149" s="125"/>
      <c r="DO149" s="125"/>
      <c r="DP149" s="125"/>
      <c r="DQ149" s="125"/>
      <c r="DR149" s="125"/>
      <c r="DS149" s="125"/>
      <c r="DT149" s="125"/>
      <c r="DU149" s="125"/>
      <c r="DV149" s="125"/>
      <c r="DW149" s="125"/>
      <c r="DX149" s="125"/>
      <c r="DY149" s="125"/>
      <c r="DZ149" s="125"/>
      <c r="EA149" s="125"/>
      <c r="EB149" s="125"/>
      <c r="EC149" s="125"/>
      <c r="ED149" s="125"/>
      <c r="EE149" s="125"/>
      <c r="EF149" s="125"/>
      <c r="EG149" s="125"/>
      <c r="EH149" s="125"/>
      <c r="EI149" s="125"/>
      <c r="EJ149" s="125"/>
      <c r="EK149" s="125"/>
      <c r="EL149" s="125"/>
    </row>
    <row r="150" spans="1:142">
      <c r="A150" s="125">
        <v>42</v>
      </c>
      <c r="B150" s="81" t="s">
        <v>234</v>
      </c>
      <c r="C150" s="125"/>
      <c r="D150" s="125"/>
      <c r="E150" s="125"/>
      <c r="F150" s="125"/>
      <c r="G150" s="77">
        <v>43</v>
      </c>
      <c r="H150" s="90">
        <v>0</v>
      </c>
      <c r="I150" s="77">
        <v>0</v>
      </c>
      <c r="J150" s="77">
        <v>10</v>
      </c>
      <c r="K150" s="125">
        <f t="shared" si="43"/>
        <v>4300</v>
      </c>
      <c r="L150" s="125">
        <f t="shared" si="43"/>
        <v>0</v>
      </c>
      <c r="M150" s="125">
        <f t="shared" si="44"/>
        <v>0</v>
      </c>
      <c r="N150" s="125">
        <f t="shared" si="44"/>
        <v>3000</v>
      </c>
      <c r="O150" s="77">
        <v>43</v>
      </c>
      <c r="P150" s="90">
        <v>0</v>
      </c>
      <c r="Q150" s="77">
        <v>0</v>
      </c>
      <c r="R150" s="77">
        <v>16</v>
      </c>
      <c r="S150" s="125">
        <f t="shared" si="57"/>
        <v>4300</v>
      </c>
      <c r="T150" s="125">
        <f t="shared" si="57"/>
        <v>0</v>
      </c>
      <c r="U150" s="125">
        <f t="shared" si="46"/>
        <v>0</v>
      </c>
      <c r="V150" s="125">
        <f t="shared" si="46"/>
        <v>4800</v>
      </c>
      <c r="W150" s="77">
        <v>45</v>
      </c>
      <c r="X150" s="90">
        <v>0</v>
      </c>
      <c r="Y150" s="77">
        <v>0</v>
      </c>
      <c r="Z150" s="77">
        <v>14</v>
      </c>
      <c r="AA150" s="125">
        <f t="shared" si="58"/>
        <v>4500</v>
      </c>
      <c r="AB150" s="125">
        <f t="shared" si="58"/>
        <v>0</v>
      </c>
      <c r="AC150" s="125">
        <f t="shared" si="48"/>
        <v>0</v>
      </c>
      <c r="AD150" s="125">
        <f t="shared" si="48"/>
        <v>4200</v>
      </c>
      <c r="AE150" s="77">
        <v>40</v>
      </c>
      <c r="AF150" s="90">
        <v>0</v>
      </c>
      <c r="AG150" s="77">
        <v>0</v>
      </c>
      <c r="AH150" s="77">
        <v>20</v>
      </c>
      <c r="AI150" s="125">
        <f t="shared" si="59"/>
        <v>4000</v>
      </c>
      <c r="AJ150" s="125">
        <f t="shared" si="59"/>
        <v>0</v>
      </c>
      <c r="AK150" s="125">
        <f t="shared" si="50"/>
        <v>0</v>
      </c>
      <c r="AL150" s="125">
        <f t="shared" si="50"/>
        <v>6000</v>
      </c>
      <c r="AM150" s="77">
        <v>45</v>
      </c>
      <c r="AN150" s="90">
        <v>0</v>
      </c>
      <c r="AO150" s="77">
        <v>0</v>
      </c>
      <c r="AP150" s="77">
        <v>20</v>
      </c>
      <c r="AQ150" s="125">
        <f t="shared" si="60"/>
        <v>4500</v>
      </c>
      <c r="AR150" s="125">
        <f t="shared" si="60"/>
        <v>0</v>
      </c>
      <c r="AS150" s="125">
        <f t="shared" si="52"/>
        <v>0</v>
      </c>
      <c r="AT150" s="125">
        <f t="shared" si="52"/>
        <v>6000</v>
      </c>
      <c r="AU150" s="12">
        <v>48</v>
      </c>
      <c r="AV150" s="6">
        <v>0</v>
      </c>
      <c r="AW150" s="12">
        <v>0</v>
      </c>
      <c r="AX150" s="12">
        <v>20</v>
      </c>
      <c r="AY150" s="138">
        <f t="shared" si="61"/>
        <v>4800</v>
      </c>
      <c r="AZ150" s="138">
        <f t="shared" si="61"/>
        <v>0</v>
      </c>
      <c r="BA150" s="138">
        <f t="shared" si="53"/>
        <v>0</v>
      </c>
      <c r="BB150" s="138">
        <f t="shared" si="53"/>
        <v>6000</v>
      </c>
      <c r="BC150" s="12">
        <v>52</v>
      </c>
      <c r="BD150" s="6">
        <v>0</v>
      </c>
      <c r="BE150" s="12">
        <v>0</v>
      </c>
      <c r="BF150" s="12">
        <v>18</v>
      </c>
      <c r="BG150" s="138">
        <f t="shared" si="62"/>
        <v>5200</v>
      </c>
      <c r="BH150" s="138">
        <f t="shared" si="62"/>
        <v>0</v>
      </c>
      <c r="BI150" s="138">
        <f t="shared" si="54"/>
        <v>0</v>
      </c>
      <c r="BJ150" s="138">
        <f t="shared" si="54"/>
        <v>5400</v>
      </c>
      <c r="BK150" s="12">
        <v>52</v>
      </c>
      <c r="BL150" s="6">
        <v>0</v>
      </c>
      <c r="BM150" s="12">
        <v>0</v>
      </c>
      <c r="BN150" s="12">
        <v>18</v>
      </c>
      <c r="BO150" s="138">
        <f t="shared" si="63"/>
        <v>5200</v>
      </c>
      <c r="BP150" s="138">
        <f t="shared" si="63"/>
        <v>0</v>
      </c>
      <c r="BQ150" s="138">
        <f t="shared" si="55"/>
        <v>0</v>
      </c>
      <c r="BR150" s="138">
        <f t="shared" si="55"/>
        <v>5400</v>
      </c>
      <c r="BS150" s="12">
        <v>54</v>
      </c>
      <c r="BT150" s="6">
        <v>0</v>
      </c>
      <c r="BU150" s="12">
        <v>0</v>
      </c>
      <c r="BV150" s="12">
        <v>18</v>
      </c>
      <c r="BW150" s="138">
        <f t="shared" si="64"/>
        <v>5400</v>
      </c>
      <c r="BX150" s="138">
        <f t="shared" si="64"/>
        <v>0</v>
      </c>
      <c r="BY150" s="138">
        <f t="shared" si="56"/>
        <v>0</v>
      </c>
      <c r="BZ150" s="138">
        <f t="shared" si="56"/>
        <v>5400</v>
      </c>
      <c r="CA150" s="125"/>
      <c r="CB150" s="125"/>
      <c r="CC150" s="125"/>
      <c r="CD150" s="125"/>
      <c r="CE150" s="125"/>
      <c r="CF150" s="125"/>
      <c r="CG150" s="125"/>
      <c r="CH150" s="125"/>
      <c r="CI150" s="125"/>
      <c r="CJ150" s="125"/>
      <c r="CK150" s="125"/>
      <c r="CL150" s="125"/>
      <c r="CM150" s="125"/>
      <c r="CN150" s="125"/>
      <c r="CO150" s="125"/>
      <c r="CP150" s="125"/>
      <c r="CQ150" s="125"/>
      <c r="CR150" s="125"/>
      <c r="CS150" s="125"/>
      <c r="CT150" s="125"/>
      <c r="CU150" s="125"/>
      <c r="CV150" s="125"/>
      <c r="CW150" s="125"/>
      <c r="CX150" s="125"/>
      <c r="CY150" s="125"/>
      <c r="CZ150" s="125"/>
      <c r="DA150" s="125"/>
      <c r="DB150" s="125"/>
      <c r="DC150" s="125"/>
      <c r="DD150" s="125"/>
      <c r="DE150" s="125"/>
      <c r="DF150" s="125"/>
      <c r="DG150" s="125"/>
      <c r="DH150" s="125"/>
      <c r="DI150" s="125"/>
      <c r="DJ150" s="125"/>
      <c r="DK150" s="125"/>
      <c r="DL150" s="125"/>
      <c r="DM150" s="125"/>
      <c r="DN150" s="125"/>
      <c r="DO150" s="125"/>
      <c r="DP150" s="125"/>
      <c r="DQ150" s="125"/>
      <c r="DR150" s="125"/>
      <c r="DS150" s="125"/>
      <c r="DT150" s="125"/>
      <c r="DU150" s="125"/>
      <c r="DV150" s="125"/>
      <c r="DW150" s="125"/>
      <c r="DX150" s="125"/>
      <c r="DY150" s="125"/>
      <c r="DZ150" s="125"/>
      <c r="EA150" s="125"/>
      <c r="EB150" s="125"/>
      <c r="EC150" s="125"/>
      <c r="ED150" s="125"/>
      <c r="EE150" s="125"/>
      <c r="EF150" s="125"/>
      <c r="EG150" s="125"/>
      <c r="EH150" s="125"/>
      <c r="EI150" s="125"/>
      <c r="EJ150" s="125"/>
      <c r="EK150" s="125"/>
      <c r="EL150" s="125"/>
    </row>
    <row r="151" spans="1:142">
      <c r="A151" s="125">
        <v>43</v>
      </c>
      <c r="B151" s="81" t="s">
        <v>235</v>
      </c>
      <c r="C151" s="125"/>
      <c r="D151" s="125"/>
      <c r="E151" s="125"/>
      <c r="F151" s="125"/>
      <c r="G151" s="77">
        <v>30</v>
      </c>
      <c r="H151" s="90">
        <v>0</v>
      </c>
      <c r="I151" s="77">
        <v>0</v>
      </c>
      <c r="J151" s="77">
        <v>12</v>
      </c>
      <c r="K151" s="125">
        <f t="shared" si="43"/>
        <v>3000</v>
      </c>
      <c r="L151" s="125">
        <f t="shared" si="43"/>
        <v>0</v>
      </c>
      <c r="M151" s="125">
        <f t="shared" si="44"/>
        <v>0</v>
      </c>
      <c r="N151" s="125">
        <f t="shared" si="44"/>
        <v>3600</v>
      </c>
      <c r="O151" s="77">
        <v>30</v>
      </c>
      <c r="P151" s="90">
        <v>0</v>
      </c>
      <c r="Q151" s="77">
        <v>0</v>
      </c>
      <c r="R151" s="77">
        <v>18</v>
      </c>
      <c r="S151" s="125">
        <f t="shared" si="57"/>
        <v>3000</v>
      </c>
      <c r="T151" s="125">
        <f t="shared" si="57"/>
        <v>0</v>
      </c>
      <c r="U151" s="125">
        <f t="shared" si="46"/>
        <v>0</v>
      </c>
      <c r="V151" s="125">
        <f t="shared" si="46"/>
        <v>5400</v>
      </c>
      <c r="W151" s="77">
        <v>30</v>
      </c>
      <c r="X151" s="90">
        <v>0</v>
      </c>
      <c r="Y151" s="77">
        <v>0</v>
      </c>
      <c r="Z151" s="77">
        <v>20</v>
      </c>
      <c r="AA151" s="125">
        <f t="shared" si="58"/>
        <v>3000</v>
      </c>
      <c r="AB151" s="125">
        <f t="shared" si="58"/>
        <v>0</v>
      </c>
      <c r="AC151" s="125">
        <f t="shared" si="48"/>
        <v>0</v>
      </c>
      <c r="AD151" s="125">
        <f t="shared" si="48"/>
        <v>6000</v>
      </c>
      <c r="AE151" s="77">
        <v>36</v>
      </c>
      <c r="AF151" s="90">
        <v>0</v>
      </c>
      <c r="AG151" s="77">
        <v>0</v>
      </c>
      <c r="AH151" s="77">
        <v>20</v>
      </c>
      <c r="AI151" s="125">
        <f t="shared" si="59"/>
        <v>3600</v>
      </c>
      <c r="AJ151" s="125">
        <f t="shared" si="59"/>
        <v>0</v>
      </c>
      <c r="AK151" s="125">
        <f t="shared" si="50"/>
        <v>0</v>
      </c>
      <c r="AL151" s="125">
        <f t="shared" si="50"/>
        <v>6000</v>
      </c>
      <c r="AM151" s="77">
        <v>42</v>
      </c>
      <c r="AN151" s="90">
        <v>0</v>
      </c>
      <c r="AO151" s="77">
        <v>0</v>
      </c>
      <c r="AP151" s="77">
        <v>20</v>
      </c>
      <c r="AQ151" s="125">
        <f t="shared" si="60"/>
        <v>4200</v>
      </c>
      <c r="AR151" s="125">
        <f t="shared" si="60"/>
        <v>0</v>
      </c>
      <c r="AS151" s="125">
        <f t="shared" si="52"/>
        <v>0</v>
      </c>
      <c r="AT151" s="125">
        <f t="shared" si="52"/>
        <v>6000</v>
      </c>
      <c r="AU151" s="12">
        <v>42</v>
      </c>
      <c r="AV151" s="6">
        <v>0</v>
      </c>
      <c r="AW151" s="12">
        <v>0</v>
      </c>
      <c r="AX151" s="12">
        <v>20</v>
      </c>
      <c r="AY151" s="138">
        <f t="shared" si="61"/>
        <v>4200</v>
      </c>
      <c r="AZ151" s="138">
        <f t="shared" si="61"/>
        <v>0</v>
      </c>
      <c r="BA151" s="138">
        <f t="shared" si="53"/>
        <v>0</v>
      </c>
      <c r="BB151" s="138">
        <f t="shared" si="53"/>
        <v>6000</v>
      </c>
      <c r="BC151" s="12">
        <v>44</v>
      </c>
      <c r="BD151" s="6">
        <v>0</v>
      </c>
      <c r="BE151" s="12">
        <v>0</v>
      </c>
      <c r="BF151" s="12">
        <v>20</v>
      </c>
      <c r="BG151" s="138">
        <f t="shared" si="62"/>
        <v>4400</v>
      </c>
      <c r="BH151" s="138">
        <f t="shared" si="62"/>
        <v>0</v>
      </c>
      <c r="BI151" s="138">
        <f t="shared" si="54"/>
        <v>0</v>
      </c>
      <c r="BJ151" s="138">
        <f t="shared" si="54"/>
        <v>6000</v>
      </c>
      <c r="BK151" s="12">
        <v>60</v>
      </c>
      <c r="BL151" s="6">
        <v>0</v>
      </c>
      <c r="BM151" s="12">
        <v>0</v>
      </c>
      <c r="BN151" s="12">
        <v>20</v>
      </c>
      <c r="BO151" s="138">
        <f t="shared" si="63"/>
        <v>6000</v>
      </c>
      <c r="BP151" s="138">
        <f t="shared" si="63"/>
        <v>0</v>
      </c>
      <c r="BQ151" s="138">
        <f t="shared" si="55"/>
        <v>0</v>
      </c>
      <c r="BR151" s="138">
        <f t="shared" si="55"/>
        <v>6000</v>
      </c>
      <c r="BS151" s="12">
        <v>56</v>
      </c>
      <c r="BT151" s="6">
        <v>0</v>
      </c>
      <c r="BU151" s="12">
        <v>0</v>
      </c>
      <c r="BV151" s="12">
        <v>20</v>
      </c>
      <c r="BW151" s="138">
        <f t="shared" si="64"/>
        <v>5600</v>
      </c>
      <c r="BX151" s="138">
        <f t="shared" si="64"/>
        <v>0</v>
      </c>
      <c r="BY151" s="138">
        <f t="shared" si="56"/>
        <v>0</v>
      </c>
      <c r="BZ151" s="138">
        <f t="shared" si="56"/>
        <v>6000</v>
      </c>
      <c r="CA151" s="125"/>
      <c r="CB151" s="125"/>
      <c r="CC151" s="125"/>
      <c r="CD151" s="125"/>
      <c r="CE151" s="125"/>
      <c r="CF151" s="125"/>
      <c r="CG151" s="125"/>
      <c r="CH151" s="125"/>
      <c r="CI151" s="125"/>
      <c r="CJ151" s="125"/>
      <c r="CK151" s="125"/>
      <c r="CL151" s="125"/>
      <c r="CM151" s="125"/>
      <c r="CN151" s="125"/>
      <c r="CO151" s="125"/>
      <c r="CP151" s="125"/>
      <c r="CQ151" s="125"/>
      <c r="CR151" s="125"/>
      <c r="CS151" s="125"/>
      <c r="CT151" s="125"/>
      <c r="CU151" s="125"/>
      <c r="CV151" s="125"/>
      <c r="CW151" s="125"/>
      <c r="CX151" s="125"/>
      <c r="CY151" s="125"/>
      <c r="CZ151" s="125"/>
      <c r="DA151" s="125"/>
      <c r="DB151" s="125"/>
      <c r="DC151" s="125"/>
      <c r="DD151" s="125"/>
      <c r="DE151" s="125"/>
      <c r="DF151" s="125"/>
      <c r="DG151" s="125"/>
      <c r="DH151" s="125"/>
      <c r="DI151" s="125"/>
      <c r="DJ151" s="125"/>
      <c r="DK151" s="125"/>
      <c r="DL151" s="125"/>
      <c r="DM151" s="125"/>
      <c r="DN151" s="125"/>
      <c r="DO151" s="125"/>
      <c r="DP151" s="125"/>
      <c r="DQ151" s="125"/>
      <c r="DR151" s="125"/>
      <c r="DS151" s="125"/>
      <c r="DT151" s="125"/>
      <c r="DU151" s="125"/>
      <c r="DV151" s="125"/>
      <c r="DW151" s="125"/>
      <c r="DX151" s="125"/>
      <c r="DY151" s="125"/>
      <c r="DZ151" s="125"/>
      <c r="EA151" s="125"/>
      <c r="EB151" s="125"/>
      <c r="EC151" s="125"/>
      <c r="ED151" s="125"/>
      <c r="EE151" s="125"/>
      <c r="EF151" s="125"/>
      <c r="EG151" s="125"/>
      <c r="EH151" s="125"/>
      <c r="EI151" s="125"/>
      <c r="EJ151" s="125"/>
      <c r="EK151" s="125"/>
      <c r="EL151" s="125"/>
    </row>
    <row r="152" spans="1:142">
      <c r="A152" s="125">
        <v>44</v>
      </c>
      <c r="B152" s="81" t="s">
        <v>236</v>
      </c>
      <c r="C152" s="125"/>
      <c r="D152" s="125"/>
      <c r="E152" s="125"/>
      <c r="F152" s="125"/>
      <c r="G152" s="77">
        <v>25</v>
      </c>
      <c r="H152" s="90">
        <v>0</v>
      </c>
      <c r="I152" s="77">
        <v>0</v>
      </c>
      <c r="J152" s="77">
        <v>0</v>
      </c>
      <c r="K152" s="125">
        <f t="shared" si="43"/>
        <v>2500</v>
      </c>
      <c r="L152" s="125">
        <f t="shared" si="43"/>
        <v>0</v>
      </c>
      <c r="M152" s="125">
        <f t="shared" si="44"/>
        <v>0</v>
      </c>
      <c r="N152" s="125">
        <f t="shared" si="44"/>
        <v>0</v>
      </c>
      <c r="O152" s="77">
        <v>55</v>
      </c>
      <c r="P152" s="90">
        <v>0</v>
      </c>
      <c r="Q152" s="77">
        <v>0</v>
      </c>
      <c r="R152" s="77">
        <v>4</v>
      </c>
      <c r="S152" s="125">
        <f t="shared" si="57"/>
        <v>5500</v>
      </c>
      <c r="T152" s="125">
        <f t="shared" si="57"/>
        <v>0</v>
      </c>
      <c r="U152" s="125">
        <f t="shared" si="46"/>
        <v>0</v>
      </c>
      <c r="V152" s="125">
        <f t="shared" si="46"/>
        <v>1200</v>
      </c>
      <c r="W152" s="77">
        <v>55</v>
      </c>
      <c r="X152" s="90">
        <v>0</v>
      </c>
      <c r="Y152" s="77">
        <v>0</v>
      </c>
      <c r="Z152" s="77">
        <v>6</v>
      </c>
      <c r="AA152" s="125">
        <f t="shared" si="58"/>
        <v>5500</v>
      </c>
      <c r="AB152" s="125">
        <f t="shared" si="58"/>
        <v>0</v>
      </c>
      <c r="AC152" s="125">
        <f t="shared" si="48"/>
        <v>0</v>
      </c>
      <c r="AD152" s="125">
        <f t="shared" si="48"/>
        <v>1800</v>
      </c>
      <c r="AE152" s="77">
        <v>60</v>
      </c>
      <c r="AF152" s="90">
        <v>0</v>
      </c>
      <c r="AG152" s="77">
        <v>0</v>
      </c>
      <c r="AH152" s="77">
        <v>6</v>
      </c>
      <c r="AI152" s="125">
        <f t="shared" si="59"/>
        <v>6000</v>
      </c>
      <c r="AJ152" s="125">
        <f t="shared" si="59"/>
        <v>0</v>
      </c>
      <c r="AK152" s="125">
        <f t="shared" si="50"/>
        <v>0</v>
      </c>
      <c r="AL152" s="125">
        <f t="shared" si="50"/>
        <v>1800</v>
      </c>
      <c r="AM152" s="77">
        <v>60</v>
      </c>
      <c r="AN152" s="90">
        <v>0</v>
      </c>
      <c r="AO152" s="77">
        <v>0</v>
      </c>
      <c r="AP152" s="77">
        <v>8</v>
      </c>
      <c r="AQ152" s="125">
        <f t="shared" si="60"/>
        <v>6000</v>
      </c>
      <c r="AR152" s="125">
        <f t="shared" si="60"/>
        <v>0</v>
      </c>
      <c r="AS152" s="125">
        <f t="shared" si="52"/>
        <v>0</v>
      </c>
      <c r="AT152" s="125">
        <f t="shared" si="52"/>
        <v>2400</v>
      </c>
      <c r="AU152" s="12">
        <v>60</v>
      </c>
      <c r="AV152" s="6">
        <v>0</v>
      </c>
      <c r="AW152" s="12">
        <v>0</v>
      </c>
      <c r="AX152" s="12">
        <v>10</v>
      </c>
      <c r="AY152" s="138">
        <f t="shared" si="61"/>
        <v>6000</v>
      </c>
      <c r="AZ152" s="138">
        <f t="shared" si="61"/>
        <v>0</v>
      </c>
      <c r="BA152" s="138">
        <f t="shared" si="53"/>
        <v>0</v>
      </c>
      <c r="BB152" s="138">
        <f t="shared" si="53"/>
        <v>3000</v>
      </c>
      <c r="BC152" s="12">
        <v>62</v>
      </c>
      <c r="BD152" s="6">
        <v>0</v>
      </c>
      <c r="BE152" s="12">
        <v>0</v>
      </c>
      <c r="BF152" s="12">
        <v>10</v>
      </c>
      <c r="BG152" s="138">
        <f t="shared" si="62"/>
        <v>6200</v>
      </c>
      <c r="BH152" s="138">
        <f t="shared" si="62"/>
        <v>0</v>
      </c>
      <c r="BI152" s="138">
        <f t="shared" si="54"/>
        <v>0</v>
      </c>
      <c r="BJ152" s="138">
        <f t="shared" si="54"/>
        <v>3000</v>
      </c>
      <c r="BK152" s="12">
        <v>62</v>
      </c>
      <c r="BL152" s="6">
        <v>0</v>
      </c>
      <c r="BM152" s="12">
        <v>0</v>
      </c>
      <c r="BN152" s="12">
        <v>12</v>
      </c>
      <c r="BO152" s="138">
        <f t="shared" si="63"/>
        <v>6200</v>
      </c>
      <c r="BP152" s="138">
        <f t="shared" si="63"/>
        <v>0</v>
      </c>
      <c r="BQ152" s="138">
        <f t="shared" si="55"/>
        <v>0</v>
      </c>
      <c r="BR152" s="138">
        <f t="shared" si="55"/>
        <v>3600</v>
      </c>
      <c r="BS152" s="12">
        <v>60</v>
      </c>
      <c r="BT152" s="6">
        <v>0</v>
      </c>
      <c r="BU152" s="12">
        <v>0</v>
      </c>
      <c r="BV152" s="12">
        <v>26</v>
      </c>
      <c r="BW152" s="138">
        <f t="shared" si="64"/>
        <v>6000</v>
      </c>
      <c r="BX152" s="138">
        <f t="shared" si="64"/>
        <v>0</v>
      </c>
      <c r="BY152" s="138">
        <f t="shared" si="56"/>
        <v>0</v>
      </c>
      <c r="BZ152" s="138">
        <f t="shared" si="56"/>
        <v>7800</v>
      </c>
      <c r="CA152" s="125"/>
      <c r="CB152" s="125"/>
      <c r="CC152" s="125"/>
      <c r="CD152" s="125"/>
      <c r="CE152" s="125"/>
      <c r="CF152" s="125"/>
      <c r="CG152" s="125"/>
      <c r="CH152" s="125"/>
      <c r="CI152" s="125"/>
      <c r="CJ152" s="125"/>
      <c r="CK152" s="125"/>
      <c r="CL152" s="125"/>
      <c r="CM152" s="125"/>
      <c r="CN152" s="125"/>
      <c r="CO152" s="125"/>
      <c r="CP152" s="125"/>
      <c r="CQ152" s="125"/>
      <c r="CR152" s="125"/>
      <c r="CS152" s="125"/>
      <c r="CT152" s="125"/>
      <c r="CU152" s="125"/>
      <c r="CV152" s="125"/>
      <c r="CW152" s="125"/>
      <c r="CX152" s="125"/>
      <c r="CY152" s="125"/>
      <c r="CZ152" s="125"/>
      <c r="DA152" s="125"/>
      <c r="DB152" s="125"/>
      <c r="DC152" s="125"/>
      <c r="DD152" s="125"/>
      <c r="DE152" s="125"/>
      <c r="DF152" s="125"/>
      <c r="DG152" s="125"/>
      <c r="DH152" s="125"/>
      <c r="DI152" s="125"/>
      <c r="DJ152" s="125"/>
      <c r="DK152" s="125"/>
      <c r="DL152" s="125"/>
      <c r="DM152" s="125"/>
      <c r="DN152" s="125"/>
      <c r="DO152" s="125"/>
      <c r="DP152" s="125"/>
      <c r="DQ152" s="125"/>
      <c r="DR152" s="125"/>
      <c r="DS152" s="125"/>
      <c r="DT152" s="125"/>
      <c r="DU152" s="125"/>
      <c r="DV152" s="125"/>
      <c r="DW152" s="125"/>
      <c r="DX152" s="125"/>
      <c r="DY152" s="125"/>
      <c r="DZ152" s="125"/>
      <c r="EA152" s="125"/>
      <c r="EB152" s="125"/>
      <c r="EC152" s="125"/>
      <c r="ED152" s="125"/>
      <c r="EE152" s="125"/>
      <c r="EF152" s="125"/>
      <c r="EG152" s="125"/>
      <c r="EH152" s="125"/>
      <c r="EI152" s="125"/>
      <c r="EJ152" s="125"/>
      <c r="EK152" s="125"/>
      <c r="EL152" s="125"/>
    </row>
    <row r="153" spans="1:142">
      <c r="A153" s="125">
        <v>45</v>
      </c>
      <c r="B153" s="81" t="s">
        <v>237</v>
      </c>
      <c r="C153" s="125"/>
      <c r="D153" s="125"/>
      <c r="E153" s="125"/>
      <c r="F153" s="125"/>
      <c r="G153" s="77">
        <v>45</v>
      </c>
      <c r="H153" s="90">
        <v>0</v>
      </c>
      <c r="I153" s="77">
        <v>0</v>
      </c>
      <c r="J153" s="77">
        <v>15</v>
      </c>
      <c r="K153" s="125">
        <f t="shared" si="43"/>
        <v>4500</v>
      </c>
      <c r="L153" s="125">
        <f t="shared" si="43"/>
        <v>0</v>
      </c>
      <c r="M153" s="125">
        <f t="shared" si="44"/>
        <v>0</v>
      </c>
      <c r="N153" s="125">
        <f t="shared" si="44"/>
        <v>4500</v>
      </c>
      <c r="O153" s="77">
        <v>50</v>
      </c>
      <c r="P153" s="90">
        <v>0</v>
      </c>
      <c r="Q153" s="77">
        <v>0</v>
      </c>
      <c r="R153" s="77">
        <v>10</v>
      </c>
      <c r="S153" s="125">
        <f t="shared" si="57"/>
        <v>5000</v>
      </c>
      <c r="T153" s="125">
        <f t="shared" si="57"/>
        <v>0</v>
      </c>
      <c r="U153" s="125">
        <f t="shared" si="46"/>
        <v>0</v>
      </c>
      <c r="V153" s="125">
        <f t="shared" si="46"/>
        <v>3000</v>
      </c>
      <c r="W153" s="77">
        <v>52</v>
      </c>
      <c r="X153" s="90">
        <v>0</v>
      </c>
      <c r="Y153" s="77">
        <v>0</v>
      </c>
      <c r="Z153" s="77">
        <v>12</v>
      </c>
      <c r="AA153" s="125">
        <f t="shared" si="58"/>
        <v>5200</v>
      </c>
      <c r="AB153" s="125">
        <f t="shared" si="58"/>
        <v>0</v>
      </c>
      <c r="AC153" s="125">
        <f t="shared" si="48"/>
        <v>0</v>
      </c>
      <c r="AD153" s="125">
        <f t="shared" si="48"/>
        <v>3600</v>
      </c>
      <c r="AE153" s="77">
        <v>52</v>
      </c>
      <c r="AF153" s="90">
        <v>0</v>
      </c>
      <c r="AG153" s="77">
        <v>0</v>
      </c>
      <c r="AH153" s="77">
        <v>12</v>
      </c>
      <c r="AI153" s="125">
        <f t="shared" si="59"/>
        <v>5200</v>
      </c>
      <c r="AJ153" s="125">
        <f t="shared" si="59"/>
        <v>0</v>
      </c>
      <c r="AK153" s="125">
        <f t="shared" si="50"/>
        <v>0</v>
      </c>
      <c r="AL153" s="125">
        <f t="shared" si="50"/>
        <v>3600</v>
      </c>
      <c r="AM153" s="77">
        <v>42</v>
      </c>
      <c r="AN153" s="90">
        <v>0</v>
      </c>
      <c r="AO153" s="77">
        <v>0</v>
      </c>
      <c r="AP153" s="77">
        <v>15</v>
      </c>
      <c r="AQ153" s="125">
        <f t="shared" si="60"/>
        <v>4200</v>
      </c>
      <c r="AR153" s="125">
        <f t="shared" si="60"/>
        <v>0</v>
      </c>
      <c r="AS153" s="125">
        <f t="shared" si="52"/>
        <v>0</v>
      </c>
      <c r="AT153" s="125">
        <f t="shared" si="52"/>
        <v>4500</v>
      </c>
      <c r="AU153" s="12">
        <v>43</v>
      </c>
      <c r="AV153" s="6">
        <v>0</v>
      </c>
      <c r="AW153" s="12">
        <v>0</v>
      </c>
      <c r="AX153" s="12">
        <v>16</v>
      </c>
      <c r="AY153" s="138">
        <f t="shared" si="61"/>
        <v>4300</v>
      </c>
      <c r="AZ153" s="138">
        <f t="shared" si="61"/>
        <v>0</v>
      </c>
      <c r="BA153" s="138">
        <f t="shared" si="53"/>
        <v>0</v>
      </c>
      <c r="BB153" s="138">
        <f t="shared" si="53"/>
        <v>4800</v>
      </c>
      <c r="BC153" s="12">
        <v>48</v>
      </c>
      <c r="BD153" s="6">
        <v>0</v>
      </c>
      <c r="BE153" s="12">
        <v>0</v>
      </c>
      <c r="BF153" s="12">
        <v>16</v>
      </c>
      <c r="BG153" s="138">
        <f t="shared" si="62"/>
        <v>4800</v>
      </c>
      <c r="BH153" s="138">
        <f t="shared" si="62"/>
        <v>0</v>
      </c>
      <c r="BI153" s="138">
        <f t="shared" si="54"/>
        <v>0</v>
      </c>
      <c r="BJ153" s="138">
        <f t="shared" si="54"/>
        <v>4800</v>
      </c>
      <c r="BK153" s="12">
        <v>52</v>
      </c>
      <c r="BL153" s="6">
        <v>0</v>
      </c>
      <c r="BM153" s="12">
        <v>0</v>
      </c>
      <c r="BN153" s="12">
        <v>16</v>
      </c>
      <c r="BO153" s="138">
        <f t="shared" si="63"/>
        <v>5200</v>
      </c>
      <c r="BP153" s="138">
        <f t="shared" si="63"/>
        <v>0</v>
      </c>
      <c r="BQ153" s="138">
        <f t="shared" si="55"/>
        <v>0</v>
      </c>
      <c r="BR153" s="138">
        <f t="shared" si="55"/>
        <v>4800</v>
      </c>
      <c r="BS153" s="12">
        <v>54</v>
      </c>
      <c r="BT153" s="6">
        <v>0</v>
      </c>
      <c r="BU153" s="12">
        <v>0</v>
      </c>
      <c r="BV153" s="12">
        <v>20</v>
      </c>
      <c r="BW153" s="138">
        <f t="shared" si="64"/>
        <v>5400</v>
      </c>
      <c r="BX153" s="138">
        <f t="shared" si="64"/>
        <v>0</v>
      </c>
      <c r="BY153" s="138">
        <f t="shared" si="56"/>
        <v>0</v>
      </c>
      <c r="BZ153" s="138">
        <f t="shared" si="56"/>
        <v>6000</v>
      </c>
      <c r="CA153" s="125"/>
      <c r="CB153" s="125"/>
      <c r="CC153" s="125"/>
      <c r="CD153" s="125"/>
      <c r="CE153" s="125"/>
      <c r="CF153" s="125"/>
      <c r="CG153" s="125"/>
      <c r="CH153" s="125"/>
      <c r="CI153" s="125"/>
      <c r="CJ153" s="125"/>
      <c r="CK153" s="125"/>
      <c r="CL153" s="125"/>
      <c r="CM153" s="125"/>
      <c r="CN153" s="125"/>
      <c r="CO153" s="125"/>
      <c r="CP153" s="125"/>
      <c r="CQ153" s="125"/>
      <c r="CR153" s="125"/>
      <c r="CS153" s="125"/>
      <c r="CT153" s="125"/>
      <c r="CU153" s="125"/>
      <c r="CV153" s="125"/>
      <c r="CW153" s="125"/>
      <c r="CX153" s="125"/>
      <c r="CY153" s="125"/>
      <c r="CZ153" s="125"/>
      <c r="DA153" s="125"/>
      <c r="DB153" s="125"/>
      <c r="DC153" s="125"/>
      <c r="DD153" s="125"/>
      <c r="DE153" s="125"/>
      <c r="DF153" s="125"/>
      <c r="DG153" s="125"/>
      <c r="DH153" s="125"/>
      <c r="DI153" s="125"/>
      <c r="DJ153" s="125"/>
      <c r="DK153" s="125"/>
      <c r="DL153" s="125"/>
      <c r="DM153" s="125"/>
      <c r="DN153" s="125"/>
      <c r="DO153" s="125"/>
      <c r="DP153" s="125"/>
      <c r="DQ153" s="125"/>
      <c r="DR153" s="125"/>
      <c r="DS153" s="125"/>
      <c r="DT153" s="125"/>
      <c r="DU153" s="125"/>
      <c r="DV153" s="125"/>
      <c r="DW153" s="125"/>
      <c r="DX153" s="125"/>
      <c r="DY153" s="125"/>
      <c r="DZ153" s="125"/>
      <c r="EA153" s="125"/>
      <c r="EB153" s="125"/>
      <c r="EC153" s="125"/>
      <c r="ED153" s="125"/>
      <c r="EE153" s="125"/>
      <c r="EF153" s="125"/>
      <c r="EG153" s="125"/>
      <c r="EH153" s="125"/>
      <c r="EI153" s="125"/>
      <c r="EJ153" s="125"/>
      <c r="EK153" s="125"/>
      <c r="EL153" s="125"/>
    </row>
    <row r="154" spans="1:142">
      <c r="A154" s="125">
        <v>46</v>
      </c>
      <c r="B154" s="81" t="s">
        <v>238</v>
      </c>
      <c r="C154" s="125"/>
      <c r="D154" s="125"/>
      <c r="E154" s="125"/>
      <c r="F154" s="125"/>
      <c r="G154" s="77">
        <v>25</v>
      </c>
      <c r="H154" s="90">
        <v>0</v>
      </c>
      <c r="I154" s="77">
        <v>0</v>
      </c>
      <c r="J154" s="77">
        <v>10</v>
      </c>
      <c r="K154" s="125">
        <f t="shared" si="43"/>
        <v>2500</v>
      </c>
      <c r="L154" s="125">
        <f t="shared" si="43"/>
        <v>0</v>
      </c>
      <c r="M154" s="125">
        <f t="shared" si="44"/>
        <v>0</v>
      </c>
      <c r="N154" s="125">
        <f t="shared" si="44"/>
        <v>3000</v>
      </c>
      <c r="O154" s="77">
        <v>20</v>
      </c>
      <c r="P154" s="90">
        <v>0</v>
      </c>
      <c r="Q154" s="77">
        <v>0</v>
      </c>
      <c r="R154" s="77">
        <v>8</v>
      </c>
      <c r="S154" s="125">
        <f t="shared" si="57"/>
        <v>2000</v>
      </c>
      <c r="T154" s="125">
        <f t="shared" si="57"/>
        <v>0</v>
      </c>
      <c r="U154" s="125">
        <f t="shared" si="46"/>
        <v>0</v>
      </c>
      <c r="V154" s="125">
        <f t="shared" si="46"/>
        <v>2400</v>
      </c>
      <c r="W154" s="77">
        <v>20</v>
      </c>
      <c r="X154" s="90">
        <v>0</v>
      </c>
      <c r="Y154" s="77">
        <v>0</v>
      </c>
      <c r="Z154" s="77">
        <v>8</v>
      </c>
      <c r="AA154" s="125">
        <f t="shared" si="58"/>
        <v>2000</v>
      </c>
      <c r="AB154" s="125">
        <f t="shared" si="58"/>
        <v>0</v>
      </c>
      <c r="AC154" s="125">
        <f t="shared" si="48"/>
        <v>0</v>
      </c>
      <c r="AD154" s="125">
        <f t="shared" si="48"/>
        <v>2400</v>
      </c>
      <c r="AE154" s="77">
        <v>55</v>
      </c>
      <c r="AF154" s="90">
        <v>0</v>
      </c>
      <c r="AG154" s="77">
        <v>0</v>
      </c>
      <c r="AH154" s="77">
        <v>20</v>
      </c>
      <c r="AI154" s="125">
        <f t="shared" si="59"/>
        <v>5500</v>
      </c>
      <c r="AJ154" s="125">
        <f t="shared" si="59"/>
        <v>0</v>
      </c>
      <c r="AK154" s="125">
        <f t="shared" si="50"/>
        <v>0</v>
      </c>
      <c r="AL154" s="125">
        <f t="shared" si="50"/>
        <v>6000</v>
      </c>
      <c r="AM154" s="77">
        <v>50</v>
      </c>
      <c r="AN154" s="90">
        <v>0</v>
      </c>
      <c r="AO154" s="77">
        <v>0</v>
      </c>
      <c r="AP154" s="77">
        <v>20</v>
      </c>
      <c r="AQ154" s="125">
        <f t="shared" si="60"/>
        <v>5000</v>
      </c>
      <c r="AR154" s="125">
        <f t="shared" si="60"/>
        <v>0</v>
      </c>
      <c r="AS154" s="125">
        <f t="shared" si="52"/>
        <v>0</v>
      </c>
      <c r="AT154" s="125">
        <f t="shared" si="52"/>
        <v>6000</v>
      </c>
      <c r="AU154" s="12">
        <v>52</v>
      </c>
      <c r="AV154" s="6">
        <v>0</v>
      </c>
      <c r="AW154" s="12">
        <v>0</v>
      </c>
      <c r="AX154" s="12">
        <v>20</v>
      </c>
      <c r="AY154" s="138">
        <f t="shared" si="61"/>
        <v>5200</v>
      </c>
      <c r="AZ154" s="138">
        <f t="shared" si="61"/>
        <v>0</v>
      </c>
      <c r="BA154" s="138">
        <f t="shared" si="53"/>
        <v>0</v>
      </c>
      <c r="BB154" s="138">
        <f t="shared" si="53"/>
        <v>6000</v>
      </c>
      <c r="BC154" s="12">
        <v>52</v>
      </c>
      <c r="BD154" s="6">
        <v>0</v>
      </c>
      <c r="BE154" s="12">
        <v>0</v>
      </c>
      <c r="BF154" s="12">
        <v>20</v>
      </c>
      <c r="BG154" s="138">
        <f t="shared" si="62"/>
        <v>5200</v>
      </c>
      <c r="BH154" s="138">
        <f t="shared" si="62"/>
        <v>0</v>
      </c>
      <c r="BI154" s="138">
        <f t="shared" si="54"/>
        <v>0</v>
      </c>
      <c r="BJ154" s="138">
        <f t="shared" si="54"/>
        <v>6000</v>
      </c>
      <c r="BK154" s="12">
        <v>52</v>
      </c>
      <c r="BL154" s="6">
        <v>0</v>
      </c>
      <c r="BM154" s="12">
        <v>0</v>
      </c>
      <c r="BN154" s="12">
        <v>18</v>
      </c>
      <c r="BO154" s="138">
        <f t="shared" si="63"/>
        <v>5200</v>
      </c>
      <c r="BP154" s="138">
        <f t="shared" si="63"/>
        <v>0</v>
      </c>
      <c r="BQ154" s="138">
        <f t="shared" si="55"/>
        <v>0</v>
      </c>
      <c r="BR154" s="138">
        <f t="shared" si="55"/>
        <v>5400</v>
      </c>
      <c r="BS154" s="12">
        <v>52</v>
      </c>
      <c r="BT154" s="6">
        <v>0</v>
      </c>
      <c r="BU154" s="12">
        <v>0</v>
      </c>
      <c r="BV154" s="12">
        <v>18</v>
      </c>
      <c r="BW154" s="138">
        <f t="shared" si="64"/>
        <v>5200</v>
      </c>
      <c r="BX154" s="138">
        <f t="shared" si="64"/>
        <v>0</v>
      </c>
      <c r="BY154" s="138">
        <f t="shared" si="56"/>
        <v>0</v>
      </c>
      <c r="BZ154" s="138">
        <f t="shared" si="56"/>
        <v>5400</v>
      </c>
      <c r="CA154" s="125"/>
      <c r="CB154" s="125"/>
      <c r="CC154" s="125"/>
      <c r="CD154" s="125"/>
      <c r="CE154" s="125"/>
      <c r="CF154" s="125"/>
      <c r="CG154" s="125"/>
      <c r="CH154" s="125"/>
      <c r="CI154" s="125"/>
      <c r="CJ154" s="125"/>
      <c r="CK154" s="125"/>
      <c r="CL154" s="125"/>
      <c r="CM154" s="125"/>
      <c r="CN154" s="125"/>
      <c r="CO154" s="125"/>
      <c r="CP154" s="125"/>
      <c r="CQ154" s="125"/>
      <c r="CR154" s="125"/>
      <c r="CS154" s="125"/>
      <c r="CT154" s="125"/>
      <c r="CU154" s="125"/>
      <c r="CV154" s="125"/>
      <c r="CW154" s="125"/>
      <c r="CX154" s="125"/>
      <c r="CY154" s="125"/>
      <c r="CZ154" s="125"/>
      <c r="DA154" s="125"/>
      <c r="DB154" s="125"/>
      <c r="DC154" s="125"/>
      <c r="DD154" s="125"/>
      <c r="DE154" s="125"/>
      <c r="DF154" s="125"/>
      <c r="DG154" s="125"/>
      <c r="DH154" s="125"/>
      <c r="DI154" s="125"/>
      <c r="DJ154" s="125"/>
      <c r="DK154" s="125"/>
      <c r="DL154" s="125"/>
      <c r="DM154" s="125"/>
      <c r="DN154" s="125"/>
      <c r="DO154" s="125"/>
      <c r="DP154" s="125"/>
      <c r="DQ154" s="125"/>
      <c r="DR154" s="125"/>
      <c r="DS154" s="125"/>
      <c r="DT154" s="125"/>
      <c r="DU154" s="125"/>
      <c r="DV154" s="125"/>
      <c r="DW154" s="125"/>
      <c r="DX154" s="125"/>
      <c r="DY154" s="125"/>
      <c r="DZ154" s="125"/>
      <c r="EA154" s="125"/>
      <c r="EB154" s="125"/>
      <c r="EC154" s="125"/>
      <c r="ED154" s="125"/>
      <c r="EE154" s="125"/>
      <c r="EF154" s="125"/>
      <c r="EG154" s="125"/>
      <c r="EH154" s="125"/>
      <c r="EI154" s="125"/>
      <c r="EJ154" s="125"/>
      <c r="EK154" s="125"/>
      <c r="EL154" s="125"/>
    </row>
    <row r="155" spans="1:142">
      <c r="A155" s="125">
        <v>47</v>
      </c>
      <c r="B155" s="81" t="s">
        <v>239</v>
      </c>
      <c r="C155" s="125"/>
      <c r="D155" s="125"/>
      <c r="E155" s="125"/>
      <c r="F155" s="125"/>
      <c r="G155" s="77">
        <v>30</v>
      </c>
      <c r="H155" s="90">
        <v>0</v>
      </c>
      <c r="I155" s="77">
        <v>0</v>
      </c>
      <c r="J155" s="125">
        <v>3</v>
      </c>
      <c r="K155" s="125">
        <f t="shared" si="43"/>
        <v>3000</v>
      </c>
      <c r="L155" s="125">
        <f t="shared" si="43"/>
        <v>0</v>
      </c>
      <c r="M155" s="125">
        <f t="shared" si="44"/>
        <v>0</v>
      </c>
      <c r="N155" s="125">
        <f t="shared" si="44"/>
        <v>900</v>
      </c>
      <c r="O155" s="77">
        <v>32</v>
      </c>
      <c r="P155" s="90">
        <v>0</v>
      </c>
      <c r="Q155" s="77">
        <v>0</v>
      </c>
      <c r="R155" s="125">
        <v>4</v>
      </c>
      <c r="S155" s="125">
        <f t="shared" si="57"/>
        <v>3200</v>
      </c>
      <c r="T155" s="125">
        <f t="shared" si="57"/>
        <v>0</v>
      </c>
      <c r="U155" s="125">
        <f t="shared" si="46"/>
        <v>0</v>
      </c>
      <c r="V155" s="125">
        <f t="shared" si="46"/>
        <v>1200</v>
      </c>
      <c r="W155" s="77">
        <v>33</v>
      </c>
      <c r="X155" s="90">
        <v>0</v>
      </c>
      <c r="Y155" s="77">
        <v>0</v>
      </c>
      <c r="Z155" s="125">
        <v>6</v>
      </c>
      <c r="AA155" s="125">
        <f t="shared" si="58"/>
        <v>3300</v>
      </c>
      <c r="AB155" s="125">
        <f t="shared" si="58"/>
        <v>0</v>
      </c>
      <c r="AC155" s="125">
        <f t="shared" si="48"/>
        <v>0</v>
      </c>
      <c r="AD155" s="125">
        <f t="shared" si="48"/>
        <v>1800</v>
      </c>
      <c r="AE155" s="77">
        <v>34</v>
      </c>
      <c r="AF155" s="90">
        <v>0</v>
      </c>
      <c r="AG155" s="77">
        <v>0</v>
      </c>
      <c r="AH155" s="125">
        <v>8</v>
      </c>
      <c r="AI155" s="125">
        <f t="shared" si="59"/>
        <v>3400</v>
      </c>
      <c r="AJ155" s="125">
        <f t="shared" si="59"/>
        <v>0</v>
      </c>
      <c r="AK155" s="125">
        <f t="shared" si="50"/>
        <v>0</v>
      </c>
      <c r="AL155" s="125">
        <f t="shared" si="50"/>
        <v>2400</v>
      </c>
      <c r="AM155" s="77">
        <v>34</v>
      </c>
      <c r="AN155" s="90">
        <v>0</v>
      </c>
      <c r="AO155" s="77">
        <v>0</v>
      </c>
      <c r="AP155" s="125">
        <v>8</v>
      </c>
      <c r="AQ155" s="125">
        <f t="shared" si="60"/>
        <v>3400</v>
      </c>
      <c r="AR155" s="125">
        <f t="shared" si="60"/>
        <v>0</v>
      </c>
      <c r="AS155" s="125">
        <f t="shared" si="52"/>
        <v>0</v>
      </c>
      <c r="AT155" s="125">
        <f t="shared" si="52"/>
        <v>2400</v>
      </c>
      <c r="AU155" s="12">
        <v>36</v>
      </c>
      <c r="AV155" s="6">
        <v>0</v>
      </c>
      <c r="AW155" s="12">
        <v>0</v>
      </c>
      <c r="AX155" s="138">
        <v>12</v>
      </c>
      <c r="AY155" s="138">
        <f t="shared" si="61"/>
        <v>3600</v>
      </c>
      <c r="AZ155" s="138">
        <f t="shared" si="61"/>
        <v>0</v>
      </c>
      <c r="BA155" s="138">
        <f t="shared" si="53"/>
        <v>0</v>
      </c>
      <c r="BB155" s="138">
        <f t="shared" si="53"/>
        <v>3600</v>
      </c>
      <c r="BC155" s="12">
        <v>40</v>
      </c>
      <c r="BD155" s="6">
        <v>0</v>
      </c>
      <c r="BE155" s="12">
        <v>0</v>
      </c>
      <c r="BF155" s="138">
        <v>20</v>
      </c>
      <c r="BG155" s="138">
        <f t="shared" si="62"/>
        <v>4000</v>
      </c>
      <c r="BH155" s="138">
        <f t="shared" si="62"/>
        <v>0</v>
      </c>
      <c r="BI155" s="138">
        <f t="shared" si="54"/>
        <v>0</v>
      </c>
      <c r="BJ155" s="138">
        <f t="shared" si="54"/>
        <v>6000</v>
      </c>
      <c r="BK155" s="12">
        <v>40</v>
      </c>
      <c r="BL155" s="6">
        <v>0</v>
      </c>
      <c r="BM155" s="12">
        <v>0</v>
      </c>
      <c r="BN155" s="138">
        <v>20</v>
      </c>
      <c r="BO155" s="138">
        <f t="shared" si="63"/>
        <v>4000</v>
      </c>
      <c r="BP155" s="138">
        <f t="shared" si="63"/>
        <v>0</v>
      </c>
      <c r="BQ155" s="138">
        <f t="shared" si="55"/>
        <v>0</v>
      </c>
      <c r="BR155" s="138">
        <f t="shared" si="55"/>
        <v>6000</v>
      </c>
      <c r="BS155" s="12">
        <v>44</v>
      </c>
      <c r="BT155" s="6">
        <v>0</v>
      </c>
      <c r="BU155" s="12">
        <v>0</v>
      </c>
      <c r="BV155" s="138">
        <v>20</v>
      </c>
      <c r="BW155" s="138">
        <f t="shared" si="64"/>
        <v>4400</v>
      </c>
      <c r="BX155" s="138">
        <f t="shared" si="64"/>
        <v>0</v>
      </c>
      <c r="BY155" s="138">
        <f t="shared" si="56"/>
        <v>0</v>
      </c>
      <c r="BZ155" s="138">
        <f t="shared" si="56"/>
        <v>6000</v>
      </c>
      <c r="CA155" s="125"/>
      <c r="CB155" s="125"/>
      <c r="CC155" s="125"/>
      <c r="CD155" s="125"/>
      <c r="CE155" s="125"/>
      <c r="CF155" s="125"/>
      <c r="CG155" s="125"/>
      <c r="CH155" s="125"/>
      <c r="CI155" s="125"/>
      <c r="CJ155" s="125"/>
      <c r="CK155" s="125"/>
      <c r="CL155" s="125"/>
      <c r="CM155" s="125"/>
      <c r="CN155" s="125"/>
      <c r="CO155" s="125"/>
      <c r="CP155" s="125"/>
      <c r="CQ155" s="125"/>
      <c r="CR155" s="125"/>
      <c r="CS155" s="125"/>
      <c r="CT155" s="125"/>
      <c r="CU155" s="125"/>
      <c r="CV155" s="125"/>
      <c r="CW155" s="125"/>
      <c r="CX155" s="125"/>
      <c r="CY155" s="125"/>
      <c r="CZ155" s="125"/>
      <c r="DA155" s="125"/>
      <c r="DB155" s="125"/>
      <c r="DC155" s="125"/>
      <c r="DD155" s="125"/>
      <c r="DE155" s="125"/>
      <c r="DF155" s="125"/>
      <c r="DG155" s="125"/>
      <c r="DH155" s="125"/>
      <c r="DI155" s="125"/>
      <c r="DJ155" s="125"/>
      <c r="DK155" s="125"/>
      <c r="DL155" s="125"/>
      <c r="DM155" s="125"/>
      <c r="DN155" s="125"/>
      <c r="DO155" s="125"/>
      <c r="DP155" s="125"/>
      <c r="DQ155" s="125"/>
      <c r="DR155" s="125"/>
      <c r="DS155" s="125"/>
      <c r="DT155" s="125"/>
      <c r="DU155" s="125"/>
      <c r="DV155" s="125"/>
      <c r="DW155" s="125"/>
      <c r="DX155" s="125"/>
      <c r="DY155" s="125"/>
      <c r="DZ155" s="125"/>
      <c r="EA155" s="125"/>
      <c r="EB155" s="125"/>
      <c r="EC155" s="125"/>
      <c r="ED155" s="125"/>
      <c r="EE155" s="125"/>
      <c r="EF155" s="125"/>
      <c r="EG155" s="125"/>
      <c r="EH155" s="125"/>
      <c r="EI155" s="125"/>
      <c r="EJ155" s="125"/>
      <c r="EK155" s="125"/>
      <c r="EL155" s="125"/>
    </row>
    <row r="156" spans="1:142">
      <c r="A156" s="125">
        <v>48</v>
      </c>
      <c r="B156" s="81" t="s">
        <v>240</v>
      </c>
      <c r="C156" s="125"/>
      <c r="D156" s="125"/>
      <c r="E156" s="125"/>
      <c r="F156" s="125"/>
      <c r="G156" s="77">
        <v>30</v>
      </c>
      <c r="H156" s="90">
        <v>0</v>
      </c>
      <c r="I156" s="77">
        <v>0</v>
      </c>
      <c r="J156" s="125">
        <v>10</v>
      </c>
      <c r="K156" s="125">
        <f t="shared" si="43"/>
        <v>3000</v>
      </c>
      <c r="L156" s="125">
        <f t="shared" si="43"/>
        <v>0</v>
      </c>
      <c r="M156" s="125">
        <f t="shared" si="44"/>
        <v>0</v>
      </c>
      <c r="N156" s="125">
        <f t="shared" si="44"/>
        <v>3000</v>
      </c>
      <c r="O156" s="77">
        <v>35</v>
      </c>
      <c r="P156" s="90">
        <v>0</v>
      </c>
      <c r="Q156" s="77">
        <v>0</v>
      </c>
      <c r="R156" s="125">
        <v>6</v>
      </c>
      <c r="S156" s="125">
        <f t="shared" si="57"/>
        <v>3500</v>
      </c>
      <c r="T156" s="125">
        <f t="shared" si="57"/>
        <v>0</v>
      </c>
      <c r="U156" s="125">
        <f t="shared" si="46"/>
        <v>0</v>
      </c>
      <c r="V156" s="125">
        <f t="shared" si="46"/>
        <v>1800</v>
      </c>
      <c r="W156" s="77">
        <v>34</v>
      </c>
      <c r="X156" s="90">
        <v>0</v>
      </c>
      <c r="Y156" s="77">
        <v>0</v>
      </c>
      <c r="Z156" s="125">
        <v>8</v>
      </c>
      <c r="AA156" s="125">
        <f t="shared" si="58"/>
        <v>3400</v>
      </c>
      <c r="AB156" s="125">
        <f t="shared" si="58"/>
        <v>0</v>
      </c>
      <c r="AC156" s="125">
        <f t="shared" si="48"/>
        <v>0</v>
      </c>
      <c r="AD156" s="125">
        <f t="shared" si="48"/>
        <v>2400</v>
      </c>
      <c r="AE156" s="77">
        <v>36</v>
      </c>
      <c r="AF156" s="90">
        <v>0</v>
      </c>
      <c r="AG156" s="77">
        <v>0</v>
      </c>
      <c r="AH156" s="125">
        <v>8</v>
      </c>
      <c r="AI156" s="125">
        <f t="shared" si="59"/>
        <v>3600</v>
      </c>
      <c r="AJ156" s="125">
        <f t="shared" si="59"/>
        <v>0</v>
      </c>
      <c r="AK156" s="125">
        <f t="shared" si="50"/>
        <v>0</v>
      </c>
      <c r="AL156" s="125">
        <f t="shared" si="50"/>
        <v>2400</v>
      </c>
      <c r="AM156" s="77">
        <v>36</v>
      </c>
      <c r="AN156" s="90">
        <v>0</v>
      </c>
      <c r="AO156" s="77">
        <v>0</v>
      </c>
      <c r="AP156" s="125">
        <v>10</v>
      </c>
      <c r="AQ156" s="125">
        <f t="shared" si="60"/>
        <v>3600</v>
      </c>
      <c r="AR156" s="125">
        <f t="shared" si="60"/>
        <v>0</v>
      </c>
      <c r="AS156" s="125">
        <f t="shared" si="52"/>
        <v>0</v>
      </c>
      <c r="AT156" s="125">
        <f t="shared" si="52"/>
        <v>3000</v>
      </c>
      <c r="AU156" s="12">
        <v>40</v>
      </c>
      <c r="AV156" s="6">
        <v>0</v>
      </c>
      <c r="AW156" s="12">
        <v>0</v>
      </c>
      <c r="AX156" s="138">
        <v>10</v>
      </c>
      <c r="AY156" s="138">
        <f t="shared" si="61"/>
        <v>4000</v>
      </c>
      <c r="AZ156" s="138">
        <f t="shared" si="61"/>
        <v>0</v>
      </c>
      <c r="BA156" s="138">
        <f t="shared" si="53"/>
        <v>0</v>
      </c>
      <c r="BB156" s="138">
        <f t="shared" si="53"/>
        <v>3000</v>
      </c>
      <c r="BC156" s="12">
        <v>45</v>
      </c>
      <c r="BD156" s="6">
        <v>0</v>
      </c>
      <c r="BE156" s="12">
        <v>0</v>
      </c>
      <c r="BF156" s="138">
        <v>16</v>
      </c>
      <c r="BG156" s="138">
        <f t="shared" si="62"/>
        <v>4500</v>
      </c>
      <c r="BH156" s="138">
        <f t="shared" si="62"/>
        <v>0</v>
      </c>
      <c r="BI156" s="138">
        <f t="shared" si="54"/>
        <v>0</v>
      </c>
      <c r="BJ156" s="138">
        <f t="shared" si="54"/>
        <v>4800</v>
      </c>
      <c r="BK156" s="12">
        <v>46</v>
      </c>
      <c r="BL156" s="6">
        <v>0</v>
      </c>
      <c r="BM156" s="12">
        <v>0</v>
      </c>
      <c r="BN156" s="138">
        <v>16</v>
      </c>
      <c r="BO156" s="138">
        <f t="shared" si="63"/>
        <v>4600</v>
      </c>
      <c r="BP156" s="138">
        <f t="shared" si="63"/>
        <v>0</v>
      </c>
      <c r="BQ156" s="138">
        <f t="shared" si="55"/>
        <v>0</v>
      </c>
      <c r="BR156" s="138">
        <f t="shared" si="55"/>
        <v>4800</v>
      </c>
      <c r="BS156" s="12">
        <v>50</v>
      </c>
      <c r="BT156" s="6">
        <v>0</v>
      </c>
      <c r="BU156" s="12">
        <v>0</v>
      </c>
      <c r="BV156" s="138">
        <v>16</v>
      </c>
      <c r="BW156" s="138">
        <f t="shared" si="64"/>
        <v>5000</v>
      </c>
      <c r="BX156" s="138">
        <f t="shared" si="64"/>
        <v>0</v>
      </c>
      <c r="BY156" s="138">
        <f t="shared" si="56"/>
        <v>0</v>
      </c>
      <c r="BZ156" s="138">
        <f t="shared" si="56"/>
        <v>4800</v>
      </c>
      <c r="CA156" s="125"/>
      <c r="CB156" s="125"/>
      <c r="CC156" s="125"/>
      <c r="CD156" s="125"/>
      <c r="CE156" s="125"/>
      <c r="CF156" s="125"/>
      <c r="CG156" s="125"/>
      <c r="CH156" s="125"/>
      <c r="CI156" s="125"/>
      <c r="CJ156" s="125"/>
      <c r="CK156" s="125"/>
      <c r="CL156" s="125"/>
      <c r="CM156" s="125"/>
      <c r="CN156" s="125"/>
      <c r="CO156" s="125"/>
      <c r="CP156" s="125"/>
      <c r="CQ156" s="125"/>
      <c r="CR156" s="125"/>
      <c r="CS156" s="125"/>
      <c r="CT156" s="125"/>
      <c r="CU156" s="125"/>
      <c r="CV156" s="125"/>
      <c r="CW156" s="125"/>
      <c r="CX156" s="125"/>
      <c r="CY156" s="125"/>
      <c r="CZ156" s="125"/>
      <c r="DA156" s="125"/>
      <c r="DB156" s="125"/>
      <c r="DC156" s="125"/>
      <c r="DD156" s="125"/>
      <c r="DE156" s="125"/>
      <c r="DF156" s="125"/>
      <c r="DG156" s="125"/>
      <c r="DH156" s="125"/>
      <c r="DI156" s="125"/>
      <c r="DJ156" s="125"/>
      <c r="DK156" s="125"/>
      <c r="DL156" s="125"/>
      <c r="DM156" s="125"/>
      <c r="DN156" s="125"/>
      <c r="DO156" s="125"/>
      <c r="DP156" s="125"/>
      <c r="DQ156" s="125"/>
      <c r="DR156" s="125"/>
      <c r="DS156" s="125"/>
      <c r="DT156" s="125"/>
      <c r="DU156" s="125"/>
      <c r="DV156" s="125"/>
      <c r="DW156" s="125"/>
      <c r="DX156" s="125"/>
      <c r="DY156" s="125"/>
      <c r="DZ156" s="125"/>
      <c r="EA156" s="125"/>
      <c r="EB156" s="125"/>
      <c r="EC156" s="125"/>
      <c r="ED156" s="125"/>
      <c r="EE156" s="125"/>
      <c r="EF156" s="125"/>
      <c r="EG156" s="125"/>
      <c r="EH156" s="125"/>
      <c r="EI156" s="125"/>
      <c r="EJ156" s="125"/>
      <c r="EK156" s="125"/>
      <c r="EL156" s="125"/>
    </row>
    <row r="157" spans="1:142">
      <c r="A157" s="125">
        <v>49</v>
      </c>
      <c r="B157" s="81" t="s">
        <v>241</v>
      </c>
      <c r="C157" s="125"/>
      <c r="D157" s="125"/>
      <c r="E157" s="125"/>
      <c r="F157" s="125"/>
      <c r="G157" s="77">
        <v>25</v>
      </c>
      <c r="H157" s="90">
        <v>15</v>
      </c>
      <c r="I157" s="77">
        <v>0</v>
      </c>
      <c r="J157" s="125">
        <v>5</v>
      </c>
      <c r="K157" s="125">
        <f t="shared" si="43"/>
        <v>2500</v>
      </c>
      <c r="L157" s="125">
        <f t="shared" si="43"/>
        <v>1500</v>
      </c>
      <c r="M157" s="125">
        <f t="shared" si="44"/>
        <v>0</v>
      </c>
      <c r="N157" s="125">
        <f t="shared" si="44"/>
        <v>1500</v>
      </c>
      <c r="O157" s="77">
        <v>26</v>
      </c>
      <c r="P157" s="90">
        <v>15</v>
      </c>
      <c r="Q157" s="77">
        <v>0</v>
      </c>
      <c r="R157" s="125">
        <v>5</v>
      </c>
      <c r="S157" s="125">
        <f t="shared" si="57"/>
        <v>2600</v>
      </c>
      <c r="T157" s="125">
        <f t="shared" si="57"/>
        <v>1500</v>
      </c>
      <c r="U157" s="125">
        <f t="shared" si="46"/>
        <v>0</v>
      </c>
      <c r="V157" s="125">
        <f t="shared" si="46"/>
        <v>1500</v>
      </c>
      <c r="W157" s="77">
        <v>25</v>
      </c>
      <c r="X157" s="90">
        <v>15</v>
      </c>
      <c r="Y157" s="77">
        <v>0</v>
      </c>
      <c r="Z157" s="125">
        <v>5</v>
      </c>
      <c r="AA157" s="125">
        <f t="shared" si="58"/>
        <v>2500</v>
      </c>
      <c r="AB157" s="125">
        <f t="shared" si="58"/>
        <v>1500</v>
      </c>
      <c r="AC157" s="125">
        <f t="shared" si="48"/>
        <v>0</v>
      </c>
      <c r="AD157" s="125">
        <f t="shared" si="48"/>
        <v>1500</v>
      </c>
      <c r="AE157" s="77">
        <v>45</v>
      </c>
      <c r="AF157" s="90">
        <v>15</v>
      </c>
      <c r="AG157" s="77">
        <v>0</v>
      </c>
      <c r="AH157" s="125">
        <v>6</v>
      </c>
      <c r="AI157" s="125">
        <f t="shared" si="59"/>
        <v>4500</v>
      </c>
      <c r="AJ157" s="125">
        <f t="shared" si="59"/>
        <v>1500</v>
      </c>
      <c r="AK157" s="125">
        <f t="shared" si="50"/>
        <v>0</v>
      </c>
      <c r="AL157" s="125">
        <f t="shared" si="50"/>
        <v>1800</v>
      </c>
      <c r="AM157" s="77">
        <v>45</v>
      </c>
      <c r="AN157" s="90">
        <v>20</v>
      </c>
      <c r="AO157" s="77">
        <v>0</v>
      </c>
      <c r="AP157" s="125">
        <v>6</v>
      </c>
      <c r="AQ157" s="125">
        <f t="shared" si="60"/>
        <v>4500</v>
      </c>
      <c r="AR157" s="125">
        <f t="shared" si="60"/>
        <v>2000</v>
      </c>
      <c r="AS157" s="125">
        <f t="shared" si="52"/>
        <v>0</v>
      </c>
      <c r="AT157" s="125">
        <f t="shared" si="52"/>
        <v>1800</v>
      </c>
      <c r="AU157" s="12">
        <v>45</v>
      </c>
      <c r="AV157" s="6">
        <v>22</v>
      </c>
      <c r="AW157" s="12">
        <v>0</v>
      </c>
      <c r="AX157" s="138">
        <v>8</v>
      </c>
      <c r="AY157" s="138">
        <f t="shared" si="61"/>
        <v>4500</v>
      </c>
      <c r="AZ157" s="138">
        <f t="shared" si="61"/>
        <v>2200</v>
      </c>
      <c r="BA157" s="138">
        <f t="shared" si="53"/>
        <v>0</v>
      </c>
      <c r="BB157" s="138">
        <f t="shared" si="53"/>
        <v>2400</v>
      </c>
      <c r="BC157" s="12">
        <v>49</v>
      </c>
      <c r="BD157" s="6">
        <v>22</v>
      </c>
      <c r="BE157" s="12">
        <v>0</v>
      </c>
      <c r="BF157" s="138">
        <v>18</v>
      </c>
      <c r="BG157" s="138">
        <f t="shared" si="62"/>
        <v>4900</v>
      </c>
      <c r="BH157" s="138">
        <f t="shared" si="62"/>
        <v>2200</v>
      </c>
      <c r="BI157" s="138">
        <f t="shared" si="54"/>
        <v>0</v>
      </c>
      <c r="BJ157" s="138">
        <f t="shared" si="54"/>
        <v>5400</v>
      </c>
      <c r="BK157" s="12">
        <v>45</v>
      </c>
      <c r="BL157" s="6">
        <v>35</v>
      </c>
      <c r="BM157" s="12">
        <v>0</v>
      </c>
      <c r="BN157" s="138">
        <v>18</v>
      </c>
      <c r="BO157" s="138">
        <f t="shared" si="63"/>
        <v>4500</v>
      </c>
      <c r="BP157" s="138">
        <f t="shared" si="63"/>
        <v>3500</v>
      </c>
      <c r="BQ157" s="138">
        <f t="shared" si="55"/>
        <v>0</v>
      </c>
      <c r="BR157" s="138">
        <f t="shared" si="55"/>
        <v>5400</v>
      </c>
      <c r="BS157" s="12">
        <v>46</v>
      </c>
      <c r="BT157" s="6">
        <v>38</v>
      </c>
      <c r="BU157" s="12">
        <v>0</v>
      </c>
      <c r="BV157" s="138">
        <v>20</v>
      </c>
      <c r="BW157" s="138">
        <f t="shared" si="64"/>
        <v>4600</v>
      </c>
      <c r="BX157" s="138">
        <f t="shared" si="64"/>
        <v>3800</v>
      </c>
      <c r="BY157" s="138">
        <f t="shared" si="56"/>
        <v>0</v>
      </c>
      <c r="BZ157" s="138">
        <f t="shared" si="56"/>
        <v>6000</v>
      </c>
      <c r="CA157" s="125"/>
      <c r="CB157" s="125"/>
      <c r="CC157" s="125"/>
      <c r="CD157" s="125"/>
      <c r="CE157" s="125"/>
      <c r="CF157" s="125"/>
      <c r="CG157" s="125"/>
      <c r="CH157" s="125"/>
      <c r="CI157" s="125"/>
      <c r="CJ157" s="125"/>
      <c r="CK157" s="125"/>
      <c r="CL157" s="125"/>
      <c r="CM157" s="125"/>
      <c r="CN157" s="125"/>
      <c r="CO157" s="125"/>
      <c r="CP157" s="125"/>
      <c r="CQ157" s="125"/>
      <c r="CR157" s="125"/>
      <c r="CS157" s="125"/>
      <c r="CT157" s="125"/>
      <c r="CU157" s="125"/>
      <c r="CV157" s="125"/>
      <c r="CW157" s="125"/>
      <c r="CX157" s="125"/>
      <c r="CY157" s="125"/>
      <c r="CZ157" s="125"/>
      <c r="DA157" s="125"/>
      <c r="DB157" s="125"/>
      <c r="DC157" s="125"/>
      <c r="DD157" s="125"/>
      <c r="DE157" s="125"/>
      <c r="DF157" s="125"/>
      <c r="DG157" s="125"/>
      <c r="DH157" s="125"/>
      <c r="DI157" s="125"/>
      <c r="DJ157" s="125"/>
      <c r="DK157" s="125"/>
      <c r="DL157" s="125"/>
      <c r="DM157" s="125"/>
      <c r="DN157" s="125"/>
      <c r="DO157" s="125"/>
      <c r="DP157" s="125"/>
      <c r="DQ157" s="125"/>
      <c r="DR157" s="125"/>
      <c r="DS157" s="125"/>
      <c r="DT157" s="125"/>
      <c r="DU157" s="125"/>
      <c r="DV157" s="125"/>
      <c r="DW157" s="125"/>
      <c r="DX157" s="125"/>
      <c r="DY157" s="125"/>
      <c r="DZ157" s="125"/>
      <c r="EA157" s="125"/>
      <c r="EB157" s="125"/>
      <c r="EC157" s="125"/>
      <c r="ED157" s="125"/>
      <c r="EE157" s="125"/>
      <c r="EF157" s="125"/>
      <c r="EG157" s="125"/>
      <c r="EH157" s="125"/>
      <c r="EI157" s="125"/>
      <c r="EJ157" s="125"/>
      <c r="EK157" s="125"/>
      <c r="EL157" s="125"/>
    </row>
    <row r="158" spans="1:142">
      <c r="A158" s="125">
        <v>50</v>
      </c>
      <c r="B158" s="81" t="s">
        <v>242</v>
      </c>
      <c r="C158" s="125"/>
      <c r="D158" s="125"/>
      <c r="E158" s="125"/>
      <c r="F158" s="125"/>
      <c r="G158" s="77">
        <v>30</v>
      </c>
      <c r="H158" s="90">
        <v>0</v>
      </c>
      <c r="I158" s="77">
        <v>0</v>
      </c>
      <c r="J158" s="125">
        <v>3</v>
      </c>
      <c r="K158" s="125">
        <f t="shared" si="43"/>
        <v>3000</v>
      </c>
      <c r="L158" s="125">
        <f t="shared" si="43"/>
        <v>0</v>
      </c>
      <c r="M158" s="125">
        <f t="shared" si="44"/>
        <v>0</v>
      </c>
      <c r="N158" s="125">
        <f t="shared" si="44"/>
        <v>900</v>
      </c>
      <c r="O158" s="77">
        <v>30</v>
      </c>
      <c r="P158" s="90">
        <v>0</v>
      </c>
      <c r="Q158" s="77">
        <v>0</v>
      </c>
      <c r="R158" s="125">
        <v>10</v>
      </c>
      <c r="S158" s="125">
        <f t="shared" si="57"/>
        <v>3000</v>
      </c>
      <c r="T158" s="125">
        <f t="shared" si="57"/>
        <v>0</v>
      </c>
      <c r="U158" s="125">
        <f t="shared" si="46"/>
        <v>0</v>
      </c>
      <c r="V158" s="125">
        <f t="shared" si="46"/>
        <v>3000</v>
      </c>
      <c r="W158" s="77">
        <v>32</v>
      </c>
      <c r="X158" s="90">
        <v>0</v>
      </c>
      <c r="Y158" s="77">
        <v>0</v>
      </c>
      <c r="Z158" s="125">
        <v>12</v>
      </c>
      <c r="AA158" s="125">
        <f t="shared" si="58"/>
        <v>3200</v>
      </c>
      <c r="AB158" s="125">
        <f t="shared" si="58"/>
        <v>0</v>
      </c>
      <c r="AC158" s="125">
        <f t="shared" si="48"/>
        <v>0</v>
      </c>
      <c r="AD158" s="125">
        <f t="shared" si="48"/>
        <v>3600</v>
      </c>
      <c r="AE158" s="77">
        <v>32</v>
      </c>
      <c r="AF158" s="90">
        <v>0</v>
      </c>
      <c r="AG158" s="77">
        <v>0</v>
      </c>
      <c r="AH158" s="125">
        <v>12</v>
      </c>
      <c r="AI158" s="125">
        <f t="shared" si="59"/>
        <v>3200</v>
      </c>
      <c r="AJ158" s="125">
        <f t="shared" si="59"/>
        <v>0</v>
      </c>
      <c r="AK158" s="125">
        <f t="shared" si="50"/>
        <v>0</v>
      </c>
      <c r="AL158" s="125">
        <f t="shared" si="50"/>
        <v>3600</v>
      </c>
      <c r="AM158" s="77">
        <v>32</v>
      </c>
      <c r="AN158" s="90">
        <v>0</v>
      </c>
      <c r="AO158" s="77">
        <v>0</v>
      </c>
      <c r="AP158" s="125">
        <v>12</v>
      </c>
      <c r="AQ158" s="125">
        <f t="shared" si="60"/>
        <v>3200</v>
      </c>
      <c r="AR158" s="125">
        <f t="shared" si="60"/>
        <v>0</v>
      </c>
      <c r="AS158" s="125">
        <f t="shared" si="52"/>
        <v>0</v>
      </c>
      <c r="AT158" s="125">
        <f t="shared" si="52"/>
        <v>3600</v>
      </c>
      <c r="AU158" s="12">
        <v>36</v>
      </c>
      <c r="AV158" s="6">
        <v>0</v>
      </c>
      <c r="AW158" s="12">
        <v>0</v>
      </c>
      <c r="AX158" s="138">
        <v>12</v>
      </c>
      <c r="AY158" s="138">
        <f t="shared" si="61"/>
        <v>3600</v>
      </c>
      <c r="AZ158" s="138">
        <f t="shared" si="61"/>
        <v>0</v>
      </c>
      <c r="BA158" s="138">
        <f t="shared" si="53"/>
        <v>0</v>
      </c>
      <c r="BB158" s="138">
        <f t="shared" si="53"/>
        <v>3600</v>
      </c>
      <c r="BC158" s="12">
        <v>50</v>
      </c>
      <c r="BD158" s="6">
        <v>0</v>
      </c>
      <c r="BE158" s="12">
        <v>0</v>
      </c>
      <c r="BF158" s="138">
        <v>12</v>
      </c>
      <c r="BG158" s="138">
        <f t="shared" si="62"/>
        <v>5000</v>
      </c>
      <c r="BH158" s="138">
        <f t="shared" si="62"/>
        <v>0</v>
      </c>
      <c r="BI158" s="138">
        <f t="shared" si="54"/>
        <v>0</v>
      </c>
      <c r="BJ158" s="138">
        <f t="shared" si="54"/>
        <v>3600</v>
      </c>
      <c r="BK158" s="12">
        <v>52</v>
      </c>
      <c r="BL158" s="6">
        <v>0</v>
      </c>
      <c r="BM158" s="12">
        <v>0</v>
      </c>
      <c r="BN158" s="138">
        <v>12</v>
      </c>
      <c r="BO158" s="138">
        <f t="shared" si="63"/>
        <v>5200</v>
      </c>
      <c r="BP158" s="138">
        <f t="shared" si="63"/>
        <v>0</v>
      </c>
      <c r="BQ158" s="138">
        <f t="shared" si="55"/>
        <v>0</v>
      </c>
      <c r="BR158" s="138">
        <f t="shared" si="55"/>
        <v>3600</v>
      </c>
      <c r="BS158" s="12">
        <v>52</v>
      </c>
      <c r="BT158" s="6">
        <v>0</v>
      </c>
      <c r="BU158" s="12">
        <v>0</v>
      </c>
      <c r="BV158" s="138">
        <v>12</v>
      </c>
      <c r="BW158" s="138">
        <f t="shared" si="64"/>
        <v>5200</v>
      </c>
      <c r="BX158" s="138">
        <f t="shared" si="64"/>
        <v>0</v>
      </c>
      <c r="BY158" s="138">
        <f t="shared" si="56"/>
        <v>0</v>
      </c>
      <c r="BZ158" s="138">
        <f t="shared" si="56"/>
        <v>3600</v>
      </c>
      <c r="CA158" s="125"/>
      <c r="CB158" s="125"/>
      <c r="CC158" s="125"/>
      <c r="CD158" s="125"/>
      <c r="CE158" s="125"/>
      <c r="CF158" s="125"/>
      <c r="CG158" s="125"/>
      <c r="CH158" s="125"/>
      <c r="CI158" s="125"/>
      <c r="CJ158" s="125"/>
      <c r="CK158" s="125"/>
      <c r="CL158" s="125"/>
      <c r="CM158" s="125"/>
      <c r="CN158" s="125"/>
      <c r="CO158" s="125"/>
      <c r="CP158" s="125"/>
      <c r="CQ158" s="125"/>
      <c r="CR158" s="125"/>
      <c r="CS158" s="125"/>
      <c r="CT158" s="125"/>
      <c r="CU158" s="125"/>
      <c r="CV158" s="125"/>
      <c r="CW158" s="125"/>
      <c r="CX158" s="125"/>
      <c r="CY158" s="125"/>
      <c r="CZ158" s="125"/>
      <c r="DA158" s="125"/>
      <c r="DB158" s="125"/>
      <c r="DC158" s="125"/>
      <c r="DD158" s="125"/>
      <c r="DE158" s="125"/>
      <c r="DF158" s="125"/>
      <c r="DG158" s="125"/>
      <c r="DH158" s="125"/>
      <c r="DI158" s="125"/>
      <c r="DJ158" s="125"/>
      <c r="DK158" s="125"/>
      <c r="DL158" s="125"/>
      <c r="DM158" s="125"/>
      <c r="DN158" s="125"/>
      <c r="DO158" s="125"/>
      <c r="DP158" s="125"/>
      <c r="DQ158" s="125"/>
      <c r="DR158" s="125"/>
      <c r="DS158" s="125"/>
      <c r="DT158" s="125"/>
      <c r="DU158" s="125"/>
      <c r="DV158" s="125"/>
      <c r="DW158" s="125"/>
      <c r="DX158" s="125"/>
      <c r="DY158" s="125"/>
      <c r="DZ158" s="125"/>
      <c r="EA158" s="125"/>
      <c r="EB158" s="125"/>
      <c r="EC158" s="125"/>
      <c r="ED158" s="125"/>
      <c r="EE158" s="125"/>
      <c r="EF158" s="125"/>
      <c r="EG158" s="125"/>
      <c r="EH158" s="125"/>
      <c r="EI158" s="125"/>
      <c r="EJ158" s="125"/>
      <c r="EK158" s="125"/>
      <c r="EL158" s="125"/>
    </row>
    <row r="159" spans="1:142">
      <c r="A159" s="125">
        <v>51</v>
      </c>
      <c r="B159" s="81" t="s">
        <v>243</v>
      </c>
      <c r="C159" s="125"/>
      <c r="D159" s="125"/>
      <c r="E159" s="125"/>
      <c r="F159" s="125"/>
      <c r="G159" s="77">
        <v>25</v>
      </c>
      <c r="H159" s="90">
        <v>0</v>
      </c>
      <c r="I159" s="77">
        <v>0</v>
      </c>
      <c r="J159" s="125">
        <v>5</v>
      </c>
      <c r="K159" s="125">
        <f t="shared" si="43"/>
        <v>2500</v>
      </c>
      <c r="L159" s="125">
        <f t="shared" si="43"/>
        <v>0</v>
      </c>
      <c r="M159" s="125">
        <f t="shared" si="44"/>
        <v>0</v>
      </c>
      <c r="N159" s="125">
        <f t="shared" si="44"/>
        <v>1500</v>
      </c>
      <c r="O159" s="77">
        <v>26</v>
      </c>
      <c r="P159" s="90">
        <v>0</v>
      </c>
      <c r="Q159" s="77">
        <v>0</v>
      </c>
      <c r="R159" s="125">
        <v>5</v>
      </c>
      <c r="S159" s="125">
        <f t="shared" si="57"/>
        <v>2600</v>
      </c>
      <c r="T159" s="125">
        <f t="shared" si="57"/>
        <v>0</v>
      </c>
      <c r="U159" s="125">
        <f t="shared" si="46"/>
        <v>0</v>
      </c>
      <c r="V159" s="125">
        <f t="shared" si="46"/>
        <v>1500</v>
      </c>
      <c r="W159" s="77">
        <v>27</v>
      </c>
      <c r="X159" s="90">
        <v>0</v>
      </c>
      <c r="Y159" s="77">
        <v>0</v>
      </c>
      <c r="Z159" s="125">
        <v>6</v>
      </c>
      <c r="AA159" s="125">
        <f t="shared" si="58"/>
        <v>2700</v>
      </c>
      <c r="AB159" s="125">
        <f t="shared" si="58"/>
        <v>0</v>
      </c>
      <c r="AC159" s="125">
        <f t="shared" si="48"/>
        <v>0</v>
      </c>
      <c r="AD159" s="125">
        <f t="shared" si="48"/>
        <v>1800</v>
      </c>
      <c r="AE159" s="77">
        <v>30</v>
      </c>
      <c r="AF159" s="90">
        <v>0</v>
      </c>
      <c r="AG159" s="77">
        <v>0</v>
      </c>
      <c r="AH159" s="125">
        <v>6</v>
      </c>
      <c r="AI159" s="125">
        <f t="shared" si="59"/>
        <v>3000</v>
      </c>
      <c r="AJ159" s="125">
        <f t="shared" si="59"/>
        <v>0</v>
      </c>
      <c r="AK159" s="125">
        <f t="shared" si="50"/>
        <v>0</v>
      </c>
      <c r="AL159" s="125">
        <f t="shared" si="50"/>
        <v>1800</v>
      </c>
      <c r="AM159" s="77">
        <v>30</v>
      </c>
      <c r="AN159" s="90">
        <v>0</v>
      </c>
      <c r="AO159" s="77">
        <v>0</v>
      </c>
      <c r="AP159" s="125">
        <v>16</v>
      </c>
      <c r="AQ159" s="125">
        <f t="shared" si="60"/>
        <v>3000</v>
      </c>
      <c r="AR159" s="125">
        <f t="shared" si="60"/>
        <v>0</v>
      </c>
      <c r="AS159" s="125">
        <f t="shared" si="52"/>
        <v>0</v>
      </c>
      <c r="AT159" s="125">
        <f t="shared" si="52"/>
        <v>4800</v>
      </c>
      <c r="AU159" s="12">
        <v>30</v>
      </c>
      <c r="AV159" s="6">
        <v>0</v>
      </c>
      <c r="AW159" s="12">
        <v>4</v>
      </c>
      <c r="AX159" s="138">
        <v>18</v>
      </c>
      <c r="AY159" s="138">
        <f t="shared" si="61"/>
        <v>3000</v>
      </c>
      <c r="AZ159" s="138">
        <f t="shared" si="61"/>
        <v>0</v>
      </c>
      <c r="BA159" s="138">
        <f t="shared" si="53"/>
        <v>1200</v>
      </c>
      <c r="BB159" s="138">
        <f t="shared" si="53"/>
        <v>5400</v>
      </c>
      <c r="BC159" s="12">
        <v>40</v>
      </c>
      <c r="BD159" s="6">
        <v>0</v>
      </c>
      <c r="BE159" s="12">
        <v>6</v>
      </c>
      <c r="BF159" s="138">
        <v>18</v>
      </c>
      <c r="BG159" s="138">
        <f t="shared" si="62"/>
        <v>4000</v>
      </c>
      <c r="BH159" s="138">
        <f t="shared" si="62"/>
        <v>0</v>
      </c>
      <c r="BI159" s="138">
        <f t="shared" si="54"/>
        <v>1800</v>
      </c>
      <c r="BJ159" s="138">
        <f t="shared" si="54"/>
        <v>5400</v>
      </c>
      <c r="BK159" s="12">
        <v>44</v>
      </c>
      <c r="BL159" s="6">
        <v>0</v>
      </c>
      <c r="BM159" s="12">
        <v>8</v>
      </c>
      <c r="BN159" s="138">
        <v>20</v>
      </c>
      <c r="BO159" s="138">
        <f t="shared" si="63"/>
        <v>4400</v>
      </c>
      <c r="BP159" s="138">
        <f t="shared" si="63"/>
        <v>0</v>
      </c>
      <c r="BQ159" s="138">
        <f t="shared" si="55"/>
        <v>2400</v>
      </c>
      <c r="BR159" s="138">
        <f t="shared" si="55"/>
        <v>6000</v>
      </c>
      <c r="BS159" s="12">
        <v>46</v>
      </c>
      <c r="BT159" s="6">
        <v>0</v>
      </c>
      <c r="BU159" s="12">
        <v>12</v>
      </c>
      <c r="BV159" s="138">
        <v>20</v>
      </c>
      <c r="BW159" s="138">
        <f t="shared" si="64"/>
        <v>4600</v>
      </c>
      <c r="BX159" s="138">
        <f t="shared" si="64"/>
        <v>0</v>
      </c>
      <c r="BY159" s="138">
        <f t="shared" si="56"/>
        <v>3600</v>
      </c>
      <c r="BZ159" s="138">
        <f t="shared" si="56"/>
        <v>6000</v>
      </c>
      <c r="CA159" s="125"/>
      <c r="CB159" s="125"/>
      <c r="CC159" s="125"/>
      <c r="CD159" s="125"/>
      <c r="CE159" s="125"/>
      <c r="CF159" s="125"/>
      <c r="CG159" s="125"/>
      <c r="CH159" s="125"/>
      <c r="CI159" s="125"/>
      <c r="CJ159" s="125"/>
      <c r="CK159" s="125"/>
      <c r="CL159" s="125"/>
      <c r="CM159" s="125"/>
      <c r="CN159" s="125"/>
      <c r="CO159" s="125"/>
      <c r="CP159" s="125"/>
      <c r="CQ159" s="125"/>
      <c r="CR159" s="125"/>
      <c r="CS159" s="125"/>
      <c r="CT159" s="125"/>
      <c r="CU159" s="125"/>
      <c r="CV159" s="125"/>
      <c r="CW159" s="125"/>
      <c r="CX159" s="125"/>
      <c r="CY159" s="125"/>
      <c r="CZ159" s="125"/>
      <c r="DA159" s="125"/>
      <c r="DB159" s="125"/>
      <c r="DC159" s="125"/>
      <c r="DD159" s="125"/>
      <c r="DE159" s="125"/>
      <c r="DF159" s="125"/>
      <c r="DG159" s="125"/>
      <c r="DH159" s="125"/>
      <c r="DI159" s="125"/>
      <c r="DJ159" s="125"/>
      <c r="DK159" s="125"/>
      <c r="DL159" s="125"/>
      <c r="DM159" s="125"/>
      <c r="DN159" s="125"/>
      <c r="DO159" s="125"/>
      <c r="DP159" s="125"/>
      <c r="DQ159" s="125"/>
      <c r="DR159" s="125"/>
      <c r="DS159" s="125"/>
      <c r="DT159" s="125"/>
      <c r="DU159" s="125"/>
      <c r="DV159" s="125"/>
      <c r="DW159" s="125"/>
      <c r="DX159" s="125"/>
      <c r="DY159" s="125"/>
      <c r="DZ159" s="125"/>
      <c r="EA159" s="125"/>
      <c r="EB159" s="125"/>
      <c r="EC159" s="125"/>
      <c r="ED159" s="125"/>
      <c r="EE159" s="125"/>
      <c r="EF159" s="125"/>
      <c r="EG159" s="125"/>
      <c r="EH159" s="125"/>
      <c r="EI159" s="125"/>
      <c r="EJ159" s="125"/>
      <c r="EK159" s="125"/>
      <c r="EL159" s="125"/>
    </row>
    <row r="160" spans="1:142">
      <c r="A160" s="125">
        <v>52</v>
      </c>
      <c r="B160" s="81" t="s">
        <v>244</v>
      </c>
      <c r="C160" s="125"/>
      <c r="D160" s="125"/>
      <c r="E160" s="125"/>
      <c r="F160" s="125"/>
      <c r="G160" s="77">
        <v>30</v>
      </c>
      <c r="H160" s="90">
        <v>0</v>
      </c>
      <c r="I160" s="77">
        <v>0</v>
      </c>
      <c r="J160" s="125">
        <v>8</v>
      </c>
      <c r="K160" s="125">
        <f t="shared" si="43"/>
        <v>3000</v>
      </c>
      <c r="L160" s="125">
        <f t="shared" si="43"/>
        <v>0</v>
      </c>
      <c r="M160" s="125">
        <f t="shared" si="44"/>
        <v>0</v>
      </c>
      <c r="N160" s="125">
        <f t="shared" si="44"/>
        <v>2400</v>
      </c>
      <c r="O160" s="77">
        <v>32</v>
      </c>
      <c r="P160" s="90">
        <v>0</v>
      </c>
      <c r="Q160" s="77">
        <v>0</v>
      </c>
      <c r="R160" s="125">
        <v>8</v>
      </c>
      <c r="S160" s="125">
        <f t="shared" si="57"/>
        <v>3200</v>
      </c>
      <c r="T160" s="125">
        <f t="shared" si="57"/>
        <v>0</v>
      </c>
      <c r="U160" s="125">
        <f t="shared" si="46"/>
        <v>0</v>
      </c>
      <c r="V160" s="125">
        <f t="shared" si="46"/>
        <v>2400</v>
      </c>
      <c r="W160" s="77">
        <v>33</v>
      </c>
      <c r="X160" s="90">
        <v>0</v>
      </c>
      <c r="Y160" s="77">
        <v>0</v>
      </c>
      <c r="Z160" s="125">
        <v>8</v>
      </c>
      <c r="AA160" s="125">
        <f t="shared" si="58"/>
        <v>3300</v>
      </c>
      <c r="AB160" s="125">
        <f t="shared" si="58"/>
        <v>0</v>
      </c>
      <c r="AC160" s="125">
        <f t="shared" si="48"/>
        <v>0</v>
      </c>
      <c r="AD160" s="125">
        <f t="shared" si="48"/>
        <v>2400</v>
      </c>
      <c r="AE160" s="77">
        <v>33</v>
      </c>
      <c r="AF160" s="90">
        <v>0</v>
      </c>
      <c r="AG160" s="77">
        <v>0</v>
      </c>
      <c r="AH160" s="125">
        <v>10</v>
      </c>
      <c r="AI160" s="125">
        <f t="shared" si="59"/>
        <v>3300</v>
      </c>
      <c r="AJ160" s="125">
        <f t="shared" si="59"/>
        <v>0</v>
      </c>
      <c r="AK160" s="125">
        <f t="shared" si="50"/>
        <v>0</v>
      </c>
      <c r="AL160" s="125">
        <f t="shared" si="50"/>
        <v>3000</v>
      </c>
      <c r="AM160" s="77">
        <v>31</v>
      </c>
      <c r="AN160" s="90">
        <v>0</v>
      </c>
      <c r="AO160" s="77">
        <v>0</v>
      </c>
      <c r="AP160" s="125">
        <v>10</v>
      </c>
      <c r="AQ160" s="125">
        <f t="shared" si="60"/>
        <v>3100</v>
      </c>
      <c r="AR160" s="125">
        <f t="shared" si="60"/>
        <v>0</v>
      </c>
      <c r="AS160" s="125">
        <f t="shared" si="52"/>
        <v>0</v>
      </c>
      <c r="AT160" s="125">
        <f t="shared" si="52"/>
        <v>3000</v>
      </c>
      <c r="AU160" s="12">
        <v>31</v>
      </c>
      <c r="AV160" s="6">
        <v>0</v>
      </c>
      <c r="AW160" s="12">
        <v>0</v>
      </c>
      <c r="AX160" s="138">
        <v>10</v>
      </c>
      <c r="AY160" s="138">
        <f t="shared" si="61"/>
        <v>3100</v>
      </c>
      <c r="AZ160" s="138">
        <f t="shared" si="61"/>
        <v>0</v>
      </c>
      <c r="BA160" s="138">
        <f t="shared" si="53"/>
        <v>0</v>
      </c>
      <c r="BB160" s="138">
        <f t="shared" si="53"/>
        <v>3000</v>
      </c>
      <c r="BC160" s="12">
        <v>41</v>
      </c>
      <c r="BD160" s="6">
        <v>0</v>
      </c>
      <c r="BE160" s="12">
        <v>0</v>
      </c>
      <c r="BF160" s="138">
        <v>10</v>
      </c>
      <c r="BG160" s="138">
        <f t="shared" si="62"/>
        <v>4100</v>
      </c>
      <c r="BH160" s="138">
        <f t="shared" si="62"/>
        <v>0</v>
      </c>
      <c r="BI160" s="138">
        <f t="shared" si="54"/>
        <v>0</v>
      </c>
      <c r="BJ160" s="138">
        <f t="shared" si="54"/>
        <v>3000</v>
      </c>
      <c r="BK160" s="12">
        <v>46</v>
      </c>
      <c r="BL160" s="6">
        <v>0</v>
      </c>
      <c r="BM160" s="12">
        <v>0</v>
      </c>
      <c r="BN160" s="138">
        <v>10</v>
      </c>
      <c r="BO160" s="138">
        <f t="shared" si="63"/>
        <v>4600</v>
      </c>
      <c r="BP160" s="138">
        <f t="shared" si="63"/>
        <v>0</v>
      </c>
      <c r="BQ160" s="138">
        <f t="shared" si="55"/>
        <v>0</v>
      </c>
      <c r="BR160" s="138">
        <f t="shared" si="55"/>
        <v>3000</v>
      </c>
      <c r="BS160" s="12">
        <v>52</v>
      </c>
      <c r="BT160" s="6">
        <v>0</v>
      </c>
      <c r="BU160" s="12">
        <v>0</v>
      </c>
      <c r="BV160" s="138">
        <v>14</v>
      </c>
      <c r="BW160" s="138">
        <f t="shared" si="64"/>
        <v>5200</v>
      </c>
      <c r="BX160" s="138">
        <f t="shared" si="64"/>
        <v>0</v>
      </c>
      <c r="BY160" s="138">
        <f t="shared" si="56"/>
        <v>0</v>
      </c>
      <c r="BZ160" s="138">
        <f t="shared" si="56"/>
        <v>4200</v>
      </c>
      <c r="CA160" s="125"/>
      <c r="CB160" s="125"/>
      <c r="CC160" s="125"/>
      <c r="CD160" s="125"/>
      <c r="CE160" s="125"/>
      <c r="CF160" s="125"/>
      <c r="CG160" s="125"/>
      <c r="CH160" s="125"/>
      <c r="CI160" s="125"/>
      <c r="CJ160" s="125"/>
      <c r="CK160" s="125"/>
      <c r="CL160" s="125"/>
      <c r="CM160" s="125"/>
      <c r="CN160" s="125"/>
      <c r="CO160" s="125"/>
      <c r="CP160" s="125"/>
      <c r="CQ160" s="125"/>
      <c r="CR160" s="125"/>
      <c r="CS160" s="125"/>
      <c r="CT160" s="125"/>
      <c r="CU160" s="125"/>
      <c r="CV160" s="125"/>
      <c r="CW160" s="125"/>
      <c r="CX160" s="125"/>
      <c r="CY160" s="125"/>
      <c r="CZ160" s="125"/>
      <c r="DA160" s="125"/>
      <c r="DB160" s="125"/>
      <c r="DC160" s="125"/>
      <c r="DD160" s="125"/>
      <c r="DE160" s="125"/>
      <c r="DF160" s="125"/>
      <c r="DG160" s="125"/>
      <c r="DH160" s="125"/>
      <c r="DI160" s="125"/>
      <c r="DJ160" s="125"/>
      <c r="DK160" s="125"/>
      <c r="DL160" s="125"/>
      <c r="DM160" s="125"/>
      <c r="DN160" s="125"/>
      <c r="DO160" s="125"/>
      <c r="DP160" s="125"/>
      <c r="DQ160" s="125"/>
      <c r="DR160" s="125"/>
      <c r="DS160" s="125"/>
      <c r="DT160" s="125"/>
      <c r="DU160" s="125"/>
      <c r="DV160" s="125"/>
      <c r="DW160" s="125"/>
      <c r="DX160" s="125"/>
      <c r="DY160" s="125"/>
      <c r="DZ160" s="125"/>
      <c r="EA160" s="125"/>
      <c r="EB160" s="125"/>
      <c r="EC160" s="125"/>
      <c r="ED160" s="125"/>
      <c r="EE160" s="125"/>
      <c r="EF160" s="125"/>
      <c r="EG160" s="125"/>
      <c r="EH160" s="125"/>
      <c r="EI160" s="125"/>
      <c r="EJ160" s="125"/>
      <c r="EK160" s="125"/>
      <c r="EL160" s="125"/>
    </row>
    <row r="161" spans="1:142">
      <c r="A161" s="125">
        <v>53</v>
      </c>
      <c r="B161" s="81" t="s">
        <v>245</v>
      </c>
      <c r="C161" s="125"/>
      <c r="D161" s="125"/>
      <c r="E161" s="125"/>
      <c r="F161" s="125"/>
      <c r="G161" s="77">
        <v>25</v>
      </c>
      <c r="H161" s="90">
        <v>0</v>
      </c>
      <c r="I161" s="77">
        <v>0</v>
      </c>
      <c r="J161" s="125">
        <v>20</v>
      </c>
      <c r="K161" s="125">
        <f t="shared" si="43"/>
        <v>2500</v>
      </c>
      <c r="L161" s="125">
        <f t="shared" si="43"/>
        <v>0</v>
      </c>
      <c r="M161" s="125">
        <f t="shared" si="44"/>
        <v>0</v>
      </c>
      <c r="N161" s="125">
        <f t="shared" si="44"/>
        <v>6000</v>
      </c>
      <c r="O161" s="77">
        <v>30</v>
      </c>
      <c r="P161" s="90">
        <v>0</v>
      </c>
      <c r="Q161" s="77">
        <v>0</v>
      </c>
      <c r="R161" s="125">
        <v>20</v>
      </c>
      <c r="S161" s="125">
        <f t="shared" si="57"/>
        <v>3000</v>
      </c>
      <c r="T161" s="125">
        <f t="shared" si="57"/>
        <v>0</v>
      </c>
      <c r="U161" s="125">
        <f t="shared" si="46"/>
        <v>0</v>
      </c>
      <c r="V161" s="125">
        <f t="shared" si="46"/>
        <v>6000</v>
      </c>
      <c r="W161" s="77">
        <v>28</v>
      </c>
      <c r="X161" s="90">
        <v>0</v>
      </c>
      <c r="Y161" s="77">
        <v>0</v>
      </c>
      <c r="Z161" s="125">
        <v>18</v>
      </c>
      <c r="AA161" s="125">
        <f t="shared" si="58"/>
        <v>2800</v>
      </c>
      <c r="AB161" s="125">
        <f t="shared" si="58"/>
        <v>0</v>
      </c>
      <c r="AC161" s="125">
        <f t="shared" si="48"/>
        <v>0</v>
      </c>
      <c r="AD161" s="125">
        <f t="shared" si="48"/>
        <v>5400</v>
      </c>
      <c r="AE161" s="77">
        <v>33</v>
      </c>
      <c r="AF161" s="90">
        <v>0</v>
      </c>
      <c r="AG161" s="77">
        <v>0</v>
      </c>
      <c r="AH161" s="125">
        <v>20</v>
      </c>
      <c r="AI161" s="125">
        <f t="shared" si="59"/>
        <v>3300</v>
      </c>
      <c r="AJ161" s="125">
        <f t="shared" si="59"/>
        <v>0</v>
      </c>
      <c r="AK161" s="125">
        <f t="shared" si="50"/>
        <v>0</v>
      </c>
      <c r="AL161" s="125">
        <f t="shared" si="50"/>
        <v>6000</v>
      </c>
      <c r="AM161" s="77">
        <v>30</v>
      </c>
      <c r="AN161" s="90">
        <v>0</v>
      </c>
      <c r="AO161" s="77">
        <v>0</v>
      </c>
      <c r="AP161" s="125">
        <v>20</v>
      </c>
      <c r="AQ161" s="125">
        <f t="shared" si="60"/>
        <v>3000</v>
      </c>
      <c r="AR161" s="125">
        <f t="shared" si="60"/>
        <v>0</v>
      </c>
      <c r="AS161" s="125">
        <f t="shared" si="52"/>
        <v>0</v>
      </c>
      <c r="AT161" s="125">
        <f t="shared" si="52"/>
        <v>6000</v>
      </c>
      <c r="AU161" s="12">
        <v>25</v>
      </c>
      <c r="AV161" s="6">
        <v>0</v>
      </c>
      <c r="AW161" s="12">
        <v>0</v>
      </c>
      <c r="AX161" s="138">
        <v>20</v>
      </c>
      <c r="AY161" s="138">
        <f t="shared" si="61"/>
        <v>2500</v>
      </c>
      <c r="AZ161" s="138">
        <f t="shared" si="61"/>
        <v>0</v>
      </c>
      <c r="BA161" s="138">
        <f t="shared" si="53"/>
        <v>0</v>
      </c>
      <c r="BB161" s="138">
        <f t="shared" si="53"/>
        <v>6000</v>
      </c>
      <c r="BC161" s="12">
        <v>35</v>
      </c>
      <c r="BD161" s="6">
        <v>0</v>
      </c>
      <c r="BE161" s="12">
        <v>0</v>
      </c>
      <c r="BF161" s="138">
        <v>20</v>
      </c>
      <c r="BG161" s="138">
        <f t="shared" si="62"/>
        <v>3500</v>
      </c>
      <c r="BH161" s="138">
        <f t="shared" si="62"/>
        <v>0</v>
      </c>
      <c r="BI161" s="138">
        <f t="shared" si="54"/>
        <v>0</v>
      </c>
      <c r="BJ161" s="138">
        <f t="shared" si="54"/>
        <v>6000</v>
      </c>
      <c r="BK161" s="12">
        <v>35</v>
      </c>
      <c r="BL161" s="6">
        <v>0</v>
      </c>
      <c r="BM161" s="12">
        <v>0</v>
      </c>
      <c r="BN161" s="138">
        <v>20</v>
      </c>
      <c r="BO161" s="138">
        <f t="shared" si="63"/>
        <v>3500</v>
      </c>
      <c r="BP161" s="138">
        <f t="shared" si="63"/>
        <v>0</v>
      </c>
      <c r="BQ161" s="138">
        <f t="shared" si="55"/>
        <v>0</v>
      </c>
      <c r="BR161" s="138">
        <f t="shared" si="55"/>
        <v>6000</v>
      </c>
      <c r="BS161" s="12">
        <v>44</v>
      </c>
      <c r="BT161" s="6">
        <v>0</v>
      </c>
      <c r="BU161" s="12">
        <v>0</v>
      </c>
      <c r="BV161" s="138">
        <v>20</v>
      </c>
      <c r="BW161" s="138">
        <f t="shared" si="64"/>
        <v>4400</v>
      </c>
      <c r="BX161" s="138">
        <f t="shared" si="64"/>
        <v>0</v>
      </c>
      <c r="BY161" s="138">
        <f t="shared" si="56"/>
        <v>0</v>
      </c>
      <c r="BZ161" s="138">
        <f t="shared" si="56"/>
        <v>6000</v>
      </c>
      <c r="CA161" s="125"/>
      <c r="CB161" s="125"/>
      <c r="CC161" s="125"/>
      <c r="CD161" s="125"/>
      <c r="CE161" s="125"/>
      <c r="CF161" s="125"/>
      <c r="CG161" s="125"/>
      <c r="CH161" s="125"/>
      <c r="CI161" s="125"/>
      <c r="CJ161" s="125"/>
      <c r="CK161" s="125"/>
      <c r="CL161" s="125"/>
      <c r="CM161" s="125"/>
      <c r="CN161" s="125"/>
      <c r="CO161" s="125"/>
      <c r="CP161" s="125"/>
      <c r="CQ161" s="125"/>
      <c r="CR161" s="125"/>
      <c r="CS161" s="125"/>
      <c r="CT161" s="125"/>
      <c r="CU161" s="125"/>
      <c r="CV161" s="125"/>
      <c r="CW161" s="125"/>
      <c r="CX161" s="125"/>
      <c r="CY161" s="125"/>
      <c r="CZ161" s="125"/>
      <c r="DA161" s="125"/>
      <c r="DB161" s="125"/>
      <c r="DC161" s="125"/>
      <c r="DD161" s="125"/>
      <c r="DE161" s="125"/>
      <c r="DF161" s="125"/>
      <c r="DG161" s="125"/>
      <c r="DH161" s="125"/>
      <c r="DI161" s="125"/>
      <c r="DJ161" s="125"/>
      <c r="DK161" s="125"/>
      <c r="DL161" s="125"/>
      <c r="DM161" s="125"/>
      <c r="DN161" s="125"/>
      <c r="DO161" s="125"/>
      <c r="DP161" s="125"/>
      <c r="DQ161" s="125"/>
      <c r="DR161" s="125"/>
      <c r="DS161" s="125"/>
      <c r="DT161" s="125"/>
      <c r="DU161" s="125"/>
      <c r="DV161" s="125"/>
      <c r="DW161" s="125"/>
      <c r="DX161" s="125"/>
      <c r="DY161" s="125"/>
      <c r="DZ161" s="125"/>
      <c r="EA161" s="125"/>
      <c r="EB161" s="125"/>
      <c r="EC161" s="125"/>
      <c r="ED161" s="125"/>
      <c r="EE161" s="125"/>
      <c r="EF161" s="125"/>
      <c r="EG161" s="125"/>
      <c r="EH161" s="125"/>
      <c r="EI161" s="125"/>
      <c r="EJ161" s="125"/>
      <c r="EK161" s="125"/>
      <c r="EL161" s="125"/>
    </row>
    <row r="162" spans="1:142">
      <c r="A162" s="125">
        <v>54</v>
      </c>
      <c r="B162" s="81" t="s">
        <v>246</v>
      </c>
      <c r="C162" s="125"/>
      <c r="D162" s="125"/>
      <c r="E162" s="125"/>
      <c r="F162" s="125"/>
      <c r="G162" s="77">
        <v>55</v>
      </c>
      <c r="H162" s="90">
        <v>0</v>
      </c>
      <c r="I162" s="77">
        <v>0</v>
      </c>
      <c r="J162" s="125">
        <v>12</v>
      </c>
      <c r="K162" s="125">
        <f t="shared" si="43"/>
        <v>5500</v>
      </c>
      <c r="L162" s="125">
        <f t="shared" si="43"/>
        <v>0</v>
      </c>
      <c r="M162" s="125">
        <f t="shared" si="44"/>
        <v>0</v>
      </c>
      <c r="N162" s="125">
        <f t="shared" si="44"/>
        <v>3600</v>
      </c>
      <c r="O162" s="77">
        <v>55</v>
      </c>
      <c r="P162" s="90">
        <v>0</v>
      </c>
      <c r="Q162" s="77">
        <v>0</v>
      </c>
      <c r="R162" s="125">
        <v>10</v>
      </c>
      <c r="S162" s="125">
        <f t="shared" si="57"/>
        <v>5500</v>
      </c>
      <c r="T162" s="125">
        <f t="shared" si="57"/>
        <v>0</v>
      </c>
      <c r="U162" s="125">
        <f t="shared" si="46"/>
        <v>0</v>
      </c>
      <c r="V162" s="125">
        <f t="shared" si="46"/>
        <v>3000</v>
      </c>
      <c r="W162" s="77">
        <v>56</v>
      </c>
      <c r="X162" s="90">
        <v>0</v>
      </c>
      <c r="Y162" s="77">
        <v>0</v>
      </c>
      <c r="Z162" s="125">
        <v>12</v>
      </c>
      <c r="AA162" s="125">
        <f t="shared" si="58"/>
        <v>5600</v>
      </c>
      <c r="AB162" s="125">
        <f t="shared" si="58"/>
        <v>0</v>
      </c>
      <c r="AC162" s="125">
        <f t="shared" si="48"/>
        <v>0</v>
      </c>
      <c r="AD162" s="125">
        <f t="shared" si="48"/>
        <v>3600</v>
      </c>
      <c r="AE162" s="77">
        <v>56</v>
      </c>
      <c r="AF162" s="90">
        <v>0</v>
      </c>
      <c r="AG162" s="77">
        <v>0</v>
      </c>
      <c r="AH162" s="125">
        <v>14</v>
      </c>
      <c r="AI162" s="125">
        <f t="shared" si="59"/>
        <v>5600</v>
      </c>
      <c r="AJ162" s="125">
        <f t="shared" si="59"/>
        <v>0</v>
      </c>
      <c r="AK162" s="125">
        <f t="shared" si="50"/>
        <v>0</v>
      </c>
      <c r="AL162" s="125">
        <f t="shared" si="50"/>
        <v>4200</v>
      </c>
      <c r="AM162" s="77">
        <v>52</v>
      </c>
      <c r="AN162" s="90">
        <v>0</v>
      </c>
      <c r="AO162" s="77">
        <v>0</v>
      </c>
      <c r="AP162" s="125">
        <v>14</v>
      </c>
      <c r="AQ162" s="125">
        <f t="shared" si="60"/>
        <v>5200</v>
      </c>
      <c r="AR162" s="125">
        <f t="shared" si="60"/>
        <v>0</v>
      </c>
      <c r="AS162" s="125">
        <f t="shared" si="52"/>
        <v>0</v>
      </c>
      <c r="AT162" s="125">
        <f t="shared" si="52"/>
        <v>4200</v>
      </c>
      <c r="AU162" s="12">
        <v>52</v>
      </c>
      <c r="AV162" s="6">
        <v>0</v>
      </c>
      <c r="AW162" s="12">
        <v>0</v>
      </c>
      <c r="AX162" s="138">
        <v>14</v>
      </c>
      <c r="AY162" s="138">
        <f t="shared" si="61"/>
        <v>5200</v>
      </c>
      <c r="AZ162" s="138">
        <f t="shared" si="61"/>
        <v>0</v>
      </c>
      <c r="BA162" s="138">
        <f t="shared" si="53"/>
        <v>0</v>
      </c>
      <c r="BB162" s="138">
        <f t="shared" si="53"/>
        <v>4200</v>
      </c>
      <c r="BC162" s="12">
        <v>52</v>
      </c>
      <c r="BD162" s="6">
        <v>0</v>
      </c>
      <c r="BE162" s="12">
        <v>0</v>
      </c>
      <c r="BF162" s="138">
        <v>14</v>
      </c>
      <c r="BG162" s="138">
        <f t="shared" si="62"/>
        <v>5200</v>
      </c>
      <c r="BH162" s="138">
        <f t="shared" si="62"/>
        <v>0</v>
      </c>
      <c r="BI162" s="138">
        <f t="shared" si="54"/>
        <v>0</v>
      </c>
      <c r="BJ162" s="138">
        <f t="shared" si="54"/>
        <v>4200</v>
      </c>
      <c r="BK162" s="12">
        <v>52</v>
      </c>
      <c r="BL162" s="6">
        <v>0</v>
      </c>
      <c r="BM162" s="12">
        <v>0</v>
      </c>
      <c r="BN162" s="138">
        <v>14</v>
      </c>
      <c r="BO162" s="138">
        <f t="shared" si="63"/>
        <v>5200</v>
      </c>
      <c r="BP162" s="138">
        <f t="shared" si="63"/>
        <v>0</v>
      </c>
      <c r="BQ162" s="138">
        <f t="shared" si="55"/>
        <v>0</v>
      </c>
      <c r="BR162" s="138">
        <f t="shared" si="55"/>
        <v>4200</v>
      </c>
      <c r="BS162" s="12">
        <v>52</v>
      </c>
      <c r="BT162" s="6">
        <v>0</v>
      </c>
      <c r="BU162" s="12">
        <v>0</v>
      </c>
      <c r="BV162" s="138">
        <v>14</v>
      </c>
      <c r="BW162" s="138">
        <f t="shared" si="64"/>
        <v>5200</v>
      </c>
      <c r="BX162" s="138">
        <f t="shared" si="64"/>
        <v>0</v>
      </c>
      <c r="BY162" s="138">
        <f t="shared" si="56"/>
        <v>0</v>
      </c>
      <c r="BZ162" s="138">
        <f t="shared" si="56"/>
        <v>4200</v>
      </c>
      <c r="CA162" s="125"/>
      <c r="CB162" s="125"/>
      <c r="CC162" s="125"/>
      <c r="CD162" s="125"/>
      <c r="CE162" s="125"/>
      <c r="CF162" s="125"/>
      <c r="CG162" s="125"/>
      <c r="CH162" s="125"/>
      <c r="CI162" s="125"/>
      <c r="CJ162" s="125"/>
      <c r="CK162" s="125"/>
      <c r="CL162" s="125"/>
      <c r="CM162" s="125"/>
      <c r="CN162" s="125"/>
      <c r="CO162" s="125"/>
      <c r="CP162" s="125"/>
      <c r="CQ162" s="125"/>
      <c r="CR162" s="125"/>
      <c r="CS162" s="125"/>
      <c r="CT162" s="125"/>
      <c r="CU162" s="125"/>
      <c r="CV162" s="125"/>
      <c r="CW162" s="125"/>
      <c r="CX162" s="125"/>
      <c r="CY162" s="125"/>
      <c r="CZ162" s="125"/>
      <c r="DA162" s="125"/>
      <c r="DB162" s="125"/>
      <c r="DC162" s="125"/>
      <c r="DD162" s="125"/>
      <c r="DE162" s="125"/>
      <c r="DF162" s="125"/>
      <c r="DG162" s="125"/>
      <c r="DH162" s="125"/>
      <c r="DI162" s="125"/>
      <c r="DJ162" s="125"/>
      <c r="DK162" s="125"/>
      <c r="DL162" s="125"/>
      <c r="DM162" s="125"/>
      <c r="DN162" s="125"/>
      <c r="DO162" s="125"/>
      <c r="DP162" s="125"/>
      <c r="DQ162" s="125"/>
      <c r="DR162" s="125"/>
      <c r="DS162" s="125"/>
      <c r="DT162" s="125"/>
      <c r="DU162" s="125"/>
      <c r="DV162" s="125"/>
      <c r="DW162" s="125"/>
      <c r="DX162" s="125"/>
      <c r="DY162" s="125"/>
      <c r="DZ162" s="125"/>
      <c r="EA162" s="125"/>
      <c r="EB162" s="125"/>
      <c r="EC162" s="125"/>
      <c r="ED162" s="125"/>
      <c r="EE162" s="125"/>
      <c r="EF162" s="125"/>
      <c r="EG162" s="125"/>
      <c r="EH162" s="125"/>
      <c r="EI162" s="125"/>
      <c r="EJ162" s="125"/>
      <c r="EK162" s="125"/>
      <c r="EL162" s="125"/>
    </row>
    <row r="163" spans="1:142">
      <c r="A163" s="125">
        <v>55</v>
      </c>
      <c r="B163" s="81" t="s">
        <v>247</v>
      </c>
      <c r="C163" s="125"/>
      <c r="D163" s="125"/>
      <c r="E163" s="125"/>
      <c r="F163" s="125"/>
      <c r="G163" s="77">
        <v>40</v>
      </c>
      <c r="H163" s="90">
        <v>0</v>
      </c>
      <c r="I163" s="77">
        <v>0</v>
      </c>
      <c r="J163" s="125">
        <v>5</v>
      </c>
      <c r="K163" s="125">
        <f t="shared" si="43"/>
        <v>4000</v>
      </c>
      <c r="L163" s="125">
        <f t="shared" si="43"/>
        <v>0</v>
      </c>
      <c r="M163" s="125">
        <f t="shared" si="44"/>
        <v>0</v>
      </c>
      <c r="N163" s="125">
        <f t="shared" si="44"/>
        <v>1500</v>
      </c>
      <c r="O163" s="77">
        <v>38</v>
      </c>
      <c r="P163" s="90">
        <v>0</v>
      </c>
      <c r="Q163" s="77">
        <v>0</v>
      </c>
      <c r="R163" s="125">
        <v>8</v>
      </c>
      <c r="S163" s="125">
        <f t="shared" si="57"/>
        <v>3800</v>
      </c>
      <c r="T163" s="125">
        <f t="shared" si="57"/>
        <v>0</v>
      </c>
      <c r="U163" s="125">
        <f t="shared" si="46"/>
        <v>0</v>
      </c>
      <c r="V163" s="125">
        <f t="shared" si="46"/>
        <v>2400</v>
      </c>
      <c r="W163" s="77">
        <v>40</v>
      </c>
      <c r="X163" s="90">
        <v>0</v>
      </c>
      <c r="Y163" s="77">
        <v>0</v>
      </c>
      <c r="Z163" s="125">
        <v>9</v>
      </c>
      <c r="AA163" s="125">
        <f t="shared" si="58"/>
        <v>4000</v>
      </c>
      <c r="AB163" s="125">
        <f t="shared" si="58"/>
        <v>0</v>
      </c>
      <c r="AC163" s="125">
        <f t="shared" si="48"/>
        <v>0</v>
      </c>
      <c r="AD163" s="125">
        <f t="shared" si="48"/>
        <v>2700</v>
      </c>
      <c r="AE163" s="77">
        <v>42</v>
      </c>
      <c r="AF163" s="90">
        <v>0</v>
      </c>
      <c r="AG163" s="77">
        <v>0</v>
      </c>
      <c r="AH163" s="125">
        <v>10</v>
      </c>
      <c r="AI163" s="125">
        <f t="shared" si="59"/>
        <v>4200</v>
      </c>
      <c r="AJ163" s="125">
        <f t="shared" si="59"/>
        <v>0</v>
      </c>
      <c r="AK163" s="125">
        <f t="shared" si="50"/>
        <v>0</v>
      </c>
      <c r="AL163" s="125">
        <f t="shared" si="50"/>
        <v>3000</v>
      </c>
      <c r="AM163" s="77">
        <v>44</v>
      </c>
      <c r="AN163" s="90">
        <v>0</v>
      </c>
      <c r="AO163" s="77">
        <v>0</v>
      </c>
      <c r="AP163" s="125">
        <v>12</v>
      </c>
      <c r="AQ163" s="125">
        <f t="shared" si="60"/>
        <v>4400</v>
      </c>
      <c r="AR163" s="125">
        <f t="shared" si="60"/>
        <v>0</v>
      </c>
      <c r="AS163" s="125">
        <f t="shared" si="52"/>
        <v>0</v>
      </c>
      <c r="AT163" s="125">
        <f t="shared" si="52"/>
        <v>3600</v>
      </c>
      <c r="AU163" s="12">
        <v>44</v>
      </c>
      <c r="AV163" s="6">
        <v>0</v>
      </c>
      <c r="AW163" s="12">
        <v>0</v>
      </c>
      <c r="AX163" s="138">
        <v>12</v>
      </c>
      <c r="AY163" s="138">
        <f t="shared" si="61"/>
        <v>4400</v>
      </c>
      <c r="AZ163" s="138">
        <f t="shared" si="61"/>
        <v>0</v>
      </c>
      <c r="BA163" s="138">
        <f t="shared" si="53"/>
        <v>0</v>
      </c>
      <c r="BB163" s="138">
        <f t="shared" si="53"/>
        <v>3600</v>
      </c>
      <c r="BC163" s="12">
        <v>55</v>
      </c>
      <c r="BD163" s="6">
        <v>0</v>
      </c>
      <c r="BE163" s="12">
        <v>0</v>
      </c>
      <c r="BF163" s="138">
        <v>12</v>
      </c>
      <c r="BG163" s="138">
        <f t="shared" si="62"/>
        <v>5500</v>
      </c>
      <c r="BH163" s="138">
        <f t="shared" si="62"/>
        <v>0</v>
      </c>
      <c r="BI163" s="138">
        <f t="shared" si="54"/>
        <v>0</v>
      </c>
      <c r="BJ163" s="138">
        <f t="shared" si="54"/>
        <v>3600</v>
      </c>
      <c r="BK163" s="12">
        <v>55</v>
      </c>
      <c r="BL163" s="6">
        <v>0</v>
      </c>
      <c r="BM163" s="12">
        <v>0</v>
      </c>
      <c r="BN163" s="138">
        <v>12</v>
      </c>
      <c r="BO163" s="138">
        <f t="shared" si="63"/>
        <v>5500</v>
      </c>
      <c r="BP163" s="138">
        <f t="shared" si="63"/>
        <v>0</v>
      </c>
      <c r="BQ163" s="138">
        <f t="shared" si="55"/>
        <v>0</v>
      </c>
      <c r="BR163" s="138">
        <f t="shared" si="55"/>
        <v>3600</v>
      </c>
      <c r="BS163" s="12">
        <v>55</v>
      </c>
      <c r="BT163" s="6">
        <v>0</v>
      </c>
      <c r="BU163" s="12">
        <v>0</v>
      </c>
      <c r="BV163" s="138">
        <v>12</v>
      </c>
      <c r="BW163" s="138">
        <f t="shared" si="64"/>
        <v>5500</v>
      </c>
      <c r="BX163" s="138">
        <f t="shared" si="64"/>
        <v>0</v>
      </c>
      <c r="BY163" s="138">
        <f t="shared" si="56"/>
        <v>0</v>
      </c>
      <c r="BZ163" s="138">
        <f t="shared" si="56"/>
        <v>3600</v>
      </c>
      <c r="CA163" s="125"/>
      <c r="CB163" s="125"/>
      <c r="CC163" s="125"/>
      <c r="CD163" s="125"/>
      <c r="CE163" s="125"/>
      <c r="CF163" s="125"/>
      <c r="CG163" s="125"/>
      <c r="CH163" s="125"/>
      <c r="CI163" s="125"/>
      <c r="CJ163" s="125"/>
      <c r="CK163" s="125"/>
      <c r="CL163" s="125"/>
      <c r="CM163" s="125"/>
      <c r="CN163" s="125"/>
      <c r="CO163" s="125"/>
      <c r="CP163" s="125"/>
      <c r="CQ163" s="125"/>
      <c r="CR163" s="125"/>
      <c r="CS163" s="125"/>
      <c r="CT163" s="125"/>
      <c r="CU163" s="125"/>
      <c r="CV163" s="125"/>
      <c r="CW163" s="125"/>
      <c r="CX163" s="125"/>
      <c r="CY163" s="125"/>
      <c r="CZ163" s="125"/>
      <c r="DA163" s="125"/>
      <c r="DB163" s="125"/>
      <c r="DC163" s="125"/>
      <c r="DD163" s="125"/>
      <c r="DE163" s="125"/>
      <c r="DF163" s="125"/>
      <c r="DG163" s="125"/>
      <c r="DH163" s="125"/>
      <c r="DI163" s="125"/>
      <c r="DJ163" s="125"/>
      <c r="DK163" s="125"/>
      <c r="DL163" s="125"/>
      <c r="DM163" s="125"/>
      <c r="DN163" s="125"/>
      <c r="DO163" s="125"/>
      <c r="DP163" s="125"/>
      <c r="DQ163" s="125"/>
      <c r="DR163" s="125"/>
      <c r="DS163" s="125"/>
      <c r="DT163" s="125"/>
      <c r="DU163" s="125"/>
      <c r="DV163" s="125"/>
      <c r="DW163" s="125"/>
      <c r="DX163" s="125"/>
      <c r="DY163" s="125"/>
      <c r="DZ163" s="125"/>
      <c r="EA163" s="125"/>
      <c r="EB163" s="125"/>
      <c r="EC163" s="125"/>
      <c r="ED163" s="125"/>
      <c r="EE163" s="125"/>
      <c r="EF163" s="125"/>
      <c r="EG163" s="125"/>
      <c r="EH163" s="125"/>
      <c r="EI163" s="125"/>
      <c r="EJ163" s="125"/>
      <c r="EK163" s="125"/>
      <c r="EL163" s="125"/>
    </row>
    <row r="164" spans="1:142">
      <c r="A164" s="125">
        <v>56</v>
      </c>
      <c r="B164" s="81" t="s">
        <v>248</v>
      </c>
      <c r="C164" s="125"/>
      <c r="D164" s="125"/>
      <c r="E164" s="125"/>
      <c r="F164" s="125"/>
      <c r="G164" s="77">
        <v>35</v>
      </c>
      <c r="H164" s="90">
        <v>0</v>
      </c>
      <c r="I164" s="77">
        <v>0</v>
      </c>
      <c r="J164" s="125">
        <v>6</v>
      </c>
      <c r="K164" s="125">
        <f t="shared" si="43"/>
        <v>3500</v>
      </c>
      <c r="L164" s="125">
        <f t="shared" si="43"/>
        <v>0</v>
      </c>
      <c r="M164" s="125">
        <f t="shared" si="44"/>
        <v>0</v>
      </c>
      <c r="N164" s="125">
        <f t="shared" si="44"/>
        <v>1800</v>
      </c>
      <c r="O164" s="77">
        <v>35</v>
      </c>
      <c r="P164" s="90">
        <v>0</v>
      </c>
      <c r="Q164" s="77">
        <v>0</v>
      </c>
      <c r="R164" s="125">
        <v>10</v>
      </c>
      <c r="S164" s="125">
        <f t="shared" si="57"/>
        <v>3500</v>
      </c>
      <c r="T164" s="125">
        <f t="shared" si="57"/>
        <v>0</v>
      </c>
      <c r="U164" s="125">
        <f t="shared" si="46"/>
        <v>0</v>
      </c>
      <c r="V164" s="125">
        <f t="shared" si="46"/>
        <v>3000</v>
      </c>
      <c r="W164" s="77">
        <v>40</v>
      </c>
      <c r="X164" s="90">
        <v>0</v>
      </c>
      <c r="Y164" s="77">
        <v>0</v>
      </c>
      <c r="Z164" s="125">
        <v>12</v>
      </c>
      <c r="AA164" s="125">
        <f t="shared" si="58"/>
        <v>4000</v>
      </c>
      <c r="AB164" s="125">
        <f t="shared" si="58"/>
        <v>0</v>
      </c>
      <c r="AC164" s="125">
        <f t="shared" si="48"/>
        <v>0</v>
      </c>
      <c r="AD164" s="125">
        <f t="shared" si="48"/>
        <v>3600</v>
      </c>
      <c r="AE164" s="77">
        <v>38</v>
      </c>
      <c r="AF164" s="90">
        <v>0</v>
      </c>
      <c r="AG164" s="77">
        <v>0</v>
      </c>
      <c r="AH164" s="125">
        <v>11</v>
      </c>
      <c r="AI164" s="125">
        <f t="shared" si="59"/>
        <v>3800</v>
      </c>
      <c r="AJ164" s="125">
        <f t="shared" si="59"/>
        <v>0</v>
      </c>
      <c r="AK164" s="125">
        <f t="shared" si="50"/>
        <v>0</v>
      </c>
      <c r="AL164" s="125">
        <f t="shared" si="50"/>
        <v>3300</v>
      </c>
      <c r="AM164" s="77">
        <v>40</v>
      </c>
      <c r="AN164" s="90">
        <v>0</v>
      </c>
      <c r="AO164" s="77">
        <v>0</v>
      </c>
      <c r="AP164" s="125">
        <v>11</v>
      </c>
      <c r="AQ164" s="125">
        <f t="shared" si="60"/>
        <v>4000</v>
      </c>
      <c r="AR164" s="125">
        <f t="shared" si="60"/>
        <v>0</v>
      </c>
      <c r="AS164" s="125">
        <f t="shared" si="52"/>
        <v>0</v>
      </c>
      <c r="AT164" s="125">
        <f t="shared" si="52"/>
        <v>3300</v>
      </c>
      <c r="AU164" s="12">
        <v>40</v>
      </c>
      <c r="AV164" s="6">
        <v>0</v>
      </c>
      <c r="AW164" s="12">
        <v>0</v>
      </c>
      <c r="AX164" s="138">
        <v>20</v>
      </c>
      <c r="AY164" s="138">
        <f t="shared" si="61"/>
        <v>4000</v>
      </c>
      <c r="AZ164" s="138">
        <f t="shared" si="61"/>
        <v>0</v>
      </c>
      <c r="BA164" s="138">
        <f t="shared" si="53"/>
        <v>0</v>
      </c>
      <c r="BB164" s="138">
        <f t="shared" si="53"/>
        <v>6000</v>
      </c>
      <c r="BC164" s="12">
        <v>44</v>
      </c>
      <c r="BD164" s="6">
        <v>0</v>
      </c>
      <c r="BE164" s="12">
        <v>0</v>
      </c>
      <c r="BF164" s="138">
        <v>20</v>
      </c>
      <c r="BG164" s="138">
        <f t="shared" si="62"/>
        <v>4400</v>
      </c>
      <c r="BH164" s="138">
        <f t="shared" si="62"/>
        <v>0</v>
      </c>
      <c r="BI164" s="138">
        <f t="shared" si="54"/>
        <v>0</v>
      </c>
      <c r="BJ164" s="138">
        <f t="shared" si="54"/>
        <v>6000</v>
      </c>
      <c r="BK164" s="12">
        <v>48</v>
      </c>
      <c r="BL164" s="6">
        <v>0</v>
      </c>
      <c r="BM164" s="12">
        <v>0</v>
      </c>
      <c r="BN164" s="138">
        <v>20</v>
      </c>
      <c r="BO164" s="138">
        <f t="shared" si="63"/>
        <v>4800</v>
      </c>
      <c r="BP164" s="138">
        <f t="shared" si="63"/>
        <v>0</v>
      </c>
      <c r="BQ164" s="138">
        <f t="shared" si="55"/>
        <v>0</v>
      </c>
      <c r="BR164" s="138">
        <f t="shared" si="55"/>
        <v>6000</v>
      </c>
      <c r="BS164" s="12">
        <v>50</v>
      </c>
      <c r="BT164" s="6">
        <v>0</v>
      </c>
      <c r="BU164" s="12">
        <v>0</v>
      </c>
      <c r="BV164" s="138">
        <v>20</v>
      </c>
      <c r="BW164" s="138">
        <f t="shared" si="64"/>
        <v>5000</v>
      </c>
      <c r="BX164" s="138">
        <f t="shared" si="64"/>
        <v>0</v>
      </c>
      <c r="BY164" s="138">
        <f t="shared" si="56"/>
        <v>0</v>
      </c>
      <c r="BZ164" s="138">
        <f t="shared" si="56"/>
        <v>6000</v>
      </c>
      <c r="CA164" s="125"/>
      <c r="CB164" s="125"/>
      <c r="CC164" s="125"/>
      <c r="CD164" s="125"/>
      <c r="CE164" s="125"/>
      <c r="CF164" s="125"/>
      <c r="CG164" s="125"/>
      <c r="CH164" s="125"/>
      <c r="CI164" s="125"/>
      <c r="CJ164" s="125"/>
      <c r="CK164" s="125"/>
      <c r="CL164" s="125"/>
      <c r="CM164" s="125"/>
      <c r="CN164" s="125"/>
      <c r="CO164" s="125"/>
      <c r="CP164" s="125"/>
      <c r="CQ164" s="125"/>
      <c r="CR164" s="125"/>
      <c r="CS164" s="125"/>
      <c r="CT164" s="125"/>
      <c r="CU164" s="125"/>
      <c r="CV164" s="125"/>
      <c r="CW164" s="125"/>
      <c r="CX164" s="125"/>
      <c r="CY164" s="125"/>
      <c r="CZ164" s="125"/>
      <c r="DA164" s="125"/>
      <c r="DB164" s="125"/>
      <c r="DC164" s="125"/>
      <c r="DD164" s="125"/>
      <c r="DE164" s="125"/>
      <c r="DF164" s="125"/>
      <c r="DG164" s="125"/>
      <c r="DH164" s="125"/>
      <c r="DI164" s="125"/>
      <c r="DJ164" s="125"/>
      <c r="DK164" s="125"/>
      <c r="DL164" s="125"/>
      <c r="DM164" s="125"/>
      <c r="DN164" s="125"/>
      <c r="DO164" s="125"/>
      <c r="DP164" s="125"/>
      <c r="DQ164" s="125"/>
      <c r="DR164" s="125"/>
      <c r="DS164" s="125"/>
      <c r="DT164" s="125"/>
      <c r="DU164" s="125"/>
      <c r="DV164" s="125"/>
      <c r="DW164" s="125"/>
      <c r="DX164" s="125"/>
      <c r="DY164" s="125"/>
      <c r="DZ164" s="125"/>
      <c r="EA164" s="125"/>
      <c r="EB164" s="125"/>
      <c r="EC164" s="125"/>
      <c r="ED164" s="125"/>
      <c r="EE164" s="125"/>
      <c r="EF164" s="125"/>
      <c r="EG164" s="125"/>
      <c r="EH164" s="125"/>
      <c r="EI164" s="125"/>
      <c r="EJ164" s="125"/>
      <c r="EK164" s="125"/>
      <c r="EL164" s="125"/>
    </row>
    <row r="165" spans="1:142">
      <c r="A165" s="125">
        <v>57</v>
      </c>
      <c r="B165" s="81" t="s">
        <v>249</v>
      </c>
      <c r="C165" s="125"/>
      <c r="D165" s="125"/>
      <c r="E165" s="125"/>
      <c r="F165" s="125"/>
      <c r="G165" s="77">
        <v>25</v>
      </c>
      <c r="H165" s="90">
        <v>0</v>
      </c>
      <c r="I165" s="77">
        <v>0</v>
      </c>
      <c r="J165" s="125">
        <v>10</v>
      </c>
      <c r="K165" s="125">
        <f t="shared" si="43"/>
        <v>2500</v>
      </c>
      <c r="L165" s="125">
        <f t="shared" si="43"/>
        <v>0</v>
      </c>
      <c r="M165" s="125">
        <f t="shared" si="44"/>
        <v>0</v>
      </c>
      <c r="N165" s="125">
        <f t="shared" si="44"/>
        <v>3000</v>
      </c>
      <c r="O165" s="77">
        <v>28</v>
      </c>
      <c r="P165" s="90">
        <v>0</v>
      </c>
      <c r="Q165" s="77">
        <v>0</v>
      </c>
      <c r="R165" s="125">
        <v>10</v>
      </c>
      <c r="S165" s="125">
        <f t="shared" si="57"/>
        <v>2800</v>
      </c>
      <c r="T165" s="125">
        <f t="shared" si="57"/>
        <v>0</v>
      </c>
      <c r="U165" s="125">
        <f t="shared" si="46"/>
        <v>0</v>
      </c>
      <c r="V165" s="125">
        <f t="shared" si="46"/>
        <v>3000</v>
      </c>
      <c r="W165" s="77">
        <v>30</v>
      </c>
      <c r="X165" s="90">
        <v>0</v>
      </c>
      <c r="Y165" s="77">
        <v>0</v>
      </c>
      <c r="Z165" s="125">
        <v>8</v>
      </c>
      <c r="AA165" s="125">
        <f t="shared" si="58"/>
        <v>3000</v>
      </c>
      <c r="AB165" s="125">
        <f t="shared" si="58"/>
        <v>0</v>
      </c>
      <c r="AC165" s="125">
        <f t="shared" si="48"/>
        <v>0</v>
      </c>
      <c r="AD165" s="125">
        <f t="shared" si="48"/>
        <v>2400</v>
      </c>
      <c r="AE165" s="77">
        <v>30</v>
      </c>
      <c r="AF165" s="90">
        <v>0</v>
      </c>
      <c r="AG165" s="77">
        <v>0</v>
      </c>
      <c r="AH165" s="125">
        <v>6</v>
      </c>
      <c r="AI165" s="125">
        <f t="shared" si="59"/>
        <v>3000</v>
      </c>
      <c r="AJ165" s="125">
        <f t="shared" si="59"/>
        <v>0</v>
      </c>
      <c r="AK165" s="125">
        <f t="shared" si="50"/>
        <v>0</v>
      </c>
      <c r="AL165" s="125">
        <f t="shared" si="50"/>
        <v>1800</v>
      </c>
      <c r="AM165" s="77">
        <v>30</v>
      </c>
      <c r="AN165" s="90">
        <v>0</v>
      </c>
      <c r="AO165" s="77">
        <v>0</v>
      </c>
      <c r="AP165" s="125">
        <v>8</v>
      </c>
      <c r="AQ165" s="125">
        <f t="shared" si="60"/>
        <v>3000</v>
      </c>
      <c r="AR165" s="125">
        <f t="shared" si="60"/>
        <v>0</v>
      </c>
      <c r="AS165" s="125">
        <f t="shared" si="52"/>
        <v>0</v>
      </c>
      <c r="AT165" s="125">
        <f t="shared" si="52"/>
        <v>2400</v>
      </c>
      <c r="AU165" s="12">
        <v>38</v>
      </c>
      <c r="AV165" s="6">
        <v>0</v>
      </c>
      <c r="AW165" s="12">
        <v>0</v>
      </c>
      <c r="AX165" s="138">
        <v>16</v>
      </c>
      <c r="AY165" s="138">
        <f t="shared" si="61"/>
        <v>3800</v>
      </c>
      <c r="AZ165" s="138">
        <f t="shared" si="61"/>
        <v>0</v>
      </c>
      <c r="BA165" s="138">
        <f t="shared" si="53"/>
        <v>0</v>
      </c>
      <c r="BB165" s="138">
        <f t="shared" si="53"/>
        <v>4800</v>
      </c>
      <c r="BC165" s="12">
        <v>58</v>
      </c>
      <c r="BD165" s="6">
        <v>0</v>
      </c>
      <c r="BE165" s="12">
        <v>0</v>
      </c>
      <c r="BF165" s="138">
        <v>16</v>
      </c>
      <c r="BG165" s="138">
        <f t="shared" si="62"/>
        <v>5800</v>
      </c>
      <c r="BH165" s="138">
        <f t="shared" si="62"/>
        <v>0</v>
      </c>
      <c r="BI165" s="138">
        <f t="shared" si="54"/>
        <v>0</v>
      </c>
      <c r="BJ165" s="138">
        <f t="shared" si="54"/>
        <v>4800</v>
      </c>
      <c r="BK165" s="12">
        <v>60</v>
      </c>
      <c r="BL165" s="6">
        <v>0</v>
      </c>
      <c r="BM165" s="12">
        <v>0</v>
      </c>
      <c r="BN165" s="138">
        <v>13</v>
      </c>
      <c r="BO165" s="138">
        <f t="shared" si="63"/>
        <v>6000</v>
      </c>
      <c r="BP165" s="138">
        <f t="shared" si="63"/>
        <v>0</v>
      </c>
      <c r="BQ165" s="138">
        <f t="shared" si="55"/>
        <v>0</v>
      </c>
      <c r="BR165" s="138">
        <f t="shared" si="55"/>
        <v>3900</v>
      </c>
      <c r="BS165" s="12">
        <v>60</v>
      </c>
      <c r="BT165" s="6">
        <v>0</v>
      </c>
      <c r="BU165" s="12">
        <v>0</v>
      </c>
      <c r="BV165" s="138">
        <v>13</v>
      </c>
      <c r="BW165" s="138">
        <f t="shared" si="64"/>
        <v>6000</v>
      </c>
      <c r="BX165" s="138">
        <f t="shared" si="64"/>
        <v>0</v>
      </c>
      <c r="BY165" s="138">
        <f t="shared" si="56"/>
        <v>0</v>
      </c>
      <c r="BZ165" s="138">
        <f t="shared" si="56"/>
        <v>3900</v>
      </c>
      <c r="CA165" s="125"/>
      <c r="CB165" s="125"/>
      <c r="CC165" s="125"/>
      <c r="CD165" s="125"/>
      <c r="CE165" s="125"/>
      <c r="CF165" s="125"/>
      <c r="CG165" s="125"/>
      <c r="CH165" s="125"/>
      <c r="CI165" s="125"/>
      <c r="CJ165" s="125"/>
      <c r="CK165" s="125"/>
      <c r="CL165" s="125"/>
      <c r="CM165" s="125"/>
      <c r="CN165" s="125"/>
      <c r="CO165" s="125"/>
      <c r="CP165" s="125"/>
      <c r="CQ165" s="125"/>
      <c r="CR165" s="125"/>
      <c r="CS165" s="125"/>
      <c r="CT165" s="125"/>
      <c r="CU165" s="125"/>
      <c r="CV165" s="125"/>
      <c r="CW165" s="125"/>
      <c r="CX165" s="125"/>
      <c r="CY165" s="125"/>
      <c r="CZ165" s="125"/>
      <c r="DA165" s="125"/>
      <c r="DB165" s="125"/>
      <c r="DC165" s="125"/>
      <c r="DD165" s="125"/>
      <c r="DE165" s="125"/>
      <c r="DF165" s="125"/>
      <c r="DG165" s="125"/>
      <c r="DH165" s="125"/>
      <c r="DI165" s="125"/>
      <c r="DJ165" s="125"/>
      <c r="DK165" s="125"/>
      <c r="DL165" s="125"/>
      <c r="DM165" s="125"/>
      <c r="DN165" s="125"/>
      <c r="DO165" s="125"/>
      <c r="DP165" s="125"/>
      <c r="DQ165" s="125"/>
      <c r="DR165" s="125"/>
      <c r="DS165" s="125"/>
      <c r="DT165" s="125"/>
      <c r="DU165" s="125"/>
      <c r="DV165" s="125"/>
      <c r="DW165" s="125"/>
      <c r="DX165" s="125"/>
      <c r="DY165" s="125"/>
      <c r="DZ165" s="125"/>
      <c r="EA165" s="125"/>
      <c r="EB165" s="125"/>
      <c r="EC165" s="125"/>
      <c r="ED165" s="125"/>
      <c r="EE165" s="125"/>
      <c r="EF165" s="125"/>
      <c r="EG165" s="125"/>
      <c r="EH165" s="125"/>
      <c r="EI165" s="125"/>
      <c r="EJ165" s="125"/>
      <c r="EK165" s="125"/>
      <c r="EL165" s="125"/>
    </row>
    <row r="166" spans="1:142">
      <c r="A166" s="125">
        <v>58</v>
      </c>
      <c r="B166" s="81" t="s">
        <v>250</v>
      </c>
      <c r="C166" s="125"/>
      <c r="D166" s="125"/>
      <c r="E166" s="125"/>
      <c r="F166" s="125"/>
      <c r="G166" s="77">
        <v>40</v>
      </c>
      <c r="H166" s="90">
        <v>0</v>
      </c>
      <c r="I166" s="77">
        <v>0</v>
      </c>
      <c r="J166" s="125">
        <v>12</v>
      </c>
      <c r="K166" s="125">
        <f t="shared" si="43"/>
        <v>4000</v>
      </c>
      <c r="L166" s="125">
        <f t="shared" si="43"/>
        <v>0</v>
      </c>
      <c r="M166" s="125">
        <f t="shared" si="44"/>
        <v>0</v>
      </c>
      <c r="N166" s="125">
        <f t="shared" si="44"/>
        <v>3600</v>
      </c>
      <c r="O166" s="77">
        <v>42</v>
      </c>
      <c r="P166" s="90">
        <v>0</v>
      </c>
      <c r="Q166" s="77">
        <v>0</v>
      </c>
      <c r="R166" s="125">
        <v>15</v>
      </c>
      <c r="S166" s="125">
        <f t="shared" si="57"/>
        <v>4200</v>
      </c>
      <c r="T166" s="125">
        <f t="shared" si="57"/>
        <v>0</v>
      </c>
      <c r="U166" s="125">
        <f t="shared" si="46"/>
        <v>0</v>
      </c>
      <c r="V166" s="125">
        <f t="shared" si="46"/>
        <v>4500</v>
      </c>
      <c r="W166" s="77">
        <v>45</v>
      </c>
      <c r="X166" s="90">
        <v>0</v>
      </c>
      <c r="Y166" s="77">
        <v>0</v>
      </c>
      <c r="Z166" s="125">
        <v>15</v>
      </c>
      <c r="AA166" s="125">
        <f t="shared" si="58"/>
        <v>4500</v>
      </c>
      <c r="AB166" s="125">
        <f t="shared" si="58"/>
        <v>0</v>
      </c>
      <c r="AC166" s="125">
        <f t="shared" si="48"/>
        <v>0</v>
      </c>
      <c r="AD166" s="125">
        <f t="shared" si="48"/>
        <v>4500</v>
      </c>
      <c r="AE166" s="77">
        <v>51</v>
      </c>
      <c r="AF166" s="90">
        <v>0</v>
      </c>
      <c r="AG166" s="77">
        <v>0</v>
      </c>
      <c r="AH166" s="125">
        <v>10</v>
      </c>
      <c r="AI166" s="125">
        <f t="shared" si="59"/>
        <v>5100</v>
      </c>
      <c r="AJ166" s="125">
        <f t="shared" si="59"/>
        <v>0</v>
      </c>
      <c r="AK166" s="125">
        <f t="shared" si="50"/>
        <v>0</v>
      </c>
      <c r="AL166" s="125">
        <f t="shared" si="50"/>
        <v>3000</v>
      </c>
      <c r="AM166" s="77">
        <v>51</v>
      </c>
      <c r="AN166" s="90">
        <v>0</v>
      </c>
      <c r="AO166" s="77">
        <v>0</v>
      </c>
      <c r="AP166" s="125">
        <v>13</v>
      </c>
      <c r="AQ166" s="125">
        <f t="shared" si="60"/>
        <v>5100</v>
      </c>
      <c r="AR166" s="125">
        <f t="shared" si="60"/>
        <v>0</v>
      </c>
      <c r="AS166" s="125">
        <f t="shared" si="52"/>
        <v>0</v>
      </c>
      <c r="AT166" s="125">
        <f t="shared" si="52"/>
        <v>3900</v>
      </c>
      <c r="AU166" s="12">
        <v>51</v>
      </c>
      <c r="AV166" s="6">
        <v>0</v>
      </c>
      <c r="AW166" s="12">
        <v>0</v>
      </c>
      <c r="AX166" s="138">
        <v>13</v>
      </c>
      <c r="AY166" s="138">
        <f t="shared" si="61"/>
        <v>5100</v>
      </c>
      <c r="AZ166" s="138">
        <f t="shared" si="61"/>
        <v>0</v>
      </c>
      <c r="BA166" s="138">
        <f t="shared" si="53"/>
        <v>0</v>
      </c>
      <c r="BB166" s="138">
        <f t="shared" si="53"/>
        <v>3900</v>
      </c>
      <c r="BC166" s="12">
        <v>51</v>
      </c>
      <c r="BD166" s="6">
        <v>0</v>
      </c>
      <c r="BE166" s="12">
        <v>0</v>
      </c>
      <c r="BF166" s="138">
        <v>13</v>
      </c>
      <c r="BG166" s="138">
        <f t="shared" si="62"/>
        <v>5100</v>
      </c>
      <c r="BH166" s="138">
        <f t="shared" si="62"/>
        <v>0</v>
      </c>
      <c r="BI166" s="138">
        <f t="shared" si="54"/>
        <v>0</v>
      </c>
      <c r="BJ166" s="138">
        <f t="shared" si="54"/>
        <v>3900</v>
      </c>
      <c r="BK166" s="12">
        <v>41</v>
      </c>
      <c r="BL166" s="6">
        <v>0</v>
      </c>
      <c r="BM166" s="12">
        <v>0</v>
      </c>
      <c r="BN166" s="138">
        <v>16</v>
      </c>
      <c r="BO166" s="138">
        <f t="shared" si="63"/>
        <v>4100</v>
      </c>
      <c r="BP166" s="138">
        <f t="shared" si="63"/>
        <v>0</v>
      </c>
      <c r="BQ166" s="138">
        <f t="shared" si="55"/>
        <v>0</v>
      </c>
      <c r="BR166" s="138">
        <f t="shared" si="55"/>
        <v>4800</v>
      </c>
      <c r="BS166" s="12">
        <v>41</v>
      </c>
      <c r="BT166" s="6">
        <v>0</v>
      </c>
      <c r="BU166" s="12">
        <v>0</v>
      </c>
      <c r="BV166" s="138">
        <v>16</v>
      </c>
      <c r="BW166" s="138">
        <f t="shared" si="64"/>
        <v>4100</v>
      </c>
      <c r="BX166" s="138">
        <f t="shared" si="64"/>
        <v>0</v>
      </c>
      <c r="BY166" s="138">
        <f t="shared" si="56"/>
        <v>0</v>
      </c>
      <c r="BZ166" s="138">
        <f t="shared" si="56"/>
        <v>4800</v>
      </c>
      <c r="CA166" s="125"/>
      <c r="CB166" s="125"/>
      <c r="CC166" s="125"/>
      <c r="CD166" s="125"/>
      <c r="CE166" s="125"/>
      <c r="CF166" s="125"/>
      <c r="CG166" s="125"/>
      <c r="CH166" s="125"/>
      <c r="CI166" s="125"/>
      <c r="CJ166" s="125"/>
      <c r="CK166" s="125"/>
      <c r="CL166" s="125"/>
      <c r="CM166" s="125"/>
      <c r="CN166" s="125"/>
      <c r="CO166" s="125"/>
      <c r="CP166" s="125"/>
      <c r="CQ166" s="125"/>
      <c r="CR166" s="125"/>
      <c r="CS166" s="125"/>
      <c r="CT166" s="125"/>
      <c r="CU166" s="125"/>
      <c r="CV166" s="125"/>
      <c r="CW166" s="125"/>
      <c r="CX166" s="125"/>
      <c r="CY166" s="125"/>
      <c r="CZ166" s="125"/>
      <c r="DA166" s="125"/>
      <c r="DB166" s="125"/>
      <c r="DC166" s="125"/>
      <c r="DD166" s="125"/>
      <c r="DE166" s="125"/>
      <c r="DF166" s="125"/>
      <c r="DG166" s="125"/>
      <c r="DH166" s="125"/>
      <c r="DI166" s="125"/>
      <c r="DJ166" s="125"/>
      <c r="DK166" s="125"/>
      <c r="DL166" s="125"/>
      <c r="DM166" s="125"/>
      <c r="DN166" s="125"/>
      <c r="DO166" s="125"/>
      <c r="DP166" s="125"/>
      <c r="DQ166" s="125"/>
      <c r="DR166" s="125"/>
      <c r="DS166" s="125"/>
      <c r="DT166" s="125"/>
      <c r="DU166" s="125"/>
      <c r="DV166" s="125"/>
      <c r="DW166" s="125"/>
      <c r="DX166" s="125"/>
      <c r="DY166" s="125"/>
      <c r="DZ166" s="125"/>
      <c r="EA166" s="125"/>
      <c r="EB166" s="125"/>
      <c r="EC166" s="125"/>
      <c r="ED166" s="125"/>
      <c r="EE166" s="125"/>
      <c r="EF166" s="125"/>
      <c r="EG166" s="125"/>
      <c r="EH166" s="125"/>
      <c r="EI166" s="125"/>
      <c r="EJ166" s="125"/>
      <c r="EK166" s="125"/>
      <c r="EL166" s="125"/>
    </row>
    <row r="167" spans="1:142">
      <c r="A167" s="125">
        <v>59</v>
      </c>
      <c r="B167" s="81" t="s">
        <v>251</v>
      </c>
      <c r="C167" s="125"/>
      <c r="D167" s="125"/>
      <c r="E167" s="125"/>
      <c r="F167" s="125"/>
      <c r="G167" s="77">
        <v>35</v>
      </c>
      <c r="H167" s="90">
        <v>0</v>
      </c>
      <c r="I167" s="77">
        <v>0</v>
      </c>
      <c r="J167" s="125">
        <v>5</v>
      </c>
      <c r="K167" s="125">
        <f t="shared" si="43"/>
        <v>3500</v>
      </c>
      <c r="L167" s="125">
        <f t="shared" si="43"/>
        <v>0</v>
      </c>
      <c r="M167" s="125">
        <f t="shared" si="44"/>
        <v>0</v>
      </c>
      <c r="N167" s="125">
        <f t="shared" si="44"/>
        <v>1500</v>
      </c>
      <c r="O167" s="77">
        <v>38</v>
      </c>
      <c r="P167" s="90">
        <v>0</v>
      </c>
      <c r="Q167" s="77">
        <v>0</v>
      </c>
      <c r="R167" s="125">
        <v>10</v>
      </c>
      <c r="S167" s="125">
        <f t="shared" si="57"/>
        <v>3800</v>
      </c>
      <c r="T167" s="125">
        <f t="shared" si="57"/>
        <v>0</v>
      </c>
      <c r="U167" s="125">
        <f t="shared" si="46"/>
        <v>0</v>
      </c>
      <c r="V167" s="125">
        <f t="shared" si="46"/>
        <v>3000</v>
      </c>
      <c r="W167" s="77">
        <v>50</v>
      </c>
      <c r="X167" s="90">
        <v>0</v>
      </c>
      <c r="Y167" s="77">
        <v>0</v>
      </c>
      <c r="Z167" s="125">
        <v>8</v>
      </c>
      <c r="AA167" s="125">
        <f t="shared" si="58"/>
        <v>5000</v>
      </c>
      <c r="AB167" s="125">
        <f t="shared" si="58"/>
        <v>0</v>
      </c>
      <c r="AC167" s="125">
        <f t="shared" si="48"/>
        <v>0</v>
      </c>
      <c r="AD167" s="125">
        <f t="shared" si="48"/>
        <v>2400</v>
      </c>
      <c r="AE167" s="77">
        <v>45</v>
      </c>
      <c r="AF167" s="90">
        <v>0</v>
      </c>
      <c r="AG167" s="77">
        <v>0</v>
      </c>
      <c r="AH167" s="125">
        <v>8</v>
      </c>
      <c r="AI167" s="125">
        <f t="shared" si="59"/>
        <v>4500</v>
      </c>
      <c r="AJ167" s="125">
        <f t="shared" si="59"/>
        <v>0</v>
      </c>
      <c r="AK167" s="125">
        <f t="shared" si="50"/>
        <v>0</v>
      </c>
      <c r="AL167" s="125">
        <f t="shared" si="50"/>
        <v>2400</v>
      </c>
      <c r="AM167" s="77">
        <v>44</v>
      </c>
      <c r="AN167" s="90">
        <v>0</v>
      </c>
      <c r="AO167" s="77">
        <v>0</v>
      </c>
      <c r="AP167" s="125">
        <v>10</v>
      </c>
      <c r="AQ167" s="125">
        <f t="shared" si="60"/>
        <v>4400</v>
      </c>
      <c r="AR167" s="125">
        <f t="shared" si="60"/>
        <v>0</v>
      </c>
      <c r="AS167" s="125">
        <f t="shared" si="52"/>
        <v>0</v>
      </c>
      <c r="AT167" s="125">
        <f t="shared" si="52"/>
        <v>3000</v>
      </c>
      <c r="AU167" s="12">
        <v>44</v>
      </c>
      <c r="AV167" s="6">
        <v>0</v>
      </c>
      <c r="AW167" s="12">
        <v>0</v>
      </c>
      <c r="AX167" s="138">
        <v>8</v>
      </c>
      <c r="AY167" s="138">
        <f t="shared" si="61"/>
        <v>4400</v>
      </c>
      <c r="AZ167" s="138">
        <f t="shared" si="61"/>
        <v>0</v>
      </c>
      <c r="BA167" s="138">
        <f t="shared" si="53"/>
        <v>0</v>
      </c>
      <c r="BB167" s="138">
        <f t="shared" si="53"/>
        <v>2400</v>
      </c>
      <c r="BC167" s="12">
        <v>44</v>
      </c>
      <c r="BD167" s="6">
        <v>0</v>
      </c>
      <c r="BE167" s="12">
        <v>0</v>
      </c>
      <c r="BF167" s="138">
        <v>8</v>
      </c>
      <c r="BG167" s="138">
        <f t="shared" si="62"/>
        <v>4400</v>
      </c>
      <c r="BH167" s="138">
        <f t="shared" si="62"/>
        <v>0</v>
      </c>
      <c r="BI167" s="138">
        <f t="shared" si="54"/>
        <v>0</v>
      </c>
      <c r="BJ167" s="138">
        <f t="shared" si="54"/>
        <v>2400</v>
      </c>
      <c r="BK167" s="12">
        <v>51</v>
      </c>
      <c r="BL167" s="6">
        <v>0</v>
      </c>
      <c r="BM167" s="12">
        <v>0</v>
      </c>
      <c r="BN167" s="138">
        <v>10</v>
      </c>
      <c r="BO167" s="138">
        <f t="shared" si="63"/>
        <v>5100</v>
      </c>
      <c r="BP167" s="138">
        <f t="shared" si="63"/>
        <v>0</v>
      </c>
      <c r="BQ167" s="138">
        <f t="shared" si="55"/>
        <v>0</v>
      </c>
      <c r="BR167" s="138">
        <f t="shared" si="55"/>
        <v>3000</v>
      </c>
      <c r="BS167" s="12">
        <v>51</v>
      </c>
      <c r="BT167" s="6">
        <v>0</v>
      </c>
      <c r="BU167" s="12">
        <v>0</v>
      </c>
      <c r="BV167" s="138">
        <v>10</v>
      </c>
      <c r="BW167" s="138">
        <f t="shared" si="64"/>
        <v>5100</v>
      </c>
      <c r="BX167" s="138">
        <f t="shared" si="64"/>
        <v>0</v>
      </c>
      <c r="BY167" s="138">
        <f t="shared" si="56"/>
        <v>0</v>
      </c>
      <c r="BZ167" s="138">
        <f t="shared" si="56"/>
        <v>3000</v>
      </c>
      <c r="CA167" s="125"/>
      <c r="CB167" s="125"/>
      <c r="CC167" s="125"/>
      <c r="CD167" s="125"/>
      <c r="CE167" s="125"/>
      <c r="CF167" s="125"/>
      <c r="CG167" s="125"/>
      <c r="CH167" s="125"/>
      <c r="CI167" s="125"/>
      <c r="CJ167" s="125"/>
      <c r="CK167" s="125"/>
      <c r="CL167" s="125"/>
      <c r="CM167" s="125"/>
      <c r="CN167" s="125"/>
      <c r="CO167" s="125"/>
      <c r="CP167" s="125"/>
      <c r="CQ167" s="125"/>
      <c r="CR167" s="125"/>
      <c r="CS167" s="125"/>
      <c r="CT167" s="125"/>
      <c r="CU167" s="125"/>
      <c r="CV167" s="125"/>
      <c r="CW167" s="125"/>
      <c r="CX167" s="125"/>
      <c r="CY167" s="125"/>
      <c r="CZ167" s="125"/>
      <c r="DA167" s="125"/>
      <c r="DB167" s="125"/>
      <c r="DC167" s="125"/>
      <c r="DD167" s="125"/>
      <c r="DE167" s="125"/>
      <c r="DF167" s="125"/>
      <c r="DG167" s="125"/>
      <c r="DH167" s="125"/>
      <c r="DI167" s="125"/>
      <c r="DJ167" s="125"/>
      <c r="DK167" s="125"/>
      <c r="DL167" s="125"/>
      <c r="DM167" s="125"/>
      <c r="DN167" s="125"/>
      <c r="DO167" s="125"/>
      <c r="DP167" s="125"/>
      <c r="DQ167" s="125"/>
      <c r="DR167" s="125"/>
      <c r="DS167" s="125"/>
      <c r="DT167" s="125"/>
      <c r="DU167" s="125"/>
      <c r="DV167" s="125"/>
      <c r="DW167" s="125"/>
      <c r="DX167" s="125"/>
      <c r="DY167" s="125"/>
      <c r="DZ167" s="125"/>
      <c r="EA167" s="125"/>
      <c r="EB167" s="125"/>
      <c r="EC167" s="125"/>
      <c r="ED167" s="125"/>
      <c r="EE167" s="125"/>
      <c r="EF167" s="125"/>
      <c r="EG167" s="125"/>
      <c r="EH167" s="125"/>
      <c r="EI167" s="125"/>
      <c r="EJ167" s="125"/>
      <c r="EK167" s="125"/>
      <c r="EL167" s="125"/>
    </row>
    <row r="168" spans="1:142">
      <c r="A168" s="125">
        <v>60</v>
      </c>
      <c r="B168" s="81" t="s">
        <v>252</v>
      </c>
      <c r="C168" s="125"/>
      <c r="D168" s="125"/>
      <c r="E168" s="125"/>
      <c r="F168" s="125"/>
      <c r="G168" s="77">
        <v>30</v>
      </c>
      <c r="H168" s="90">
        <v>0</v>
      </c>
      <c r="I168" s="77">
        <v>0</v>
      </c>
      <c r="J168" s="125">
        <v>10</v>
      </c>
      <c r="K168" s="125">
        <f t="shared" si="43"/>
        <v>3000</v>
      </c>
      <c r="L168" s="125">
        <f t="shared" si="43"/>
        <v>0</v>
      </c>
      <c r="M168" s="125">
        <f t="shared" si="44"/>
        <v>0</v>
      </c>
      <c r="N168" s="125">
        <f t="shared" si="44"/>
        <v>3000</v>
      </c>
      <c r="O168" s="77">
        <v>35</v>
      </c>
      <c r="P168" s="90">
        <v>0</v>
      </c>
      <c r="Q168" s="77">
        <v>0</v>
      </c>
      <c r="R168" s="125">
        <v>12</v>
      </c>
      <c r="S168" s="125">
        <f t="shared" si="57"/>
        <v>3500</v>
      </c>
      <c r="T168" s="125">
        <f t="shared" si="57"/>
        <v>0</v>
      </c>
      <c r="U168" s="125">
        <f t="shared" si="46"/>
        <v>0</v>
      </c>
      <c r="V168" s="125">
        <f t="shared" si="46"/>
        <v>3600</v>
      </c>
      <c r="W168" s="77">
        <v>38</v>
      </c>
      <c r="X168" s="90">
        <v>0</v>
      </c>
      <c r="Y168" s="77">
        <v>0</v>
      </c>
      <c r="Z168" s="125">
        <v>12</v>
      </c>
      <c r="AA168" s="125">
        <f t="shared" si="58"/>
        <v>3800</v>
      </c>
      <c r="AB168" s="125">
        <f t="shared" si="58"/>
        <v>0</v>
      </c>
      <c r="AC168" s="125">
        <f t="shared" si="48"/>
        <v>0</v>
      </c>
      <c r="AD168" s="125">
        <f t="shared" si="48"/>
        <v>3600</v>
      </c>
      <c r="AE168" s="77">
        <v>60</v>
      </c>
      <c r="AF168" s="90">
        <v>0</v>
      </c>
      <c r="AG168" s="77">
        <v>0</v>
      </c>
      <c r="AH168" s="125">
        <v>14</v>
      </c>
      <c r="AI168" s="125">
        <f t="shared" si="59"/>
        <v>6000</v>
      </c>
      <c r="AJ168" s="125">
        <f t="shared" si="59"/>
        <v>0</v>
      </c>
      <c r="AK168" s="125">
        <f t="shared" si="50"/>
        <v>0</v>
      </c>
      <c r="AL168" s="125">
        <f t="shared" si="50"/>
        <v>4200</v>
      </c>
      <c r="AM168" s="77">
        <v>61</v>
      </c>
      <c r="AN168" s="90">
        <v>0</v>
      </c>
      <c r="AO168" s="77">
        <v>0</v>
      </c>
      <c r="AP168" s="125">
        <v>14</v>
      </c>
      <c r="AQ168" s="125">
        <f t="shared" si="60"/>
        <v>6100</v>
      </c>
      <c r="AR168" s="125">
        <f t="shared" si="60"/>
        <v>0</v>
      </c>
      <c r="AS168" s="125">
        <f t="shared" si="52"/>
        <v>0</v>
      </c>
      <c r="AT168" s="125">
        <f t="shared" si="52"/>
        <v>4200</v>
      </c>
      <c r="AU168" s="12">
        <v>61</v>
      </c>
      <c r="AV168" s="6">
        <v>0</v>
      </c>
      <c r="AW168" s="12">
        <v>0</v>
      </c>
      <c r="AX168" s="138">
        <v>16</v>
      </c>
      <c r="AY168" s="138">
        <f t="shared" si="61"/>
        <v>6100</v>
      </c>
      <c r="AZ168" s="138">
        <f t="shared" si="61"/>
        <v>0</v>
      </c>
      <c r="BA168" s="138">
        <f t="shared" si="53"/>
        <v>0</v>
      </c>
      <c r="BB168" s="138">
        <f t="shared" si="53"/>
        <v>4800</v>
      </c>
      <c r="BC168" s="12">
        <v>60</v>
      </c>
      <c r="BD168" s="6">
        <v>0</v>
      </c>
      <c r="BE168" s="12">
        <v>0</v>
      </c>
      <c r="BF168" s="138">
        <v>16</v>
      </c>
      <c r="BG168" s="138">
        <f t="shared" si="62"/>
        <v>6000</v>
      </c>
      <c r="BH168" s="138">
        <f t="shared" si="62"/>
        <v>0</v>
      </c>
      <c r="BI168" s="138">
        <f t="shared" si="54"/>
        <v>0</v>
      </c>
      <c r="BJ168" s="138">
        <f t="shared" si="54"/>
        <v>4800</v>
      </c>
      <c r="BK168" s="12">
        <v>60</v>
      </c>
      <c r="BL168" s="6">
        <v>0</v>
      </c>
      <c r="BM168" s="12">
        <v>0</v>
      </c>
      <c r="BN168" s="138">
        <v>16</v>
      </c>
      <c r="BO168" s="138">
        <f t="shared" si="63"/>
        <v>6000</v>
      </c>
      <c r="BP168" s="138">
        <f t="shared" si="63"/>
        <v>0</v>
      </c>
      <c r="BQ168" s="138">
        <f t="shared" si="55"/>
        <v>0</v>
      </c>
      <c r="BR168" s="138">
        <f t="shared" si="55"/>
        <v>4800</v>
      </c>
      <c r="BS168" s="12">
        <v>60</v>
      </c>
      <c r="BT168" s="6">
        <v>0</v>
      </c>
      <c r="BU168" s="12">
        <v>0</v>
      </c>
      <c r="BV168" s="138">
        <v>16</v>
      </c>
      <c r="BW168" s="138">
        <f t="shared" si="64"/>
        <v>6000</v>
      </c>
      <c r="BX168" s="138">
        <f t="shared" si="64"/>
        <v>0</v>
      </c>
      <c r="BY168" s="138">
        <f t="shared" si="56"/>
        <v>0</v>
      </c>
      <c r="BZ168" s="138">
        <f t="shared" si="56"/>
        <v>4800</v>
      </c>
      <c r="CA168" s="125"/>
      <c r="CB168" s="125"/>
      <c r="CC168" s="125"/>
      <c r="CD168" s="125"/>
      <c r="CE168" s="125"/>
      <c r="CF168" s="125"/>
      <c r="CG168" s="125"/>
      <c r="CH168" s="125"/>
      <c r="CI168" s="125"/>
      <c r="CJ168" s="125"/>
      <c r="CK168" s="125"/>
      <c r="CL168" s="125"/>
      <c r="CM168" s="125"/>
      <c r="CN168" s="125"/>
      <c r="CO168" s="125"/>
      <c r="CP168" s="125"/>
      <c r="CQ168" s="125"/>
      <c r="CR168" s="125"/>
      <c r="CS168" s="125"/>
      <c r="CT168" s="125"/>
      <c r="CU168" s="125"/>
      <c r="CV168" s="125"/>
      <c r="CW168" s="125"/>
      <c r="CX168" s="125"/>
      <c r="CY168" s="125"/>
      <c r="CZ168" s="125"/>
      <c r="DA168" s="125"/>
      <c r="DB168" s="125"/>
      <c r="DC168" s="125"/>
      <c r="DD168" s="125"/>
      <c r="DE168" s="125"/>
      <c r="DF168" s="125"/>
      <c r="DG168" s="125"/>
      <c r="DH168" s="125"/>
      <c r="DI168" s="125"/>
      <c r="DJ168" s="125"/>
      <c r="DK168" s="125"/>
      <c r="DL168" s="125"/>
      <c r="DM168" s="125"/>
      <c r="DN168" s="125"/>
      <c r="DO168" s="125"/>
      <c r="DP168" s="125"/>
      <c r="DQ168" s="125"/>
      <c r="DR168" s="125"/>
      <c r="DS168" s="125"/>
      <c r="DT168" s="125"/>
      <c r="DU168" s="125"/>
      <c r="DV168" s="125"/>
      <c r="DW168" s="125"/>
      <c r="DX168" s="125"/>
      <c r="DY168" s="125"/>
      <c r="DZ168" s="125"/>
      <c r="EA168" s="125"/>
      <c r="EB168" s="125"/>
      <c r="EC168" s="125"/>
      <c r="ED168" s="125"/>
      <c r="EE168" s="125"/>
      <c r="EF168" s="125"/>
      <c r="EG168" s="125"/>
      <c r="EH168" s="125"/>
      <c r="EI168" s="125"/>
      <c r="EJ168" s="125"/>
      <c r="EK168" s="125"/>
      <c r="EL168" s="125"/>
    </row>
    <row r="169" spans="1:142">
      <c r="A169" s="125">
        <v>61</v>
      </c>
      <c r="B169" s="81" t="s">
        <v>253</v>
      </c>
      <c r="C169" s="125"/>
      <c r="D169" s="125"/>
      <c r="E169" s="125"/>
      <c r="F169" s="125"/>
      <c r="G169" s="77">
        <v>35</v>
      </c>
      <c r="H169" s="90">
        <v>0</v>
      </c>
      <c r="I169" s="77">
        <v>0</v>
      </c>
      <c r="J169" s="125">
        <v>20</v>
      </c>
      <c r="K169" s="125">
        <f t="shared" si="43"/>
        <v>3500</v>
      </c>
      <c r="L169" s="125">
        <f t="shared" si="43"/>
        <v>0</v>
      </c>
      <c r="M169" s="125">
        <f t="shared" si="44"/>
        <v>0</v>
      </c>
      <c r="N169" s="125">
        <f t="shared" si="44"/>
        <v>6000</v>
      </c>
      <c r="O169" s="77">
        <v>38</v>
      </c>
      <c r="P169" s="90">
        <v>0</v>
      </c>
      <c r="Q169" s="77">
        <v>0</v>
      </c>
      <c r="R169" s="125">
        <v>20</v>
      </c>
      <c r="S169" s="125">
        <f t="shared" si="57"/>
        <v>3800</v>
      </c>
      <c r="T169" s="125">
        <f t="shared" si="57"/>
        <v>0</v>
      </c>
      <c r="U169" s="125">
        <f t="shared" si="46"/>
        <v>0</v>
      </c>
      <c r="V169" s="125">
        <f t="shared" si="46"/>
        <v>6000</v>
      </c>
      <c r="W169" s="77">
        <v>40</v>
      </c>
      <c r="X169" s="90">
        <v>0</v>
      </c>
      <c r="Y169" s="77">
        <v>0</v>
      </c>
      <c r="Z169" s="125">
        <v>20</v>
      </c>
      <c r="AA169" s="125">
        <f t="shared" si="58"/>
        <v>4000</v>
      </c>
      <c r="AB169" s="125">
        <f t="shared" si="58"/>
        <v>0</v>
      </c>
      <c r="AC169" s="125">
        <f t="shared" si="48"/>
        <v>0</v>
      </c>
      <c r="AD169" s="125">
        <f t="shared" si="48"/>
        <v>6000</v>
      </c>
      <c r="AE169" s="77">
        <v>60</v>
      </c>
      <c r="AF169" s="90">
        <v>0</v>
      </c>
      <c r="AG169" s="77">
        <v>0</v>
      </c>
      <c r="AH169" s="125">
        <v>20</v>
      </c>
      <c r="AI169" s="125">
        <f t="shared" si="59"/>
        <v>6000</v>
      </c>
      <c r="AJ169" s="125">
        <f t="shared" si="59"/>
        <v>0</v>
      </c>
      <c r="AK169" s="125">
        <f t="shared" si="50"/>
        <v>0</v>
      </c>
      <c r="AL169" s="125">
        <f t="shared" si="50"/>
        <v>6000</v>
      </c>
      <c r="AM169" s="77">
        <v>60</v>
      </c>
      <c r="AN169" s="90">
        <v>0</v>
      </c>
      <c r="AO169" s="77">
        <v>0</v>
      </c>
      <c r="AP169" s="125">
        <v>15</v>
      </c>
      <c r="AQ169" s="125">
        <f t="shared" si="60"/>
        <v>6000</v>
      </c>
      <c r="AR169" s="125">
        <f t="shared" si="60"/>
        <v>0</v>
      </c>
      <c r="AS169" s="125">
        <f t="shared" si="52"/>
        <v>0</v>
      </c>
      <c r="AT169" s="125">
        <f t="shared" si="52"/>
        <v>4500</v>
      </c>
      <c r="AU169" s="139">
        <v>60</v>
      </c>
      <c r="AV169" s="140">
        <v>0</v>
      </c>
      <c r="AW169" s="139">
        <v>0</v>
      </c>
      <c r="AX169" s="141">
        <v>15</v>
      </c>
      <c r="AY169" s="141">
        <f t="shared" si="61"/>
        <v>6000</v>
      </c>
      <c r="AZ169" s="141">
        <f t="shared" si="61"/>
        <v>0</v>
      </c>
      <c r="BA169" s="141">
        <f t="shared" si="53"/>
        <v>0</v>
      </c>
      <c r="BB169" s="141">
        <f t="shared" si="53"/>
        <v>4500</v>
      </c>
      <c r="BC169" s="139">
        <v>60</v>
      </c>
      <c r="BD169" s="140">
        <v>0</v>
      </c>
      <c r="BE169" s="139">
        <v>0</v>
      </c>
      <c r="BF169" s="141">
        <v>15</v>
      </c>
      <c r="BG169" s="141">
        <f t="shared" si="62"/>
        <v>6000</v>
      </c>
      <c r="BH169" s="141">
        <f t="shared" si="62"/>
        <v>0</v>
      </c>
      <c r="BI169" s="141">
        <f t="shared" si="54"/>
        <v>0</v>
      </c>
      <c r="BJ169" s="141">
        <f t="shared" si="54"/>
        <v>4500</v>
      </c>
      <c r="BK169" s="139">
        <v>60</v>
      </c>
      <c r="BL169" s="140">
        <v>0</v>
      </c>
      <c r="BM169" s="139">
        <v>0</v>
      </c>
      <c r="BN169" s="141">
        <v>15</v>
      </c>
      <c r="BO169" s="141">
        <f t="shared" si="63"/>
        <v>6000</v>
      </c>
      <c r="BP169" s="141">
        <f t="shared" si="63"/>
        <v>0</v>
      </c>
      <c r="BQ169" s="141">
        <f t="shared" si="55"/>
        <v>0</v>
      </c>
      <c r="BR169" s="141">
        <f t="shared" si="55"/>
        <v>4500</v>
      </c>
      <c r="BS169" s="139">
        <v>60</v>
      </c>
      <c r="BT169" s="140">
        <v>0</v>
      </c>
      <c r="BU169" s="139">
        <v>0</v>
      </c>
      <c r="BV169" s="141">
        <v>15</v>
      </c>
      <c r="BW169" s="141">
        <f t="shared" si="64"/>
        <v>6000</v>
      </c>
      <c r="BX169" s="141">
        <f t="shared" si="64"/>
        <v>0</v>
      </c>
      <c r="BY169" s="141">
        <f t="shared" si="56"/>
        <v>0</v>
      </c>
      <c r="BZ169" s="141">
        <f t="shared" si="56"/>
        <v>4500</v>
      </c>
      <c r="CA169" s="125"/>
      <c r="CB169" s="125"/>
      <c r="CC169" s="125"/>
      <c r="CD169" s="125"/>
      <c r="CE169" s="125"/>
      <c r="CF169" s="125"/>
      <c r="CG169" s="125"/>
      <c r="CH169" s="125"/>
      <c r="CI169" s="125"/>
      <c r="CJ169" s="125"/>
      <c r="CK169" s="125"/>
      <c r="CL169" s="125"/>
      <c r="CM169" s="125"/>
      <c r="CN169" s="125"/>
      <c r="CO169" s="125"/>
      <c r="CP169" s="125"/>
      <c r="CQ169" s="125"/>
      <c r="CR169" s="125"/>
      <c r="CS169" s="125"/>
      <c r="CT169" s="125"/>
      <c r="CU169" s="125"/>
      <c r="CV169" s="125"/>
      <c r="CW169" s="125"/>
      <c r="CX169" s="125"/>
      <c r="CY169" s="125"/>
      <c r="CZ169" s="125"/>
      <c r="DA169" s="125"/>
      <c r="DB169" s="125"/>
      <c r="DC169" s="125"/>
      <c r="DD169" s="125"/>
      <c r="DE169" s="125"/>
      <c r="DF169" s="125"/>
      <c r="DG169" s="125"/>
      <c r="DH169" s="125"/>
      <c r="DI169" s="125"/>
      <c r="DJ169" s="125"/>
      <c r="DK169" s="125"/>
      <c r="DL169" s="125"/>
      <c r="DM169" s="125"/>
      <c r="DN169" s="125"/>
      <c r="DO169" s="125"/>
      <c r="DP169" s="125"/>
      <c r="DQ169" s="125"/>
      <c r="DR169" s="125"/>
      <c r="DS169" s="125"/>
      <c r="DT169" s="125"/>
      <c r="DU169" s="125"/>
      <c r="DV169" s="125"/>
      <c r="DW169" s="125"/>
      <c r="DX169" s="125"/>
      <c r="DY169" s="125"/>
      <c r="DZ169" s="125"/>
      <c r="EA169" s="125"/>
      <c r="EB169" s="125"/>
      <c r="EC169" s="125"/>
      <c r="ED169" s="125"/>
      <c r="EE169" s="125"/>
      <c r="EF169" s="125"/>
      <c r="EG169" s="125"/>
      <c r="EH169" s="125"/>
      <c r="EI169" s="125"/>
      <c r="EJ169" s="125"/>
      <c r="EK169" s="125"/>
      <c r="EL169" s="125"/>
    </row>
    <row r="170" spans="1:142">
      <c r="B170" s="126" t="s">
        <v>151</v>
      </c>
      <c r="G170" s="127">
        <f>SUM(G109:G169)</f>
        <v>2114</v>
      </c>
      <c r="H170" s="127">
        <f t="shared" ref="H170:N170" si="65">SUM(H109:H169)</f>
        <v>87</v>
      </c>
      <c r="I170" s="127">
        <f t="shared" si="65"/>
        <v>0</v>
      </c>
      <c r="J170" s="127">
        <f t="shared" si="65"/>
        <v>614</v>
      </c>
      <c r="K170" s="127">
        <f t="shared" si="65"/>
        <v>211400</v>
      </c>
      <c r="L170" s="127">
        <f t="shared" si="65"/>
        <v>8700</v>
      </c>
      <c r="M170" s="127">
        <f t="shared" si="65"/>
        <v>0</v>
      </c>
      <c r="N170" s="127">
        <f t="shared" si="65"/>
        <v>184200</v>
      </c>
      <c r="O170" s="127">
        <f>SUM(O109:O169)</f>
        <v>2215</v>
      </c>
      <c r="P170" s="127">
        <f t="shared" ref="P170:V170" si="66">SUM(P109:P169)</f>
        <v>95</v>
      </c>
      <c r="Q170" s="127">
        <f t="shared" si="66"/>
        <v>0</v>
      </c>
      <c r="R170" s="127">
        <f t="shared" si="66"/>
        <v>696</v>
      </c>
      <c r="S170" s="127">
        <f t="shared" si="66"/>
        <v>221500</v>
      </c>
      <c r="T170" s="127">
        <f t="shared" si="66"/>
        <v>9500</v>
      </c>
      <c r="U170" s="127">
        <f t="shared" si="66"/>
        <v>0</v>
      </c>
      <c r="V170" s="127">
        <f t="shared" si="66"/>
        <v>208800</v>
      </c>
      <c r="W170" s="127">
        <f>SUM(W109:W169)</f>
        <v>2300</v>
      </c>
      <c r="X170" s="127">
        <f t="shared" ref="X170:AD170" si="67">SUM(X109:X169)</f>
        <v>95</v>
      </c>
      <c r="Y170" s="127">
        <f t="shared" si="67"/>
        <v>0</v>
      </c>
      <c r="Z170" s="127">
        <f t="shared" si="67"/>
        <v>728</v>
      </c>
      <c r="AA170" s="127">
        <f t="shared" si="67"/>
        <v>230000</v>
      </c>
      <c r="AB170" s="127">
        <f t="shared" si="67"/>
        <v>9500</v>
      </c>
      <c r="AC170" s="127">
        <f t="shared" si="67"/>
        <v>0</v>
      </c>
      <c r="AD170" s="127">
        <f t="shared" si="67"/>
        <v>218400</v>
      </c>
      <c r="AE170" s="127">
        <f>SUM(AE109:AE169)</f>
        <v>2392</v>
      </c>
      <c r="AF170" s="127">
        <f t="shared" ref="AF170:AL170" si="68">SUM(AF109:AF169)</f>
        <v>100</v>
      </c>
      <c r="AG170" s="127">
        <f t="shared" si="68"/>
        <v>0</v>
      </c>
      <c r="AH170" s="127">
        <f t="shared" si="68"/>
        <v>788.5</v>
      </c>
      <c r="AI170" s="127">
        <f t="shared" si="68"/>
        <v>239200</v>
      </c>
      <c r="AJ170" s="127">
        <f t="shared" si="68"/>
        <v>10000</v>
      </c>
      <c r="AK170" s="127">
        <f t="shared" si="68"/>
        <v>0</v>
      </c>
      <c r="AL170" s="127">
        <f t="shared" si="68"/>
        <v>236550</v>
      </c>
      <c r="AM170" s="127">
        <f>SUM(AM109:AM169)</f>
        <v>2513</v>
      </c>
      <c r="AN170" s="127">
        <f t="shared" ref="AN170:BZ170" si="69">SUM(AN109:AN169)</f>
        <v>109</v>
      </c>
      <c r="AO170" s="127">
        <f t="shared" si="69"/>
        <v>0</v>
      </c>
      <c r="AP170" s="127">
        <f t="shared" si="69"/>
        <v>835</v>
      </c>
      <c r="AQ170" s="127">
        <f t="shared" si="69"/>
        <v>251300</v>
      </c>
      <c r="AR170" s="127">
        <f t="shared" si="69"/>
        <v>10900</v>
      </c>
      <c r="AS170" s="127">
        <f t="shared" si="69"/>
        <v>0</v>
      </c>
      <c r="AT170" s="127">
        <f t="shared" si="69"/>
        <v>250500</v>
      </c>
      <c r="AU170" s="132">
        <f t="shared" si="69"/>
        <v>2626</v>
      </c>
      <c r="AV170" s="132">
        <f t="shared" si="69"/>
        <v>119</v>
      </c>
      <c r="AW170" s="132">
        <f t="shared" si="69"/>
        <v>10</v>
      </c>
      <c r="AX170" s="132">
        <f t="shared" si="69"/>
        <v>929</v>
      </c>
      <c r="AY170" s="132">
        <f t="shared" si="69"/>
        <v>262600</v>
      </c>
      <c r="AZ170" s="132">
        <f t="shared" si="69"/>
        <v>11900</v>
      </c>
      <c r="BA170" s="132">
        <f t="shared" si="69"/>
        <v>3000</v>
      </c>
      <c r="BB170" s="132">
        <f t="shared" si="69"/>
        <v>278700</v>
      </c>
      <c r="BC170" s="132">
        <f t="shared" si="69"/>
        <v>2812</v>
      </c>
      <c r="BD170" s="132">
        <f t="shared" si="69"/>
        <v>120</v>
      </c>
      <c r="BE170" s="132">
        <f t="shared" si="69"/>
        <v>14</v>
      </c>
      <c r="BF170" s="132">
        <f t="shared" si="69"/>
        <v>970</v>
      </c>
      <c r="BG170" s="132">
        <f t="shared" si="69"/>
        <v>281200</v>
      </c>
      <c r="BH170" s="132">
        <f t="shared" si="69"/>
        <v>12000</v>
      </c>
      <c r="BI170" s="132">
        <f t="shared" si="69"/>
        <v>4200</v>
      </c>
      <c r="BJ170" s="132">
        <f t="shared" si="69"/>
        <v>291000</v>
      </c>
      <c r="BK170" s="132">
        <f t="shared" si="69"/>
        <v>2953</v>
      </c>
      <c r="BL170" s="132">
        <f t="shared" si="69"/>
        <v>138</v>
      </c>
      <c r="BM170" s="132">
        <f t="shared" si="69"/>
        <v>20</v>
      </c>
      <c r="BN170" s="132">
        <f t="shared" si="69"/>
        <v>1047</v>
      </c>
      <c r="BO170" s="132">
        <f t="shared" si="69"/>
        <v>295300</v>
      </c>
      <c r="BP170" s="132">
        <f t="shared" si="69"/>
        <v>13800</v>
      </c>
      <c r="BQ170" s="132">
        <f t="shared" si="69"/>
        <v>6000</v>
      </c>
      <c r="BR170" s="132">
        <f t="shared" si="69"/>
        <v>314100</v>
      </c>
      <c r="BS170" s="132">
        <f t="shared" si="69"/>
        <v>3040</v>
      </c>
      <c r="BT170" s="132">
        <f t="shared" si="69"/>
        <v>145</v>
      </c>
      <c r="BU170" s="132">
        <f t="shared" si="69"/>
        <v>27</v>
      </c>
      <c r="BV170" s="132">
        <f t="shared" si="69"/>
        <v>1093</v>
      </c>
      <c r="BW170" s="132">
        <f t="shared" si="69"/>
        <v>304000</v>
      </c>
      <c r="BX170" s="132">
        <f t="shared" si="69"/>
        <v>14500</v>
      </c>
      <c r="BY170" s="132">
        <f t="shared" si="69"/>
        <v>8100</v>
      </c>
      <c r="BZ170" s="132">
        <f t="shared" si="69"/>
        <v>327900</v>
      </c>
    </row>
    <row r="171" spans="1:142">
      <c r="G171" s="112"/>
      <c r="O171" s="53"/>
      <c r="P171" s="53"/>
      <c r="Q171" s="53"/>
      <c r="S171" s="53"/>
      <c r="T171" s="53"/>
      <c r="U171" s="53"/>
      <c r="V171" s="53"/>
      <c r="AM171" s="58"/>
      <c r="AN171" s="58"/>
      <c r="AO171" s="58"/>
      <c r="AP171" s="58"/>
      <c r="AQ171" s="58"/>
      <c r="AR171" s="58"/>
      <c r="AS171" s="58"/>
      <c r="AT171" s="58"/>
    </row>
    <row r="172" spans="1:142">
      <c r="G172" s="112"/>
      <c r="O172" s="53"/>
      <c r="P172" s="53"/>
      <c r="Q172" s="53"/>
      <c r="S172" s="53"/>
      <c r="T172" s="53"/>
      <c r="U172" s="53"/>
      <c r="V172" s="53"/>
      <c r="AM172" s="58"/>
      <c r="AN172" s="58"/>
      <c r="AO172" s="58"/>
      <c r="AP172" s="58"/>
      <c r="AQ172" s="58"/>
      <c r="AR172" s="58"/>
      <c r="AS172" s="58"/>
      <c r="AT172" s="58"/>
    </row>
    <row r="173" spans="1:142">
      <c r="G173" s="112"/>
      <c r="O173" s="53"/>
      <c r="P173" s="53"/>
      <c r="Q173" s="53"/>
      <c r="S173" s="53"/>
      <c r="T173" s="53"/>
      <c r="U173" s="53"/>
      <c r="V173" s="53"/>
      <c r="AM173" s="58"/>
      <c r="AN173" s="58"/>
      <c r="AO173" s="58"/>
      <c r="AP173" s="58"/>
      <c r="AQ173" s="58"/>
      <c r="AR173" s="58"/>
      <c r="AS173" s="58"/>
      <c r="AT173" s="58"/>
    </row>
    <row r="174" spans="1:142">
      <c r="G174" s="112"/>
      <c r="O174" s="53"/>
      <c r="P174" s="53"/>
      <c r="Q174" s="53"/>
      <c r="S174" s="53"/>
      <c r="T174" s="53"/>
      <c r="U174" s="53"/>
      <c r="V174" s="53"/>
      <c r="AM174" s="58"/>
      <c r="AN174" s="58"/>
      <c r="AO174" s="58"/>
      <c r="AP174" s="58"/>
      <c r="AQ174" s="58"/>
      <c r="AR174" s="58"/>
      <c r="AS174" s="58"/>
      <c r="AT174" s="58"/>
    </row>
    <row r="175" spans="1:142">
      <c r="G175" s="112"/>
      <c r="O175" s="53"/>
      <c r="P175" s="53"/>
      <c r="Q175" s="53"/>
      <c r="S175" s="53"/>
      <c r="T175" s="53"/>
      <c r="U175" s="53"/>
      <c r="V175" s="53"/>
      <c r="AM175" s="58"/>
      <c r="AN175" s="58"/>
      <c r="AO175" s="58"/>
      <c r="AP175" s="58"/>
      <c r="AQ175" s="58"/>
      <c r="AR175" s="58"/>
      <c r="AS175" s="58"/>
      <c r="AT175" s="58"/>
    </row>
    <row r="176" spans="1:142">
      <c r="G176" s="112"/>
      <c r="O176" s="53"/>
      <c r="P176" s="53"/>
      <c r="Q176" s="53"/>
      <c r="S176" s="53"/>
      <c r="T176" s="53"/>
      <c r="U176" s="53"/>
      <c r="V176" s="53"/>
      <c r="AM176" s="58"/>
      <c r="AN176" s="58"/>
      <c r="AO176" s="58"/>
      <c r="AP176" s="58"/>
      <c r="AQ176" s="58"/>
      <c r="AR176" s="58"/>
      <c r="AS176" s="58"/>
      <c r="AT176" s="58"/>
    </row>
    <row r="177" spans="7:46">
      <c r="G177" s="112"/>
      <c r="O177" s="53"/>
      <c r="P177" s="53"/>
      <c r="Q177" s="53"/>
      <c r="S177" s="53"/>
      <c r="T177" s="53"/>
      <c r="U177" s="53"/>
      <c r="V177" s="53"/>
      <c r="AM177" s="58"/>
      <c r="AN177" s="58"/>
      <c r="AO177" s="58"/>
      <c r="AP177" s="58"/>
      <c r="AQ177" s="58"/>
      <c r="AR177" s="58"/>
      <c r="AS177" s="58"/>
      <c r="AT177" s="58"/>
    </row>
    <row r="178" spans="7:46">
      <c r="G178" s="112"/>
      <c r="O178" s="53"/>
      <c r="P178" s="53"/>
      <c r="Q178" s="53"/>
      <c r="S178" s="53"/>
      <c r="T178" s="53"/>
      <c r="U178" s="53"/>
      <c r="V178" s="53"/>
      <c r="AM178" s="58"/>
      <c r="AN178" s="58"/>
      <c r="AO178" s="58"/>
      <c r="AP178" s="58"/>
      <c r="AQ178" s="58"/>
      <c r="AR178" s="58"/>
      <c r="AS178" s="58"/>
      <c r="AT178" s="58"/>
    </row>
    <row r="179" spans="7:46">
      <c r="G179" s="112"/>
      <c r="O179" s="53"/>
      <c r="P179" s="53"/>
      <c r="Q179" s="53"/>
      <c r="S179" s="53"/>
      <c r="T179" s="53"/>
      <c r="U179" s="53"/>
      <c r="V179" s="53"/>
      <c r="AM179" s="58"/>
      <c r="AN179" s="58"/>
      <c r="AO179" s="58"/>
      <c r="AP179" s="58"/>
      <c r="AQ179" s="58"/>
      <c r="AR179" s="58"/>
      <c r="AS179" s="58"/>
      <c r="AT179" s="58"/>
    </row>
    <row r="180" spans="7:46">
      <c r="G180" s="112"/>
      <c r="O180" s="53"/>
      <c r="P180" s="53"/>
      <c r="Q180" s="53"/>
      <c r="S180" s="53"/>
      <c r="T180" s="53"/>
      <c r="U180" s="53"/>
      <c r="V180" s="53"/>
      <c r="AM180" s="58"/>
      <c r="AN180" s="58"/>
      <c r="AO180" s="58"/>
      <c r="AP180" s="58"/>
      <c r="AQ180" s="58"/>
      <c r="AR180" s="58"/>
      <c r="AS180" s="58"/>
      <c r="AT180" s="58"/>
    </row>
    <row r="181" spans="7:46">
      <c r="G181" s="112"/>
      <c r="O181" s="53"/>
      <c r="P181" s="53"/>
      <c r="Q181" s="53"/>
      <c r="S181" s="53"/>
      <c r="T181" s="53"/>
      <c r="U181" s="53"/>
      <c r="V181" s="53"/>
      <c r="AM181" s="58"/>
      <c r="AN181" s="58"/>
      <c r="AO181" s="58"/>
      <c r="AP181" s="58"/>
      <c r="AQ181" s="58"/>
      <c r="AR181" s="58"/>
      <c r="AS181" s="58"/>
      <c r="AT181" s="58"/>
    </row>
    <row r="182" spans="7:46">
      <c r="G182" s="112"/>
      <c r="O182" s="53"/>
      <c r="P182" s="53"/>
      <c r="Q182" s="53"/>
      <c r="S182" s="53"/>
      <c r="T182" s="53"/>
      <c r="U182" s="53"/>
      <c r="V182" s="53"/>
      <c r="AM182" s="58"/>
      <c r="AN182" s="58"/>
      <c r="AO182" s="58"/>
      <c r="AP182" s="58"/>
      <c r="AQ182" s="58"/>
      <c r="AR182" s="58"/>
      <c r="AS182" s="58"/>
      <c r="AT182" s="58"/>
    </row>
    <row r="183" spans="7:46">
      <c r="G183" s="112"/>
      <c r="O183" s="53"/>
      <c r="P183" s="53"/>
      <c r="Q183" s="53"/>
      <c r="S183" s="53"/>
      <c r="T183" s="53"/>
      <c r="U183" s="53"/>
      <c r="V183" s="53"/>
      <c r="AM183" s="58"/>
      <c r="AN183" s="58"/>
      <c r="AO183" s="58"/>
      <c r="AP183" s="58"/>
      <c r="AQ183" s="58"/>
      <c r="AR183" s="58"/>
      <c r="AS183" s="58"/>
      <c r="AT183" s="58"/>
    </row>
    <row r="184" spans="7:46">
      <c r="G184" s="112"/>
      <c r="O184" s="53"/>
      <c r="P184" s="53"/>
      <c r="Q184" s="53"/>
      <c r="S184" s="53"/>
      <c r="T184" s="53"/>
      <c r="U184" s="53"/>
      <c r="V184" s="53"/>
      <c r="AM184" s="58"/>
      <c r="AN184" s="58"/>
      <c r="AO184" s="58"/>
      <c r="AP184" s="58"/>
      <c r="AQ184" s="58"/>
      <c r="AR184" s="58"/>
      <c r="AS184" s="58"/>
      <c r="AT184" s="58"/>
    </row>
    <row r="185" spans="7:46">
      <c r="G185" s="112"/>
      <c r="O185" s="53"/>
      <c r="P185" s="53"/>
      <c r="Q185" s="53"/>
      <c r="S185" s="53"/>
      <c r="T185" s="53"/>
      <c r="U185" s="53"/>
      <c r="V185" s="53"/>
      <c r="AM185" s="58"/>
      <c r="AN185" s="58"/>
      <c r="AO185" s="58"/>
      <c r="AP185" s="58"/>
      <c r="AQ185" s="58"/>
      <c r="AR185" s="58"/>
      <c r="AS185" s="58"/>
      <c r="AT185" s="58"/>
    </row>
    <row r="186" spans="7:46">
      <c r="G186" s="112"/>
      <c r="O186" s="53"/>
      <c r="P186" s="53"/>
      <c r="Q186" s="53"/>
      <c r="S186" s="53"/>
      <c r="T186" s="53"/>
      <c r="U186" s="53"/>
      <c r="V186" s="53"/>
      <c r="AM186" s="58"/>
      <c r="AN186" s="58"/>
      <c r="AO186" s="58"/>
      <c r="AP186" s="58"/>
      <c r="AQ186" s="58"/>
      <c r="AR186" s="58"/>
      <c r="AS186" s="58"/>
      <c r="AT186" s="58"/>
    </row>
    <row r="187" spans="7:46">
      <c r="G187" s="112"/>
      <c r="O187" s="53"/>
      <c r="P187" s="53"/>
      <c r="Q187" s="53"/>
      <c r="S187" s="53"/>
      <c r="T187" s="53"/>
      <c r="U187" s="53"/>
      <c r="V187" s="53"/>
      <c r="AM187" s="58"/>
      <c r="AN187" s="58"/>
      <c r="AO187" s="58"/>
      <c r="AP187" s="58"/>
      <c r="AQ187" s="58"/>
      <c r="AR187" s="58"/>
      <c r="AS187" s="58"/>
      <c r="AT187" s="58"/>
    </row>
    <row r="188" spans="7:46">
      <c r="G188" s="112"/>
      <c r="O188" s="53"/>
      <c r="P188" s="53"/>
      <c r="Q188" s="53"/>
      <c r="S188" s="53"/>
      <c r="T188" s="53"/>
      <c r="U188" s="53"/>
      <c r="V188" s="53"/>
      <c r="AM188" s="58"/>
      <c r="AN188" s="58"/>
      <c r="AO188" s="58"/>
      <c r="AP188" s="58"/>
      <c r="AQ188" s="58"/>
      <c r="AR188" s="58"/>
      <c r="AS188" s="58"/>
      <c r="AT188" s="58"/>
    </row>
    <row r="189" spans="7:46">
      <c r="G189" s="112"/>
      <c r="O189" s="53"/>
      <c r="P189" s="53"/>
      <c r="Q189" s="53"/>
      <c r="S189" s="53"/>
      <c r="T189" s="53"/>
      <c r="U189" s="53"/>
      <c r="V189" s="53"/>
      <c r="AM189" s="58"/>
      <c r="AN189" s="58"/>
      <c r="AO189" s="58"/>
      <c r="AP189" s="58"/>
      <c r="AQ189" s="58"/>
      <c r="AR189" s="58"/>
      <c r="AS189" s="58"/>
      <c r="AT189" s="58"/>
    </row>
    <row r="190" spans="7:46">
      <c r="G190" s="112"/>
      <c r="O190" s="53"/>
      <c r="P190" s="53"/>
      <c r="Q190" s="53"/>
      <c r="S190" s="53"/>
      <c r="T190" s="53"/>
      <c r="U190" s="53"/>
      <c r="V190" s="53"/>
      <c r="AM190" s="58"/>
      <c r="AN190" s="58"/>
      <c r="AO190" s="58"/>
      <c r="AP190" s="58"/>
      <c r="AQ190" s="58"/>
      <c r="AR190" s="58"/>
      <c r="AS190" s="58"/>
      <c r="AT190" s="58"/>
    </row>
    <row r="191" spans="7:46">
      <c r="G191" s="112"/>
      <c r="O191" s="53"/>
      <c r="P191" s="53"/>
      <c r="Q191" s="53"/>
      <c r="S191" s="53"/>
      <c r="T191" s="53"/>
      <c r="U191" s="53"/>
      <c r="V191" s="53"/>
      <c r="AM191" s="58"/>
      <c r="AN191" s="58"/>
      <c r="AO191" s="58"/>
      <c r="AP191" s="58"/>
      <c r="AQ191" s="58"/>
      <c r="AR191" s="58"/>
      <c r="AS191" s="58"/>
      <c r="AT191" s="58"/>
    </row>
    <row r="192" spans="7:46">
      <c r="G192" s="112"/>
      <c r="O192" s="53"/>
      <c r="P192" s="53"/>
      <c r="Q192" s="53"/>
      <c r="S192" s="53"/>
      <c r="T192" s="53"/>
      <c r="U192" s="53"/>
      <c r="V192" s="53"/>
      <c r="AM192" s="58"/>
      <c r="AN192" s="58"/>
      <c r="AO192" s="58"/>
      <c r="AP192" s="58"/>
      <c r="AQ192" s="58"/>
      <c r="AR192" s="58"/>
      <c r="AS192" s="58"/>
      <c r="AT192" s="58"/>
    </row>
    <row r="193" spans="7:46">
      <c r="G193" s="112"/>
      <c r="O193" s="53"/>
      <c r="P193" s="53"/>
      <c r="Q193" s="53"/>
      <c r="S193" s="53"/>
      <c r="T193" s="53"/>
      <c r="U193" s="53"/>
      <c r="V193" s="53"/>
      <c r="AM193" s="58"/>
      <c r="AN193" s="58"/>
      <c r="AO193" s="58"/>
      <c r="AP193" s="58"/>
      <c r="AQ193" s="58"/>
      <c r="AR193" s="58"/>
      <c r="AS193" s="58"/>
      <c r="AT193" s="58"/>
    </row>
    <row r="194" spans="7:46">
      <c r="G194" s="112"/>
      <c r="O194" s="53"/>
      <c r="P194" s="53"/>
      <c r="Q194" s="53"/>
      <c r="S194" s="53"/>
      <c r="T194" s="53"/>
      <c r="U194" s="53"/>
      <c r="V194" s="53"/>
      <c r="AM194" s="58"/>
      <c r="AN194" s="58"/>
      <c r="AO194" s="58"/>
      <c r="AP194" s="58"/>
      <c r="AQ194" s="58"/>
      <c r="AR194" s="58"/>
      <c r="AS194" s="58"/>
      <c r="AT194" s="58"/>
    </row>
    <row r="195" spans="7:46">
      <c r="G195" s="112"/>
      <c r="O195" s="53"/>
      <c r="P195" s="53"/>
      <c r="Q195" s="53"/>
      <c r="S195" s="53"/>
      <c r="T195" s="53"/>
      <c r="U195" s="53"/>
      <c r="V195" s="53"/>
      <c r="AM195" s="58"/>
      <c r="AN195" s="58"/>
      <c r="AO195" s="58"/>
      <c r="AP195" s="58"/>
      <c r="AQ195" s="58"/>
      <c r="AR195" s="58"/>
      <c r="AS195" s="58"/>
      <c r="AT195" s="58"/>
    </row>
    <row r="196" spans="7:46">
      <c r="G196" s="112"/>
      <c r="O196" s="53"/>
      <c r="P196" s="53"/>
      <c r="Q196" s="53"/>
      <c r="S196" s="53"/>
      <c r="T196" s="53"/>
      <c r="U196" s="53"/>
      <c r="V196" s="53"/>
      <c r="AM196" s="58"/>
      <c r="AN196" s="58"/>
      <c r="AO196" s="58"/>
      <c r="AP196" s="58"/>
      <c r="AQ196" s="58"/>
      <c r="AR196" s="58"/>
      <c r="AS196" s="58"/>
      <c r="AT196" s="58"/>
    </row>
    <row r="197" spans="7:46">
      <c r="G197" s="112"/>
      <c r="O197" s="53"/>
      <c r="P197" s="53"/>
      <c r="Q197" s="53"/>
      <c r="S197" s="53"/>
      <c r="T197" s="53"/>
      <c r="U197" s="53"/>
      <c r="V197" s="53"/>
      <c r="AM197" s="58"/>
      <c r="AN197" s="58"/>
      <c r="AO197" s="58"/>
      <c r="AP197" s="58"/>
      <c r="AQ197" s="58"/>
      <c r="AR197" s="58"/>
      <c r="AS197" s="58"/>
      <c r="AT197" s="58"/>
    </row>
    <row r="198" spans="7:46">
      <c r="G198" s="112"/>
      <c r="O198" s="53"/>
      <c r="P198" s="53"/>
      <c r="Q198" s="53"/>
      <c r="S198" s="53"/>
      <c r="T198" s="53"/>
      <c r="U198" s="53"/>
      <c r="V198" s="53"/>
      <c r="AM198" s="58"/>
      <c r="AN198" s="58"/>
      <c r="AO198" s="58"/>
      <c r="AP198" s="58"/>
      <c r="AQ198" s="58"/>
      <c r="AR198" s="58"/>
      <c r="AS198" s="58"/>
      <c r="AT198" s="58"/>
    </row>
    <row r="199" spans="7:46">
      <c r="G199" s="112"/>
      <c r="O199" s="53"/>
      <c r="P199" s="53"/>
      <c r="Q199" s="53"/>
      <c r="S199" s="53"/>
      <c r="T199" s="53"/>
      <c r="U199" s="53"/>
      <c r="V199" s="53"/>
      <c r="AM199" s="58"/>
      <c r="AN199" s="58"/>
      <c r="AO199" s="58"/>
      <c r="AP199" s="58"/>
      <c r="AQ199" s="58"/>
      <c r="AR199" s="58"/>
      <c r="AS199" s="58"/>
      <c r="AT199" s="58"/>
    </row>
    <row r="200" spans="7:46">
      <c r="G200" s="112"/>
      <c r="O200" s="53"/>
      <c r="P200" s="53"/>
      <c r="Q200" s="53"/>
      <c r="S200" s="53"/>
      <c r="T200" s="53"/>
      <c r="U200" s="53"/>
      <c r="V200" s="53"/>
      <c r="AM200" s="58"/>
      <c r="AN200" s="58"/>
      <c r="AO200" s="58"/>
      <c r="AP200" s="58"/>
      <c r="AQ200" s="58"/>
      <c r="AR200" s="58"/>
      <c r="AS200" s="58"/>
      <c r="AT200" s="58"/>
    </row>
    <row r="201" spans="7:46">
      <c r="G201" s="112"/>
      <c r="O201" s="53"/>
      <c r="P201" s="53"/>
      <c r="Q201" s="53"/>
      <c r="S201" s="53"/>
      <c r="T201" s="53"/>
      <c r="U201" s="53"/>
      <c r="V201" s="53"/>
      <c r="AM201" s="58"/>
      <c r="AN201" s="58"/>
      <c r="AO201" s="58"/>
      <c r="AP201" s="58"/>
      <c r="AQ201" s="58"/>
      <c r="AR201" s="58"/>
      <c r="AS201" s="58"/>
      <c r="AT201" s="58"/>
    </row>
    <row r="202" spans="7:46">
      <c r="G202" s="112"/>
      <c r="O202" s="53"/>
      <c r="P202" s="53"/>
      <c r="Q202" s="53"/>
      <c r="S202" s="53"/>
      <c r="T202" s="53"/>
      <c r="U202" s="53"/>
      <c r="V202" s="53"/>
      <c r="AM202" s="58"/>
      <c r="AN202" s="58"/>
      <c r="AO202" s="58"/>
      <c r="AP202" s="58"/>
      <c r="AQ202" s="58"/>
      <c r="AR202" s="58"/>
      <c r="AS202" s="58"/>
      <c r="AT202" s="58"/>
    </row>
    <row r="203" spans="7:46">
      <c r="G203" s="112"/>
      <c r="O203" s="53"/>
      <c r="P203" s="53"/>
      <c r="Q203" s="53"/>
      <c r="S203" s="53"/>
      <c r="T203" s="53"/>
      <c r="U203" s="53"/>
      <c r="V203" s="53"/>
      <c r="AM203" s="58"/>
      <c r="AN203" s="58"/>
      <c r="AO203" s="58"/>
      <c r="AP203" s="58"/>
      <c r="AQ203" s="58"/>
      <c r="AR203" s="58"/>
      <c r="AS203" s="58"/>
      <c r="AT203" s="58"/>
    </row>
    <row r="204" spans="7:46">
      <c r="G204" s="112"/>
      <c r="O204" s="53"/>
      <c r="P204" s="53"/>
      <c r="Q204" s="53"/>
      <c r="S204" s="53"/>
      <c r="T204" s="53"/>
      <c r="U204" s="53"/>
      <c r="V204" s="53"/>
      <c r="AM204" s="58"/>
      <c r="AN204" s="58"/>
      <c r="AO204" s="58"/>
      <c r="AP204" s="58"/>
      <c r="AQ204" s="58"/>
      <c r="AR204" s="58"/>
      <c r="AS204" s="58"/>
      <c r="AT204" s="58"/>
    </row>
    <row r="205" spans="7:46">
      <c r="G205" s="112"/>
      <c r="O205" s="53"/>
      <c r="P205" s="53"/>
      <c r="Q205" s="53"/>
      <c r="S205" s="53"/>
      <c r="T205" s="53"/>
      <c r="U205" s="53"/>
      <c r="V205" s="53"/>
      <c r="AM205" s="58"/>
      <c r="AN205" s="58"/>
      <c r="AO205" s="58"/>
      <c r="AP205" s="58"/>
      <c r="AQ205" s="58"/>
      <c r="AR205" s="58"/>
      <c r="AS205" s="58"/>
      <c r="AT205" s="58"/>
    </row>
    <row r="206" spans="7:46">
      <c r="G206" s="112"/>
      <c r="O206" s="53"/>
      <c r="P206" s="53"/>
      <c r="Q206" s="53"/>
      <c r="S206" s="53"/>
      <c r="T206" s="53"/>
      <c r="U206" s="53"/>
      <c r="V206" s="53"/>
      <c r="AM206" s="58"/>
      <c r="AN206" s="58"/>
      <c r="AO206" s="58"/>
      <c r="AP206" s="58"/>
      <c r="AQ206" s="58"/>
      <c r="AR206" s="58"/>
      <c r="AS206" s="58"/>
      <c r="AT206" s="58"/>
    </row>
    <row r="207" spans="7:46">
      <c r="G207" s="112"/>
      <c r="O207" s="53"/>
      <c r="P207" s="53"/>
      <c r="Q207" s="53"/>
      <c r="S207" s="53"/>
      <c r="T207" s="53"/>
      <c r="U207" s="53"/>
      <c r="V207" s="53"/>
      <c r="AM207" s="58"/>
      <c r="AN207" s="58"/>
      <c r="AO207" s="58"/>
      <c r="AP207" s="58"/>
      <c r="AQ207" s="58"/>
      <c r="AR207" s="58"/>
      <c r="AS207" s="58"/>
      <c r="AT207" s="58"/>
    </row>
    <row r="208" spans="7:46">
      <c r="G208" s="112"/>
      <c r="O208" s="53"/>
      <c r="P208" s="53"/>
      <c r="Q208" s="53"/>
      <c r="S208" s="53"/>
      <c r="T208" s="53"/>
      <c r="U208" s="53"/>
      <c r="V208" s="53"/>
      <c r="AM208" s="58"/>
      <c r="AN208" s="58"/>
      <c r="AO208" s="58"/>
      <c r="AP208" s="58"/>
      <c r="AQ208" s="58"/>
      <c r="AR208" s="58"/>
      <c r="AS208" s="58"/>
      <c r="AT208" s="58"/>
    </row>
    <row r="209" spans="7:46">
      <c r="G209" s="112"/>
      <c r="O209" s="53"/>
      <c r="P209" s="53"/>
      <c r="Q209" s="53"/>
      <c r="S209" s="53"/>
      <c r="T209" s="53"/>
      <c r="U209" s="53"/>
      <c r="V209" s="53"/>
      <c r="AM209" s="58"/>
      <c r="AN209" s="58"/>
      <c r="AO209" s="58"/>
      <c r="AP209" s="58"/>
      <c r="AQ209" s="58"/>
      <c r="AR209" s="58"/>
      <c r="AS209" s="58"/>
      <c r="AT209" s="58"/>
    </row>
    <row r="210" spans="7:46">
      <c r="G210" s="112"/>
      <c r="O210" s="53"/>
      <c r="P210" s="53"/>
      <c r="Q210" s="53"/>
      <c r="S210" s="53"/>
      <c r="T210" s="53"/>
      <c r="U210" s="53"/>
      <c r="V210" s="53"/>
      <c r="AM210" s="58"/>
      <c r="AN210" s="58"/>
      <c r="AO210" s="58"/>
      <c r="AP210" s="58"/>
      <c r="AQ210" s="58"/>
      <c r="AR210" s="58"/>
      <c r="AS210" s="58"/>
      <c r="AT210" s="58"/>
    </row>
    <row r="211" spans="7:46">
      <c r="G211" s="112"/>
      <c r="O211" s="53"/>
      <c r="P211" s="53"/>
      <c r="Q211" s="53"/>
      <c r="S211" s="53"/>
      <c r="T211" s="53"/>
      <c r="U211" s="53"/>
      <c r="V211" s="53"/>
      <c r="AM211" s="58"/>
      <c r="AN211" s="58"/>
      <c r="AO211" s="58"/>
      <c r="AP211" s="58"/>
      <c r="AQ211" s="58"/>
      <c r="AR211" s="58"/>
      <c r="AS211" s="58"/>
      <c r="AT211" s="58"/>
    </row>
    <row r="212" spans="7:46">
      <c r="G212" s="112"/>
      <c r="O212" s="53"/>
      <c r="P212" s="53"/>
      <c r="Q212" s="53"/>
      <c r="S212" s="53"/>
      <c r="T212" s="53"/>
      <c r="U212" s="53"/>
      <c r="V212" s="53"/>
      <c r="AM212" s="58"/>
      <c r="AN212" s="58"/>
      <c r="AO212" s="58"/>
      <c r="AP212" s="58"/>
      <c r="AQ212" s="58"/>
      <c r="AR212" s="58"/>
      <c r="AS212" s="58"/>
      <c r="AT212" s="58"/>
    </row>
    <row r="213" spans="7:46">
      <c r="G213" s="112"/>
      <c r="O213" s="53"/>
      <c r="P213" s="53"/>
      <c r="Q213" s="53"/>
      <c r="S213" s="53"/>
      <c r="T213" s="53"/>
      <c r="U213" s="53"/>
      <c r="V213" s="53"/>
      <c r="AM213" s="58"/>
      <c r="AN213" s="58"/>
      <c r="AO213" s="58"/>
      <c r="AP213" s="58"/>
      <c r="AQ213" s="58"/>
      <c r="AR213" s="58"/>
      <c r="AS213" s="58"/>
      <c r="AT213" s="58"/>
    </row>
    <row r="214" spans="7:46">
      <c r="G214" s="112"/>
      <c r="O214" s="53"/>
      <c r="P214" s="53"/>
      <c r="Q214" s="53"/>
      <c r="S214" s="53"/>
      <c r="T214" s="53"/>
      <c r="U214" s="53"/>
      <c r="V214" s="53"/>
      <c r="AM214" s="58"/>
      <c r="AN214" s="58"/>
      <c r="AO214" s="58"/>
      <c r="AP214" s="58"/>
      <c r="AQ214" s="58"/>
      <c r="AR214" s="58"/>
      <c r="AS214" s="58"/>
      <c r="AT214" s="58"/>
    </row>
    <row r="215" spans="7:46">
      <c r="G215" s="112"/>
      <c r="O215" s="53"/>
      <c r="P215" s="53"/>
      <c r="Q215" s="53"/>
      <c r="S215" s="53"/>
      <c r="T215" s="53"/>
      <c r="U215" s="53"/>
      <c r="V215" s="53"/>
      <c r="AM215" s="58"/>
      <c r="AN215" s="58"/>
      <c r="AO215" s="58"/>
      <c r="AP215" s="58"/>
      <c r="AQ215" s="58"/>
      <c r="AR215" s="58"/>
      <c r="AS215" s="58"/>
      <c r="AT215" s="58"/>
    </row>
    <row r="216" spans="7:46">
      <c r="G216" s="112"/>
      <c r="O216" s="53"/>
      <c r="P216" s="53"/>
      <c r="Q216" s="53"/>
      <c r="S216" s="53"/>
      <c r="T216" s="53"/>
      <c r="U216" s="53"/>
      <c r="V216" s="53"/>
      <c r="AM216" s="58"/>
      <c r="AN216" s="58"/>
      <c r="AO216" s="58"/>
      <c r="AP216" s="58"/>
      <c r="AQ216" s="58"/>
      <c r="AR216" s="58"/>
      <c r="AS216" s="58"/>
      <c r="AT216" s="58"/>
    </row>
    <row r="217" spans="7:46">
      <c r="G217" s="112"/>
      <c r="O217" s="53"/>
      <c r="P217" s="53"/>
      <c r="Q217" s="53"/>
      <c r="S217" s="53"/>
      <c r="T217" s="53"/>
      <c r="U217" s="53"/>
      <c r="V217" s="53"/>
      <c r="AM217" s="58"/>
      <c r="AN217" s="58"/>
      <c r="AO217" s="58"/>
      <c r="AP217" s="58"/>
      <c r="AQ217" s="58"/>
      <c r="AR217" s="58"/>
      <c r="AS217" s="58"/>
      <c r="AT217" s="58"/>
    </row>
    <row r="218" spans="7:46">
      <c r="G218" s="112"/>
      <c r="O218" s="53"/>
      <c r="P218" s="53"/>
      <c r="Q218" s="53"/>
      <c r="S218" s="53"/>
      <c r="T218" s="53"/>
      <c r="U218" s="53"/>
      <c r="V218" s="53"/>
      <c r="AM218" s="58"/>
      <c r="AN218" s="58"/>
      <c r="AO218" s="58"/>
      <c r="AP218" s="58"/>
      <c r="AQ218" s="58"/>
      <c r="AR218" s="58"/>
      <c r="AS218" s="58"/>
      <c r="AT218" s="58"/>
    </row>
    <row r="219" spans="7:46">
      <c r="G219" s="112"/>
      <c r="O219" s="53"/>
      <c r="P219" s="53"/>
      <c r="Q219" s="53"/>
      <c r="S219" s="53"/>
      <c r="T219" s="53"/>
      <c r="U219" s="53"/>
      <c r="V219" s="53"/>
      <c r="AM219" s="58"/>
      <c r="AN219" s="58"/>
      <c r="AO219" s="58"/>
      <c r="AP219" s="58"/>
      <c r="AQ219" s="58"/>
      <c r="AR219" s="58"/>
      <c r="AS219" s="58"/>
      <c r="AT219" s="58"/>
    </row>
    <row r="220" spans="7:46">
      <c r="G220" s="112"/>
      <c r="O220" s="53"/>
      <c r="P220" s="53"/>
      <c r="Q220" s="53"/>
      <c r="S220" s="53"/>
      <c r="T220" s="53"/>
      <c r="U220" s="53"/>
      <c r="V220" s="53"/>
      <c r="AM220" s="58"/>
      <c r="AN220" s="58"/>
      <c r="AO220" s="58"/>
      <c r="AP220" s="58"/>
      <c r="AQ220" s="58"/>
      <c r="AR220" s="58"/>
      <c r="AS220" s="58"/>
      <c r="AT220" s="58"/>
    </row>
    <row r="221" spans="7:46">
      <c r="G221" s="112"/>
      <c r="O221" s="53"/>
      <c r="P221" s="53"/>
      <c r="Q221" s="53"/>
      <c r="S221" s="53"/>
      <c r="T221" s="53"/>
      <c r="U221" s="53"/>
      <c r="V221" s="53"/>
      <c r="AM221" s="58"/>
      <c r="AN221" s="58"/>
      <c r="AO221" s="58"/>
      <c r="AP221" s="58"/>
      <c r="AQ221" s="58"/>
      <c r="AR221" s="58"/>
      <c r="AS221" s="58"/>
      <c r="AT221" s="58"/>
    </row>
    <row r="222" spans="7:46">
      <c r="G222" s="112"/>
      <c r="O222" s="53"/>
      <c r="P222" s="53"/>
      <c r="Q222" s="53"/>
      <c r="S222" s="53"/>
      <c r="T222" s="53"/>
      <c r="U222" s="53"/>
      <c r="V222" s="53"/>
      <c r="AM222" s="58"/>
      <c r="AN222" s="58"/>
      <c r="AO222" s="58"/>
      <c r="AP222" s="58"/>
      <c r="AQ222" s="58"/>
      <c r="AR222" s="58"/>
      <c r="AS222" s="58"/>
      <c r="AT222" s="58"/>
    </row>
    <row r="223" spans="7:46">
      <c r="G223" s="112"/>
      <c r="O223" s="53"/>
      <c r="P223" s="53"/>
      <c r="Q223" s="53"/>
      <c r="S223" s="53"/>
      <c r="T223" s="53"/>
      <c r="U223" s="53"/>
      <c r="V223" s="53"/>
      <c r="AM223" s="58"/>
      <c r="AN223" s="58"/>
      <c r="AO223" s="58"/>
      <c r="AP223" s="58"/>
      <c r="AQ223" s="58"/>
      <c r="AR223" s="58"/>
      <c r="AS223" s="58"/>
      <c r="AT223" s="58"/>
    </row>
    <row r="224" spans="7:46">
      <c r="G224" s="112"/>
      <c r="O224" s="53"/>
      <c r="P224" s="53"/>
      <c r="Q224" s="53"/>
      <c r="S224" s="53"/>
      <c r="T224" s="53"/>
      <c r="U224" s="53"/>
      <c r="V224" s="53"/>
      <c r="AM224" s="58"/>
      <c r="AN224" s="58"/>
      <c r="AO224" s="58"/>
      <c r="AP224" s="58"/>
      <c r="AQ224" s="58"/>
      <c r="AR224" s="58"/>
      <c r="AS224" s="58"/>
      <c r="AT224" s="58"/>
    </row>
    <row r="225" spans="7:46">
      <c r="G225" s="112"/>
      <c r="O225" s="53"/>
      <c r="P225" s="53"/>
      <c r="Q225" s="53"/>
      <c r="S225" s="53"/>
      <c r="T225" s="53"/>
      <c r="U225" s="53"/>
      <c r="V225" s="53"/>
      <c r="AM225" s="58"/>
      <c r="AN225" s="58"/>
      <c r="AO225" s="58"/>
      <c r="AP225" s="58"/>
      <c r="AQ225" s="58"/>
      <c r="AR225" s="58"/>
      <c r="AS225" s="58"/>
      <c r="AT225" s="58"/>
    </row>
    <row r="226" spans="7:46">
      <c r="G226" s="112"/>
      <c r="O226" s="53"/>
      <c r="P226" s="53"/>
      <c r="Q226" s="53"/>
      <c r="S226" s="53"/>
      <c r="T226" s="53"/>
      <c r="U226" s="53"/>
      <c r="V226" s="53"/>
      <c r="AM226" s="58"/>
      <c r="AN226" s="58"/>
      <c r="AO226" s="58"/>
      <c r="AP226" s="58"/>
      <c r="AQ226" s="58"/>
      <c r="AR226" s="58"/>
      <c r="AS226" s="58"/>
      <c r="AT226" s="58"/>
    </row>
    <row r="227" spans="7:46">
      <c r="G227" s="112"/>
      <c r="O227" s="53"/>
      <c r="P227" s="53"/>
      <c r="Q227" s="53"/>
      <c r="S227" s="53"/>
      <c r="T227" s="53"/>
      <c r="U227" s="53"/>
      <c r="V227" s="53"/>
      <c r="AM227" s="58"/>
      <c r="AN227" s="58"/>
      <c r="AO227" s="58"/>
      <c r="AP227" s="58"/>
      <c r="AQ227" s="58"/>
      <c r="AR227" s="58"/>
      <c r="AS227" s="58"/>
      <c r="AT227" s="58"/>
    </row>
    <row r="228" spans="7:46">
      <c r="G228" s="112"/>
      <c r="O228" s="53"/>
      <c r="P228" s="53"/>
      <c r="Q228" s="53"/>
      <c r="S228" s="53"/>
      <c r="T228" s="53"/>
      <c r="U228" s="53"/>
      <c r="V228" s="53"/>
      <c r="AM228" s="58"/>
      <c r="AN228" s="58"/>
      <c r="AO228" s="58"/>
      <c r="AP228" s="58"/>
      <c r="AQ228" s="58"/>
      <c r="AR228" s="58"/>
      <c r="AS228" s="58"/>
      <c r="AT228" s="58"/>
    </row>
    <row r="229" spans="7:46">
      <c r="G229" s="112"/>
      <c r="O229" s="53"/>
      <c r="P229" s="53"/>
      <c r="Q229" s="53"/>
      <c r="S229" s="53"/>
      <c r="T229" s="53"/>
      <c r="U229" s="53"/>
      <c r="V229" s="53"/>
      <c r="AM229" s="58"/>
      <c r="AN229" s="58"/>
      <c r="AO229" s="58"/>
      <c r="AP229" s="58"/>
      <c r="AQ229" s="58"/>
      <c r="AR229" s="58"/>
      <c r="AS229" s="58"/>
      <c r="AT229" s="58"/>
    </row>
    <row r="230" spans="7:46">
      <c r="G230" s="112"/>
      <c r="O230" s="53"/>
      <c r="P230" s="53"/>
      <c r="Q230" s="53"/>
      <c r="S230" s="53"/>
      <c r="T230" s="53"/>
      <c r="U230" s="53"/>
      <c r="V230" s="53"/>
      <c r="AM230" s="58"/>
      <c r="AN230" s="58"/>
      <c r="AO230" s="58"/>
      <c r="AP230" s="58"/>
      <c r="AQ230" s="58"/>
      <c r="AR230" s="58"/>
      <c r="AS230" s="58"/>
      <c r="AT230" s="58"/>
    </row>
    <row r="231" spans="7:46">
      <c r="G231" s="112"/>
      <c r="O231" s="53"/>
      <c r="P231" s="53"/>
      <c r="Q231" s="53"/>
      <c r="S231" s="53"/>
      <c r="T231" s="53"/>
      <c r="U231" s="53"/>
      <c r="V231" s="53"/>
      <c r="AM231" s="58"/>
      <c r="AN231" s="58"/>
      <c r="AO231" s="58"/>
      <c r="AP231" s="58"/>
      <c r="AQ231" s="58"/>
      <c r="AR231" s="58"/>
      <c r="AS231" s="58"/>
      <c r="AT231" s="58"/>
    </row>
    <row r="232" spans="7:46">
      <c r="G232" s="112"/>
      <c r="O232" s="53"/>
      <c r="P232" s="53"/>
      <c r="Q232" s="53"/>
      <c r="S232" s="53"/>
      <c r="T232" s="53"/>
      <c r="U232" s="53"/>
      <c r="V232" s="53"/>
      <c r="AM232" s="58"/>
      <c r="AN232" s="58"/>
      <c r="AO232" s="58"/>
      <c r="AP232" s="58"/>
      <c r="AQ232" s="58"/>
      <c r="AR232" s="58"/>
      <c r="AS232" s="58"/>
      <c r="AT232" s="58"/>
    </row>
    <row r="233" spans="7:46">
      <c r="G233" s="112"/>
      <c r="O233" s="53"/>
      <c r="P233" s="53"/>
      <c r="Q233" s="53"/>
      <c r="S233" s="53"/>
      <c r="T233" s="53"/>
      <c r="U233" s="53"/>
      <c r="V233" s="53"/>
      <c r="AM233" s="58"/>
      <c r="AN233" s="58"/>
      <c r="AO233" s="58"/>
      <c r="AP233" s="58"/>
      <c r="AQ233" s="58"/>
      <c r="AR233" s="58"/>
      <c r="AS233" s="58"/>
      <c r="AT233" s="58"/>
    </row>
    <row r="234" spans="7:46">
      <c r="G234" s="112"/>
      <c r="O234" s="53"/>
      <c r="P234" s="53"/>
      <c r="Q234" s="53"/>
      <c r="S234" s="53"/>
      <c r="T234" s="53"/>
      <c r="U234" s="53"/>
      <c r="V234" s="53"/>
      <c r="AM234" s="58"/>
      <c r="AN234" s="58"/>
      <c r="AO234" s="58"/>
      <c r="AP234" s="58"/>
      <c r="AQ234" s="58"/>
      <c r="AR234" s="58"/>
      <c r="AS234" s="58"/>
      <c r="AT234" s="58"/>
    </row>
    <row r="235" spans="7:46">
      <c r="G235" s="112"/>
      <c r="O235" s="53"/>
      <c r="P235" s="53"/>
      <c r="Q235" s="53"/>
      <c r="S235" s="53"/>
      <c r="T235" s="53"/>
      <c r="U235" s="53"/>
      <c r="V235" s="53"/>
      <c r="AM235" s="58"/>
      <c r="AN235" s="58"/>
      <c r="AO235" s="58"/>
      <c r="AP235" s="58"/>
      <c r="AQ235" s="58"/>
      <c r="AR235" s="58"/>
      <c r="AS235" s="58"/>
      <c r="AT235" s="58"/>
    </row>
    <row r="236" spans="7:46">
      <c r="G236" s="112"/>
      <c r="O236" s="53"/>
      <c r="P236" s="53"/>
      <c r="Q236" s="53"/>
      <c r="S236" s="53"/>
      <c r="T236" s="53"/>
      <c r="U236" s="53"/>
      <c r="V236" s="53"/>
      <c r="AM236" s="58"/>
      <c r="AN236" s="58"/>
      <c r="AO236" s="58"/>
      <c r="AP236" s="58"/>
      <c r="AQ236" s="58"/>
      <c r="AR236" s="58"/>
      <c r="AS236" s="58"/>
      <c r="AT236" s="58"/>
    </row>
    <row r="237" spans="7:46">
      <c r="G237" s="112"/>
      <c r="O237" s="53"/>
      <c r="P237" s="53"/>
      <c r="Q237" s="53"/>
      <c r="S237" s="53"/>
      <c r="T237" s="53"/>
      <c r="U237" s="53"/>
      <c r="V237" s="53"/>
      <c r="AM237" s="58"/>
      <c r="AN237" s="58"/>
      <c r="AO237" s="58"/>
      <c r="AP237" s="58"/>
      <c r="AQ237" s="58"/>
      <c r="AR237" s="58"/>
      <c r="AS237" s="58"/>
      <c r="AT237" s="58"/>
    </row>
    <row r="238" spans="7:46">
      <c r="G238" s="112"/>
      <c r="O238" s="53"/>
      <c r="P238" s="53"/>
      <c r="Q238" s="53"/>
      <c r="S238" s="53"/>
      <c r="T238" s="53"/>
      <c r="U238" s="53"/>
      <c r="V238" s="53"/>
      <c r="AM238" s="58"/>
      <c r="AN238" s="58"/>
      <c r="AO238" s="58"/>
      <c r="AP238" s="58"/>
      <c r="AQ238" s="58"/>
      <c r="AR238" s="58"/>
      <c r="AS238" s="58"/>
      <c r="AT238" s="58"/>
    </row>
    <row r="239" spans="7:46">
      <c r="G239" s="112"/>
      <c r="O239" s="53"/>
      <c r="P239" s="53"/>
      <c r="Q239" s="53"/>
      <c r="S239" s="53"/>
      <c r="T239" s="53"/>
      <c r="U239" s="53"/>
      <c r="V239" s="53"/>
      <c r="AM239" s="58"/>
      <c r="AN239" s="58"/>
      <c r="AO239" s="58"/>
      <c r="AP239" s="58"/>
      <c r="AQ239" s="58"/>
      <c r="AR239" s="58"/>
      <c r="AS239" s="58"/>
      <c r="AT239" s="58"/>
    </row>
    <row r="240" spans="7:46">
      <c r="G240" s="112"/>
      <c r="O240" s="53"/>
      <c r="P240" s="53"/>
      <c r="Q240" s="53"/>
      <c r="S240" s="53"/>
      <c r="T240" s="53"/>
      <c r="U240" s="53"/>
      <c r="V240" s="53"/>
      <c r="AM240" s="58"/>
      <c r="AN240" s="58"/>
      <c r="AO240" s="58"/>
      <c r="AP240" s="58"/>
      <c r="AQ240" s="58"/>
      <c r="AR240" s="58"/>
      <c r="AS240" s="58"/>
      <c r="AT240" s="58"/>
    </row>
    <row r="241" spans="7:46">
      <c r="G241" s="112"/>
      <c r="O241" s="53"/>
      <c r="P241" s="53"/>
      <c r="Q241" s="53"/>
      <c r="S241" s="53"/>
      <c r="T241" s="53"/>
      <c r="U241" s="53"/>
      <c r="V241" s="53"/>
      <c r="AM241" s="58"/>
      <c r="AN241" s="58"/>
      <c r="AO241" s="58"/>
      <c r="AP241" s="58"/>
      <c r="AQ241" s="58"/>
      <c r="AR241" s="58"/>
      <c r="AS241" s="58"/>
      <c r="AT241" s="58"/>
    </row>
    <row r="242" spans="7:46">
      <c r="G242" s="112"/>
      <c r="O242" s="53"/>
      <c r="P242" s="53"/>
      <c r="Q242" s="53"/>
      <c r="S242" s="53"/>
      <c r="T242" s="53"/>
      <c r="U242" s="53"/>
      <c r="V242" s="53"/>
      <c r="AM242" s="58"/>
      <c r="AN242" s="58"/>
      <c r="AO242" s="58"/>
      <c r="AP242" s="58"/>
      <c r="AQ242" s="58"/>
      <c r="AR242" s="58"/>
      <c r="AS242" s="58"/>
      <c r="AT242" s="58"/>
    </row>
    <row r="243" spans="7:46">
      <c r="G243" s="112"/>
      <c r="O243" s="53"/>
      <c r="P243" s="53"/>
      <c r="Q243" s="53"/>
      <c r="S243" s="53"/>
      <c r="T243" s="53"/>
      <c r="U243" s="53"/>
      <c r="V243" s="53"/>
      <c r="AM243" s="58"/>
      <c r="AN243" s="58"/>
      <c r="AO243" s="58"/>
      <c r="AP243" s="58"/>
      <c r="AQ243" s="58"/>
      <c r="AR243" s="58"/>
      <c r="AS243" s="58"/>
      <c r="AT243" s="58"/>
    </row>
    <row r="244" spans="7:46">
      <c r="G244" s="112"/>
      <c r="O244" s="53"/>
      <c r="P244" s="53"/>
      <c r="Q244" s="53"/>
      <c r="S244" s="53"/>
      <c r="T244" s="53"/>
      <c r="U244" s="53"/>
      <c r="V244" s="53"/>
      <c r="AM244" s="58"/>
      <c r="AN244" s="58"/>
      <c r="AO244" s="58"/>
      <c r="AP244" s="58"/>
      <c r="AQ244" s="58"/>
      <c r="AR244" s="58"/>
      <c r="AS244" s="58"/>
      <c r="AT244" s="58"/>
    </row>
    <row r="245" spans="7:46">
      <c r="G245" s="112"/>
      <c r="O245" s="53"/>
      <c r="P245" s="53"/>
      <c r="Q245" s="53"/>
      <c r="S245" s="53"/>
      <c r="T245" s="53"/>
      <c r="U245" s="53"/>
      <c r="V245" s="53"/>
      <c r="AM245" s="58"/>
      <c r="AN245" s="58"/>
      <c r="AO245" s="58"/>
      <c r="AP245" s="58"/>
      <c r="AQ245" s="58"/>
      <c r="AR245" s="58"/>
      <c r="AS245" s="58"/>
      <c r="AT245" s="58"/>
    </row>
    <row r="246" spans="7:46">
      <c r="G246" s="112"/>
      <c r="O246" s="53"/>
      <c r="P246" s="53"/>
      <c r="Q246" s="53"/>
      <c r="S246" s="53"/>
      <c r="T246" s="53"/>
      <c r="U246" s="53"/>
      <c r="V246" s="53"/>
      <c r="AM246" s="58"/>
      <c r="AN246" s="58"/>
      <c r="AO246" s="58"/>
      <c r="AP246" s="58"/>
      <c r="AQ246" s="58"/>
      <c r="AR246" s="58"/>
      <c r="AS246" s="58"/>
      <c r="AT246" s="58"/>
    </row>
    <row r="247" spans="7:46">
      <c r="G247" s="112"/>
      <c r="O247" s="53"/>
      <c r="P247" s="53"/>
      <c r="Q247" s="53"/>
      <c r="S247" s="53"/>
      <c r="T247" s="53"/>
      <c r="U247" s="53"/>
      <c r="V247" s="53"/>
      <c r="AM247" s="58"/>
      <c r="AN247" s="58"/>
      <c r="AO247" s="58"/>
      <c r="AP247" s="58"/>
      <c r="AQ247" s="58"/>
      <c r="AR247" s="58"/>
      <c r="AS247" s="58"/>
      <c r="AT247" s="58"/>
    </row>
    <row r="248" spans="7:46">
      <c r="G248" s="112"/>
      <c r="O248" s="53"/>
      <c r="P248" s="53"/>
      <c r="Q248" s="53"/>
      <c r="S248" s="53"/>
      <c r="T248" s="53"/>
      <c r="U248" s="53"/>
      <c r="V248" s="53"/>
      <c r="AM248" s="58"/>
      <c r="AN248" s="58"/>
      <c r="AO248" s="58"/>
      <c r="AP248" s="58"/>
      <c r="AQ248" s="58"/>
      <c r="AR248" s="58"/>
      <c r="AS248" s="58"/>
      <c r="AT248" s="58"/>
    </row>
    <row r="249" spans="7:46">
      <c r="G249" s="112"/>
      <c r="O249" s="53"/>
      <c r="P249" s="53"/>
      <c r="Q249" s="53"/>
      <c r="S249" s="53"/>
      <c r="T249" s="53"/>
      <c r="U249" s="53"/>
      <c r="V249" s="53"/>
      <c r="AM249" s="58"/>
      <c r="AN249" s="58"/>
      <c r="AO249" s="58"/>
      <c r="AP249" s="58"/>
      <c r="AQ249" s="58"/>
      <c r="AR249" s="58"/>
      <c r="AS249" s="58"/>
      <c r="AT249" s="58"/>
    </row>
    <row r="250" spans="7:46">
      <c r="G250" s="112"/>
      <c r="O250" s="53"/>
      <c r="P250" s="53"/>
      <c r="Q250" s="53"/>
      <c r="S250" s="53"/>
      <c r="T250" s="53"/>
      <c r="U250" s="53"/>
      <c r="V250" s="53"/>
      <c r="AM250" s="58"/>
      <c r="AN250" s="58"/>
      <c r="AO250" s="58"/>
      <c r="AP250" s="58"/>
      <c r="AQ250" s="58"/>
      <c r="AR250" s="58"/>
      <c r="AS250" s="58"/>
      <c r="AT250" s="58"/>
    </row>
    <row r="251" spans="7:46">
      <c r="G251" s="112"/>
      <c r="O251" s="53"/>
      <c r="P251" s="53"/>
      <c r="Q251" s="53"/>
      <c r="S251" s="53"/>
      <c r="T251" s="53"/>
      <c r="U251" s="53"/>
      <c r="V251" s="53"/>
      <c r="AM251" s="58"/>
      <c r="AN251" s="58"/>
      <c r="AO251" s="58"/>
      <c r="AP251" s="58"/>
      <c r="AQ251" s="58"/>
      <c r="AR251" s="58"/>
      <c r="AS251" s="58"/>
      <c r="AT251" s="58"/>
    </row>
    <row r="252" spans="7:46">
      <c r="G252" s="112"/>
      <c r="O252" s="53"/>
      <c r="P252" s="53"/>
      <c r="Q252" s="53"/>
      <c r="S252" s="53"/>
      <c r="T252" s="53"/>
      <c r="U252" s="53"/>
      <c r="V252" s="53"/>
      <c r="AM252" s="58"/>
      <c r="AN252" s="58"/>
      <c r="AO252" s="58"/>
      <c r="AP252" s="58"/>
      <c r="AQ252" s="58"/>
      <c r="AR252" s="58"/>
      <c r="AS252" s="58"/>
      <c r="AT252" s="58"/>
    </row>
    <row r="253" spans="7:46">
      <c r="G253" s="112"/>
      <c r="O253" s="53"/>
      <c r="P253" s="53"/>
      <c r="Q253" s="53"/>
      <c r="S253" s="53"/>
      <c r="T253" s="53"/>
      <c r="U253" s="53"/>
      <c r="V253" s="53"/>
      <c r="AM253" s="58"/>
      <c r="AN253" s="58"/>
      <c r="AO253" s="58"/>
      <c r="AP253" s="58"/>
      <c r="AQ253" s="58"/>
      <c r="AR253" s="58"/>
      <c r="AS253" s="58"/>
      <c r="AT253" s="58"/>
    </row>
    <row r="254" spans="7:46">
      <c r="G254" s="112"/>
      <c r="O254" s="53"/>
      <c r="P254" s="53"/>
      <c r="Q254" s="53"/>
      <c r="S254" s="53"/>
      <c r="T254" s="53"/>
      <c r="U254" s="53"/>
      <c r="V254" s="53"/>
      <c r="AM254" s="58"/>
      <c r="AN254" s="58"/>
      <c r="AO254" s="58"/>
      <c r="AP254" s="58"/>
      <c r="AQ254" s="58"/>
      <c r="AR254" s="58"/>
      <c r="AS254" s="58"/>
      <c r="AT254" s="58"/>
    </row>
    <row r="255" spans="7:46">
      <c r="G255" s="112"/>
      <c r="O255" s="53"/>
      <c r="P255" s="53"/>
      <c r="Q255" s="53"/>
      <c r="S255" s="53"/>
      <c r="T255" s="53"/>
      <c r="U255" s="53"/>
      <c r="V255" s="53"/>
      <c r="AM255" s="58"/>
      <c r="AN255" s="58"/>
      <c r="AO255" s="58"/>
      <c r="AP255" s="58"/>
      <c r="AQ255" s="58"/>
      <c r="AR255" s="58"/>
      <c r="AS255" s="58"/>
      <c r="AT255" s="58"/>
    </row>
    <row r="256" spans="7:46">
      <c r="G256" s="112"/>
      <c r="O256" s="53"/>
      <c r="P256" s="53"/>
      <c r="Q256" s="53"/>
      <c r="S256" s="53"/>
      <c r="T256" s="53"/>
      <c r="U256" s="53"/>
      <c r="V256" s="53"/>
      <c r="AM256" s="58"/>
      <c r="AN256" s="58"/>
      <c r="AO256" s="58"/>
      <c r="AP256" s="58"/>
      <c r="AQ256" s="58"/>
      <c r="AR256" s="58"/>
      <c r="AS256" s="58"/>
      <c r="AT256" s="58"/>
    </row>
    <row r="257" spans="7:46">
      <c r="G257" s="112"/>
      <c r="O257" s="53"/>
      <c r="P257" s="53"/>
      <c r="Q257" s="53"/>
      <c r="S257" s="53"/>
      <c r="T257" s="53"/>
      <c r="U257" s="53"/>
      <c r="V257" s="53"/>
      <c r="AM257" s="58"/>
      <c r="AN257" s="58"/>
      <c r="AO257" s="58"/>
      <c r="AP257" s="58"/>
      <c r="AQ257" s="58"/>
      <c r="AR257" s="58"/>
      <c r="AS257" s="58"/>
      <c r="AT257" s="58"/>
    </row>
    <row r="258" spans="7:46">
      <c r="G258" s="112"/>
      <c r="O258" s="53"/>
      <c r="P258" s="53"/>
      <c r="Q258" s="53"/>
      <c r="S258" s="53"/>
      <c r="T258" s="53"/>
      <c r="U258" s="53"/>
      <c r="V258" s="53"/>
      <c r="AM258" s="58"/>
      <c r="AN258" s="58"/>
      <c r="AO258" s="58"/>
      <c r="AP258" s="58"/>
      <c r="AQ258" s="58"/>
      <c r="AR258" s="58"/>
      <c r="AS258" s="58"/>
      <c r="AT258" s="58"/>
    </row>
    <row r="259" spans="7:46">
      <c r="G259" s="112"/>
      <c r="O259" s="53"/>
      <c r="P259" s="53"/>
      <c r="Q259" s="53"/>
      <c r="S259" s="53"/>
      <c r="T259" s="53"/>
      <c r="U259" s="53"/>
      <c r="V259" s="53"/>
      <c r="AM259" s="58"/>
      <c r="AN259" s="58"/>
      <c r="AO259" s="58"/>
      <c r="AP259" s="58"/>
      <c r="AQ259" s="58"/>
      <c r="AR259" s="58"/>
      <c r="AS259" s="58"/>
      <c r="AT259" s="58"/>
    </row>
    <row r="260" spans="7:46">
      <c r="G260" s="112"/>
      <c r="O260" s="53"/>
      <c r="P260" s="53"/>
      <c r="Q260" s="53"/>
      <c r="S260" s="53"/>
      <c r="T260" s="53"/>
      <c r="U260" s="53"/>
      <c r="V260" s="53"/>
      <c r="AM260" s="58"/>
      <c r="AN260" s="58"/>
      <c r="AO260" s="58"/>
      <c r="AP260" s="58"/>
      <c r="AQ260" s="58"/>
      <c r="AR260" s="58"/>
      <c r="AS260" s="58"/>
      <c r="AT260" s="58"/>
    </row>
    <row r="261" spans="7:46">
      <c r="G261" s="112"/>
      <c r="O261" s="53"/>
      <c r="P261" s="53"/>
      <c r="Q261" s="53"/>
      <c r="S261" s="53"/>
      <c r="T261" s="53"/>
      <c r="U261" s="53"/>
      <c r="V261" s="53"/>
      <c r="AM261" s="58"/>
      <c r="AN261" s="58"/>
      <c r="AO261" s="58"/>
      <c r="AP261" s="58"/>
      <c r="AQ261" s="58"/>
      <c r="AR261" s="58"/>
      <c r="AS261" s="58"/>
      <c r="AT261" s="58"/>
    </row>
    <row r="262" spans="7:46">
      <c r="G262" s="112"/>
      <c r="O262" s="53"/>
      <c r="P262" s="53"/>
      <c r="Q262" s="53"/>
      <c r="S262" s="53"/>
      <c r="T262" s="53"/>
      <c r="U262" s="53"/>
      <c r="V262" s="53"/>
      <c r="AM262" s="58"/>
      <c r="AN262" s="58"/>
      <c r="AO262" s="58"/>
      <c r="AP262" s="58"/>
      <c r="AQ262" s="58"/>
      <c r="AR262" s="58"/>
      <c r="AS262" s="58"/>
      <c r="AT262" s="58"/>
    </row>
    <row r="263" spans="7:46">
      <c r="G263" s="112"/>
      <c r="O263" s="53"/>
      <c r="P263" s="53"/>
      <c r="Q263" s="53"/>
      <c r="S263" s="53"/>
      <c r="T263" s="53"/>
      <c r="U263" s="53"/>
      <c r="V263" s="53"/>
      <c r="AM263" s="58"/>
      <c r="AN263" s="58"/>
      <c r="AO263" s="58"/>
      <c r="AP263" s="58"/>
      <c r="AQ263" s="58"/>
      <c r="AR263" s="58"/>
      <c r="AS263" s="58"/>
      <c r="AT263" s="58"/>
    </row>
    <row r="264" spans="7:46">
      <c r="G264" s="112"/>
      <c r="O264" s="53"/>
      <c r="P264" s="53"/>
      <c r="Q264" s="53"/>
      <c r="S264" s="53"/>
      <c r="T264" s="53"/>
      <c r="U264" s="53"/>
      <c r="V264" s="53"/>
      <c r="AM264" s="58"/>
      <c r="AN264" s="58"/>
      <c r="AO264" s="58"/>
      <c r="AP264" s="58"/>
      <c r="AQ264" s="58"/>
      <c r="AR264" s="58"/>
      <c r="AS264" s="58"/>
      <c r="AT264" s="58"/>
    </row>
    <row r="265" spans="7:46">
      <c r="G265" s="112"/>
      <c r="O265" s="53"/>
      <c r="P265" s="53"/>
      <c r="Q265" s="53"/>
      <c r="S265" s="53"/>
      <c r="T265" s="53"/>
      <c r="U265" s="53"/>
      <c r="V265" s="53"/>
      <c r="AM265" s="58"/>
      <c r="AN265" s="58"/>
      <c r="AO265" s="58"/>
      <c r="AP265" s="58"/>
      <c r="AQ265" s="58"/>
      <c r="AR265" s="58"/>
      <c r="AS265" s="58"/>
      <c r="AT265" s="58"/>
    </row>
    <row r="266" spans="7:46">
      <c r="G266" s="112"/>
      <c r="O266" s="53"/>
      <c r="P266" s="53"/>
      <c r="Q266" s="53"/>
      <c r="S266" s="53"/>
      <c r="T266" s="53"/>
      <c r="U266" s="53"/>
      <c r="V266" s="53"/>
      <c r="AM266" s="58"/>
      <c r="AN266" s="58"/>
      <c r="AO266" s="58"/>
      <c r="AP266" s="58"/>
      <c r="AQ266" s="58"/>
      <c r="AR266" s="58"/>
      <c r="AS266" s="58"/>
      <c r="AT266" s="58"/>
    </row>
    <row r="267" spans="7:46">
      <c r="G267" s="112"/>
      <c r="O267" s="53"/>
      <c r="P267" s="53"/>
      <c r="Q267" s="53"/>
      <c r="S267" s="53"/>
      <c r="T267" s="53"/>
      <c r="U267" s="53"/>
      <c r="V267" s="53"/>
      <c r="AM267" s="58"/>
      <c r="AN267" s="58"/>
      <c r="AO267" s="58"/>
      <c r="AP267" s="58"/>
      <c r="AQ267" s="58"/>
      <c r="AR267" s="58"/>
      <c r="AS267" s="58"/>
      <c r="AT267" s="58"/>
    </row>
    <row r="268" spans="7:46">
      <c r="G268" s="112"/>
      <c r="O268" s="53"/>
      <c r="P268" s="53"/>
      <c r="Q268" s="53"/>
      <c r="S268" s="53"/>
      <c r="T268" s="53"/>
      <c r="U268" s="53"/>
      <c r="V268" s="53"/>
      <c r="AM268" s="58"/>
      <c r="AN268" s="58"/>
      <c r="AO268" s="58"/>
      <c r="AP268" s="58"/>
      <c r="AQ268" s="58"/>
      <c r="AR268" s="58"/>
      <c r="AS268" s="58"/>
      <c r="AT268" s="58"/>
    </row>
    <row r="269" spans="7:46">
      <c r="G269" s="112"/>
      <c r="O269" s="53"/>
      <c r="P269" s="53"/>
      <c r="Q269" s="53"/>
      <c r="S269" s="53"/>
      <c r="T269" s="53"/>
      <c r="U269" s="53"/>
      <c r="V269" s="53"/>
      <c r="AM269" s="58"/>
      <c r="AN269" s="58"/>
      <c r="AO269" s="58"/>
      <c r="AP269" s="58"/>
      <c r="AQ269" s="58"/>
      <c r="AR269" s="58"/>
      <c r="AS269" s="58"/>
      <c r="AT269" s="58"/>
    </row>
    <row r="270" spans="7:46">
      <c r="G270" s="112"/>
      <c r="O270" s="53"/>
      <c r="P270" s="53"/>
      <c r="Q270" s="53"/>
      <c r="S270" s="53"/>
      <c r="T270" s="53"/>
      <c r="U270" s="53"/>
      <c r="V270" s="53"/>
      <c r="AM270" s="58"/>
      <c r="AN270" s="58"/>
      <c r="AO270" s="58"/>
      <c r="AP270" s="58"/>
      <c r="AQ270" s="58"/>
      <c r="AR270" s="58"/>
      <c r="AS270" s="58"/>
      <c r="AT270" s="58"/>
    </row>
    <row r="271" spans="7:46">
      <c r="G271" s="112"/>
      <c r="O271" s="53"/>
      <c r="P271" s="53"/>
      <c r="Q271" s="53"/>
      <c r="S271" s="53"/>
      <c r="T271" s="53"/>
      <c r="U271" s="53"/>
      <c r="V271" s="53"/>
      <c r="AM271" s="58"/>
      <c r="AN271" s="58"/>
      <c r="AO271" s="58"/>
      <c r="AP271" s="58"/>
      <c r="AQ271" s="58"/>
      <c r="AR271" s="58"/>
      <c r="AS271" s="58"/>
      <c r="AT271" s="58"/>
    </row>
    <row r="272" spans="7:46">
      <c r="G272" s="112"/>
      <c r="O272" s="53"/>
      <c r="P272" s="53"/>
      <c r="Q272" s="53"/>
      <c r="S272" s="53"/>
      <c r="T272" s="53"/>
      <c r="U272" s="53"/>
      <c r="V272" s="53"/>
      <c r="AM272" s="58"/>
      <c r="AN272" s="58"/>
      <c r="AO272" s="58"/>
      <c r="AP272" s="58"/>
      <c r="AQ272" s="58"/>
      <c r="AR272" s="58"/>
      <c r="AS272" s="58"/>
      <c r="AT272" s="58"/>
    </row>
    <row r="273" spans="7:46">
      <c r="G273" s="112"/>
      <c r="O273" s="53"/>
      <c r="P273" s="53"/>
      <c r="Q273" s="53"/>
      <c r="S273" s="53"/>
      <c r="T273" s="53"/>
      <c r="U273" s="53"/>
      <c r="V273" s="53"/>
      <c r="AM273" s="58"/>
      <c r="AN273" s="58"/>
      <c r="AO273" s="58"/>
      <c r="AP273" s="58"/>
      <c r="AQ273" s="58"/>
      <c r="AR273" s="58"/>
      <c r="AS273" s="58"/>
      <c r="AT273" s="58"/>
    </row>
    <row r="274" spans="7:46">
      <c r="G274" s="112"/>
      <c r="O274" s="53"/>
      <c r="P274" s="53"/>
      <c r="Q274" s="53"/>
      <c r="S274" s="53"/>
      <c r="T274" s="53"/>
      <c r="U274" s="53"/>
      <c r="V274" s="53"/>
      <c r="AM274" s="58"/>
      <c r="AN274" s="58"/>
      <c r="AO274" s="58"/>
      <c r="AP274" s="58"/>
      <c r="AQ274" s="58"/>
      <c r="AR274" s="58"/>
      <c r="AS274" s="58"/>
      <c r="AT274" s="58"/>
    </row>
    <row r="275" spans="7:46">
      <c r="G275" s="112"/>
      <c r="O275" s="53"/>
      <c r="P275" s="53"/>
      <c r="Q275" s="53"/>
      <c r="S275" s="53"/>
      <c r="T275" s="53"/>
      <c r="U275" s="53"/>
      <c r="V275" s="53"/>
      <c r="AM275" s="58"/>
      <c r="AN275" s="58"/>
      <c r="AO275" s="58"/>
      <c r="AP275" s="58"/>
      <c r="AQ275" s="58"/>
      <c r="AR275" s="58"/>
      <c r="AS275" s="58"/>
      <c r="AT275" s="58"/>
    </row>
    <row r="276" spans="7:46">
      <c r="G276" s="112"/>
      <c r="O276" s="53"/>
      <c r="P276" s="53"/>
      <c r="Q276" s="53"/>
      <c r="S276" s="53"/>
      <c r="T276" s="53"/>
      <c r="U276" s="53"/>
      <c r="V276" s="53"/>
      <c r="AM276" s="58"/>
      <c r="AN276" s="58"/>
      <c r="AO276" s="58"/>
      <c r="AP276" s="58"/>
      <c r="AQ276" s="58"/>
      <c r="AR276" s="58"/>
      <c r="AS276" s="58"/>
      <c r="AT276" s="58"/>
    </row>
    <row r="277" spans="7:46">
      <c r="G277" s="112"/>
      <c r="O277" s="53"/>
      <c r="P277" s="53"/>
      <c r="Q277" s="53"/>
      <c r="S277" s="53"/>
      <c r="T277" s="53"/>
      <c r="U277" s="53"/>
      <c r="V277" s="53"/>
      <c r="AM277" s="58"/>
      <c r="AN277" s="58"/>
      <c r="AO277" s="58"/>
      <c r="AP277" s="58"/>
      <c r="AQ277" s="58"/>
      <c r="AR277" s="58"/>
      <c r="AS277" s="58"/>
      <c r="AT277" s="58"/>
    </row>
    <row r="278" spans="7:46">
      <c r="G278" s="112"/>
      <c r="O278" s="53"/>
      <c r="P278" s="53"/>
      <c r="Q278" s="53"/>
      <c r="S278" s="53"/>
      <c r="T278" s="53"/>
      <c r="U278" s="53"/>
      <c r="V278" s="53"/>
      <c r="AM278" s="58"/>
      <c r="AN278" s="58"/>
      <c r="AO278" s="58"/>
      <c r="AP278" s="58"/>
      <c r="AQ278" s="58"/>
      <c r="AR278" s="58"/>
      <c r="AS278" s="58"/>
      <c r="AT278" s="58"/>
    </row>
    <row r="279" spans="7:46">
      <c r="G279" s="112"/>
      <c r="O279" s="53"/>
      <c r="P279" s="53"/>
      <c r="Q279" s="53"/>
      <c r="S279" s="53"/>
      <c r="T279" s="53"/>
      <c r="U279" s="53"/>
      <c r="V279" s="53"/>
      <c r="AM279" s="58"/>
      <c r="AN279" s="58"/>
      <c r="AO279" s="58"/>
      <c r="AP279" s="58"/>
      <c r="AQ279" s="58"/>
      <c r="AR279" s="58"/>
      <c r="AS279" s="58"/>
      <c r="AT279" s="58"/>
    </row>
    <row r="280" spans="7:46">
      <c r="G280" s="112"/>
      <c r="O280" s="53"/>
      <c r="P280" s="53"/>
      <c r="Q280" s="53"/>
      <c r="S280" s="53"/>
      <c r="T280" s="53"/>
      <c r="U280" s="53"/>
      <c r="V280" s="53"/>
      <c r="AM280" s="58"/>
      <c r="AN280" s="58"/>
      <c r="AO280" s="58"/>
      <c r="AP280" s="58"/>
      <c r="AQ280" s="58"/>
      <c r="AR280" s="58"/>
      <c r="AS280" s="58"/>
      <c r="AT280" s="58"/>
    </row>
    <row r="281" spans="7:46">
      <c r="G281" s="112"/>
      <c r="O281" s="53"/>
      <c r="P281" s="53"/>
      <c r="Q281" s="53"/>
      <c r="S281" s="53"/>
      <c r="T281" s="53"/>
      <c r="U281" s="53"/>
      <c r="V281" s="53"/>
      <c r="AM281" s="58"/>
      <c r="AN281" s="58"/>
      <c r="AO281" s="58"/>
      <c r="AP281" s="58"/>
      <c r="AQ281" s="58"/>
      <c r="AR281" s="58"/>
      <c r="AS281" s="58"/>
      <c r="AT281" s="58"/>
    </row>
    <row r="282" spans="7:46">
      <c r="G282" s="112"/>
      <c r="O282" s="53"/>
      <c r="P282" s="53"/>
      <c r="Q282" s="53"/>
      <c r="S282" s="53"/>
      <c r="T282" s="53"/>
      <c r="U282" s="53"/>
      <c r="V282" s="53"/>
      <c r="AM282" s="58"/>
      <c r="AN282" s="58"/>
      <c r="AO282" s="58"/>
      <c r="AP282" s="58"/>
      <c r="AQ282" s="58"/>
      <c r="AR282" s="58"/>
      <c r="AS282" s="58"/>
      <c r="AT282" s="58"/>
    </row>
    <row r="283" spans="7:46">
      <c r="G283" s="112"/>
      <c r="O283" s="53"/>
      <c r="P283" s="53"/>
      <c r="Q283" s="53"/>
      <c r="S283" s="53"/>
      <c r="T283" s="53"/>
      <c r="U283" s="53"/>
      <c r="V283" s="53"/>
      <c r="AM283" s="58"/>
      <c r="AN283" s="58"/>
      <c r="AO283" s="58"/>
      <c r="AP283" s="58"/>
      <c r="AQ283" s="58"/>
      <c r="AR283" s="58"/>
      <c r="AS283" s="58"/>
      <c r="AT283" s="58"/>
    </row>
    <row r="284" spans="7:46">
      <c r="G284" s="112"/>
      <c r="O284" s="53"/>
      <c r="P284" s="53"/>
      <c r="Q284" s="53"/>
      <c r="S284" s="53"/>
      <c r="T284" s="53"/>
      <c r="U284" s="53"/>
      <c r="V284" s="53"/>
      <c r="AM284" s="58"/>
      <c r="AN284" s="58"/>
      <c r="AO284" s="58"/>
      <c r="AP284" s="58"/>
      <c r="AQ284" s="58"/>
      <c r="AR284" s="58"/>
      <c r="AS284" s="58"/>
      <c r="AT284" s="58"/>
    </row>
    <row r="285" spans="7:46">
      <c r="G285" s="112"/>
      <c r="O285" s="53"/>
      <c r="P285" s="53"/>
      <c r="Q285" s="53"/>
      <c r="S285" s="53"/>
      <c r="T285" s="53"/>
      <c r="U285" s="53"/>
      <c r="V285" s="53"/>
      <c r="AM285" s="58"/>
      <c r="AN285" s="58"/>
      <c r="AO285" s="58"/>
      <c r="AP285" s="58"/>
      <c r="AQ285" s="58"/>
      <c r="AR285" s="58"/>
      <c r="AS285" s="58"/>
      <c r="AT285" s="58"/>
    </row>
    <row r="286" spans="7:46">
      <c r="G286" s="112"/>
      <c r="O286" s="53"/>
      <c r="P286" s="53"/>
      <c r="Q286" s="53"/>
      <c r="S286" s="53"/>
      <c r="T286" s="53"/>
      <c r="U286" s="53"/>
      <c r="V286" s="53"/>
      <c r="AM286" s="58"/>
      <c r="AN286" s="58"/>
      <c r="AO286" s="58"/>
      <c r="AP286" s="58"/>
      <c r="AQ286" s="58"/>
      <c r="AR286" s="58"/>
      <c r="AS286" s="58"/>
      <c r="AT286" s="58"/>
    </row>
    <row r="287" spans="7:46">
      <c r="G287" s="112"/>
      <c r="O287" s="53"/>
      <c r="P287" s="53"/>
      <c r="Q287" s="53"/>
      <c r="S287" s="53"/>
      <c r="T287" s="53"/>
      <c r="U287" s="53"/>
      <c r="V287" s="53"/>
      <c r="AM287" s="58"/>
      <c r="AN287" s="58"/>
      <c r="AO287" s="58"/>
      <c r="AP287" s="58"/>
      <c r="AQ287" s="58"/>
      <c r="AR287" s="58"/>
      <c r="AS287" s="58"/>
      <c r="AT287" s="58"/>
    </row>
    <row r="288" spans="7:46">
      <c r="G288" s="112"/>
      <c r="O288" s="53"/>
      <c r="P288" s="53"/>
      <c r="Q288" s="53"/>
      <c r="S288" s="53"/>
      <c r="T288" s="53"/>
      <c r="U288" s="53"/>
      <c r="V288" s="53"/>
      <c r="AM288" s="58"/>
      <c r="AN288" s="58"/>
      <c r="AO288" s="58"/>
      <c r="AP288" s="58"/>
      <c r="AQ288" s="58"/>
      <c r="AR288" s="58"/>
      <c r="AS288" s="58"/>
      <c r="AT288" s="58"/>
    </row>
    <row r="289" spans="7:46">
      <c r="G289" s="112"/>
      <c r="O289" s="53"/>
      <c r="P289" s="53"/>
      <c r="Q289" s="53"/>
      <c r="S289" s="53"/>
      <c r="T289" s="53"/>
      <c r="U289" s="53"/>
      <c r="V289" s="53"/>
      <c r="AM289" s="58"/>
      <c r="AN289" s="58"/>
      <c r="AO289" s="58"/>
      <c r="AP289" s="58"/>
      <c r="AQ289" s="58"/>
      <c r="AR289" s="58"/>
      <c r="AS289" s="58"/>
      <c r="AT289" s="58"/>
    </row>
    <row r="290" spans="7:46">
      <c r="G290" s="112"/>
      <c r="O290" s="53"/>
      <c r="P290" s="53"/>
      <c r="Q290" s="53"/>
      <c r="S290" s="53"/>
      <c r="T290" s="53"/>
      <c r="U290" s="53"/>
      <c r="V290" s="53"/>
      <c r="AM290" s="58"/>
      <c r="AN290" s="58"/>
      <c r="AO290" s="58"/>
      <c r="AP290" s="58"/>
      <c r="AQ290" s="58"/>
      <c r="AR290" s="58"/>
      <c r="AS290" s="58"/>
      <c r="AT290" s="58"/>
    </row>
    <row r="291" spans="7:46">
      <c r="G291" s="112"/>
      <c r="O291" s="53"/>
      <c r="P291" s="53"/>
      <c r="Q291" s="53"/>
      <c r="S291" s="53"/>
      <c r="T291" s="53"/>
      <c r="U291" s="53"/>
      <c r="V291" s="53"/>
      <c r="AM291" s="58"/>
      <c r="AN291" s="58"/>
      <c r="AO291" s="58"/>
      <c r="AP291" s="58"/>
      <c r="AQ291" s="58"/>
      <c r="AR291" s="58"/>
      <c r="AS291" s="58"/>
      <c r="AT291" s="58"/>
    </row>
    <row r="292" spans="7:46">
      <c r="G292" s="112"/>
      <c r="O292" s="53"/>
      <c r="P292" s="53"/>
      <c r="Q292" s="53"/>
      <c r="S292" s="53"/>
      <c r="T292" s="53"/>
      <c r="U292" s="53"/>
      <c r="V292" s="53"/>
      <c r="AM292" s="58"/>
      <c r="AN292" s="58"/>
      <c r="AO292" s="58"/>
      <c r="AP292" s="58"/>
      <c r="AQ292" s="58"/>
      <c r="AR292" s="58"/>
      <c r="AS292" s="58"/>
      <c r="AT292" s="58"/>
    </row>
    <row r="293" spans="7:46">
      <c r="G293" s="112"/>
      <c r="O293" s="53"/>
      <c r="P293" s="53"/>
      <c r="Q293" s="53"/>
      <c r="S293" s="53"/>
      <c r="T293" s="53"/>
      <c r="U293" s="53"/>
      <c r="V293" s="53"/>
      <c r="AM293" s="58"/>
      <c r="AN293" s="58"/>
      <c r="AO293" s="58"/>
      <c r="AP293" s="58"/>
      <c r="AQ293" s="58"/>
      <c r="AR293" s="58"/>
      <c r="AS293" s="58"/>
      <c r="AT293" s="58"/>
    </row>
    <row r="294" spans="7:46">
      <c r="G294" s="112"/>
      <c r="O294" s="53"/>
      <c r="P294" s="53"/>
      <c r="Q294" s="53"/>
      <c r="S294" s="53"/>
      <c r="T294" s="53"/>
      <c r="U294" s="53"/>
      <c r="V294" s="53"/>
      <c r="AM294" s="58"/>
      <c r="AN294" s="58"/>
      <c r="AO294" s="58"/>
      <c r="AP294" s="58"/>
      <c r="AQ294" s="58"/>
      <c r="AR294" s="58"/>
      <c r="AS294" s="58"/>
      <c r="AT294" s="58"/>
    </row>
    <row r="295" spans="7:46">
      <c r="G295" s="112"/>
      <c r="O295" s="53"/>
      <c r="P295" s="53"/>
      <c r="Q295" s="53"/>
      <c r="S295" s="53"/>
      <c r="T295" s="53"/>
      <c r="U295" s="53"/>
      <c r="V295" s="53"/>
      <c r="AM295" s="58"/>
      <c r="AN295" s="58"/>
      <c r="AO295" s="58"/>
      <c r="AP295" s="58"/>
      <c r="AQ295" s="58"/>
      <c r="AR295" s="58"/>
      <c r="AS295" s="58"/>
      <c r="AT295" s="58"/>
    </row>
    <row r="296" spans="7:46">
      <c r="G296" s="112"/>
      <c r="O296" s="53"/>
      <c r="P296" s="53"/>
      <c r="Q296" s="53"/>
      <c r="S296" s="53"/>
      <c r="T296" s="53"/>
      <c r="U296" s="53"/>
      <c r="V296" s="53"/>
      <c r="AM296" s="58"/>
      <c r="AN296" s="58"/>
      <c r="AO296" s="58"/>
      <c r="AP296" s="58"/>
      <c r="AQ296" s="58"/>
      <c r="AR296" s="58"/>
      <c r="AS296" s="58"/>
      <c r="AT296" s="58"/>
    </row>
    <row r="297" spans="7:46">
      <c r="G297" s="112"/>
      <c r="O297" s="53"/>
      <c r="P297" s="53"/>
      <c r="Q297" s="53"/>
      <c r="S297" s="53"/>
      <c r="T297" s="53"/>
      <c r="U297" s="53"/>
      <c r="V297" s="53"/>
      <c r="AM297" s="58"/>
      <c r="AN297" s="58"/>
      <c r="AO297" s="58"/>
      <c r="AP297" s="58"/>
      <c r="AQ297" s="58"/>
      <c r="AR297" s="58"/>
      <c r="AS297" s="58"/>
      <c r="AT297" s="58"/>
    </row>
    <row r="298" spans="7:46">
      <c r="G298" s="112"/>
      <c r="O298" s="53"/>
      <c r="P298" s="53"/>
      <c r="Q298" s="53"/>
      <c r="S298" s="53"/>
      <c r="T298" s="53"/>
      <c r="U298" s="53"/>
      <c r="V298" s="53"/>
      <c r="AM298" s="58"/>
      <c r="AN298" s="58"/>
      <c r="AO298" s="58"/>
      <c r="AP298" s="58"/>
      <c r="AQ298" s="58"/>
      <c r="AR298" s="58"/>
      <c r="AS298" s="58"/>
      <c r="AT298" s="58"/>
    </row>
    <row r="299" spans="7:46">
      <c r="G299" s="112"/>
      <c r="O299" s="53"/>
      <c r="P299" s="53"/>
      <c r="Q299" s="53"/>
      <c r="S299" s="53"/>
      <c r="T299" s="53"/>
      <c r="U299" s="53"/>
      <c r="V299" s="53"/>
      <c r="AM299" s="58"/>
      <c r="AN299" s="58"/>
      <c r="AO299" s="58"/>
      <c r="AP299" s="58"/>
      <c r="AQ299" s="58"/>
      <c r="AR299" s="58"/>
      <c r="AS299" s="58"/>
      <c r="AT299" s="58"/>
    </row>
    <row r="300" spans="7:46">
      <c r="G300" s="112"/>
      <c r="O300" s="53"/>
      <c r="P300" s="53"/>
      <c r="Q300" s="53"/>
      <c r="S300" s="53"/>
      <c r="T300" s="53"/>
      <c r="U300" s="53"/>
      <c r="V300" s="53"/>
      <c r="AM300" s="58"/>
      <c r="AN300" s="58"/>
      <c r="AO300" s="58"/>
      <c r="AP300" s="58"/>
      <c r="AQ300" s="58"/>
      <c r="AR300" s="58"/>
      <c r="AS300" s="58"/>
      <c r="AT300" s="58"/>
    </row>
    <row r="301" spans="7:46">
      <c r="G301" s="112"/>
      <c r="O301" s="53"/>
      <c r="P301" s="53"/>
      <c r="Q301" s="53"/>
      <c r="S301" s="53"/>
      <c r="T301" s="53"/>
      <c r="U301" s="53"/>
      <c r="V301" s="53"/>
      <c r="AM301" s="58"/>
      <c r="AN301" s="58"/>
      <c r="AO301" s="58"/>
      <c r="AP301" s="58"/>
      <c r="AQ301" s="58"/>
      <c r="AR301" s="58"/>
      <c r="AS301" s="58"/>
      <c r="AT301" s="58"/>
    </row>
    <row r="302" spans="7:46">
      <c r="G302" s="112"/>
      <c r="O302" s="53"/>
      <c r="P302" s="53"/>
      <c r="Q302" s="53"/>
      <c r="S302" s="53"/>
      <c r="T302" s="53"/>
      <c r="U302" s="53"/>
      <c r="V302" s="53"/>
      <c r="AM302" s="58"/>
      <c r="AN302" s="58"/>
      <c r="AO302" s="58"/>
      <c r="AP302" s="58"/>
      <c r="AQ302" s="58"/>
      <c r="AR302" s="58"/>
      <c r="AS302" s="58"/>
      <c r="AT302" s="58"/>
    </row>
    <row r="303" spans="7:46">
      <c r="G303" s="112"/>
      <c r="O303" s="53"/>
      <c r="P303" s="53"/>
      <c r="Q303" s="53"/>
      <c r="S303" s="53"/>
      <c r="T303" s="53"/>
      <c r="U303" s="53"/>
      <c r="V303" s="53"/>
      <c r="AM303" s="58"/>
      <c r="AN303" s="58"/>
      <c r="AO303" s="58"/>
      <c r="AP303" s="58"/>
      <c r="AQ303" s="58"/>
      <c r="AR303" s="58"/>
      <c r="AS303" s="58"/>
      <c r="AT303" s="58"/>
    </row>
    <row r="304" spans="7:46">
      <c r="G304" s="112"/>
      <c r="O304" s="53"/>
      <c r="P304" s="53"/>
      <c r="Q304" s="53"/>
      <c r="S304" s="53"/>
      <c r="T304" s="53"/>
      <c r="U304" s="53"/>
      <c r="V304" s="53"/>
      <c r="AM304" s="58"/>
      <c r="AN304" s="58"/>
      <c r="AO304" s="58"/>
      <c r="AP304" s="58"/>
      <c r="AQ304" s="58"/>
      <c r="AR304" s="58"/>
      <c r="AS304" s="58"/>
      <c r="AT304" s="58"/>
    </row>
    <row r="305" spans="7:46">
      <c r="G305" s="112"/>
      <c r="O305" s="53"/>
      <c r="P305" s="53"/>
      <c r="Q305" s="53"/>
      <c r="S305" s="53"/>
      <c r="T305" s="53"/>
      <c r="U305" s="53"/>
      <c r="V305" s="53"/>
      <c r="AM305" s="58"/>
      <c r="AN305" s="58"/>
      <c r="AO305" s="58"/>
      <c r="AP305" s="58"/>
      <c r="AQ305" s="58"/>
      <c r="AR305" s="58"/>
      <c r="AS305" s="58"/>
      <c r="AT305" s="58"/>
    </row>
    <row r="306" spans="7:46">
      <c r="G306" s="112"/>
      <c r="O306" s="53"/>
      <c r="P306" s="53"/>
      <c r="Q306" s="53"/>
      <c r="S306" s="53"/>
      <c r="T306" s="53"/>
      <c r="U306" s="53"/>
      <c r="V306" s="53"/>
      <c r="AM306" s="58"/>
      <c r="AN306" s="58"/>
      <c r="AO306" s="58"/>
      <c r="AP306" s="58"/>
      <c r="AQ306" s="58"/>
      <c r="AR306" s="58"/>
      <c r="AS306" s="58"/>
      <c r="AT306" s="58"/>
    </row>
    <row r="307" spans="7:46">
      <c r="G307" s="112"/>
      <c r="O307" s="53"/>
      <c r="P307" s="53"/>
      <c r="Q307" s="53"/>
      <c r="S307" s="53"/>
      <c r="T307" s="53"/>
      <c r="U307" s="53"/>
      <c r="V307" s="53"/>
      <c r="AM307" s="58"/>
      <c r="AN307" s="58"/>
      <c r="AO307" s="58"/>
      <c r="AP307" s="58"/>
      <c r="AQ307" s="58"/>
      <c r="AR307" s="58"/>
      <c r="AS307" s="58"/>
      <c r="AT307" s="58"/>
    </row>
    <row r="308" spans="7:46">
      <c r="G308" s="112"/>
      <c r="O308" s="53"/>
      <c r="P308" s="53"/>
      <c r="Q308" s="53"/>
      <c r="S308" s="53"/>
      <c r="T308" s="53"/>
      <c r="U308" s="53"/>
      <c r="V308" s="53"/>
      <c r="AM308" s="58"/>
      <c r="AN308" s="58"/>
      <c r="AO308" s="58"/>
      <c r="AP308" s="58"/>
      <c r="AQ308" s="58"/>
      <c r="AR308" s="58"/>
      <c r="AS308" s="58"/>
      <c r="AT308" s="58"/>
    </row>
    <row r="309" spans="7:46">
      <c r="G309" s="112"/>
      <c r="O309" s="53"/>
      <c r="P309" s="53"/>
      <c r="Q309" s="53"/>
      <c r="S309" s="53"/>
      <c r="T309" s="53"/>
      <c r="U309" s="53"/>
      <c r="V309" s="53"/>
      <c r="AM309" s="58"/>
      <c r="AN309" s="58"/>
      <c r="AO309" s="58"/>
      <c r="AP309" s="58"/>
      <c r="AQ309" s="58"/>
      <c r="AR309" s="58"/>
      <c r="AS309" s="58"/>
      <c r="AT309" s="58"/>
    </row>
    <row r="310" spans="7:46">
      <c r="G310" s="112"/>
      <c r="O310" s="53"/>
      <c r="P310" s="53"/>
      <c r="Q310" s="53"/>
      <c r="S310" s="53"/>
      <c r="T310" s="53"/>
      <c r="U310" s="53"/>
      <c r="V310" s="53"/>
      <c r="AM310" s="58"/>
      <c r="AN310" s="58"/>
      <c r="AO310" s="58"/>
      <c r="AP310" s="58"/>
      <c r="AQ310" s="58"/>
      <c r="AR310" s="58"/>
      <c r="AS310" s="58"/>
      <c r="AT310" s="58"/>
    </row>
    <row r="311" spans="7:46">
      <c r="G311" s="112"/>
      <c r="O311" s="53"/>
      <c r="P311" s="53"/>
      <c r="Q311" s="53"/>
      <c r="S311" s="53"/>
      <c r="T311" s="53"/>
      <c r="U311" s="53"/>
      <c r="V311" s="53"/>
      <c r="AM311" s="58"/>
      <c r="AN311" s="58"/>
      <c r="AO311" s="58"/>
      <c r="AP311" s="58"/>
      <c r="AQ311" s="58"/>
      <c r="AR311" s="58"/>
      <c r="AS311" s="58"/>
      <c r="AT311" s="58"/>
    </row>
    <row r="312" spans="7:46">
      <c r="G312" s="112"/>
      <c r="O312" s="53"/>
      <c r="P312" s="53"/>
      <c r="Q312" s="53"/>
      <c r="S312" s="53"/>
      <c r="T312" s="53"/>
      <c r="U312" s="53"/>
      <c r="V312" s="53"/>
      <c r="AM312" s="58"/>
      <c r="AN312" s="58"/>
      <c r="AO312" s="58"/>
      <c r="AP312" s="58"/>
      <c r="AQ312" s="58"/>
      <c r="AR312" s="58"/>
      <c r="AS312" s="58"/>
      <c r="AT312" s="58"/>
    </row>
    <row r="313" spans="7:46">
      <c r="G313" s="112"/>
      <c r="O313" s="53"/>
      <c r="P313" s="53"/>
      <c r="Q313" s="53"/>
      <c r="S313" s="53"/>
      <c r="T313" s="53"/>
      <c r="U313" s="53"/>
      <c r="V313" s="53"/>
      <c r="AM313" s="58"/>
      <c r="AN313" s="58"/>
      <c r="AO313" s="58"/>
      <c r="AP313" s="58"/>
      <c r="AQ313" s="58"/>
      <c r="AR313" s="58"/>
      <c r="AS313" s="58"/>
      <c r="AT313" s="58"/>
    </row>
    <row r="314" spans="7:46">
      <c r="G314" s="112"/>
      <c r="O314" s="53"/>
      <c r="P314" s="53"/>
      <c r="Q314" s="53"/>
      <c r="S314" s="53"/>
      <c r="T314" s="53"/>
      <c r="U314" s="53"/>
      <c r="V314" s="53"/>
      <c r="AM314" s="58"/>
      <c r="AN314" s="58"/>
      <c r="AO314" s="58"/>
      <c r="AP314" s="58"/>
      <c r="AQ314" s="58"/>
      <c r="AR314" s="58"/>
      <c r="AS314" s="58"/>
      <c r="AT314" s="58"/>
    </row>
    <row r="315" spans="7:46">
      <c r="G315" s="112"/>
      <c r="O315" s="53"/>
      <c r="P315" s="53"/>
      <c r="Q315" s="53"/>
      <c r="S315" s="53"/>
      <c r="T315" s="53"/>
      <c r="U315" s="53"/>
      <c r="V315" s="53"/>
      <c r="AM315" s="58"/>
      <c r="AN315" s="58"/>
      <c r="AO315" s="58"/>
      <c r="AP315" s="58"/>
      <c r="AQ315" s="58"/>
      <c r="AR315" s="58"/>
      <c r="AS315" s="58"/>
      <c r="AT315" s="58"/>
    </row>
    <row r="316" spans="7:46">
      <c r="G316" s="112"/>
      <c r="O316" s="53"/>
      <c r="P316" s="53"/>
      <c r="Q316" s="53"/>
      <c r="S316" s="53"/>
      <c r="T316" s="53"/>
      <c r="U316" s="53"/>
      <c r="V316" s="53"/>
      <c r="AM316" s="58"/>
      <c r="AN316" s="58"/>
      <c r="AO316" s="58"/>
      <c r="AP316" s="58"/>
      <c r="AQ316" s="58"/>
      <c r="AR316" s="58"/>
      <c r="AS316" s="58"/>
      <c r="AT316" s="58"/>
    </row>
    <row r="317" spans="7:46">
      <c r="G317" s="112"/>
      <c r="O317" s="53"/>
      <c r="P317" s="53"/>
      <c r="Q317" s="53"/>
      <c r="S317" s="53"/>
      <c r="T317" s="53"/>
      <c r="U317" s="53"/>
      <c r="V317" s="53"/>
      <c r="AM317" s="58"/>
      <c r="AN317" s="58"/>
      <c r="AO317" s="58"/>
      <c r="AP317" s="58"/>
      <c r="AQ317" s="58"/>
      <c r="AR317" s="58"/>
      <c r="AS317" s="58"/>
      <c r="AT317" s="58"/>
    </row>
    <row r="318" spans="7:46">
      <c r="G318" s="112"/>
      <c r="O318" s="53"/>
      <c r="P318" s="53"/>
      <c r="Q318" s="53"/>
      <c r="S318" s="53"/>
      <c r="T318" s="53"/>
      <c r="U318" s="53"/>
      <c r="V318" s="53"/>
      <c r="AM318" s="58"/>
      <c r="AN318" s="58"/>
      <c r="AO318" s="58"/>
      <c r="AP318" s="58"/>
      <c r="AQ318" s="58"/>
      <c r="AR318" s="58"/>
      <c r="AS318" s="58"/>
      <c r="AT318" s="58"/>
    </row>
    <row r="319" spans="7:46">
      <c r="G319" s="112"/>
      <c r="O319" s="53"/>
      <c r="P319" s="53"/>
      <c r="Q319" s="53"/>
      <c r="S319" s="53"/>
      <c r="T319" s="53"/>
      <c r="U319" s="53"/>
      <c r="V319" s="53"/>
      <c r="AM319" s="58"/>
      <c r="AN319" s="58"/>
      <c r="AO319" s="58"/>
      <c r="AP319" s="58"/>
      <c r="AQ319" s="58"/>
      <c r="AR319" s="58"/>
      <c r="AS319" s="58"/>
      <c r="AT319" s="58"/>
    </row>
    <row r="320" spans="7:46">
      <c r="G320" s="112"/>
      <c r="O320" s="53"/>
      <c r="P320" s="53"/>
      <c r="Q320" s="53"/>
      <c r="S320" s="53"/>
      <c r="T320" s="53"/>
      <c r="U320" s="53"/>
      <c r="V320" s="53"/>
      <c r="AM320" s="58"/>
      <c r="AN320" s="58"/>
      <c r="AO320" s="58"/>
      <c r="AP320" s="58"/>
      <c r="AQ320" s="58"/>
      <c r="AR320" s="58"/>
      <c r="AS320" s="58"/>
      <c r="AT320" s="58"/>
    </row>
    <row r="321" spans="7:46">
      <c r="G321" s="112"/>
      <c r="O321" s="53"/>
      <c r="P321" s="53"/>
      <c r="Q321" s="53"/>
      <c r="S321" s="53"/>
      <c r="T321" s="53"/>
      <c r="U321" s="53"/>
      <c r="V321" s="53"/>
      <c r="AM321" s="58"/>
      <c r="AN321" s="58"/>
      <c r="AO321" s="58"/>
      <c r="AP321" s="58"/>
      <c r="AQ321" s="58"/>
      <c r="AR321" s="58"/>
      <c r="AS321" s="58"/>
      <c r="AT321" s="58"/>
    </row>
    <row r="322" spans="7:46">
      <c r="G322" s="112"/>
      <c r="O322" s="53"/>
      <c r="P322" s="53"/>
      <c r="Q322" s="53"/>
      <c r="S322" s="53"/>
      <c r="T322" s="53"/>
      <c r="U322" s="53"/>
      <c r="V322" s="53"/>
      <c r="AM322" s="58"/>
      <c r="AN322" s="58"/>
      <c r="AO322" s="58"/>
      <c r="AP322" s="58"/>
      <c r="AQ322" s="58"/>
      <c r="AR322" s="58"/>
      <c r="AS322" s="58"/>
      <c r="AT322" s="58"/>
    </row>
    <row r="323" spans="7:46">
      <c r="G323" s="112"/>
      <c r="O323" s="53"/>
      <c r="P323" s="53"/>
      <c r="Q323" s="53"/>
      <c r="S323" s="53"/>
      <c r="T323" s="53"/>
      <c r="U323" s="53"/>
      <c r="V323" s="53"/>
      <c r="AM323" s="58"/>
      <c r="AN323" s="58"/>
      <c r="AO323" s="58"/>
      <c r="AP323" s="58"/>
      <c r="AQ323" s="58"/>
      <c r="AR323" s="58"/>
      <c r="AS323" s="58"/>
      <c r="AT323" s="58"/>
    </row>
    <row r="324" spans="7:46">
      <c r="G324" s="112"/>
      <c r="O324" s="53"/>
      <c r="P324" s="53"/>
      <c r="Q324" s="53"/>
      <c r="S324" s="53"/>
      <c r="T324" s="53"/>
      <c r="U324" s="53"/>
      <c r="V324" s="53"/>
      <c r="AM324" s="58"/>
      <c r="AN324" s="58"/>
      <c r="AO324" s="58"/>
      <c r="AP324" s="58"/>
      <c r="AQ324" s="58"/>
      <c r="AR324" s="58"/>
      <c r="AS324" s="58"/>
      <c r="AT324" s="58"/>
    </row>
    <row r="325" spans="7:46">
      <c r="G325" s="112"/>
      <c r="O325" s="53"/>
      <c r="P325" s="53"/>
      <c r="Q325" s="53"/>
      <c r="S325" s="53"/>
      <c r="T325" s="53"/>
      <c r="U325" s="53"/>
      <c r="V325" s="53"/>
      <c r="AM325" s="58"/>
      <c r="AN325" s="58"/>
      <c r="AO325" s="58"/>
      <c r="AP325" s="58"/>
      <c r="AQ325" s="58"/>
      <c r="AR325" s="58"/>
      <c r="AS325" s="58"/>
      <c r="AT325" s="58"/>
    </row>
    <row r="326" spans="7:46">
      <c r="G326" s="112"/>
      <c r="O326" s="53"/>
      <c r="P326" s="53"/>
      <c r="Q326" s="53"/>
      <c r="S326" s="53"/>
      <c r="T326" s="53"/>
      <c r="U326" s="53"/>
      <c r="V326" s="53"/>
      <c r="AM326" s="58"/>
      <c r="AN326" s="58"/>
      <c r="AO326" s="58"/>
      <c r="AP326" s="58"/>
      <c r="AQ326" s="58"/>
      <c r="AR326" s="58"/>
      <c r="AS326" s="58"/>
      <c r="AT326" s="58"/>
    </row>
    <row r="327" spans="7:46">
      <c r="G327" s="112"/>
      <c r="O327" s="53"/>
      <c r="P327" s="53"/>
      <c r="Q327" s="53"/>
      <c r="S327" s="53"/>
      <c r="T327" s="53"/>
      <c r="U327" s="53"/>
      <c r="V327" s="53"/>
      <c r="AM327" s="58"/>
      <c r="AN327" s="58"/>
      <c r="AO327" s="58"/>
      <c r="AP327" s="58"/>
      <c r="AQ327" s="58"/>
      <c r="AR327" s="58"/>
      <c r="AS327" s="58"/>
      <c r="AT327" s="58"/>
    </row>
    <row r="328" spans="7:46">
      <c r="G328" s="112"/>
      <c r="O328" s="53"/>
      <c r="P328" s="53"/>
      <c r="Q328" s="53"/>
      <c r="S328" s="53"/>
      <c r="T328" s="53"/>
      <c r="U328" s="53"/>
      <c r="V328" s="53"/>
      <c r="AM328" s="58"/>
      <c r="AN328" s="58"/>
      <c r="AO328" s="58"/>
      <c r="AP328" s="58"/>
      <c r="AQ328" s="58"/>
      <c r="AR328" s="58"/>
      <c r="AS328" s="58"/>
      <c r="AT328" s="58"/>
    </row>
    <row r="329" spans="7:46">
      <c r="G329" s="112"/>
      <c r="O329" s="53"/>
      <c r="P329" s="53"/>
      <c r="Q329" s="53"/>
      <c r="S329" s="53"/>
      <c r="T329" s="53"/>
      <c r="U329" s="53"/>
      <c r="V329" s="53"/>
      <c r="AM329" s="58"/>
      <c r="AN329" s="58"/>
      <c r="AO329" s="58"/>
      <c r="AP329" s="58"/>
      <c r="AQ329" s="58"/>
      <c r="AR329" s="58"/>
      <c r="AS329" s="58"/>
      <c r="AT329" s="58"/>
    </row>
    <row r="330" spans="7:46">
      <c r="G330" s="112"/>
      <c r="O330" s="53"/>
      <c r="P330" s="53"/>
      <c r="Q330" s="53"/>
      <c r="S330" s="53"/>
      <c r="T330" s="53"/>
      <c r="U330" s="53"/>
      <c r="V330" s="53"/>
      <c r="AM330" s="58"/>
      <c r="AN330" s="58"/>
      <c r="AO330" s="58"/>
      <c r="AP330" s="58"/>
      <c r="AQ330" s="58"/>
      <c r="AR330" s="58"/>
      <c r="AS330" s="58"/>
      <c r="AT330" s="58"/>
    </row>
    <row r="331" spans="7:46">
      <c r="G331" s="112"/>
      <c r="O331" s="53"/>
      <c r="P331" s="53"/>
      <c r="Q331" s="53"/>
      <c r="S331" s="53"/>
      <c r="T331" s="53"/>
      <c r="U331" s="53"/>
      <c r="V331" s="53"/>
      <c r="AM331" s="58"/>
      <c r="AN331" s="58"/>
      <c r="AO331" s="58"/>
      <c r="AP331" s="58"/>
      <c r="AQ331" s="58"/>
      <c r="AR331" s="58"/>
      <c r="AS331" s="58"/>
      <c r="AT331" s="58"/>
    </row>
    <row r="332" spans="7:46">
      <c r="G332" s="112"/>
      <c r="O332" s="53"/>
      <c r="P332" s="53"/>
      <c r="Q332" s="53"/>
      <c r="S332" s="53"/>
      <c r="T332" s="53"/>
      <c r="U332" s="53"/>
      <c r="V332" s="53"/>
      <c r="AM332" s="58"/>
      <c r="AN332" s="58"/>
      <c r="AO332" s="58"/>
      <c r="AP332" s="58"/>
      <c r="AQ332" s="58"/>
      <c r="AR332" s="58"/>
      <c r="AS332" s="58"/>
      <c r="AT332" s="58"/>
    </row>
    <row r="333" spans="7:46">
      <c r="G333" s="112"/>
      <c r="O333" s="53"/>
      <c r="P333" s="53"/>
      <c r="Q333" s="53"/>
      <c r="S333" s="53"/>
      <c r="T333" s="53"/>
      <c r="U333" s="53"/>
      <c r="V333" s="53"/>
      <c r="AM333" s="58"/>
      <c r="AN333" s="58"/>
      <c r="AO333" s="58"/>
      <c r="AP333" s="58"/>
      <c r="AQ333" s="58"/>
      <c r="AR333" s="58"/>
      <c r="AS333" s="58"/>
      <c r="AT333" s="58"/>
    </row>
    <row r="334" spans="7:46">
      <c r="G334" s="112"/>
      <c r="O334" s="53"/>
      <c r="P334" s="53"/>
      <c r="Q334" s="53"/>
      <c r="S334" s="53"/>
      <c r="T334" s="53"/>
      <c r="U334" s="53"/>
      <c r="V334" s="53"/>
      <c r="AM334" s="58"/>
      <c r="AN334" s="58"/>
      <c r="AO334" s="58"/>
      <c r="AP334" s="58"/>
      <c r="AQ334" s="58"/>
      <c r="AR334" s="58"/>
      <c r="AS334" s="58"/>
      <c r="AT334" s="58"/>
    </row>
    <row r="335" spans="7:46">
      <c r="G335" s="112"/>
      <c r="O335" s="53"/>
      <c r="P335" s="53"/>
      <c r="Q335" s="53"/>
      <c r="S335" s="53"/>
      <c r="T335" s="53"/>
      <c r="U335" s="53"/>
      <c r="V335" s="53"/>
      <c r="AM335" s="58"/>
      <c r="AN335" s="58"/>
      <c r="AO335" s="58"/>
      <c r="AP335" s="58"/>
      <c r="AQ335" s="58"/>
      <c r="AR335" s="58"/>
      <c r="AS335" s="58"/>
      <c r="AT335" s="58"/>
    </row>
    <row r="336" spans="7:46">
      <c r="G336" s="112"/>
      <c r="O336" s="53"/>
      <c r="P336" s="53"/>
      <c r="Q336" s="53"/>
      <c r="S336" s="53"/>
      <c r="T336" s="53"/>
      <c r="U336" s="53"/>
      <c r="V336" s="53"/>
      <c r="AM336" s="58"/>
      <c r="AN336" s="58"/>
      <c r="AO336" s="58"/>
      <c r="AP336" s="58"/>
      <c r="AQ336" s="58"/>
      <c r="AR336" s="58"/>
      <c r="AS336" s="58"/>
      <c r="AT336" s="58"/>
    </row>
    <row r="337" spans="7:46">
      <c r="G337" s="112"/>
      <c r="O337" s="53"/>
      <c r="P337" s="53"/>
      <c r="Q337" s="53"/>
      <c r="S337" s="53"/>
      <c r="T337" s="53"/>
      <c r="U337" s="53"/>
      <c r="V337" s="53"/>
      <c r="AM337" s="58"/>
      <c r="AN337" s="58"/>
      <c r="AO337" s="58"/>
      <c r="AP337" s="58"/>
      <c r="AQ337" s="58"/>
      <c r="AR337" s="58"/>
      <c r="AS337" s="58"/>
      <c r="AT337" s="58"/>
    </row>
    <row r="338" spans="7:46">
      <c r="G338" s="112"/>
      <c r="O338" s="53"/>
      <c r="P338" s="53"/>
      <c r="Q338" s="53"/>
      <c r="S338" s="53"/>
      <c r="T338" s="53"/>
      <c r="U338" s="53"/>
      <c r="V338" s="53"/>
      <c r="AM338" s="58"/>
      <c r="AN338" s="58"/>
      <c r="AO338" s="58"/>
      <c r="AP338" s="58"/>
      <c r="AQ338" s="58"/>
      <c r="AR338" s="58"/>
      <c r="AS338" s="58"/>
      <c r="AT338" s="58"/>
    </row>
    <row r="339" spans="7:46">
      <c r="G339" s="112"/>
      <c r="O339" s="53"/>
      <c r="P339" s="53"/>
      <c r="Q339" s="53"/>
      <c r="S339" s="53"/>
      <c r="T339" s="53"/>
      <c r="U339" s="53"/>
      <c r="V339" s="53"/>
      <c r="AM339" s="58"/>
      <c r="AN339" s="58"/>
      <c r="AO339" s="58"/>
      <c r="AP339" s="58"/>
      <c r="AQ339" s="58"/>
      <c r="AR339" s="58"/>
      <c r="AS339" s="58"/>
      <c r="AT339" s="58"/>
    </row>
    <row r="340" spans="7:46">
      <c r="G340" s="112"/>
      <c r="O340" s="53"/>
      <c r="P340" s="53"/>
      <c r="Q340" s="53"/>
      <c r="S340" s="53"/>
      <c r="T340" s="53"/>
      <c r="U340" s="53"/>
      <c r="V340" s="53"/>
      <c r="AM340" s="58"/>
      <c r="AN340" s="58"/>
      <c r="AO340" s="58"/>
      <c r="AP340" s="58"/>
      <c r="AQ340" s="58"/>
      <c r="AR340" s="58"/>
      <c r="AS340" s="58"/>
      <c r="AT340" s="58"/>
    </row>
    <row r="341" spans="7:46">
      <c r="G341" s="112"/>
      <c r="O341" s="53"/>
      <c r="P341" s="53"/>
      <c r="Q341" s="53"/>
      <c r="S341" s="53"/>
      <c r="T341" s="53"/>
      <c r="U341" s="53"/>
      <c r="V341" s="53"/>
      <c r="AM341" s="58"/>
      <c r="AN341" s="58"/>
      <c r="AO341" s="58"/>
      <c r="AP341" s="58"/>
      <c r="AQ341" s="58"/>
      <c r="AR341" s="58"/>
      <c r="AS341" s="58"/>
      <c r="AT341" s="58"/>
    </row>
    <row r="342" spans="7:46">
      <c r="G342" s="112"/>
      <c r="O342" s="53"/>
      <c r="P342" s="53"/>
      <c r="Q342" s="53"/>
      <c r="S342" s="53"/>
      <c r="T342" s="53"/>
      <c r="U342" s="53"/>
      <c r="V342" s="53"/>
      <c r="AM342" s="58"/>
      <c r="AN342" s="58"/>
      <c r="AO342" s="58"/>
      <c r="AP342" s="58"/>
      <c r="AQ342" s="58"/>
      <c r="AR342" s="58"/>
      <c r="AS342" s="58"/>
      <c r="AT342" s="58"/>
    </row>
    <row r="343" spans="7:46">
      <c r="G343" s="112"/>
      <c r="O343" s="53"/>
      <c r="P343" s="53"/>
      <c r="Q343" s="53"/>
      <c r="S343" s="53"/>
      <c r="T343" s="53"/>
      <c r="U343" s="53"/>
      <c r="V343" s="53"/>
      <c r="AM343" s="58"/>
      <c r="AN343" s="58"/>
      <c r="AO343" s="58"/>
      <c r="AP343" s="58"/>
      <c r="AQ343" s="58"/>
      <c r="AR343" s="58"/>
      <c r="AS343" s="58"/>
      <c r="AT343" s="58"/>
    </row>
    <row r="344" spans="7:46">
      <c r="G344" s="112"/>
      <c r="O344" s="53"/>
      <c r="P344" s="53"/>
      <c r="Q344" s="53"/>
      <c r="S344" s="53"/>
      <c r="T344" s="53"/>
      <c r="U344" s="53"/>
      <c r="V344" s="53"/>
      <c r="AM344" s="58"/>
      <c r="AN344" s="58"/>
      <c r="AO344" s="58"/>
      <c r="AP344" s="58"/>
      <c r="AQ344" s="58"/>
      <c r="AR344" s="58"/>
      <c r="AS344" s="58"/>
      <c r="AT344" s="58"/>
    </row>
    <row r="345" spans="7:46">
      <c r="G345" s="112"/>
      <c r="O345" s="53"/>
      <c r="P345" s="53"/>
      <c r="Q345" s="53"/>
      <c r="S345" s="53"/>
      <c r="T345" s="53"/>
      <c r="U345" s="53"/>
      <c r="V345" s="53"/>
      <c r="AM345" s="58"/>
      <c r="AN345" s="58"/>
      <c r="AO345" s="58"/>
      <c r="AP345" s="58"/>
      <c r="AQ345" s="58"/>
      <c r="AR345" s="58"/>
      <c r="AS345" s="58"/>
      <c r="AT345" s="58"/>
    </row>
    <row r="346" spans="7:46">
      <c r="G346" s="112"/>
      <c r="O346" s="53"/>
      <c r="P346" s="53"/>
      <c r="Q346" s="53"/>
      <c r="S346" s="53"/>
      <c r="T346" s="53"/>
      <c r="U346" s="53"/>
      <c r="V346" s="53"/>
      <c r="AM346" s="58"/>
      <c r="AN346" s="58"/>
      <c r="AO346" s="58"/>
      <c r="AP346" s="58"/>
      <c r="AQ346" s="58"/>
      <c r="AR346" s="58"/>
      <c r="AS346" s="58"/>
      <c r="AT346" s="58"/>
    </row>
    <row r="347" spans="7:46">
      <c r="G347" s="112"/>
      <c r="O347" s="53"/>
      <c r="P347" s="53"/>
      <c r="Q347" s="53"/>
      <c r="S347" s="53"/>
      <c r="T347" s="53"/>
      <c r="U347" s="53"/>
      <c r="V347" s="53"/>
      <c r="AM347" s="58"/>
      <c r="AN347" s="58"/>
      <c r="AO347" s="58"/>
      <c r="AP347" s="58"/>
      <c r="AQ347" s="58"/>
      <c r="AR347" s="58"/>
      <c r="AS347" s="58"/>
      <c r="AT347" s="58"/>
    </row>
    <row r="348" spans="7:46">
      <c r="G348" s="112"/>
      <c r="O348" s="53"/>
      <c r="P348" s="53"/>
      <c r="Q348" s="53"/>
      <c r="S348" s="53"/>
      <c r="T348" s="53"/>
      <c r="U348" s="53"/>
      <c r="V348" s="53"/>
      <c r="AM348" s="58"/>
      <c r="AN348" s="58"/>
      <c r="AO348" s="58"/>
      <c r="AP348" s="58"/>
      <c r="AQ348" s="58"/>
      <c r="AR348" s="58"/>
      <c r="AS348" s="58"/>
      <c r="AT348" s="58"/>
    </row>
    <row r="349" spans="7:46">
      <c r="G349" s="112"/>
      <c r="O349" s="53"/>
      <c r="P349" s="53"/>
      <c r="Q349" s="53"/>
      <c r="S349" s="53"/>
      <c r="T349" s="53"/>
      <c r="U349" s="53"/>
      <c r="V349" s="53"/>
      <c r="AM349" s="58"/>
      <c r="AN349" s="58"/>
      <c r="AO349" s="58"/>
      <c r="AP349" s="58"/>
      <c r="AQ349" s="58"/>
      <c r="AR349" s="58"/>
      <c r="AS349" s="58"/>
      <c r="AT349" s="58"/>
    </row>
    <row r="350" spans="7:46">
      <c r="G350" s="112"/>
      <c r="O350" s="53"/>
      <c r="P350" s="53"/>
      <c r="Q350" s="53"/>
      <c r="S350" s="53"/>
      <c r="T350" s="53"/>
      <c r="U350" s="53"/>
      <c r="V350" s="53"/>
      <c r="AM350" s="58"/>
      <c r="AN350" s="58"/>
      <c r="AO350" s="58"/>
      <c r="AP350" s="58"/>
      <c r="AQ350" s="58"/>
      <c r="AR350" s="58"/>
      <c r="AS350" s="58"/>
      <c r="AT350" s="58"/>
    </row>
    <row r="351" spans="7:46">
      <c r="G351" s="112"/>
      <c r="O351" s="53"/>
      <c r="P351" s="53"/>
      <c r="Q351" s="53"/>
      <c r="S351" s="53"/>
      <c r="T351" s="53"/>
      <c r="U351" s="53"/>
      <c r="V351" s="53"/>
      <c r="AM351" s="58"/>
      <c r="AN351" s="58"/>
      <c r="AO351" s="58"/>
      <c r="AP351" s="58"/>
      <c r="AQ351" s="58"/>
      <c r="AR351" s="58"/>
      <c r="AS351" s="58"/>
      <c r="AT351" s="58"/>
    </row>
    <row r="352" spans="7:46">
      <c r="G352" s="112"/>
      <c r="O352" s="53"/>
      <c r="P352" s="53"/>
      <c r="Q352" s="53"/>
      <c r="S352" s="53"/>
      <c r="T352" s="53"/>
      <c r="U352" s="53"/>
      <c r="V352" s="53"/>
      <c r="AM352" s="58"/>
      <c r="AN352" s="58"/>
      <c r="AO352" s="58"/>
      <c r="AP352" s="58"/>
      <c r="AQ352" s="58"/>
      <c r="AR352" s="58"/>
      <c r="AS352" s="58"/>
      <c r="AT352" s="58"/>
    </row>
    <row r="353" spans="7:46">
      <c r="G353" s="112"/>
      <c r="O353" s="53"/>
      <c r="P353" s="53"/>
      <c r="Q353" s="53"/>
      <c r="S353" s="53"/>
      <c r="T353" s="53"/>
      <c r="U353" s="53"/>
      <c r="V353" s="53"/>
      <c r="AM353" s="58"/>
      <c r="AN353" s="58"/>
      <c r="AO353" s="58"/>
      <c r="AP353" s="58"/>
      <c r="AQ353" s="58"/>
      <c r="AR353" s="58"/>
      <c r="AS353" s="58"/>
      <c r="AT353" s="58"/>
    </row>
    <row r="354" spans="7:46">
      <c r="G354" s="112"/>
      <c r="O354" s="53"/>
      <c r="P354" s="53"/>
      <c r="Q354" s="53"/>
      <c r="S354" s="53"/>
      <c r="T354" s="53"/>
      <c r="U354" s="53"/>
      <c r="V354" s="53"/>
      <c r="AM354" s="58"/>
      <c r="AN354" s="58"/>
      <c r="AO354" s="58"/>
      <c r="AP354" s="58"/>
      <c r="AQ354" s="58"/>
      <c r="AR354" s="58"/>
      <c r="AS354" s="58"/>
      <c r="AT354" s="58"/>
    </row>
    <row r="355" spans="7:46">
      <c r="G355" s="112"/>
      <c r="O355" s="53"/>
      <c r="P355" s="53"/>
      <c r="Q355" s="53"/>
      <c r="S355" s="53"/>
      <c r="T355" s="53"/>
      <c r="U355" s="53"/>
      <c r="V355" s="53"/>
      <c r="AM355" s="58"/>
      <c r="AN355" s="58"/>
      <c r="AO355" s="58"/>
      <c r="AP355" s="58"/>
      <c r="AQ355" s="58"/>
      <c r="AR355" s="58"/>
      <c r="AS355" s="58"/>
      <c r="AT355" s="58"/>
    </row>
    <row r="356" spans="7:46">
      <c r="G356" s="112"/>
      <c r="O356" s="53"/>
      <c r="P356" s="53"/>
      <c r="Q356" s="53"/>
      <c r="S356" s="53"/>
      <c r="T356" s="53"/>
      <c r="U356" s="53"/>
      <c r="V356" s="53"/>
      <c r="AM356" s="58"/>
      <c r="AN356" s="58"/>
      <c r="AO356" s="58"/>
      <c r="AP356" s="58"/>
      <c r="AQ356" s="58"/>
      <c r="AR356" s="58"/>
      <c r="AS356" s="58"/>
      <c r="AT356" s="58"/>
    </row>
    <row r="357" spans="7:46">
      <c r="G357" s="112"/>
      <c r="O357" s="53"/>
      <c r="P357" s="53"/>
      <c r="Q357" s="53"/>
      <c r="S357" s="53"/>
      <c r="T357" s="53"/>
      <c r="U357" s="53"/>
      <c r="V357" s="53"/>
      <c r="AM357" s="58"/>
      <c r="AN357" s="58"/>
      <c r="AO357" s="58"/>
      <c r="AP357" s="58"/>
      <c r="AQ357" s="58"/>
      <c r="AR357" s="58"/>
      <c r="AS357" s="58"/>
      <c r="AT357" s="58"/>
    </row>
    <row r="358" spans="7:46">
      <c r="G358" s="112"/>
      <c r="O358" s="53"/>
      <c r="P358" s="53"/>
      <c r="Q358" s="53"/>
      <c r="S358" s="53"/>
      <c r="T358" s="53"/>
      <c r="U358" s="53"/>
      <c r="V358" s="53"/>
      <c r="AM358" s="58"/>
      <c r="AN358" s="58"/>
      <c r="AO358" s="58"/>
      <c r="AP358" s="58"/>
      <c r="AQ358" s="58"/>
      <c r="AR358" s="58"/>
      <c r="AS358" s="58"/>
      <c r="AT358" s="58"/>
    </row>
    <row r="359" spans="7:46">
      <c r="G359" s="112"/>
      <c r="O359" s="53"/>
      <c r="P359" s="53"/>
      <c r="Q359" s="53"/>
      <c r="S359" s="53"/>
      <c r="T359" s="53"/>
      <c r="U359" s="53"/>
      <c r="V359" s="53"/>
      <c r="AM359" s="58"/>
      <c r="AN359" s="58"/>
      <c r="AO359" s="58"/>
      <c r="AP359" s="58"/>
      <c r="AQ359" s="58"/>
      <c r="AR359" s="58"/>
      <c r="AS359" s="58"/>
      <c r="AT359" s="58"/>
    </row>
    <row r="360" spans="7:46">
      <c r="G360" s="112"/>
      <c r="O360" s="53"/>
      <c r="P360" s="53"/>
      <c r="Q360" s="53"/>
      <c r="S360" s="53"/>
      <c r="T360" s="53"/>
      <c r="U360" s="53"/>
      <c r="V360" s="53"/>
      <c r="AM360" s="58"/>
      <c r="AN360" s="58"/>
      <c r="AO360" s="58"/>
      <c r="AP360" s="58"/>
      <c r="AQ360" s="58"/>
      <c r="AR360" s="58"/>
      <c r="AS360" s="58"/>
      <c r="AT360" s="58"/>
    </row>
    <row r="361" spans="7:46">
      <c r="G361" s="112"/>
      <c r="O361" s="53"/>
      <c r="P361" s="53"/>
      <c r="Q361" s="53"/>
      <c r="S361" s="53"/>
      <c r="T361" s="53"/>
      <c r="U361" s="53"/>
      <c r="V361" s="53"/>
      <c r="AM361" s="58"/>
      <c r="AN361" s="58"/>
      <c r="AO361" s="58"/>
      <c r="AP361" s="58"/>
      <c r="AQ361" s="58"/>
      <c r="AR361" s="58"/>
      <c r="AS361" s="58"/>
      <c r="AT361" s="58"/>
    </row>
    <row r="362" spans="7:46">
      <c r="G362" s="112"/>
      <c r="O362" s="53"/>
      <c r="P362" s="53"/>
      <c r="Q362" s="53"/>
      <c r="S362" s="53"/>
      <c r="T362" s="53"/>
      <c r="U362" s="53"/>
      <c r="V362" s="53"/>
      <c r="AM362" s="58"/>
      <c r="AN362" s="58"/>
      <c r="AO362" s="58"/>
      <c r="AP362" s="58"/>
      <c r="AQ362" s="58"/>
      <c r="AR362" s="58"/>
      <c r="AS362" s="58"/>
      <c r="AT362" s="58"/>
    </row>
    <row r="363" spans="7:46">
      <c r="G363" s="112"/>
      <c r="O363" s="53"/>
      <c r="P363" s="53"/>
      <c r="Q363" s="53"/>
      <c r="S363" s="53"/>
      <c r="T363" s="53"/>
      <c r="U363" s="53"/>
      <c r="V363" s="53"/>
      <c r="AM363" s="58"/>
      <c r="AN363" s="58"/>
      <c r="AO363" s="58"/>
      <c r="AP363" s="58"/>
      <c r="AQ363" s="58"/>
      <c r="AR363" s="58"/>
      <c r="AS363" s="58"/>
      <c r="AT363" s="58"/>
    </row>
    <row r="364" spans="7:46">
      <c r="G364" s="112"/>
      <c r="O364" s="53"/>
      <c r="P364" s="53"/>
      <c r="Q364" s="53"/>
      <c r="S364" s="53"/>
      <c r="T364" s="53"/>
      <c r="U364" s="53"/>
      <c r="V364" s="53"/>
      <c r="AM364" s="58"/>
      <c r="AN364" s="58"/>
      <c r="AO364" s="58"/>
      <c r="AP364" s="58"/>
      <c r="AQ364" s="58"/>
      <c r="AR364" s="58"/>
      <c r="AS364" s="58"/>
      <c r="AT364" s="58"/>
    </row>
    <row r="365" spans="7:46">
      <c r="G365" s="112"/>
      <c r="O365" s="53"/>
      <c r="P365" s="53"/>
      <c r="Q365" s="53"/>
      <c r="S365" s="53"/>
      <c r="T365" s="53"/>
      <c r="U365" s="53"/>
      <c r="V365" s="53"/>
      <c r="AM365" s="58"/>
      <c r="AN365" s="58"/>
      <c r="AO365" s="58"/>
      <c r="AP365" s="58"/>
      <c r="AQ365" s="58"/>
      <c r="AR365" s="58"/>
      <c r="AS365" s="58"/>
      <c r="AT365" s="58"/>
    </row>
    <row r="366" spans="7:46">
      <c r="G366" s="112"/>
      <c r="O366" s="53"/>
      <c r="P366" s="53"/>
      <c r="Q366" s="53"/>
      <c r="S366" s="53"/>
      <c r="T366" s="53"/>
      <c r="U366" s="53"/>
      <c r="V366" s="53"/>
      <c r="AM366" s="58"/>
      <c r="AN366" s="58"/>
      <c r="AO366" s="58"/>
      <c r="AP366" s="58"/>
      <c r="AQ366" s="58"/>
      <c r="AR366" s="58"/>
      <c r="AS366" s="58"/>
      <c r="AT366" s="58"/>
    </row>
    <row r="367" spans="7:46">
      <c r="G367" s="112"/>
      <c r="O367" s="53"/>
      <c r="P367" s="53"/>
      <c r="Q367" s="53"/>
      <c r="S367" s="53"/>
      <c r="T367" s="53"/>
      <c r="U367" s="53"/>
      <c r="V367" s="53"/>
      <c r="AM367" s="58"/>
      <c r="AN367" s="58"/>
      <c r="AO367" s="58"/>
      <c r="AP367" s="58"/>
      <c r="AQ367" s="58"/>
      <c r="AR367" s="58"/>
      <c r="AS367" s="58"/>
      <c r="AT367" s="58"/>
    </row>
    <row r="368" spans="7:46">
      <c r="G368" s="112"/>
      <c r="O368" s="53"/>
      <c r="P368" s="53"/>
      <c r="Q368" s="53"/>
      <c r="S368" s="53"/>
      <c r="T368" s="53"/>
      <c r="U368" s="53"/>
      <c r="V368" s="53"/>
      <c r="AM368" s="58"/>
      <c r="AN368" s="58"/>
      <c r="AO368" s="58"/>
      <c r="AP368" s="58"/>
      <c r="AQ368" s="58"/>
      <c r="AR368" s="58"/>
      <c r="AS368" s="58"/>
      <c r="AT368" s="58"/>
    </row>
    <row r="369" spans="7:46">
      <c r="G369" s="112"/>
      <c r="O369" s="53"/>
      <c r="P369" s="53"/>
      <c r="Q369" s="53"/>
      <c r="S369" s="53"/>
      <c r="T369" s="53"/>
      <c r="U369" s="53"/>
      <c r="V369" s="53"/>
      <c r="AM369" s="58"/>
      <c r="AN369" s="58"/>
      <c r="AO369" s="58"/>
      <c r="AP369" s="58"/>
      <c r="AQ369" s="58"/>
      <c r="AR369" s="58"/>
      <c r="AS369" s="58"/>
      <c r="AT369" s="58"/>
    </row>
    <row r="370" spans="7:46">
      <c r="G370" s="112"/>
      <c r="O370" s="53"/>
      <c r="P370" s="53"/>
      <c r="Q370" s="53"/>
      <c r="S370" s="53"/>
      <c r="T370" s="53"/>
      <c r="U370" s="53"/>
      <c r="V370" s="53"/>
      <c r="AM370" s="58"/>
      <c r="AN370" s="58"/>
      <c r="AO370" s="58"/>
      <c r="AP370" s="58"/>
      <c r="AQ370" s="58"/>
      <c r="AR370" s="58"/>
      <c r="AS370" s="58"/>
      <c r="AT370" s="58"/>
    </row>
    <row r="371" spans="7:46">
      <c r="G371" s="112"/>
      <c r="O371" s="53"/>
      <c r="P371" s="53"/>
      <c r="Q371" s="53"/>
      <c r="S371" s="53"/>
      <c r="T371" s="53"/>
      <c r="U371" s="53"/>
      <c r="V371" s="53"/>
      <c r="AM371" s="58"/>
      <c r="AN371" s="58"/>
      <c r="AO371" s="58"/>
      <c r="AP371" s="58"/>
      <c r="AQ371" s="58"/>
      <c r="AR371" s="58"/>
      <c r="AS371" s="58"/>
      <c r="AT371" s="58"/>
    </row>
    <row r="372" spans="7:46">
      <c r="G372" s="112"/>
      <c r="O372" s="53"/>
      <c r="P372" s="53"/>
      <c r="Q372" s="53"/>
      <c r="S372" s="53"/>
      <c r="T372" s="53"/>
      <c r="U372" s="53"/>
      <c r="V372" s="53"/>
      <c r="AM372" s="58"/>
      <c r="AN372" s="58"/>
      <c r="AO372" s="58"/>
      <c r="AP372" s="58"/>
      <c r="AQ372" s="58"/>
      <c r="AR372" s="58"/>
      <c r="AS372" s="58"/>
      <c r="AT372" s="58"/>
    </row>
    <row r="373" spans="7:46">
      <c r="G373" s="112"/>
      <c r="O373" s="53"/>
      <c r="P373" s="53"/>
      <c r="Q373" s="53"/>
      <c r="S373" s="53"/>
      <c r="T373" s="53"/>
      <c r="U373" s="53"/>
      <c r="V373" s="53"/>
      <c r="AM373" s="58"/>
      <c r="AN373" s="58"/>
      <c r="AO373" s="58"/>
      <c r="AP373" s="58"/>
      <c r="AQ373" s="58"/>
      <c r="AR373" s="58"/>
      <c r="AS373" s="58"/>
      <c r="AT373" s="58"/>
    </row>
    <row r="374" spans="7:46">
      <c r="G374" s="112"/>
      <c r="O374" s="53"/>
      <c r="P374" s="53"/>
      <c r="Q374" s="53"/>
      <c r="S374" s="53"/>
      <c r="T374" s="53"/>
      <c r="U374" s="53"/>
      <c r="V374" s="53"/>
      <c r="AM374" s="58"/>
      <c r="AN374" s="58"/>
      <c r="AO374" s="58"/>
      <c r="AP374" s="58"/>
      <c r="AQ374" s="58"/>
      <c r="AR374" s="58"/>
      <c r="AS374" s="58"/>
      <c r="AT374" s="58"/>
    </row>
    <row r="375" spans="7:46">
      <c r="G375" s="112"/>
      <c r="O375" s="53"/>
      <c r="P375" s="53"/>
      <c r="Q375" s="53"/>
      <c r="S375" s="53"/>
      <c r="T375" s="53"/>
      <c r="U375" s="53"/>
      <c r="V375" s="53"/>
      <c r="AM375" s="58"/>
      <c r="AN375" s="58"/>
      <c r="AO375" s="58"/>
      <c r="AP375" s="58"/>
      <c r="AQ375" s="58"/>
      <c r="AR375" s="58"/>
      <c r="AS375" s="58"/>
      <c r="AT375" s="58"/>
    </row>
    <row r="376" spans="7:46">
      <c r="G376" s="112"/>
      <c r="O376" s="53"/>
      <c r="P376" s="53"/>
      <c r="Q376" s="53"/>
      <c r="S376" s="53"/>
      <c r="T376" s="53"/>
      <c r="U376" s="53"/>
      <c r="V376" s="53"/>
      <c r="AM376" s="58"/>
      <c r="AN376" s="58"/>
      <c r="AO376" s="58"/>
      <c r="AP376" s="58"/>
      <c r="AQ376" s="58"/>
      <c r="AR376" s="58"/>
      <c r="AS376" s="58"/>
      <c r="AT376" s="58"/>
    </row>
    <row r="377" spans="7:46">
      <c r="G377" s="112"/>
      <c r="O377" s="53"/>
      <c r="P377" s="53"/>
      <c r="Q377" s="53"/>
      <c r="S377" s="53"/>
      <c r="T377" s="53"/>
      <c r="U377" s="53"/>
      <c r="V377" s="53"/>
      <c r="AM377" s="58"/>
      <c r="AN377" s="58"/>
      <c r="AO377" s="58"/>
      <c r="AP377" s="58"/>
      <c r="AQ377" s="58"/>
      <c r="AR377" s="58"/>
      <c r="AS377" s="58"/>
      <c r="AT377" s="58"/>
    </row>
    <row r="378" spans="7:46">
      <c r="G378" s="112"/>
      <c r="O378" s="53"/>
      <c r="P378" s="53"/>
      <c r="Q378" s="53"/>
      <c r="S378" s="53"/>
      <c r="T378" s="53"/>
      <c r="U378" s="53"/>
      <c r="V378" s="53"/>
      <c r="AM378" s="58"/>
      <c r="AN378" s="58"/>
      <c r="AO378" s="58"/>
      <c r="AP378" s="58"/>
      <c r="AQ378" s="58"/>
      <c r="AR378" s="58"/>
      <c r="AS378" s="58"/>
      <c r="AT378" s="58"/>
    </row>
    <row r="379" spans="7:46">
      <c r="G379" s="112"/>
      <c r="O379" s="53"/>
      <c r="P379" s="53"/>
      <c r="Q379" s="53"/>
      <c r="S379" s="53"/>
      <c r="T379" s="53"/>
      <c r="U379" s="53"/>
      <c r="V379" s="53"/>
      <c r="AM379" s="58"/>
      <c r="AN379" s="58"/>
      <c r="AO379" s="58"/>
      <c r="AP379" s="58"/>
      <c r="AQ379" s="58"/>
      <c r="AR379" s="58"/>
      <c r="AS379" s="58"/>
      <c r="AT379" s="58"/>
    </row>
    <row r="380" spans="7:46">
      <c r="G380" s="112"/>
      <c r="O380" s="53"/>
      <c r="P380" s="53"/>
      <c r="Q380" s="53"/>
      <c r="S380" s="53"/>
      <c r="T380" s="53"/>
      <c r="U380" s="53"/>
      <c r="V380" s="53"/>
      <c r="AM380" s="58"/>
      <c r="AN380" s="58"/>
      <c r="AO380" s="58"/>
      <c r="AP380" s="58"/>
      <c r="AQ380" s="58"/>
      <c r="AR380" s="58"/>
      <c r="AS380" s="58"/>
      <c r="AT380" s="58"/>
    </row>
    <row r="381" spans="7:46">
      <c r="G381" s="112"/>
      <c r="O381" s="53"/>
      <c r="P381" s="53"/>
      <c r="Q381" s="53"/>
      <c r="S381" s="53"/>
      <c r="T381" s="53"/>
      <c r="U381" s="53"/>
      <c r="V381" s="53"/>
      <c r="AM381" s="58"/>
      <c r="AN381" s="58"/>
      <c r="AO381" s="58"/>
      <c r="AP381" s="58"/>
      <c r="AQ381" s="58"/>
      <c r="AR381" s="58"/>
      <c r="AS381" s="58"/>
      <c r="AT381" s="58"/>
    </row>
    <row r="382" spans="7:46">
      <c r="G382" s="112"/>
      <c r="O382" s="53"/>
      <c r="P382" s="53"/>
      <c r="Q382" s="53"/>
      <c r="S382" s="53"/>
      <c r="T382" s="53"/>
      <c r="U382" s="53"/>
      <c r="V382" s="53"/>
      <c r="AM382" s="58"/>
      <c r="AN382" s="58"/>
      <c r="AO382" s="58"/>
      <c r="AP382" s="58"/>
      <c r="AQ382" s="58"/>
      <c r="AR382" s="58"/>
      <c r="AS382" s="58"/>
      <c r="AT382" s="58"/>
    </row>
    <row r="383" spans="7:46">
      <c r="G383" s="112"/>
      <c r="O383" s="53"/>
      <c r="P383" s="53"/>
      <c r="Q383" s="53"/>
      <c r="S383" s="53"/>
      <c r="T383" s="53"/>
      <c r="U383" s="53"/>
      <c r="V383" s="53"/>
      <c r="AM383" s="58"/>
      <c r="AN383" s="58"/>
      <c r="AO383" s="58"/>
      <c r="AP383" s="58"/>
      <c r="AQ383" s="58"/>
      <c r="AR383" s="58"/>
      <c r="AS383" s="58"/>
      <c r="AT383" s="58"/>
    </row>
    <row r="384" spans="7:46">
      <c r="G384" s="112"/>
      <c r="O384" s="53"/>
      <c r="P384" s="53"/>
      <c r="Q384" s="53"/>
      <c r="S384" s="53"/>
      <c r="T384" s="53"/>
      <c r="U384" s="53"/>
      <c r="V384" s="53"/>
      <c r="AM384" s="58"/>
      <c r="AN384" s="58"/>
      <c r="AO384" s="58"/>
      <c r="AP384" s="58"/>
      <c r="AQ384" s="58"/>
      <c r="AR384" s="58"/>
      <c r="AS384" s="58"/>
      <c r="AT384" s="58"/>
    </row>
    <row r="385" spans="7:46">
      <c r="G385" s="112"/>
      <c r="O385" s="53"/>
      <c r="P385" s="53"/>
      <c r="Q385" s="53"/>
      <c r="S385" s="53"/>
      <c r="T385" s="53"/>
      <c r="U385" s="53"/>
      <c r="V385" s="53"/>
      <c r="AM385" s="58"/>
      <c r="AN385" s="58"/>
      <c r="AO385" s="58"/>
      <c r="AP385" s="58"/>
      <c r="AQ385" s="58"/>
      <c r="AR385" s="58"/>
      <c r="AS385" s="58"/>
      <c r="AT385" s="58"/>
    </row>
    <row r="386" spans="7:46">
      <c r="G386" s="112"/>
      <c r="O386" s="53"/>
      <c r="P386" s="53"/>
      <c r="Q386" s="53"/>
      <c r="S386" s="53"/>
      <c r="T386" s="53"/>
      <c r="U386" s="53"/>
      <c r="V386" s="53"/>
      <c r="AM386" s="58"/>
      <c r="AN386" s="58"/>
      <c r="AO386" s="58"/>
      <c r="AP386" s="58"/>
      <c r="AQ386" s="58"/>
      <c r="AR386" s="58"/>
      <c r="AS386" s="58"/>
      <c r="AT386" s="58"/>
    </row>
    <row r="387" spans="7:46">
      <c r="G387" s="112"/>
      <c r="O387" s="53"/>
      <c r="P387" s="53"/>
      <c r="Q387" s="53"/>
      <c r="S387" s="53"/>
      <c r="T387" s="53"/>
      <c r="U387" s="53"/>
      <c r="V387" s="53"/>
      <c r="AM387" s="58"/>
      <c r="AN387" s="58"/>
      <c r="AO387" s="58"/>
      <c r="AP387" s="58"/>
      <c r="AQ387" s="58"/>
      <c r="AR387" s="58"/>
      <c r="AS387" s="58"/>
      <c r="AT387" s="58"/>
    </row>
    <row r="388" spans="7:46">
      <c r="G388" s="112"/>
      <c r="O388" s="53"/>
      <c r="P388" s="53"/>
      <c r="Q388" s="53"/>
      <c r="S388" s="53"/>
      <c r="T388" s="53"/>
      <c r="U388" s="53"/>
      <c r="V388" s="53"/>
      <c r="AM388" s="58"/>
      <c r="AN388" s="58"/>
      <c r="AO388" s="58"/>
      <c r="AP388" s="58"/>
      <c r="AQ388" s="58"/>
      <c r="AR388" s="58"/>
      <c r="AS388" s="58"/>
      <c r="AT388" s="58"/>
    </row>
    <row r="389" spans="7:46">
      <c r="G389" s="112"/>
      <c r="O389" s="53"/>
      <c r="P389" s="53"/>
      <c r="Q389" s="53"/>
      <c r="S389" s="53"/>
      <c r="T389" s="53"/>
      <c r="U389" s="53"/>
      <c r="V389" s="53"/>
      <c r="AM389" s="58"/>
      <c r="AN389" s="58"/>
      <c r="AO389" s="58"/>
      <c r="AP389" s="58"/>
      <c r="AQ389" s="58"/>
      <c r="AR389" s="58"/>
      <c r="AS389" s="58"/>
      <c r="AT389" s="58"/>
    </row>
    <row r="390" spans="7:46">
      <c r="G390" s="112"/>
      <c r="O390" s="53"/>
      <c r="P390" s="53"/>
      <c r="Q390" s="53"/>
      <c r="S390" s="53"/>
      <c r="T390" s="53"/>
      <c r="U390" s="53"/>
      <c r="V390" s="53"/>
      <c r="AM390" s="58"/>
      <c r="AN390" s="58"/>
      <c r="AO390" s="58"/>
      <c r="AP390" s="58"/>
      <c r="AQ390" s="58"/>
      <c r="AR390" s="58"/>
      <c r="AS390" s="58"/>
      <c r="AT390" s="58"/>
    </row>
    <row r="391" spans="7:46">
      <c r="G391" s="112"/>
      <c r="O391" s="53"/>
      <c r="P391" s="53"/>
      <c r="Q391" s="53"/>
      <c r="S391" s="53"/>
      <c r="T391" s="53"/>
      <c r="U391" s="53"/>
      <c r="V391" s="53"/>
      <c r="AM391" s="58"/>
      <c r="AN391" s="58"/>
      <c r="AO391" s="58"/>
      <c r="AP391" s="58"/>
      <c r="AQ391" s="58"/>
      <c r="AR391" s="58"/>
      <c r="AS391" s="58"/>
      <c r="AT391" s="58"/>
    </row>
    <row r="392" spans="7:46">
      <c r="G392" s="112"/>
      <c r="O392" s="53"/>
      <c r="P392" s="53"/>
      <c r="Q392" s="53"/>
      <c r="S392" s="53"/>
      <c r="T392" s="53"/>
      <c r="U392" s="53"/>
      <c r="V392" s="53"/>
      <c r="AM392" s="58"/>
      <c r="AN392" s="58"/>
      <c r="AO392" s="58"/>
      <c r="AP392" s="58"/>
      <c r="AQ392" s="58"/>
      <c r="AR392" s="58"/>
      <c r="AS392" s="58"/>
      <c r="AT392" s="58"/>
    </row>
    <row r="393" spans="7:46">
      <c r="G393" s="112"/>
      <c r="O393" s="53"/>
      <c r="P393" s="53"/>
      <c r="Q393" s="53"/>
      <c r="S393" s="53"/>
      <c r="T393" s="53"/>
      <c r="U393" s="53"/>
      <c r="V393" s="53"/>
      <c r="AM393" s="58"/>
      <c r="AN393" s="58"/>
      <c r="AO393" s="58"/>
      <c r="AP393" s="58"/>
      <c r="AQ393" s="58"/>
      <c r="AR393" s="58"/>
      <c r="AS393" s="58"/>
      <c r="AT393" s="58"/>
    </row>
    <row r="394" spans="7:46">
      <c r="G394" s="112"/>
      <c r="O394" s="53"/>
      <c r="P394" s="53"/>
      <c r="Q394" s="53"/>
      <c r="S394" s="53"/>
      <c r="T394" s="53"/>
      <c r="U394" s="53"/>
      <c r="V394" s="53"/>
      <c r="AM394" s="58"/>
      <c r="AN394" s="58"/>
      <c r="AO394" s="58"/>
      <c r="AP394" s="58"/>
      <c r="AQ394" s="58"/>
      <c r="AR394" s="58"/>
      <c r="AS394" s="58"/>
      <c r="AT394" s="58"/>
    </row>
    <row r="395" spans="7:46">
      <c r="G395" s="112"/>
      <c r="O395" s="53"/>
      <c r="P395" s="53"/>
      <c r="Q395" s="53"/>
      <c r="S395" s="53"/>
      <c r="T395" s="53"/>
      <c r="U395" s="53"/>
      <c r="V395" s="53"/>
      <c r="AM395" s="58"/>
      <c r="AN395" s="58"/>
      <c r="AO395" s="58"/>
      <c r="AP395" s="58"/>
      <c r="AQ395" s="58"/>
      <c r="AR395" s="58"/>
      <c r="AS395" s="58"/>
      <c r="AT395" s="58"/>
    </row>
    <row r="396" spans="7:46">
      <c r="G396" s="112"/>
      <c r="O396" s="53"/>
      <c r="P396" s="53"/>
      <c r="Q396" s="53"/>
      <c r="S396" s="53"/>
      <c r="T396" s="53"/>
      <c r="U396" s="53"/>
      <c r="V396" s="53"/>
      <c r="AM396" s="58"/>
      <c r="AN396" s="58"/>
      <c r="AO396" s="58"/>
      <c r="AP396" s="58"/>
      <c r="AQ396" s="58"/>
      <c r="AR396" s="58"/>
      <c r="AS396" s="58"/>
      <c r="AT396" s="58"/>
    </row>
    <row r="397" spans="7:46">
      <c r="G397" s="112"/>
      <c r="O397" s="53"/>
      <c r="P397" s="53"/>
      <c r="Q397" s="53"/>
      <c r="S397" s="53"/>
      <c r="T397" s="53"/>
      <c r="U397" s="53"/>
      <c r="V397" s="53"/>
      <c r="AM397" s="58"/>
      <c r="AN397" s="58"/>
      <c r="AO397" s="58"/>
      <c r="AP397" s="58"/>
      <c r="AQ397" s="58"/>
      <c r="AR397" s="58"/>
      <c r="AS397" s="58"/>
      <c r="AT397" s="58"/>
    </row>
    <row r="398" spans="7:46">
      <c r="G398" s="112"/>
      <c r="O398" s="53"/>
      <c r="P398" s="53"/>
      <c r="Q398" s="53"/>
      <c r="S398" s="53"/>
      <c r="T398" s="53"/>
      <c r="U398" s="53"/>
      <c r="V398" s="53"/>
      <c r="AM398" s="58"/>
      <c r="AN398" s="58"/>
      <c r="AO398" s="58"/>
      <c r="AP398" s="58"/>
      <c r="AQ398" s="58"/>
      <c r="AR398" s="58"/>
      <c r="AS398" s="58"/>
      <c r="AT398" s="58"/>
    </row>
    <row r="399" spans="7:46">
      <c r="G399" s="112"/>
      <c r="O399" s="53"/>
      <c r="P399" s="53"/>
      <c r="Q399" s="53"/>
      <c r="S399" s="53"/>
      <c r="T399" s="53"/>
      <c r="U399" s="53"/>
      <c r="V399" s="53"/>
      <c r="AM399" s="58"/>
      <c r="AN399" s="58"/>
      <c r="AO399" s="58"/>
      <c r="AP399" s="58"/>
      <c r="AQ399" s="58"/>
      <c r="AR399" s="58"/>
      <c r="AS399" s="58"/>
      <c r="AT399" s="58"/>
    </row>
    <row r="400" spans="7:46">
      <c r="G400" s="112"/>
      <c r="O400" s="53"/>
      <c r="P400" s="53"/>
      <c r="Q400" s="53"/>
      <c r="S400" s="53"/>
      <c r="T400" s="53"/>
      <c r="U400" s="53"/>
      <c r="V400" s="53"/>
      <c r="AM400" s="58"/>
      <c r="AN400" s="58"/>
      <c r="AO400" s="58"/>
      <c r="AP400" s="58"/>
      <c r="AQ400" s="58"/>
      <c r="AR400" s="58"/>
      <c r="AS400" s="58"/>
      <c r="AT400" s="58"/>
    </row>
    <row r="401" spans="7:46">
      <c r="G401" s="112"/>
      <c r="O401" s="53"/>
      <c r="P401" s="53"/>
      <c r="Q401" s="53"/>
      <c r="S401" s="53"/>
      <c r="T401" s="53"/>
      <c r="U401" s="53"/>
      <c r="V401" s="53"/>
      <c r="AM401" s="58"/>
      <c r="AN401" s="58"/>
      <c r="AO401" s="58"/>
      <c r="AP401" s="58"/>
      <c r="AQ401" s="58"/>
      <c r="AR401" s="58"/>
      <c r="AS401" s="58"/>
      <c r="AT401" s="58"/>
    </row>
    <row r="402" spans="7:46">
      <c r="G402" s="112"/>
      <c r="O402" s="53"/>
      <c r="P402" s="53"/>
      <c r="Q402" s="53"/>
      <c r="S402" s="53"/>
      <c r="T402" s="53"/>
      <c r="U402" s="53"/>
      <c r="V402" s="53"/>
      <c r="AM402" s="58"/>
      <c r="AN402" s="58"/>
      <c r="AO402" s="58"/>
      <c r="AP402" s="58"/>
      <c r="AQ402" s="58"/>
      <c r="AR402" s="58"/>
      <c r="AS402" s="58"/>
      <c r="AT402" s="58"/>
    </row>
    <row r="403" spans="7:46">
      <c r="G403" s="112"/>
      <c r="O403" s="53"/>
      <c r="P403" s="53"/>
      <c r="Q403" s="53"/>
      <c r="S403" s="53"/>
      <c r="T403" s="53"/>
      <c r="U403" s="53"/>
      <c r="V403" s="53"/>
      <c r="AM403" s="58"/>
      <c r="AN403" s="58"/>
      <c r="AO403" s="58"/>
      <c r="AP403" s="58"/>
      <c r="AQ403" s="58"/>
      <c r="AR403" s="58"/>
      <c r="AS403" s="58"/>
      <c r="AT403" s="58"/>
    </row>
    <row r="404" spans="7:46">
      <c r="G404" s="112"/>
      <c r="O404" s="53"/>
      <c r="P404" s="53"/>
      <c r="Q404" s="53"/>
      <c r="S404" s="53"/>
      <c r="T404" s="53"/>
      <c r="U404" s="53"/>
      <c r="V404" s="53"/>
      <c r="AM404" s="58"/>
      <c r="AN404" s="58"/>
      <c r="AO404" s="58"/>
      <c r="AP404" s="58"/>
      <c r="AQ404" s="58"/>
      <c r="AR404" s="58"/>
      <c r="AS404" s="58"/>
      <c r="AT404" s="58"/>
    </row>
    <row r="405" spans="7:46">
      <c r="G405" s="112"/>
      <c r="O405" s="53"/>
      <c r="P405" s="53"/>
      <c r="Q405" s="53"/>
      <c r="S405" s="53"/>
      <c r="T405" s="53"/>
      <c r="U405" s="53"/>
      <c r="V405" s="53"/>
      <c r="AM405" s="58"/>
      <c r="AN405" s="58"/>
      <c r="AO405" s="58"/>
      <c r="AP405" s="58"/>
      <c r="AQ405" s="58"/>
      <c r="AR405" s="58"/>
      <c r="AS405" s="58"/>
      <c r="AT405" s="58"/>
    </row>
    <row r="406" spans="7:46">
      <c r="G406" s="112"/>
      <c r="O406" s="53"/>
      <c r="P406" s="53"/>
      <c r="Q406" s="53"/>
      <c r="S406" s="53"/>
      <c r="T406" s="53"/>
      <c r="U406" s="53"/>
      <c r="V406" s="53"/>
      <c r="AM406" s="58"/>
      <c r="AN406" s="58"/>
      <c r="AO406" s="58"/>
      <c r="AP406" s="58"/>
      <c r="AQ406" s="58"/>
      <c r="AR406" s="58"/>
      <c r="AS406" s="58"/>
      <c r="AT406" s="58"/>
    </row>
    <row r="407" spans="7:46">
      <c r="G407" s="112"/>
      <c r="O407" s="53"/>
      <c r="P407" s="53"/>
      <c r="Q407" s="53"/>
      <c r="S407" s="53"/>
      <c r="T407" s="53"/>
      <c r="U407" s="53"/>
      <c r="V407" s="53"/>
      <c r="AM407" s="58"/>
      <c r="AN407" s="58"/>
      <c r="AO407" s="58"/>
      <c r="AP407" s="58"/>
      <c r="AQ407" s="58"/>
      <c r="AR407" s="58"/>
      <c r="AS407" s="58"/>
      <c r="AT407" s="58"/>
    </row>
    <row r="408" spans="7:46">
      <c r="G408" s="112"/>
      <c r="O408" s="53"/>
      <c r="P408" s="53"/>
      <c r="Q408" s="53"/>
      <c r="S408" s="53"/>
      <c r="T408" s="53"/>
      <c r="U408" s="53"/>
      <c r="V408" s="53"/>
      <c r="AM408" s="58"/>
      <c r="AN408" s="58"/>
      <c r="AO408" s="58"/>
      <c r="AP408" s="58"/>
      <c r="AQ408" s="58"/>
      <c r="AR408" s="58"/>
      <c r="AS408" s="58"/>
      <c r="AT408" s="58"/>
    </row>
    <row r="409" spans="7:46">
      <c r="G409" s="112"/>
      <c r="O409" s="53"/>
      <c r="P409" s="53"/>
      <c r="Q409" s="53"/>
      <c r="S409" s="53"/>
      <c r="T409" s="53"/>
      <c r="U409" s="53"/>
      <c r="V409" s="53"/>
      <c r="AM409" s="58"/>
      <c r="AN409" s="58"/>
      <c r="AO409" s="58"/>
      <c r="AP409" s="58"/>
      <c r="AQ409" s="58"/>
      <c r="AR409" s="58"/>
      <c r="AS409" s="58"/>
      <c r="AT409" s="58"/>
    </row>
    <row r="410" spans="7:46">
      <c r="G410" s="112"/>
      <c r="O410" s="53"/>
      <c r="P410" s="53"/>
      <c r="Q410" s="53"/>
      <c r="S410" s="53"/>
      <c r="T410" s="53"/>
      <c r="U410" s="53"/>
      <c r="V410" s="53"/>
      <c r="AM410" s="58"/>
      <c r="AN410" s="58"/>
      <c r="AO410" s="58"/>
      <c r="AP410" s="58"/>
      <c r="AQ410" s="58"/>
      <c r="AR410" s="58"/>
      <c r="AS410" s="58"/>
      <c r="AT410" s="58"/>
    </row>
    <row r="411" spans="7:46">
      <c r="G411" s="112"/>
      <c r="O411" s="53"/>
      <c r="P411" s="53"/>
      <c r="Q411" s="53"/>
      <c r="S411" s="53"/>
      <c r="T411" s="53"/>
      <c r="U411" s="53"/>
      <c r="V411" s="53"/>
      <c r="AM411" s="58"/>
      <c r="AN411" s="58"/>
      <c r="AO411" s="58"/>
      <c r="AP411" s="58"/>
      <c r="AQ411" s="58"/>
      <c r="AR411" s="58"/>
      <c r="AS411" s="58"/>
      <c r="AT411" s="58"/>
    </row>
    <row r="412" spans="7:46">
      <c r="G412" s="112"/>
      <c r="O412" s="53"/>
      <c r="P412" s="53"/>
      <c r="Q412" s="53"/>
      <c r="S412" s="53"/>
      <c r="T412" s="53"/>
      <c r="U412" s="53"/>
      <c r="V412" s="53"/>
      <c r="AM412" s="58"/>
      <c r="AN412" s="58"/>
      <c r="AO412" s="58"/>
      <c r="AP412" s="58"/>
      <c r="AQ412" s="58"/>
      <c r="AR412" s="58"/>
      <c r="AS412" s="58"/>
      <c r="AT412" s="58"/>
    </row>
    <row r="413" spans="7:46">
      <c r="G413" s="112"/>
      <c r="O413" s="53"/>
      <c r="P413" s="53"/>
      <c r="Q413" s="53"/>
      <c r="S413" s="53"/>
      <c r="T413" s="53"/>
      <c r="U413" s="53"/>
      <c r="V413" s="53"/>
      <c r="AM413" s="58"/>
      <c r="AN413" s="58"/>
      <c r="AO413" s="58"/>
      <c r="AP413" s="58"/>
      <c r="AQ413" s="58"/>
      <c r="AR413" s="58"/>
      <c r="AS413" s="58"/>
      <c r="AT413" s="58"/>
    </row>
    <row r="414" spans="7:46">
      <c r="G414" s="112"/>
      <c r="O414" s="53"/>
      <c r="P414" s="53"/>
      <c r="Q414" s="53"/>
      <c r="S414" s="53"/>
      <c r="T414" s="53"/>
      <c r="U414" s="53"/>
      <c r="V414" s="53"/>
      <c r="AM414" s="58"/>
      <c r="AN414" s="58"/>
      <c r="AO414" s="58"/>
      <c r="AP414" s="58"/>
      <c r="AQ414" s="58"/>
      <c r="AR414" s="58"/>
      <c r="AS414" s="58"/>
      <c r="AT414" s="58"/>
    </row>
    <row r="415" spans="7:46">
      <c r="G415" s="112"/>
      <c r="O415" s="53"/>
      <c r="P415" s="53"/>
      <c r="Q415" s="53"/>
      <c r="S415" s="53"/>
      <c r="T415" s="53"/>
      <c r="U415" s="53"/>
      <c r="V415" s="53"/>
      <c r="AM415" s="58"/>
      <c r="AN415" s="58"/>
      <c r="AO415" s="58"/>
      <c r="AP415" s="58"/>
      <c r="AQ415" s="58"/>
      <c r="AR415" s="58"/>
      <c r="AS415" s="58"/>
      <c r="AT415" s="58"/>
    </row>
    <row r="416" spans="7:46">
      <c r="G416" s="112"/>
      <c r="O416" s="53"/>
      <c r="P416" s="53"/>
      <c r="Q416" s="53"/>
      <c r="S416" s="53"/>
      <c r="T416" s="53"/>
      <c r="U416" s="53"/>
      <c r="V416" s="53"/>
      <c r="AM416" s="58"/>
      <c r="AN416" s="58"/>
      <c r="AO416" s="58"/>
      <c r="AP416" s="58"/>
      <c r="AQ416" s="58"/>
      <c r="AR416" s="58"/>
      <c r="AS416" s="58"/>
      <c r="AT416" s="58"/>
    </row>
    <row r="417" spans="7:46">
      <c r="G417" s="112"/>
      <c r="O417" s="53"/>
      <c r="P417" s="53"/>
      <c r="Q417" s="53"/>
      <c r="S417" s="53"/>
      <c r="T417" s="53"/>
      <c r="U417" s="53"/>
      <c r="V417" s="53"/>
      <c r="AM417" s="58"/>
      <c r="AN417" s="58"/>
      <c r="AO417" s="58"/>
      <c r="AP417" s="58"/>
      <c r="AQ417" s="58"/>
      <c r="AR417" s="58"/>
      <c r="AS417" s="58"/>
      <c r="AT417" s="58"/>
    </row>
    <row r="418" spans="7:46">
      <c r="G418" s="112"/>
      <c r="O418" s="53"/>
      <c r="P418" s="53"/>
      <c r="Q418" s="53"/>
      <c r="S418" s="53"/>
      <c r="T418" s="53"/>
      <c r="U418" s="53"/>
      <c r="V418" s="53"/>
      <c r="AM418" s="58"/>
      <c r="AN418" s="58"/>
      <c r="AO418" s="58"/>
      <c r="AP418" s="58"/>
      <c r="AQ418" s="58"/>
      <c r="AR418" s="58"/>
      <c r="AS418" s="58"/>
      <c r="AT418" s="58"/>
    </row>
    <row r="419" spans="7:46">
      <c r="G419" s="112"/>
      <c r="O419" s="53"/>
      <c r="P419" s="53"/>
      <c r="Q419" s="53"/>
      <c r="S419" s="53"/>
      <c r="T419" s="53"/>
      <c r="U419" s="53"/>
      <c r="V419" s="53"/>
      <c r="AM419" s="58"/>
      <c r="AN419" s="58"/>
      <c r="AO419" s="58"/>
      <c r="AP419" s="58"/>
      <c r="AQ419" s="58"/>
      <c r="AR419" s="58"/>
      <c r="AS419" s="58"/>
      <c r="AT419" s="58"/>
    </row>
    <row r="420" spans="7:46">
      <c r="G420" s="112"/>
      <c r="O420" s="53"/>
      <c r="P420" s="53"/>
      <c r="Q420" s="53"/>
      <c r="S420" s="53"/>
      <c r="T420" s="53"/>
      <c r="U420" s="53"/>
      <c r="V420" s="53"/>
      <c r="AM420" s="58"/>
      <c r="AN420" s="58"/>
      <c r="AO420" s="58"/>
      <c r="AP420" s="58"/>
      <c r="AQ420" s="58"/>
      <c r="AR420" s="58"/>
      <c r="AS420" s="58"/>
      <c r="AT420" s="58"/>
    </row>
    <row r="421" spans="7:46">
      <c r="G421" s="112"/>
      <c r="O421" s="53"/>
      <c r="P421" s="53"/>
      <c r="Q421" s="53"/>
      <c r="S421" s="53"/>
      <c r="T421" s="53"/>
      <c r="U421" s="53"/>
      <c r="V421" s="53"/>
      <c r="AM421" s="58"/>
      <c r="AN421" s="58"/>
      <c r="AO421" s="58"/>
      <c r="AP421" s="58"/>
      <c r="AQ421" s="58"/>
      <c r="AR421" s="58"/>
      <c r="AS421" s="58"/>
      <c r="AT421" s="58"/>
    </row>
    <row r="422" spans="7:46">
      <c r="G422" s="112"/>
      <c r="O422" s="53"/>
      <c r="P422" s="53"/>
      <c r="Q422" s="53"/>
      <c r="S422" s="53"/>
      <c r="T422" s="53"/>
      <c r="U422" s="53"/>
      <c r="V422" s="53"/>
      <c r="AM422" s="58"/>
      <c r="AN422" s="58"/>
      <c r="AO422" s="58"/>
      <c r="AP422" s="58"/>
      <c r="AQ422" s="58"/>
      <c r="AR422" s="58"/>
      <c r="AS422" s="58"/>
      <c r="AT422" s="58"/>
    </row>
    <row r="423" spans="7:46">
      <c r="G423" s="112"/>
      <c r="O423" s="53"/>
      <c r="P423" s="53"/>
      <c r="Q423" s="53"/>
      <c r="S423" s="53"/>
      <c r="T423" s="53"/>
      <c r="U423" s="53"/>
      <c r="V423" s="53"/>
      <c r="AM423" s="58"/>
      <c r="AN423" s="58"/>
      <c r="AO423" s="58"/>
      <c r="AP423" s="58"/>
      <c r="AQ423" s="58"/>
      <c r="AR423" s="58"/>
      <c r="AS423" s="58"/>
      <c r="AT423" s="58"/>
    </row>
    <row r="424" spans="7:46">
      <c r="G424" s="112"/>
      <c r="O424" s="53"/>
      <c r="P424" s="53"/>
      <c r="Q424" s="53"/>
      <c r="S424" s="53"/>
      <c r="T424" s="53"/>
      <c r="U424" s="53"/>
      <c r="V424" s="53"/>
      <c r="AM424" s="58"/>
      <c r="AN424" s="58"/>
      <c r="AO424" s="58"/>
      <c r="AP424" s="58"/>
      <c r="AQ424" s="58"/>
      <c r="AR424" s="58"/>
      <c r="AS424" s="58"/>
      <c r="AT424" s="58"/>
    </row>
    <row r="425" spans="7:46">
      <c r="G425" s="112"/>
      <c r="O425" s="53"/>
      <c r="P425" s="53"/>
      <c r="Q425" s="53"/>
      <c r="S425" s="53"/>
      <c r="T425" s="53"/>
      <c r="U425" s="53"/>
      <c r="V425" s="53"/>
      <c r="AM425" s="58"/>
      <c r="AN425" s="58"/>
      <c r="AO425" s="58"/>
      <c r="AP425" s="58"/>
      <c r="AQ425" s="58"/>
      <c r="AR425" s="58"/>
      <c r="AS425" s="58"/>
      <c r="AT425" s="58"/>
    </row>
    <row r="426" spans="7:46">
      <c r="G426" s="112"/>
      <c r="O426" s="53"/>
      <c r="P426" s="53"/>
      <c r="Q426" s="53"/>
      <c r="S426" s="53"/>
      <c r="T426" s="53"/>
      <c r="U426" s="53"/>
      <c r="V426" s="53"/>
      <c r="AM426" s="58"/>
      <c r="AN426" s="58"/>
      <c r="AO426" s="58"/>
      <c r="AP426" s="58"/>
      <c r="AQ426" s="58"/>
      <c r="AR426" s="58"/>
      <c r="AS426" s="58"/>
      <c r="AT426" s="58"/>
    </row>
    <row r="427" spans="7:46">
      <c r="G427" s="112"/>
      <c r="O427" s="53"/>
      <c r="P427" s="53"/>
      <c r="Q427" s="53"/>
      <c r="S427" s="53"/>
      <c r="T427" s="53"/>
      <c r="U427" s="53"/>
      <c r="V427" s="53"/>
      <c r="AM427" s="58"/>
      <c r="AN427" s="58"/>
      <c r="AO427" s="58"/>
      <c r="AP427" s="58"/>
      <c r="AQ427" s="58"/>
      <c r="AR427" s="58"/>
      <c r="AS427" s="58"/>
      <c r="AT427" s="58"/>
    </row>
    <row r="428" spans="7:46">
      <c r="G428" s="112"/>
      <c r="O428" s="53"/>
      <c r="P428" s="53"/>
      <c r="Q428" s="53"/>
      <c r="S428" s="53"/>
      <c r="T428" s="53"/>
      <c r="U428" s="53"/>
      <c r="V428" s="53"/>
      <c r="AM428" s="58"/>
      <c r="AN428" s="58"/>
      <c r="AO428" s="58"/>
      <c r="AP428" s="58"/>
      <c r="AQ428" s="58"/>
      <c r="AR428" s="58"/>
      <c r="AS428" s="58"/>
      <c r="AT428" s="58"/>
    </row>
    <row r="429" spans="7:46">
      <c r="G429" s="112"/>
      <c r="O429" s="53"/>
      <c r="P429" s="53"/>
      <c r="Q429" s="53"/>
      <c r="S429" s="53"/>
      <c r="T429" s="53"/>
      <c r="U429" s="53"/>
      <c r="V429" s="53"/>
      <c r="AM429" s="58"/>
      <c r="AN429" s="58"/>
      <c r="AO429" s="58"/>
      <c r="AP429" s="58"/>
      <c r="AQ429" s="58"/>
      <c r="AR429" s="58"/>
      <c r="AS429" s="58"/>
      <c r="AT429" s="58"/>
    </row>
    <row r="430" spans="7:46">
      <c r="G430" s="112"/>
      <c r="O430" s="53"/>
      <c r="P430" s="53"/>
      <c r="Q430" s="53"/>
      <c r="S430" s="53"/>
      <c r="T430" s="53"/>
      <c r="U430" s="53"/>
      <c r="V430" s="53"/>
      <c r="AM430" s="58"/>
      <c r="AN430" s="58"/>
      <c r="AO430" s="58"/>
      <c r="AP430" s="58"/>
      <c r="AQ430" s="58"/>
      <c r="AR430" s="58"/>
      <c r="AS430" s="58"/>
      <c r="AT430" s="58"/>
    </row>
    <row r="431" spans="7:46">
      <c r="G431" s="112"/>
      <c r="O431" s="53"/>
      <c r="P431" s="53"/>
      <c r="Q431" s="53"/>
      <c r="S431" s="53"/>
      <c r="T431" s="53"/>
      <c r="U431" s="53"/>
      <c r="V431" s="53"/>
      <c r="AM431" s="58"/>
      <c r="AN431" s="58"/>
      <c r="AO431" s="58"/>
      <c r="AP431" s="58"/>
      <c r="AQ431" s="58"/>
      <c r="AR431" s="58"/>
      <c r="AS431" s="58"/>
      <c r="AT431" s="58"/>
    </row>
    <row r="432" spans="7:46">
      <c r="G432" s="112"/>
      <c r="O432" s="53"/>
      <c r="P432" s="53"/>
      <c r="Q432" s="53"/>
      <c r="S432" s="53"/>
      <c r="T432" s="53"/>
      <c r="U432" s="53"/>
      <c r="V432" s="53"/>
      <c r="AM432" s="58"/>
      <c r="AN432" s="58"/>
      <c r="AO432" s="58"/>
      <c r="AP432" s="58"/>
      <c r="AQ432" s="58"/>
      <c r="AR432" s="58"/>
      <c r="AS432" s="58"/>
      <c r="AT432" s="58"/>
    </row>
    <row r="433" spans="7:46">
      <c r="G433" s="112"/>
      <c r="O433" s="53"/>
      <c r="P433" s="53"/>
      <c r="Q433" s="53"/>
      <c r="S433" s="53"/>
      <c r="T433" s="53"/>
      <c r="U433" s="53"/>
      <c r="V433" s="53"/>
      <c r="AM433" s="58"/>
      <c r="AN433" s="58"/>
      <c r="AO433" s="58"/>
      <c r="AP433" s="58"/>
      <c r="AQ433" s="58"/>
      <c r="AR433" s="58"/>
      <c r="AS433" s="58"/>
      <c r="AT433" s="58"/>
    </row>
    <row r="434" spans="7:46">
      <c r="G434" s="112"/>
      <c r="O434" s="53"/>
      <c r="P434" s="53"/>
      <c r="Q434" s="53"/>
      <c r="S434" s="53"/>
      <c r="T434" s="53"/>
      <c r="U434" s="53"/>
      <c r="V434" s="53"/>
      <c r="AM434" s="58"/>
      <c r="AN434" s="58"/>
      <c r="AO434" s="58"/>
      <c r="AP434" s="58"/>
      <c r="AQ434" s="58"/>
      <c r="AR434" s="58"/>
      <c r="AS434" s="58"/>
      <c r="AT434" s="58"/>
    </row>
    <row r="435" spans="7:46">
      <c r="G435" s="112"/>
      <c r="O435" s="53"/>
      <c r="P435" s="53"/>
      <c r="Q435" s="53"/>
      <c r="S435" s="53"/>
      <c r="T435" s="53"/>
      <c r="U435" s="53"/>
      <c r="V435" s="53"/>
      <c r="AM435" s="58"/>
      <c r="AN435" s="58"/>
      <c r="AO435" s="58"/>
      <c r="AP435" s="58"/>
      <c r="AQ435" s="58"/>
      <c r="AR435" s="58"/>
      <c r="AS435" s="58"/>
      <c r="AT435" s="58"/>
    </row>
    <row r="436" spans="7:46">
      <c r="G436" s="112"/>
      <c r="O436" s="53"/>
      <c r="P436" s="53"/>
      <c r="Q436" s="53"/>
      <c r="S436" s="53"/>
      <c r="T436" s="53"/>
      <c r="U436" s="53"/>
      <c r="V436" s="53"/>
      <c r="AM436" s="58"/>
      <c r="AN436" s="58"/>
      <c r="AO436" s="58"/>
      <c r="AP436" s="58"/>
      <c r="AQ436" s="58"/>
      <c r="AR436" s="58"/>
      <c r="AS436" s="58"/>
      <c r="AT436" s="58"/>
    </row>
    <row r="437" spans="7:46">
      <c r="G437" s="112"/>
      <c r="O437" s="53"/>
      <c r="P437" s="53"/>
      <c r="Q437" s="53"/>
      <c r="S437" s="53"/>
      <c r="T437" s="53"/>
      <c r="U437" s="53"/>
      <c r="V437" s="53"/>
      <c r="AM437" s="58"/>
      <c r="AN437" s="58"/>
      <c r="AO437" s="58"/>
      <c r="AP437" s="58"/>
      <c r="AQ437" s="58"/>
      <c r="AR437" s="58"/>
      <c r="AS437" s="58"/>
      <c r="AT437" s="58"/>
    </row>
    <row r="438" spans="7:46">
      <c r="G438" s="112"/>
      <c r="O438" s="53"/>
      <c r="P438" s="53"/>
      <c r="Q438" s="53"/>
      <c r="S438" s="53"/>
      <c r="T438" s="53"/>
      <c r="U438" s="53"/>
      <c r="V438" s="53"/>
      <c r="AM438" s="58"/>
      <c r="AN438" s="58"/>
      <c r="AO438" s="58"/>
      <c r="AP438" s="58"/>
      <c r="AQ438" s="58"/>
      <c r="AR438" s="58"/>
      <c r="AS438" s="58"/>
      <c r="AT438" s="58"/>
    </row>
    <row r="439" spans="7:46">
      <c r="G439" s="112"/>
      <c r="O439" s="53"/>
      <c r="P439" s="53"/>
      <c r="Q439" s="53"/>
      <c r="S439" s="53"/>
      <c r="T439" s="53"/>
      <c r="U439" s="53"/>
      <c r="V439" s="53"/>
      <c r="AM439" s="58"/>
      <c r="AN439" s="58"/>
      <c r="AO439" s="58"/>
      <c r="AP439" s="58"/>
      <c r="AQ439" s="58"/>
      <c r="AR439" s="58"/>
      <c r="AS439" s="58"/>
      <c r="AT439" s="58"/>
    </row>
    <row r="440" spans="7:46">
      <c r="G440" s="112"/>
      <c r="O440" s="53"/>
      <c r="P440" s="53"/>
      <c r="Q440" s="53"/>
      <c r="S440" s="53"/>
      <c r="T440" s="53"/>
      <c r="U440" s="53"/>
      <c r="V440" s="53"/>
      <c r="AM440" s="58"/>
      <c r="AN440" s="58"/>
      <c r="AO440" s="58"/>
      <c r="AP440" s="58"/>
      <c r="AQ440" s="58"/>
      <c r="AR440" s="58"/>
      <c r="AS440" s="58"/>
      <c r="AT440" s="58"/>
    </row>
    <row r="441" spans="7:46">
      <c r="G441" s="112"/>
      <c r="O441" s="53"/>
      <c r="P441" s="53"/>
      <c r="Q441" s="53"/>
      <c r="S441" s="53"/>
      <c r="T441" s="53"/>
      <c r="U441" s="53"/>
      <c r="V441" s="53"/>
      <c r="AM441" s="58"/>
      <c r="AN441" s="58"/>
      <c r="AO441" s="58"/>
      <c r="AP441" s="58"/>
      <c r="AQ441" s="58"/>
      <c r="AR441" s="58"/>
      <c r="AS441" s="58"/>
      <c r="AT441" s="58"/>
    </row>
    <row r="442" spans="7:46">
      <c r="G442" s="112"/>
      <c r="O442" s="53"/>
      <c r="P442" s="53"/>
      <c r="Q442" s="53"/>
      <c r="S442" s="53"/>
      <c r="T442" s="53"/>
      <c r="U442" s="53"/>
      <c r="V442" s="53"/>
      <c r="AM442" s="58"/>
      <c r="AN442" s="58"/>
      <c r="AO442" s="58"/>
      <c r="AP442" s="58"/>
      <c r="AQ442" s="58"/>
      <c r="AR442" s="58"/>
      <c r="AS442" s="58"/>
      <c r="AT442" s="58"/>
    </row>
    <row r="443" spans="7:46">
      <c r="G443" s="112"/>
      <c r="O443" s="53"/>
      <c r="P443" s="53"/>
      <c r="Q443" s="53"/>
      <c r="S443" s="53"/>
      <c r="T443" s="53"/>
      <c r="U443" s="53"/>
      <c r="V443" s="53"/>
      <c r="AM443" s="58"/>
      <c r="AN443" s="58"/>
      <c r="AO443" s="58"/>
      <c r="AP443" s="58"/>
      <c r="AQ443" s="58"/>
      <c r="AR443" s="58"/>
      <c r="AS443" s="58"/>
      <c r="AT443" s="58"/>
    </row>
    <row r="444" spans="7:46">
      <c r="G444" s="112"/>
      <c r="O444" s="53"/>
      <c r="P444" s="53"/>
      <c r="Q444" s="53"/>
      <c r="S444" s="53"/>
      <c r="T444" s="53"/>
      <c r="U444" s="53"/>
      <c r="V444" s="53"/>
      <c r="AM444" s="58"/>
      <c r="AN444" s="58"/>
      <c r="AO444" s="58"/>
      <c r="AP444" s="58"/>
      <c r="AQ444" s="58"/>
      <c r="AR444" s="58"/>
      <c r="AS444" s="58"/>
      <c r="AT444" s="58"/>
    </row>
    <row r="445" spans="7:46">
      <c r="G445" s="112"/>
      <c r="O445" s="53"/>
      <c r="P445" s="53"/>
      <c r="Q445" s="53"/>
      <c r="S445" s="53"/>
      <c r="T445" s="53"/>
      <c r="U445" s="53"/>
      <c r="V445" s="53"/>
      <c r="AM445" s="58"/>
      <c r="AN445" s="58"/>
      <c r="AO445" s="58"/>
      <c r="AP445" s="58"/>
      <c r="AQ445" s="58"/>
      <c r="AR445" s="58"/>
      <c r="AS445" s="58"/>
      <c r="AT445" s="58"/>
    </row>
    <row r="446" spans="7:46">
      <c r="G446" s="112"/>
      <c r="O446" s="53"/>
      <c r="P446" s="53"/>
      <c r="Q446" s="53"/>
      <c r="S446" s="53"/>
      <c r="T446" s="53"/>
      <c r="U446" s="53"/>
      <c r="V446" s="53"/>
      <c r="AM446" s="58"/>
      <c r="AN446" s="58"/>
      <c r="AO446" s="58"/>
      <c r="AP446" s="58"/>
      <c r="AQ446" s="58"/>
      <c r="AR446" s="58"/>
      <c r="AS446" s="58"/>
      <c r="AT446" s="58"/>
    </row>
    <row r="447" spans="7:46">
      <c r="G447" s="112"/>
      <c r="O447" s="53"/>
      <c r="P447" s="53"/>
      <c r="Q447" s="53"/>
      <c r="S447" s="53"/>
      <c r="T447" s="53"/>
      <c r="U447" s="53"/>
      <c r="V447" s="53"/>
      <c r="AM447" s="58"/>
      <c r="AN447" s="58"/>
      <c r="AO447" s="58"/>
      <c r="AP447" s="58"/>
      <c r="AQ447" s="58"/>
      <c r="AR447" s="58"/>
      <c r="AS447" s="58"/>
      <c r="AT447" s="58"/>
    </row>
    <row r="448" spans="7:46">
      <c r="G448" s="112"/>
      <c r="O448" s="53"/>
      <c r="P448" s="53"/>
      <c r="Q448" s="53"/>
      <c r="S448" s="53"/>
      <c r="T448" s="53"/>
      <c r="U448" s="53"/>
      <c r="V448" s="53"/>
      <c r="AM448" s="58"/>
      <c r="AN448" s="58"/>
      <c r="AO448" s="58"/>
      <c r="AP448" s="58"/>
      <c r="AQ448" s="58"/>
      <c r="AR448" s="58"/>
      <c r="AS448" s="58"/>
      <c r="AT448" s="58"/>
    </row>
    <row r="449" spans="7:46">
      <c r="G449" s="112"/>
      <c r="O449" s="53"/>
      <c r="P449" s="53"/>
      <c r="Q449" s="53"/>
      <c r="S449" s="53"/>
      <c r="T449" s="53"/>
      <c r="U449" s="53"/>
      <c r="V449" s="53"/>
      <c r="AM449" s="58"/>
      <c r="AN449" s="58"/>
      <c r="AO449" s="58"/>
      <c r="AP449" s="58"/>
      <c r="AQ449" s="58"/>
      <c r="AR449" s="58"/>
      <c r="AS449" s="58"/>
      <c r="AT449" s="58"/>
    </row>
    <row r="450" spans="7:46">
      <c r="G450" s="112"/>
      <c r="O450" s="53"/>
      <c r="P450" s="53"/>
      <c r="Q450" s="53"/>
      <c r="S450" s="53"/>
      <c r="T450" s="53"/>
      <c r="U450" s="53"/>
      <c r="V450" s="53"/>
      <c r="AM450" s="58"/>
      <c r="AN450" s="58"/>
      <c r="AO450" s="58"/>
      <c r="AP450" s="58"/>
      <c r="AQ450" s="58"/>
      <c r="AR450" s="58"/>
      <c r="AS450" s="58"/>
      <c r="AT450" s="58"/>
    </row>
    <row r="451" spans="7:46">
      <c r="G451" s="112"/>
      <c r="O451" s="53"/>
      <c r="P451" s="53"/>
      <c r="Q451" s="53"/>
      <c r="S451" s="53"/>
      <c r="T451" s="53"/>
      <c r="U451" s="53"/>
      <c r="V451" s="53"/>
      <c r="AM451" s="58"/>
      <c r="AN451" s="58"/>
      <c r="AO451" s="58"/>
      <c r="AP451" s="58"/>
      <c r="AQ451" s="58"/>
      <c r="AR451" s="58"/>
      <c r="AS451" s="58"/>
      <c r="AT451" s="58"/>
    </row>
    <row r="452" spans="7:46">
      <c r="G452" s="112"/>
      <c r="O452" s="53"/>
      <c r="P452" s="53"/>
      <c r="Q452" s="53"/>
      <c r="S452" s="53"/>
      <c r="T452" s="53"/>
      <c r="U452" s="53"/>
      <c r="V452" s="53"/>
      <c r="AM452" s="58"/>
      <c r="AN452" s="58"/>
      <c r="AO452" s="58"/>
      <c r="AP452" s="58"/>
      <c r="AQ452" s="58"/>
      <c r="AR452" s="58"/>
      <c r="AS452" s="58"/>
      <c r="AT452" s="58"/>
    </row>
    <row r="453" spans="7:46">
      <c r="G453" s="112"/>
      <c r="O453" s="53"/>
      <c r="P453" s="53"/>
      <c r="Q453" s="53"/>
      <c r="S453" s="53"/>
      <c r="T453" s="53"/>
      <c r="U453" s="53"/>
      <c r="V453" s="53"/>
      <c r="AM453" s="58"/>
      <c r="AN453" s="58"/>
      <c r="AO453" s="58"/>
      <c r="AP453" s="58"/>
      <c r="AQ453" s="58"/>
      <c r="AR453" s="58"/>
      <c r="AS453" s="58"/>
      <c r="AT453" s="58"/>
    </row>
    <row r="454" spans="7:46">
      <c r="G454" s="112"/>
      <c r="O454" s="53"/>
      <c r="P454" s="53"/>
      <c r="Q454" s="53"/>
      <c r="S454" s="53"/>
      <c r="T454" s="53"/>
      <c r="U454" s="53"/>
      <c r="V454" s="53"/>
      <c r="AM454" s="58"/>
      <c r="AN454" s="58"/>
      <c r="AO454" s="58"/>
      <c r="AP454" s="58"/>
      <c r="AQ454" s="58"/>
      <c r="AR454" s="58"/>
      <c r="AS454" s="58"/>
      <c r="AT454" s="58"/>
    </row>
    <row r="455" spans="7:46">
      <c r="G455" s="112"/>
      <c r="O455" s="53"/>
      <c r="P455" s="53"/>
      <c r="Q455" s="53"/>
      <c r="S455" s="53"/>
      <c r="T455" s="53"/>
      <c r="U455" s="53"/>
      <c r="V455" s="53"/>
      <c r="AM455" s="58"/>
      <c r="AN455" s="58"/>
      <c r="AO455" s="58"/>
      <c r="AP455" s="58"/>
      <c r="AQ455" s="58"/>
      <c r="AR455" s="58"/>
      <c r="AS455" s="58"/>
      <c r="AT455" s="58"/>
    </row>
    <row r="456" spans="7:46">
      <c r="G456" s="112"/>
      <c r="O456" s="53"/>
      <c r="P456" s="53"/>
      <c r="Q456" s="53"/>
      <c r="S456" s="53"/>
      <c r="T456" s="53"/>
      <c r="U456" s="53"/>
      <c r="V456" s="53"/>
      <c r="AM456" s="58"/>
      <c r="AN456" s="58"/>
      <c r="AO456" s="58"/>
      <c r="AP456" s="58"/>
      <c r="AQ456" s="58"/>
      <c r="AR456" s="58"/>
      <c r="AS456" s="58"/>
      <c r="AT456" s="58"/>
    </row>
    <row r="457" spans="7:46">
      <c r="G457" s="112"/>
      <c r="O457" s="53"/>
      <c r="P457" s="53"/>
      <c r="Q457" s="53"/>
      <c r="S457" s="53"/>
      <c r="T457" s="53"/>
      <c r="U457" s="53"/>
      <c r="V457" s="53"/>
      <c r="AM457" s="58"/>
      <c r="AN457" s="58"/>
      <c r="AO457" s="58"/>
      <c r="AP457" s="58"/>
      <c r="AQ457" s="58"/>
      <c r="AR457" s="58"/>
      <c r="AS457" s="58"/>
      <c r="AT457" s="58"/>
    </row>
    <row r="458" spans="7:46">
      <c r="G458" s="112"/>
      <c r="O458" s="53"/>
      <c r="P458" s="53"/>
      <c r="Q458" s="53"/>
      <c r="S458" s="53"/>
      <c r="T458" s="53"/>
      <c r="U458" s="53"/>
      <c r="V458" s="53"/>
      <c r="AM458" s="58"/>
      <c r="AN458" s="58"/>
      <c r="AO458" s="58"/>
      <c r="AP458" s="58"/>
      <c r="AQ458" s="58"/>
      <c r="AR458" s="58"/>
      <c r="AS458" s="58"/>
      <c r="AT458" s="58"/>
    </row>
    <row r="459" spans="7:46">
      <c r="G459" s="112"/>
      <c r="O459" s="53"/>
      <c r="P459" s="53"/>
      <c r="Q459" s="53"/>
      <c r="S459" s="53"/>
      <c r="T459" s="53"/>
      <c r="U459" s="53"/>
      <c r="V459" s="53"/>
      <c r="AM459" s="58"/>
      <c r="AN459" s="58"/>
      <c r="AO459" s="58"/>
      <c r="AP459" s="58"/>
      <c r="AQ459" s="58"/>
      <c r="AR459" s="58"/>
      <c r="AS459" s="58"/>
      <c r="AT459" s="58"/>
    </row>
    <row r="460" spans="7:46">
      <c r="G460" s="112"/>
      <c r="O460" s="53"/>
      <c r="P460" s="53"/>
      <c r="Q460" s="53"/>
      <c r="S460" s="53"/>
      <c r="T460" s="53"/>
      <c r="U460" s="53"/>
      <c r="V460" s="53"/>
      <c r="AM460" s="58"/>
      <c r="AN460" s="58"/>
      <c r="AO460" s="58"/>
      <c r="AP460" s="58"/>
      <c r="AQ460" s="58"/>
      <c r="AR460" s="58"/>
      <c r="AS460" s="58"/>
      <c r="AT460" s="58"/>
    </row>
    <row r="461" spans="7:46">
      <c r="G461" s="112"/>
      <c r="O461" s="53"/>
      <c r="P461" s="53"/>
      <c r="Q461" s="53"/>
      <c r="S461" s="53"/>
      <c r="T461" s="53"/>
      <c r="U461" s="53"/>
      <c r="V461" s="53"/>
      <c r="AM461" s="58"/>
      <c r="AN461" s="58"/>
      <c r="AO461" s="58"/>
      <c r="AP461" s="58"/>
      <c r="AQ461" s="58"/>
      <c r="AR461" s="58"/>
      <c r="AS461" s="58"/>
      <c r="AT461" s="58"/>
    </row>
    <row r="462" spans="7:46">
      <c r="G462" s="112"/>
      <c r="O462" s="53"/>
      <c r="P462" s="53"/>
      <c r="Q462" s="53"/>
      <c r="S462" s="53"/>
      <c r="T462" s="53"/>
      <c r="U462" s="53"/>
      <c r="V462" s="53"/>
      <c r="AM462" s="58"/>
      <c r="AN462" s="58"/>
      <c r="AO462" s="58"/>
      <c r="AP462" s="58"/>
      <c r="AQ462" s="58"/>
      <c r="AR462" s="58"/>
      <c r="AS462" s="58"/>
      <c r="AT462" s="58"/>
    </row>
    <row r="463" spans="7:46">
      <c r="G463" s="112"/>
      <c r="O463" s="53"/>
      <c r="P463" s="53"/>
      <c r="Q463" s="53"/>
      <c r="S463" s="53"/>
      <c r="T463" s="53"/>
      <c r="U463" s="53"/>
      <c r="V463" s="53"/>
      <c r="AM463" s="58"/>
      <c r="AN463" s="58"/>
      <c r="AO463" s="58"/>
      <c r="AP463" s="58"/>
      <c r="AQ463" s="58"/>
      <c r="AR463" s="58"/>
      <c r="AS463" s="58"/>
      <c r="AT463" s="58"/>
    </row>
    <row r="464" spans="7:46">
      <c r="G464" s="112"/>
      <c r="O464" s="53"/>
      <c r="P464" s="53"/>
      <c r="Q464" s="53"/>
      <c r="S464" s="53"/>
      <c r="T464" s="53"/>
      <c r="U464" s="53"/>
      <c r="V464" s="53"/>
      <c r="AM464" s="58"/>
      <c r="AN464" s="58"/>
      <c r="AO464" s="58"/>
      <c r="AP464" s="58"/>
      <c r="AQ464" s="58"/>
      <c r="AR464" s="58"/>
      <c r="AS464" s="58"/>
      <c r="AT464" s="58"/>
    </row>
    <row r="465" spans="7:46">
      <c r="G465" s="112"/>
      <c r="O465" s="53"/>
      <c r="P465" s="53"/>
      <c r="Q465" s="53"/>
      <c r="S465" s="53"/>
      <c r="T465" s="53"/>
      <c r="U465" s="53"/>
      <c r="V465" s="53"/>
      <c r="AM465" s="58"/>
      <c r="AN465" s="58"/>
      <c r="AO465" s="58"/>
      <c r="AP465" s="58"/>
      <c r="AQ465" s="58"/>
      <c r="AR465" s="58"/>
      <c r="AS465" s="58"/>
      <c r="AT465" s="58"/>
    </row>
    <row r="466" spans="7:46">
      <c r="G466" s="112"/>
      <c r="O466" s="53"/>
      <c r="P466" s="53"/>
      <c r="Q466" s="53"/>
      <c r="S466" s="53"/>
      <c r="T466" s="53"/>
      <c r="U466" s="53"/>
      <c r="V466" s="53"/>
      <c r="AM466" s="58"/>
      <c r="AN466" s="58"/>
      <c r="AO466" s="58"/>
      <c r="AP466" s="58"/>
      <c r="AQ466" s="58"/>
      <c r="AR466" s="58"/>
      <c r="AS466" s="58"/>
      <c r="AT466" s="58"/>
    </row>
    <row r="467" spans="7:46">
      <c r="G467" s="112"/>
      <c r="O467" s="53"/>
      <c r="P467" s="53"/>
      <c r="Q467" s="53"/>
      <c r="S467" s="53"/>
      <c r="T467" s="53"/>
      <c r="U467" s="53"/>
      <c r="V467" s="53"/>
      <c r="AM467" s="58"/>
      <c r="AN467" s="58"/>
      <c r="AO467" s="58"/>
      <c r="AP467" s="58"/>
      <c r="AQ467" s="58"/>
      <c r="AR467" s="58"/>
      <c r="AS467" s="58"/>
      <c r="AT467" s="58"/>
    </row>
    <row r="468" spans="7:46">
      <c r="G468" s="112"/>
      <c r="O468" s="53"/>
      <c r="P468" s="53"/>
      <c r="Q468" s="53"/>
      <c r="S468" s="53"/>
      <c r="T468" s="53"/>
      <c r="U468" s="53"/>
      <c r="V468" s="53"/>
      <c r="AM468" s="58"/>
      <c r="AN468" s="58"/>
      <c r="AO468" s="58"/>
      <c r="AP468" s="58"/>
      <c r="AQ468" s="58"/>
      <c r="AR468" s="58"/>
      <c r="AS468" s="58"/>
      <c r="AT468" s="58"/>
    </row>
    <row r="469" spans="7:46">
      <c r="G469" s="112"/>
      <c r="O469" s="53"/>
      <c r="P469" s="53"/>
      <c r="Q469" s="53"/>
      <c r="S469" s="53"/>
      <c r="T469" s="53"/>
      <c r="U469" s="53"/>
      <c r="V469" s="53"/>
      <c r="AM469" s="58"/>
      <c r="AN469" s="58"/>
      <c r="AO469" s="58"/>
      <c r="AP469" s="58"/>
      <c r="AQ469" s="58"/>
      <c r="AR469" s="58"/>
      <c r="AS469" s="58"/>
      <c r="AT469" s="58"/>
    </row>
    <row r="470" spans="7:46">
      <c r="G470" s="112"/>
      <c r="O470" s="53"/>
      <c r="P470" s="53"/>
      <c r="Q470" s="53"/>
      <c r="S470" s="53"/>
      <c r="T470" s="53"/>
      <c r="U470" s="53"/>
      <c r="V470" s="53"/>
      <c r="AM470" s="58"/>
      <c r="AN470" s="58"/>
      <c r="AO470" s="58"/>
      <c r="AP470" s="58"/>
      <c r="AQ470" s="58"/>
      <c r="AR470" s="58"/>
      <c r="AS470" s="58"/>
      <c r="AT470" s="58"/>
    </row>
    <row r="471" spans="7:46">
      <c r="G471" s="112"/>
      <c r="O471" s="53"/>
      <c r="P471" s="53"/>
      <c r="Q471" s="53"/>
      <c r="S471" s="53"/>
      <c r="T471" s="53"/>
      <c r="U471" s="53"/>
      <c r="V471" s="53"/>
      <c r="AM471" s="58"/>
      <c r="AN471" s="58"/>
      <c r="AO471" s="58"/>
      <c r="AP471" s="58"/>
      <c r="AQ471" s="58"/>
      <c r="AR471" s="58"/>
      <c r="AS471" s="58"/>
      <c r="AT471" s="58"/>
    </row>
    <row r="472" spans="7:46">
      <c r="G472" s="112"/>
      <c r="O472" s="53"/>
      <c r="P472" s="53"/>
      <c r="Q472" s="53"/>
      <c r="S472" s="53"/>
      <c r="T472" s="53"/>
      <c r="U472" s="53"/>
      <c r="V472" s="53"/>
      <c r="AM472" s="58"/>
      <c r="AN472" s="58"/>
      <c r="AO472" s="58"/>
      <c r="AP472" s="58"/>
      <c r="AQ472" s="58"/>
      <c r="AR472" s="58"/>
      <c r="AS472" s="58"/>
      <c r="AT472" s="58"/>
    </row>
    <row r="473" spans="7:46">
      <c r="G473" s="112"/>
      <c r="O473" s="53"/>
      <c r="P473" s="53"/>
      <c r="Q473" s="53"/>
      <c r="S473" s="53"/>
      <c r="T473" s="53"/>
      <c r="U473" s="53"/>
      <c r="V473" s="53"/>
      <c r="AM473" s="58"/>
      <c r="AN473" s="58"/>
      <c r="AO473" s="58"/>
      <c r="AP473" s="58"/>
      <c r="AQ473" s="58"/>
      <c r="AR473" s="58"/>
      <c r="AS473" s="58"/>
      <c r="AT473" s="58"/>
    </row>
    <row r="474" spans="7:46">
      <c r="G474" s="112"/>
      <c r="O474" s="53"/>
      <c r="P474" s="53"/>
      <c r="Q474" s="53"/>
      <c r="S474" s="53"/>
      <c r="T474" s="53"/>
      <c r="U474" s="53"/>
      <c r="V474" s="53"/>
      <c r="AM474" s="58"/>
      <c r="AN474" s="58"/>
      <c r="AO474" s="58"/>
      <c r="AP474" s="58"/>
      <c r="AQ474" s="58"/>
      <c r="AR474" s="58"/>
      <c r="AS474" s="58"/>
      <c r="AT474" s="58"/>
    </row>
    <row r="475" spans="7:46">
      <c r="G475" s="112"/>
      <c r="O475" s="53"/>
      <c r="P475" s="53"/>
      <c r="Q475" s="53"/>
      <c r="S475" s="53"/>
      <c r="T475" s="53"/>
      <c r="U475" s="53"/>
      <c r="V475" s="53"/>
      <c r="AM475" s="58"/>
      <c r="AN475" s="58"/>
      <c r="AO475" s="58"/>
      <c r="AP475" s="58"/>
      <c r="AQ475" s="58"/>
      <c r="AR475" s="58"/>
      <c r="AS475" s="58"/>
      <c r="AT475" s="58"/>
    </row>
    <row r="476" spans="7:46">
      <c r="G476" s="112"/>
      <c r="O476" s="53"/>
      <c r="P476" s="53"/>
      <c r="Q476" s="53"/>
      <c r="S476" s="53"/>
      <c r="T476" s="53"/>
      <c r="U476" s="53"/>
      <c r="V476" s="53"/>
      <c r="AM476" s="58"/>
      <c r="AN476" s="58"/>
      <c r="AO476" s="58"/>
      <c r="AP476" s="58"/>
      <c r="AQ476" s="58"/>
      <c r="AR476" s="58"/>
      <c r="AS476" s="58"/>
      <c r="AT476" s="58"/>
    </row>
    <row r="477" spans="7:46">
      <c r="G477" s="112"/>
      <c r="O477" s="53"/>
      <c r="P477" s="53"/>
      <c r="Q477" s="53"/>
      <c r="S477" s="53"/>
      <c r="T477" s="53"/>
      <c r="U477" s="53"/>
      <c r="V477" s="53"/>
      <c r="AM477" s="58"/>
      <c r="AN477" s="58"/>
      <c r="AO477" s="58"/>
      <c r="AP477" s="58"/>
      <c r="AQ477" s="58"/>
      <c r="AR477" s="58"/>
      <c r="AS477" s="58"/>
      <c r="AT477" s="58"/>
    </row>
    <row r="478" spans="7:46">
      <c r="G478" s="112"/>
      <c r="O478" s="53"/>
      <c r="P478" s="53"/>
      <c r="Q478" s="53"/>
      <c r="S478" s="53"/>
      <c r="T478" s="53"/>
      <c r="U478" s="53"/>
      <c r="V478" s="53"/>
      <c r="AM478" s="58"/>
      <c r="AN478" s="58"/>
      <c r="AO478" s="58"/>
      <c r="AP478" s="58"/>
      <c r="AQ478" s="58"/>
      <c r="AR478" s="58"/>
      <c r="AS478" s="58"/>
      <c r="AT478" s="58"/>
    </row>
    <row r="479" spans="7:46">
      <c r="G479" s="112"/>
      <c r="O479" s="53"/>
      <c r="P479" s="53"/>
      <c r="Q479" s="53"/>
      <c r="S479" s="53"/>
      <c r="T479" s="53"/>
      <c r="U479" s="53"/>
      <c r="V479" s="53"/>
      <c r="AM479" s="58"/>
      <c r="AN479" s="58"/>
      <c r="AO479" s="58"/>
      <c r="AP479" s="58"/>
      <c r="AQ479" s="58"/>
      <c r="AR479" s="58"/>
      <c r="AS479" s="58"/>
      <c r="AT479" s="58"/>
    </row>
    <row r="480" spans="7:46">
      <c r="G480" s="112"/>
      <c r="O480" s="53"/>
      <c r="P480" s="53"/>
      <c r="Q480" s="53"/>
      <c r="S480" s="53"/>
      <c r="T480" s="53"/>
      <c r="U480" s="53"/>
      <c r="V480" s="53"/>
      <c r="AM480" s="58"/>
      <c r="AN480" s="58"/>
      <c r="AO480" s="58"/>
      <c r="AP480" s="58"/>
      <c r="AQ480" s="58"/>
      <c r="AR480" s="58"/>
      <c r="AS480" s="58"/>
      <c r="AT480" s="58"/>
    </row>
    <row r="481" spans="7:46">
      <c r="G481" s="112"/>
      <c r="O481" s="53"/>
      <c r="P481" s="53"/>
      <c r="Q481" s="53"/>
      <c r="S481" s="53"/>
      <c r="T481" s="53"/>
      <c r="U481" s="53"/>
      <c r="V481" s="53"/>
      <c r="AM481" s="58"/>
      <c r="AN481" s="58"/>
      <c r="AO481" s="58"/>
      <c r="AP481" s="58"/>
      <c r="AQ481" s="58"/>
      <c r="AR481" s="58"/>
      <c r="AS481" s="58"/>
      <c r="AT481" s="58"/>
    </row>
    <row r="482" spans="7:46">
      <c r="G482" s="112"/>
      <c r="O482" s="53"/>
      <c r="P482" s="53"/>
      <c r="Q482" s="53"/>
      <c r="S482" s="53"/>
      <c r="T482" s="53"/>
      <c r="U482" s="53"/>
      <c r="V482" s="53"/>
      <c r="AM482" s="58"/>
      <c r="AN482" s="58"/>
      <c r="AO482" s="58"/>
      <c r="AP482" s="58"/>
      <c r="AQ482" s="58"/>
      <c r="AR482" s="58"/>
      <c r="AS482" s="58"/>
      <c r="AT482" s="58"/>
    </row>
    <row r="483" spans="7:46">
      <c r="G483" s="112"/>
      <c r="O483" s="53"/>
      <c r="P483" s="53"/>
      <c r="Q483" s="53"/>
      <c r="S483" s="53"/>
      <c r="T483" s="53"/>
      <c r="U483" s="53"/>
      <c r="V483" s="53"/>
      <c r="AM483" s="58"/>
      <c r="AN483" s="58"/>
      <c r="AO483" s="58"/>
      <c r="AP483" s="58"/>
      <c r="AQ483" s="58"/>
      <c r="AR483" s="58"/>
      <c r="AS483" s="58"/>
      <c r="AT483" s="58"/>
    </row>
    <row r="484" spans="7:46">
      <c r="G484" s="112"/>
      <c r="O484" s="53"/>
      <c r="P484" s="53"/>
      <c r="Q484" s="53"/>
      <c r="S484" s="53"/>
      <c r="T484" s="53"/>
      <c r="U484" s="53"/>
      <c r="V484" s="53"/>
      <c r="AM484" s="58"/>
      <c r="AN484" s="58"/>
      <c r="AO484" s="58"/>
      <c r="AP484" s="58"/>
      <c r="AQ484" s="58"/>
      <c r="AR484" s="58"/>
      <c r="AS484" s="58"/>
      <c r="AT484" s="58"/>
    </row>
    <row r="485" spans="7:46">
      <c r="G485" s="112"/>
      <c r="O485" s="53"/>
      <c r="P485" s="53"/>
      <c r="Q485" s="53"/>
      <c r="S485" s="53"/>
      <c r="T485" s="53"/>
      <c r="U485" s="53"/>
      <c r="V485" s="53"/>
      <c r="AM485" s="58"/>
      <c r="AN485" s="58"/>
      <c r="AO485" s="58"/>
      <c r="AP485" s="58"/>
      <c r="AQ485" s="58"/>
      <c r="AR485" s="58"/>
      <c r="AS485" s="58"/>
      <c r="AT485" s="58"/>
    </row>
    <row r="486" spans="7:46">
      <c r="G486" s="112"/>
      <c r="O486" s="53"/>
      <c r="P486" s="53"/>
      <c r="Q486" s="53"/>
      <c r="S486" s="53"/>
      <c r="T486" s="53"/>
      <c r="U486" s="53"/>
      <c r="V486" s="53"/>
      <c r="AM486" s="58"/>
      <c r="AN486" s="58"/>
      <c r="AO486" s="58"/>
      <c r="AP486" s="58"/>
      <c r="AQ486" s="58"/>
      <c r="AR486" s="58"/>
      <c r="AS486" s="58"/>
      <c r="AT486" s="58"/>
    </row>
    <row r="487" spans="7:46">
      <c r="G487" s="112"/>
      <c r="O487" s="53"/>
      <c r="P487" s="53"/>
      <c r="Q487" s="53"/>
      <c r="S487" s="53"/>
      <c r="T487" s="53"/>
      <c r="U487" s="53"/>
      <c r="V487" s="53"/>
      <c r="AM487" s="58"/>
      <c r="AN487" s="58"/>
      <c r="AO487" s="58"/>
      <c r="AP487" s="58"/>
      <c r="AQ487" s="58"/>
      <c r="AR487" s="58"/>
      <c r="AS487" s="58"/>
      <c r="AT487" s="58"/>
    </row>
    <row r="488" spans="7:46">
      <c r="G488" s="112"/>
      <c r="O488" s="53"/>
      <c r="P488" s="53"/>
      <c r="Q488" s="53"/>
      <c r="S488" s="53"/>
      <c r="T488" s="53"/>
      <c r="U488" s="53"/>
      <c r="V488" s="53"/>
      <c r="AM488" s="58"/>
      <c r="AN488" s="58"/>
      <c r="AO488" s="58"/>
      <c r="AP488" s="58"/>
      <c r="AQ488" s="58"/>
      <c r="AR488" s="58"/>
      <c r="AS488" s="58"/>
      <c r="AT488" s="58"/>
    </row>
    <row r="489" spans="7:46">
      <c r="G489" s="112"/>
      <c r="O489" s="53"/>
      <c r="P489" s="53"/>
      <c r="Q489" s="53"/>
      <c r="S489" s="53"/>
      <c r="T489" s="53"/>
      <c r="U489" s="53"/>
      <c r="V489" s="53"/>
      <c r="AM489" s="58"/>
      <c r="AN489" s="58"/>
      <c r="AO489" s="58"/>
      <c r="AP489" s="58"/>
      <c r="AQ489" s="58"/>
      <c r="AR489" s="58"/>
      <c r="AS489" s="58"/>
      <c r="AT489" s="58"/>
    </row>
    <row r="490" spans="7:46">
      <c r="G490" s="112"/>
      <c r="O490" s="53"/>
      <c r="P490" s="53"/>
      <c r="Q490" s="53"/>
      <c r="S490" s="53"/>
      <c r="T490" s="53"/>
      <c r="U490" s="53"/>
      <c r="V490" s="53"/>
      <c r="AM490" s="58"/>
      <c r="AN490" s="58"/>
      <c r="AO490" s="58"/>
      <c r="AP490" s="58"/>
      <c r="AQ490" s="58"/>
      <c r="AR490" s="58"/>
      <c r="AS490" s="58"/>
      <c r="AT490" s="58"/>
    </row>
    <row r="491" spans="7:46">
      <c r="G491" s="112"/>
      <c r="O491" s="53"/>
      <c r="P491" s="53"/>
      <c r="Q491" s="53"/>
      <c r="S491" s="53"/>
      <c r="T491" s="53"/>
      <c r="U491" s="53"/>
      <c r="V491" s="53"/>
      <c r="AM491" s="58"/>
      <c r="AN491" s="58"/>
      <c r="AO491" s="58"/>
      <c r="AP491" s="58"/>
      <c r="AQ491" s="58"/>
      <c r="AR491" s="58"/>
      <c r="AS491" s="58"/>
      <c r="AT491" s="58"/>
    </row>
    <row r="492" spans="7:46">
      <c r="G492" s="112"/>
      <c r="O492" s="53"/>
      <c r="P492" s="53"/>
      <c r="Q492" s="53"/>
      <c r="S492" s="53"/>
      <c r="T492" s="53"/>
      <c r="U492" s="53"/>
      <c r="V492" s="53"/>
      <c r="AM492" s="58"/>
      <c r="AN492" s="58"/>
      <c r="AO492" s="58"/>
      <c r="AP492" s="58"/>
      <c r="AQ492" s="58"/>
      <c r="AR492" s="58"/>
      <c r="AS492" s="58"/>
      <c r="AT492" s="58"/>
    </row>
    <row r="493" spans="7:46">
      <c r="G493" s="112"/>
      <c r="O493" s="53"/>
      <c r="P493" s="53"/>
      <c r="Q493" s="53"/>
      <c r="S493" s="53"/>
      <c r="T493" s="53"/>
      <c r="U493" s="53"/>
      <c r="V493" s="53"/>
      <c r="AM493" s="58"/>
      <c r="AN493" s="58"/>
      <c r="AO493" s="58"/>
      <c r="AP493" s="58"/>
      <c r="AQ493" s="58"/>
      <c r="AR493" s="58"/>
      <c r="AS493" s="58"/>
      <c r="AT493" s="58"/>
    </row>
    <row r="494" spans="7:46">
      <c r="G494" s="112"/>
      <c r="O494" s="53"/>
      <c r="P494" s="53"/>
      <c r="Q494" s="53"/>
      <c r="S494" s="53"/>
      <c r="T494" s="53"/>
      <c r="U494" s="53"/>
      <c r="V494" s="53"/>
      <c r="AM494" s="58"/>
      <c r="AN494" s="58"/>
      <c r="AO494" s="58"/>
      <c r="AP494" s="58"/>
      <c r="AQ494" s="58"/>
      <c r="AR494" s="58"/>
      <c r="AS494" s="58"/>
      <c r="AT494" s="58"/>
    </row>
    <row r="495" spans="7:46">
      <c r="G495" s="112"/>
      <c r="O495" s="53"/>
      <c r="P495" s="53"/>
      <c r="Q495" s="53"/>
      <c r="S495" s="53"/>
      <c r="T495" s="53"/>
      <c r="U495" s="53"/>
      <c r="V495" s="53"/>
      <c r="AM495" s="58"/>
      <c r="AN495" s="58"/>
      <c r="AO495" s="58"/>
      <c r="AP495" s="58"/>
      <c r="AQ495" s="58"/>
      <c r="AR495" s="58"/>
      <c r="AS495" s="58"/>
      <c r="AT495" s="58"/>
    </row>
    <row r="496" spans="7:46">
      <c r="G496" s="112"/>
      <c r="O496" s="53"/>
      <c r="P496" s="53"/>
      <c r="Q496" s="53"/>
      <c r="S496" s="53"/>
      <c r="T496" s="53"/>
      <c r="U496" s="53"/>
      <c r="V496" s="53"/>
      <c r="AM496" s="58"/>
      <c r="AN496" s="58"/>
      <c r="AO496" s="58"/>
      <c r="AP496" s="58"/>
      <c r="AQ496" s="58"/>
      <c r="AR496" s="58"/>
      <c r="AS496" s="58"/>
      <c r="AT496" s="58"/>
    </row>
    <row r="497" spans="7:46">
      <c r="G497" s="112"/>
      <c r="O497" s="53"/>
      <c r="P497" s="53"/>
      <c r="Q497" s="53"/>
      <c r="S497" s="53"/>
      <c r="T497" s="53"/>
      <c r="U497" s="53"/>
      <c r="V497" s="53"/>
      <c r="AM497" s="58"/>
      <c r="AN497" s="58"/>
      <c r="AO497" s="58"/>
      <c r="AP497" s="58"/>
      <c r="AQ497" s="58"/>
      <c r="AR497" s="58"/>
      <c r="AS497" s="58"/>
      <c r="AT497" s="58"/>
    </row>
    <row r="498" spans="7:46">
      <c r="G498" s="112"/>
      <c r="O498" s="53"/>
      <c r="P498" s="53"/>
      <c r="Q498" s="53"/>
      <c r="S498" s="53"/>
      <c r="T498" s="53"/>
      <c r="U498" s="53"/>
      <c r="V498" s="53"/>
      <c r="AM498" s="58"/>
      <c r="AN498" s="58"/>
      <c r="AO498" s="58"/>
      <c r="AP498" s="58"/>
      <c r="AQ498" s="58"/>
      <c r="AR498" s="58"/>
      <c r="AS498" s="58"/>
      <c r="AT498" s="58"/>
    </row>
    <row r="499" spans="7:46">
      <c r="G499" s="112"/>
      <c r="O499" s="53"/>
      <c r="P499" s="53"/>
      <c r="Q499" s="53"/>
      <c r="S499" s="53"/>
      <c r="T499" s="53"/>
      <c r="U499" s="53"/>
      <c r="V499" s="53"/>
      <c r="AM499" s="58"/>
      <c r="AN499" s="58"/>
      <c r="AO499" s="58"/>
      <c r="AP499" s="58"/>
      <c r="AQ499" s="58"/>
      <c r="AR499" s="58"/>
      <c r="AS499" s="58"/>
      <c r="AT499" s="58"/>
    </row>
    <row r="500" spans="7:46">
      <c r="G500" s="112"/>
      <c r="O500" s="53"/>
      <c r="P500" s="53"/>
      <c r="Q500" s="53"/>
      <c r="S500" s="53"/>
      <c r="T500" s="53"/>
      <c r="U500" s="53"/>
      <c r="V500" s="53"/>
      <c r="AM500" s="58"/>
      <c r="AN500" s="58"/>
      <c r="AO500" s="58"/>
      <c r="AP500" s="58"/>
      <c r="AQ500" s="58"/>
      <c r="AR500" s="58"/>
      <c r="AS500" s="58"/>
      <c r="AT500" s="58"/>
    </row>
    <row r="501" spans="7:46">
      <c r="G501" s="112"/>
      <c r="O501" s="53"/>
      <c r="P501" s="53"/>
      <c r="Q501" s="53"/>
      <c r="S501" s="53"/>
      <c r="T501" s="53"/>
      <c r="U501" s="53"/>
      <c r="V501" s="53"/>
      <c r="AM501" s="58"/>
      <c r="AN501" s="58"/>
      <c r="AO501" s="58"/>
      <c r="AP501" s="58"/>
      <c r="AQ501" s="58"/>
      <c r="AR501" s="58"/>
      <c r="AS501" s="58"/>
      <c r="AT501" s="58"/>
    </row>
    <row r="502" spans="7:46">
      <c r="G502" s="112"/>
      <c r="O502" s="53"/>
      <c r="P502" s="53"/>
      <c r="Q502" s="53"/>
      <c r="S502" s="53"/>
      <c r="T502" s="53"/>
      <c r="U502" s="53"/>
      <c r="V502" s="53"/>
      <c r="AM502" s="58"/>
      <c r="AN502" s="58"/>
      <c r="AO502" s="58"/>
      <c r="AP502" s="58"/>
      <c r="AQ502" s="58"/>
      <c r="AR502" s="58"/>
      <c r="AS502" s="58"/>
      <c r="AT502" s="58"/>
    </row>
    <row r="503" spans="7:46">
      <c r="G503" s="112"/>
      <c r="O503" s="53"/>
      <c r="P503" s="53"/>
      <c r="Q503" s="53"/>
      <c r="S503" s="53"/>
      <c r="T503" s="53"/>
      <c r="U503" s="53"/>
      <c r="V503" s="53"/>
      <c r="AM503" s="58"/>
      <c r="AN503" s="58"/>
      <c r="AO503" s="58"/>
      <c r="AP503" s="58"/>
      <c r="AQ503" s="58"/>
      <c r="AR503" s="58"/>
      <c r="AS503" s="58"/>
      <c r="AT503" s="58"/>
    </row>
    <row r="504" spans="7:46">
      <c r="G504" s="112"/>
      <c r="O504" s="53"/>
      <c r="P504" s="53"/>
      <c r="Q504" s="53"/>
      <c r="S504" s="53"/>
      <c r="T504" s="53"/>
      <c r="U504" s="53"/>
      <c r="V504" s="53"/>
      <c r="AM504" s="58"/>
      <c r="AN504" s="58"/>
      <c r="AO504" s="58"/>
      <c r="AP504" s="58"/>
      <c r="AQ504" s="58"/>
      <c r="AR504" s="58"/>
      <c r="AS504" s="58"/>
      <c r="AT504" s="58"/>
    </row>
    <row r="505" spans="7:46">
      <c r="G505" s="112"/>
      <c r="O505" s="53"/>
      <c r="P505" s="53"/>
      <c r="Q505" s="53"/>
      <c r="S505" s="53"/>
      <c r="T505" s="53"/>
      <c r="U505" s="53"/>
      <c r="V505" s="53"/>
      <c r="AM505" s="58"/>
      <c r="AN505" s="58"/>
      <c r="AO505" s="58"/>
      <c r="AP505" s="58"/>
      <c r="AQ505" s="58"/>
      <c r="AR505" s="58"/>
      <c r="AS505" s="58"/>
      <c r="AT505" s="58"/>
    </row>
    <row r="506" spans="7:46">
      <c r="G506" s="112"/>
      <c r="O506" s="53"/>
      <c r="P506" s="53"/>
      <c r="Q506" s="53"/>
      <c r="S506" s="53"/>
      <c r="T506" s="53"/>
      <c r="U506" s="53"/>
      <c r="V506" s="53"/>
      <c r="AM506" s="58"/>
      <c r="AN506" s="58"/>
      <c r="AO506" s="58"/>
      <c r="AP506" s="58"/>
      <c r="AQ506" s="58"/>
      <c r="AR506" s="58"/>
      <c r="AS506" s="58"/>
      <c r="AT506" s="58"/>
    </row>
    <row r="507" spans="7:46">
      <c r="G507" s="112"/>
      <c r="O507" s="53"/>
      <c r="P507" s="53"/>
      <c r="Q507" s="53"/>
      <c r="S507" s="53"/>
      <c r="T507" s="53"/>
      <c r="U507" s="53"/>
      <c r="V507" s="53"/>
      <c r="AM507" s="58"/>
      <c r="AN507" s="58"/>
      <c r="AO507" s="58"/>
      <c r="AP507" s="58"/>
      <c r="AQ507" s="58"/>
      <c r="AR507" s="58"/>
      <c r="AS507" s="58"/>
      <c r="AT507" s="58"/>
    </row>
    <row r="508" spans="7:46">
      <c r="G508" s="112"/>
      <c r="O508" s="53"/>
      <c r="P508" s="53"/>
      <c r="Q508" s="53"/>
      <c r="S508" s="53"/>
      <c r="T508" s="53"/>
      <c r="U508" s="53"/>
      <c r="V508" s="53"/>
      <c r="AM508" s="58"/>
      <c r="AN508" s="58"/>
      <c r="AO508" s="58"/>
      <c r="AP508" s="58"/>
      <c r="AQ508" s="58"/>
      <c r="AR508" s="58"/>
      <c r="AS508" s="58"/>
      <c r="AT508" s="58"/>
    </row>
    <row r="509" spans="7:46">
      <c r="G509" s="112"/>
      <c r="O509" s="53"/>
      <c r="P509" s="53"/>
      <c r="Q509" s="53"/>
      <c r="S509" s="53"/>
      <c r="T509" s="53"/>
      <c r="U509" s="53"/>
      <c r="V509" s="53"/>
      <c r="AM509" s="58"/>
      <c r="AN509" s="58"/>
      <c r="AO509" s="58"/>
      <c r="AP509" s="58"/>
      <c r="AQ509" s="58"/>
      <c r="AR509" s="58"/>
      <c r="AS509" s="58"/>
      <c r="AT509" s="58"/>
    </row>
    <row r="510" spans="7:46">
      <c r="G510" s="112"/>
      <c r="O510" s="53"/>
      <c r="P510" s="53"/>
      <c r="Q510" s="53"/>
      <c r="S510" s="53"/>
      <c r="T510" s="53"/>
      <c r="U510" s="53"/>
      <c r="V510" s="53"/>
      <c r="AM510" s="58"/>
      <c r="AN510" s="58"/>
      <c r="AO510" s="58"/>
      <c r="AP510" s="58"/>
      <c r="AQ510" s="58"/>
      <c r="AR510" s="58"/>
      <c r="AS510" s="58"/>
      <c r="AT510" s="58"/>
    </row>
    <row r="511" spans="7:46">
      <c r="G511" s="112"/>
      <c r="O511" s="53"/>
      <c r="P511" s="53"/>
      <c r="Q511" s="53"/>
      <c r="S511" s="53"/>
      <c r="T511" s="53"/>
      <c r="U511" s="53"/>
      <c r="V511" s="53"/>
      <c r="AM511" s="58"/>
      <c r="AN511" s="58"/>
      <c r="AO511" s="58"/>
      <c r="AP511" s="58"/>
      <c r="AQ511" s="58"/>
      <c r="AR511" s="58"/>
      <c r="AS511" s="58"/>
      <c r="AT511" s="58"/>
    </row>
    <row r="512" spans="7:46">
      <c r="G512" s="112"/>
      <c r="O512" s="53"/>
      <c r="P512" s="53"/>
      <c r="Q512" s="53"/>
      <c r="S512" s="53"/>
      <c r="T512" s="53"/>
      <c r="U512" s="53"/>
      <c r="V512" s="53"/>
      <c r="AM512" s="58"/>
      <c r="AN512" s="58"/>
      <c r="AO512" s="58"/>
      <c r="AP512" s="58"/>
      <c r="AQ512" s="58"/>
      <c r="AR512" s="58"/>
      <c r="AS512" s="58"/>
      <c r="AT512" s="58"/>
    </row>
    <row r="513" spans="7:46">
      <c r="G513" s="112"/>
      <c r="O513" s="53"/>
      <c r="P513" s="53"/>
      <c r="Q513" s="53"/>
      <c r="S513" s="53"/>
      <c r="T513" s="53"/>
      <c r="U513" s="53"/>
      <c r="V513" s="53"/>
      <c r="AM513" s="58"/>
      <c r="AN513" s="58"/>
      <c r="AO513" s="58"/>
      <c r="AP513" s="58"/>
      <c r="AQ513" s="58"/>
      <c r="AR513" s="58"/>
      <c r="AS513" s="58"/>
      <c r="AT513" s="58"/>
    </row>
    <row r="514" spans="7:46">
      <c r="G514" s="112"/>
      <c r="O514" s="53"/>
      <c r="P514" s="53"/>
      <c r="Q514" s="53"/>
      <c r="S514" s="53"/>
      <c r="T514" s="53"/>
      <c r="U514" s="53"/>
      <c r="V514" s="53"/>
      <c r="AM514" s="58"/>
      <c r="AN514" s="58"/>
      <c r="AO514" s="58"/>
      <c r="AP514" s="58"/>
      <c r="AQ514" s="58"/>
      <c r="AR514" s="58"/>
      <c r="AS514" s="58"/>
      <c r="AT514" s="58"/>
    </row>
    <row r="515" spans="7:46">
      <c r="G515" s="112"/>
      <c r="O515" s="53"/>
      <c r="P515" s="53"/>
      <c r="Q515" s="53"/>
      <c r="S515" s="53"/>
      <c r="T515" s="53"/>
      <c r="U515" s="53"/>
      <c r="V515" s="53"/>
      <c r="AM515" s="58"/>
      <c r="AN515" s="58"/>
      <c r="AO515" s="58"/>
      <c r="AP515" s="58"/>
      <c r="AQ515" s="58"/>
      <c r="AR515" s="58"/>
      <c r="AS515" s="58"/>
      <c r="AT515" s="58"/>
    </row>
    <row r="516" spans="7:46">
      <c r="G516" s="112"/>
      <c r="O516" s="53"/>
      <c r="P516" s="53"/>
      <c r="Q516" s="53"/>
      <c r="S516" s="53"/>
      <c r="T516" s="53"/>
      <c r="U516" s="53"/>
      <c r="V516" s="53"/>
      <c r="AM516" s="58"/>
      <c r="AN516" s="58"/>
      <c r="AO516" s="58"/>
      <c r="AP516" s="58"/>
      <c r="AQ516" s="58"/>
      <c r="AR516" s="58"/>
      <c r="AS516" s="58"/>
      <c r="AT516" s="58"/>
    </row>
    <row r="517" spans="7:46">
      <c r="G517" s="112"/>
      <c r="O517" s="53"/>
      <c r="P517" s="53"/>
      <c r="Q517" s="53"/>
      <c r="S517" s="53"/>
      <c r="T517" s="53"/>
      <c r="U517" s="53"/>
      <c r="V517" s="53"/>
      <c r="AM517" s="58"/>
      <c r="AN517" s="58"/>
      <c r="AO517" s="58"/>
      <c r="AP517" s="58"/>
      <c r="AQ517" s="58"/>
      <c r="AR517" s="58"/>
      <c r="AS517" s="58"/>
      <c r="AT517" s="58"/>
    </row>
    <row r="518" spans="7:46">
      <c r="G518" s="112"/>
      <c r="O518" s="53"/>
      <c r="P518" s="53"/>
      <c r="Q518" s="53"/>
      <c r="S518" s="53"/>
      <c r="T518" s="53"/>
      <c r="U518" s="53"/>
      <c r="V518" s="53"/>
      <c r="AM518" s="58"/>
      <c r="AN518" s="58"/>
      <c r="AO518" s="58"/>
      <c r="AP518" s="58"/>
      <c r="AQ518" s="58"/>
      <c r="AR518" s="58"/>
      <c r="AS518" s="58"/>
      <c r="AT518" s="58"/>
    </row>
    <row r="519" spans="7:46">
      <c r="G519" s="112"/>
      <c r="O519" s="53"/>
      <c r="P519" s="53"/>
      <c r="Q519" s="53"/>
      <c r="S519" s="53"/>
      <c r="T519" s="53"/>
      <c r="U519" s="53"/>
      <c r="V519" s="53"/>
      <c r="AM519" s="58"/>
      <c r="AN519" s="58"/>
      <c r="AO519" s="58"/>
      <c r="AP519" s="58"/>
      <c r="AQ519" s="58"/>
      <c r="AR519" s="58"/>
      <c r="AS519" s="58"/>
      <c r="AT519" s="58"/>
    </row>
    <row r="520" spans="7:46">
      <c r="G520" s="112"/>
      <c r="O520" s="53"/>
      <c r="P520" s="53"/>
      <c r="Q520" s="53"/>
      <c r="S520" s="53"/>
      <c r="T520" s="53"/>
      <c r="U520" s="53"/>
      <c r="V520" s="53"/>
      <c r="AM520" s="58"/>
      <c r="AN520" s="58"/>
      <c r="AO520" s="58"/>
      <c r="AP520" s="58"/>
      <c r="AQ520" s="58"/>
      <c r="AR520" s="58"/>
      <c r="AS520" s="58"/>
      <c r="AT520" s="58"/>
    </row>
    <row r="521" spans="7:46">
      <c r="G521" s="112"/>
      <c r="O521" s="53"/>
      <c r="P521" s="53"/>
      <c r="Q521" s="53"/>
      <c r="S521" s="53"/>
      <c r="T521" s="53"/>
      <c r="U521" s="53"/>
      <c r="V521" s="53"/>
      <c r="AM521" s="58"/>
      <c r="AN521" s="58"/>
      <c r="AO521" s="58"/>
      <c r="AP521" s="58"/>
      <c r="AQ521" s="58"/>
      <c r="AR521" s="58"/>
      <c r="AS521" s="58"/>
      <c r="AT521" s="58"/>
    </row>
    <row r="522" spans="7:46">
      <c r="G522" s="112"/>
      <c r="O522" s="53"/>
      <c r="P522" s="53"/>
      <c r="Q522" s="53"/>
      <c r="S522" s="53"/>
      <c r="T522" s="53"/>
      <c r="U522" s="53"/>
      <c r="V522" s="53"/>
      <c r="AM522" s="58"/>
      <c r="AN522" s="58"/>
      <c r="AO522" s="58"/>
      <c r="AP522" s="58"/>
      <c r="AQ522" s="58"/>
      <c r="AR522" s="58"/>
      <c r="AS522" s="58"/>
      <c r="AT522" s="58"/>
    </row>
    <row r="523" spans="7:46">
      <c r="G523" s="112"/>
      <c r="O523" s="53"/>
      <c r="P523" s="53"/>
      <c r="Q523" s="53"/>
      <c r="S523" s="53"/>
      <c r="T523" s="53"/>
      <c r="U523" s="53"/>
      <c r="V523" s="53"/>
      <c r="AM523" s="58"/>
      <c r="AN523" s="58"/>
      <c r="AO523" s="58"/>
      <c r="AP523" s="58"/>
      <c r="AQ523" s="58"/>
      <c r="AR523" s="58"/>
      <c r="AS523" s="58"/>
      <c r="AT523" s="58"/>
    </row>
    <row r="524" spans="7:46">
      <c r="G524" s="112"/>
      <c r="O524" s="53"/>
      <c r="P524" s="53"/>
      <c r="Q524" s="53"/>
      <c r="S524" s="53"/>
      <c r="T524" s="53"/>
      <c r="U524" s="53"/>
      <c r="V524" s="53"/>
      <c r="AM524" s="58"/>
      <c r="AN524" s="58"/>
      <c r="AO524" s="58"/>
      <c r="AP524" s="58"/>
      <c r="AQ524" s="58"/>
      <c r="AR524" s="58"/>
      <c r="AS524" s="58"/>
      <c r="AT524" s="58"/>
    </row>
    <row r="525" spans="7:46">
      <c r="G525" s="112"/>
      <c r="O525" s="53"/>
      <c r="P525" s="53"/>
      <c r="Q525" s="53"/>
      <c r="S525" s="53"/>
      <c r="T525" s="53"/>
      <c r="U525" s="53"/>
      <c r="V525" s="53"/>
      <c r="AM525" s="58"/>
      <c r="AN525" s="58"/>
      <c r="AO525" s="58"/>
      <c r="AP525" s="58"/>
      <c r="AQ525" s="58"/>
      <c r="AR525" s="58"/>
      <c r="AS525" s="58"/>
      <c r="AT525" s="58"/>
    </row>
    <row r="526" spans="7:46">
      <c r="G526" s="112"/>
      <c r="O526" s="53"/>
      <c r="P526" s="53"/>
      <c r="Q526" s="53"/>
      <c r="S526" s="53"/>
      <c r="T526" s="53"/>
      <c r="U526" s="53"/>
      <c r="V526" s="53"/>
      <c r="AM526" s="58"/>
      <c r="AN526" s="58"/>
      <c r="AO526" s="58"/>
      <c r="AP526" s="58"/>
      <c r="AQ526" s="58"/>
      <c r="AR526" s="58"/>
      <c r="AS526" s="58"/>
      <c r="AT526" s="58"/>
    </row>
    <row r="527" spans="7:46">
      <c r="G527" s="112"/>
      <c r="O527" s="53"/>
      <c r="P527" s="53"/>
      <c r="Q527" s="53"/>
      <c r="S527" s="53"/>
      <c r="T527" s="53"/>
      <c r="U527" s="53"/>
      <c r="V527" s="53"/>
      <c r="AM527" s="58"/>
      <c r="AN527" s="58"/>
      <c r="AO527" s="58"/>
      <c r="AP527" s="58"/>
      <c r="AQ527" s="58"/>
      <c r="AR527" s="58"/>
      <c r="AS527" s="58"/>
      <c r="AT527" s="58"/>
    </row>
    <row r="528" spans="7:46">
      <c r="G528" s="112"/>
      <c r="O528" s="53"/>
      <c r="P528" s="53"/>
      <c r="Q528" s="53"/>
      <c r="S528" s="53"/>
      <c r="T528" s="53"/>
      <c r="U528" s="53"/>
      <c r="V528" s="53"/>
      <c r="AM528" s="58"/>
      <c r="AN528" s="58"/>
      <c r="AO528" s="58"/>
      <c r="AP528" s="58"/>
      <c r="AQ528" s="58"/>
      <c r="AR528" s="58"/>
      <c r="AS528" s="58"/>
      <c r="AT528" s="58"/>
    </row>
    <row r="529" spans="7:46">
      <c r="G529" s="112"/>
      <c r="O529" s="53"/>
      <c r="P529" s="53"/>
      <c r="Q529" s="53"/>
      <c r="S529" s="53"/>
      <c r="T529" s="53"/>
      <c r="U529" s="53"/>
      <c r="V529" s="53"/>
      <c r="AM529" s="58"/>
      <c r="AN529" s="58"/>
      <c r="AO529" s="58"/>
      <c r="AP529" s="58"/>
      <c r="AQ529" s="58"/>
      <c r="AR529" s="58"/>
      <c r="AS529" s="58"/>
      <c r="AT529" s="58"/>
    </row>
    <row r="530" spans="7:46">
      <c r="G530" s="112"/>
      <c r="O530" s="53"/>
      <c r="P530" s="53"/>
      <c r="Q530" s="53"/>
      <c r="S530" s="53"/>
      <c r="T530" s="53"/>
      <c r="U530" s="53"/>
      <c r="V530" s="53"/>
      <c r="AM530" s="58"/>
      <c r="AN530" s="58"/>
      <c r="AO530" s="58"/>
      <c r="AP530" s="58"/>
      <c r="AQ530" s="58"/>
      <c r="AR530" s="58"/>
      <c r="AS530" s="58"/>
      <c r="AT530" s="58"/>
    </row>
    <row r="531" spans="7:46">
      <c r="G531" s="112"/>
      <c r="O531" s="53"/>
      <c r="P531" s="53"/>
      <c r="Q531" s="53"/>
      <c r="S531" s="53"/>
      <c r="T531" s="53"/>
      <c r="U531" s="53"/>
      <c r="V531" s="53"/>
      <c r="AM531" s="58"/>
      <c r="AN531" s="58"/>
      <c r="AO531" s="58"/>
      <c r="AP531" s="58"/>
      <c r="AQ531" s="58"/>
      <c r="AR531" s="58"/>
      <c r="AS531" s="58"/>
      <c r="AT531" s="58"/>
    </row>
    <row r="532" spans="7:46">
      <c r="G532" s="112"/>
      <c r="O532" s="53"/>
      <c r="P532" s="53"/>
      <c r="Q532" s="53"/>
      <c r="S532" s="53"/>
      <c r="T532" s="53"/>
      <c r="U532" s="53"/>
      <c r="V532" s="53"/>
      <c r="AM532" s="58"/>
      <c r="AN532" s="58"/>
      <c r="AO532" s="58"/>
      <c r="AP532" s="58"/>
      <c r="AQ532" s="58"/>
      <c r="AR532" s="58"/>
      <c r="AS532" s="58"/>
      <c r="AT532" s="58"/>
    </row>
    <row r="533" spans="7:46">
      <c r="G533" s="112"/>
      <c r="O533" s="53"/>
      <c r="P533" s="53"/>
      <c r="Q533" s="53"/>
      <c r="S533" s="53"/>
      <c r="T533" s="53"/>
      <c r="U533" s="53"/>
      <c r="V533" s="53"/>
      <c r="AM533" s="58"/>
      <c r="AN533" s="58"/>
      <c r="AO533" s="58"/>
      <c r="AP533" s="58"/>
      <c r="AQ533" s="58"/>
      <c r="AR533" s="58"/>
      <c r="AS533" s="58"/>
      <c r="AT533" s="58"/>
    </row>
    <row r="534" spans="7:46">
      <c r="G534" s="112"/>
      <c r="O534" s="53"/>
      <c r="P534" s="53"/>
      <c r="Q534" s="53"/>
      <c r="S534" s="53"/>
      <c r="T534" s="53"/>
      <c r="U534" s="53"/>
      <c r="V534" s="53"/>
      <c r="AM534" s="58"/>
      <c r="AN534" s="58"/>
      <c r="AO534" s="58"/>
      <c r="AP534" s="58"/>
      <c r="AQ534" s="58"/>
      <c r="AR534" s="58"/>
      <c r="AS534" s="58"/>
      <c r="AT534" s="58"/>
    </row>
    <row r="535" spans="7:46">
      <c r="G535" s="112"/>
      <c r="O535" s="53"/>
      <c r="P535" s="53"/>
      <c r="Q535" s="53"/>
      <c r="S535" s="53"/>
      <c r="T535" s="53"/>
      <c r="U535" s="53"/>
      <c r="V535" s="53"/>
      <c r="AM535" s="58"/>
      <c r="AN535" s="58"/>
      <c r="AO535" s="58"/>
      <c r="AP535" s="58"/>
      <c r="AQ535" s="58"/>
      <c r="AR535" s="58"/>
      <c r="AS535" s="58"/>
      <c r="AT535" s="58"/>
    </row>
    <row r="536" spans="7:46">
      <c r="G536" s="112"/>
      <c r="O536" s="53"/>
      <c r="P536" s="53"/>
      <c r="Q536" s="53"/>
      <c r="S536" s="53"/>
      <c r="T536" s="53"/>
      <c r="U536" s="53"/>
      <c r="V536" s="53"/>
      <c r="AM536" s="58"/>
      <c r="AN536" s="58"/>
      <c r="AO536" s="58"/>
      <c r="AP536" s="58"/>
      <c r="AQ536" s="58"/>
      <c r="AR536" s="58"/>
      <c r="AS536" s="58"/>
      <c r="AT536" s="58"/>
    </row>
    <row r="537" spans="7:46">
      <c r="G537" s="112"/>
      <c r="O537" s="53"/>
      <c r="P537" s="53"/>
      <c r="Q537" s="53"/>
      <c r="S537" s="53"/>
      <c r="T537" s="53"/>
      <c r="U537" s="53"/>
      <c r="V537" s="53"/>
      <c r="AM537" s="58"/>
      <c r="AN537" s="58"/>
      <c r="AO537" s="58"/>
      <c r="AP537" s="58"/>
      <c r="AQ537" s="58"/>
      <c r="AR537" s="58"/>
      <c r="AS537" s="58"/>
      <c r="AT537" s="58"/>
    </row>
    <row r="538" spans="7:46">
      <c r="G538" s="112"/>
      <c r="O538" s="53"/>
      <c r="P538" s="53"/>
      <c r="Q538" s="53"/>
      <c r="S538" s="53"/>
      <c r="T538" s="53"/>
      <c r="U538" s="53"/>
      <c r="V538" s="53"/>
      <c r="AM538" s="58"/>
      <c r="AN538" s="58"/>
      <c r="AO538" s="58"/>
      <c r="AP538" s="58"/>
      <c r="AQ538" s="58"/>
      <c r="AR538" s="58"/>
      <c r="AS538" s="58"/>
      <c r="AT538" s="58"/>
    </row>
    <row r="539" spans="7:46">
      <c r="G539" s="112"/>
      <c r="O539" s="53"/>
      <c r="P539" s="53"/>
      <c r="Q539" s="53"/>
      <c r="S539" s="53"/>
      <c r="T539" s="53"/>
      <c r="U539" s="53"/>
      <c r="V539" s="53"/>
      <c r="AM539" s="58"/>
      <c r="AN539" s="58"/>
      <c r="AO539" s="58"/>
      <c r="AP539" s="58"/>
      <c r="AQ539" s="58"/>
      <c r="AR539" s="58"/>
      <c r="AS539" s="58"/>
      <c r="AT539" s="58"/>
    </row>
    <row r="540" spans="7:46">
      <c r="G540" s="112"/>
      <c r="O540" s="53"/>
      <c r="P540" s="53"/>
      <c r="Q540" s="53"/>
      <c r="S540" s="53"/>
      <c r="T540" s="53"/>
      <c r="U540" s="53"/>
      <c r="V540" s="53"/>
      <c r="AM540" s="58"/>
      <c r="AN540" s="58"/>
      <c r="AO540" s="58"/>
      <c r="AP540" s="58"/>
      <c r="AQ540" s="58"/>
      <c r="AR540" s="58"/>
      <c r="AS540" s="58"/>
      <c r="AT540" s="58"/>
    </row>
    <row r="541" spans="7:46">
      <c r="G541" s="112"/>
      <c r="O541" s="53"/>
      <c r="P541" s="53"/>
      <c r="Q541" s="53"/>
      <c r="S541" s="53"/>
      <c r="T541" s="53"/>
      <c r="U541" s="53"/>
      <c r="V541" s="53"/>
      <c r="AM541" s="58"/>
      <c r="AN541" s="58"/>
      <c r="AO541" s="58"/>
      <c r="AP541" s="58"/>
      <c r="AQ541" s="58"/>
      <c r="AR541" s="58"/>
      <c r="AS541" s="58"/>
      <c r="AT541" s="58"/>
    </row>
    <row r="542" spans="7:46">
      <c r="G542" s="112"/>
      <c r="O542" s="53"/>
      <c r="P542" s="53"/>
      <c r="Q542" s="53"/>
      <c r="S542" s="53"/>
      <c r="T542" s="53"/>
      <c r="U542" s="53"/>
      <c r="V542" s="53"/>
      <c r="AM542" s="58"/>
      <c r="AN542" s="58"/>
      <c r="AO542" s="58"/>
      <c r="AP542" s="58"/>
      <c r="AQ542" s="58"/>
      <c r="AR542" s="58"/>
      <c r="AS542" s="58"/>
      <c r="AT542" s="58"/>
    </row>
    <row r="543" spans="7:46">
      <c r="G543" s="112"/>
      <c r="O543" s="53"/>
      <c r="P543" s="53"/>
      <c r="Q543" s="53"/>
      <c r="S543" s="53"/>
      <c r="T543" s="53"/>
      <c r="U543" s="53"/>
      <c r="V543" s="53"/>
      <c r="AM543" s="58"/>
      <c r="AN543" s="58"/>
      <c r="AO543" s="58"/>
      <c r="AP543" s="58"/>
      <c r="AQ543" s="58"/>
      <c r="AR543" s="58"/>
      <c r="AS543" s="58"/>
      <c r="AT543" s="58"/>
    </row>
    <row r="544" spans="7:46">
      <c r="G544" s="112"/>
      <c r="O544" s="53"/>
      <c r="P544" s="53"/>
      <c r="Q544" s="53"/>
      <c r="S544" s="53"/>
      <c r="T544" s="53"/>
      <c r="U544" s="53"/>
      <c r="V544" s="53"/>
      <c r="AM544" s="58"/>
      <c r="AN544" s="58"/>
      <c r="AO544" s="58"/>
      <c r="AP544" s="58"/>
      <c r="AQ544" s="58"/>
      <c r="AR544" s="58"/>
      <c r="AS544" s="58"/>
      <c r="AT544" s="58"/>
    </row>
    <row r="545" spans="7:46">
      <c r="G545" s="112"/>
      <c r="O545" s="53"/>
      <c r="P545" s="53"/>
      <c r="Q545" s="53"/>
      <c r="S545" s="53"/>
      <c r="T545" s="53"/>
      <c r="U545" s="53"/>
      <c r="V545" s="53"/>
      <c r="AM545" s="58"/>
      <c r="AN545" s="58"/>
      <c r="AO545" s="58"/>
      <c r="AP545" s="58"/>
      <c r="AQ545" s="58"/>
      <c r="AR545" s="58"/>
      <c r="AS545" s="58"/>
      <c r="AT545" s="58"/>
    </row>
    <row r="546" spans="7:46">
      <c r="G546" s="112"/>
      <c r="O546" s="53"/>
      <c r="P546" s="53"/>
      <c r="Q546" s="53"/>
      <c r="S546" s="53"/>
      <c r="T546" s="53"/>
      <c r="U546" s="53"/>
      <c r="V546" s="53"/>
      <c r="AM546" s="58"/>
      <c r="AN546" s="58"/>
      <c r="AO546" s="58"/>
      <c r="AP546" s="58"/>
      <c r="AQ546" s="58"/>
      <c r="AR546" s="58"/>
      <c r="AS546" s="58"/>
      <c r="AT546" s="58"/>
    </row>
    <row r="547" spans="7:46">
      <c r="G547" s="112"/>
      <c r="O547" s="53"/>
      <c r="P547" s="53"/>
      <c r="Q547" s="53"/>
      <c r="S547" s="53"/>
      <c r="T547" s="53"/>
      <c r="U547" s="53"/>
      <c r="V547" s="53"/>
      <c r="AM547" s="58"/>
      <c r="AN547" s="58"/>
      <c r="AO547" s="58"/>
      <c r="AP547" s="58"/>
      <c r="AQ547" s="58"/>
      <c r="AR547" s="58"/>
      <c r="AS547" s="58"/>
      <c r="AT547" s="58"/>
    </row>
    <row r="548" spans="7:46">
      <c r="G548" s="112"/>
      <c r="O548" s="53"/>
      <c r="P548" s="53"/>
      <c r="Q548" s="53"/>
      <c r="S548" s="53"/>
      <c r="T548" s="53"/>
      <c r="U548" s="53"/>
      <c r="V548" s="53"/>
      <c r="AM548" s="58"/>
      <c r="AN548" s="58"/>
      <c r="AO548" s="58"/>
      <c r="AP548" s="58"/>
      <c r="AQ548" s="58"/>
      <c r="AR548" s="58"/>
      <c r="AS548" s="58"/>
      <c r="AT548" s="58"/>
    </row>
    <row r="549" spans="7:46">
      <c r="G549" s="112"/>
      <c r="O549" s="53"/>
      <c r="P549" s="53"/>
      <c r="Q549" s="53"/>
      <c r="S549" s="53"/>
      <c r="T549" s="53"/>
      <c r="U549" s="53"/>
      <c r="V549" s="53"/>
      <c r="AM549" s="58"/>
      <c r="AN549" s="58"/>
      <c r="AO549" s="58"/>
      <c r="AP549" s="58"/>
      <c r="AQ549" s="58"/>
      <c r="AR549" s="58"/>
      <c r="AS549" s="58"/>
      <c r="AT549" s="58"/>
    </row>
    <row r="550" spans="7:46">
      <c r="G550" s="112"/>
      <c r="O550" s="53"/>
      <c r="P550" s="53"/>
      <c r="Q550" s="53"/>
      <c r="S550" s="53"/>
      <c r="T550" s="53"/>
      <c r="U550" s="53"/>
      <c r="V550" s="53"/>
      <c r="AM550" s="58"/>
      <c r="AN550" s="58"/>
      <c r="AO550" s="58"/>
      <c r="AP550" s="58"/>
      <c r="AQ550" s="58"/>
      <c r="AR550" s="58"/>
      <c r="AS550" s="58"/>
      <c r="AT550" s="58"/>
    </row>
    <row r="551" spans="7:46">
      <c r="G551" s="112"/>
      <c r="O551" s="53"/>
      <c r="P551" s="53"/>
      <c r="Q551" s="53"/>
      <c r="S551" s="53"/>
      <c r="T551" s="53"/>
      <c r="U551" s="53"/>
      <c r="V551" s="53"/>
      <c r="AM551" s="58"/>
      <c r="AN551" s="58"/>
      <c r="AO551" s="58"/>
      <c r="AP551" s="58"/>
      <c r="AQ551" s="58"/>
      <c r="AR551" s="58"/>
      <c r="AS551" s="58"/>
      <c r="AT551" s="58"/>
    </row>
    <row r="552" spans="7:46">
      <c r="G552" s="112"/>
      <c r="O552" s="53"/>
      <c r="P552" s="53"/>
      <c r="Q552" s="53"/>
      <c r="S552" s="53"/>
      <c r="T552" s="53"/>
      <c r="U552" s="53"/>
      <c r="V552" s="53"/>
      <c r="AM552" s="58"/>
      <c r="AN552" s="58"/>
      <c r="AO552" s="58"/>
      <c r="AP552" s="58"/>
      <c r="AQ552" s="58"/>
      <c r="AR552" s="58"/>
      <c r="AS552" s="58"/>
      <c r="AT552" s="58"/>
    </row>
    <row r="553" spans="7:46">
      <c r="G553" s="112"/>
      <c r="O553" s="53"/>
      <c r="P553" s="53"/>
      <c r="Q553" s="53"/>
      <c r="S553" s="53"/>
      <c r="T553" s="53"/>
      <c r="U553" s="53"/>
      <c r="V553" s="53"/>
      <c r="AM553" s="58"/>
      <c r="AN553" s="58"/>
      <c r="AO553" s="58"/>
      <c r="AP553" s="58"/>
      <c r="AQ553" s="58"/>
      <c r="AR553" s="58"/>
      <c r="AS553" s="58"/>
      <c r="AT553" s="58"/>
    </row>
    <row r="554" spans="7:46">
      <c r="G554" s="112"/>
      <c r="O554" s="53"/>
      <c r="P554" s="53"/>
      <c r="Q554" s="53"/>
      <c r="S554" s="53"/>
      <c r="T554" s="53"/>
      <c r="U554" s="53"/>
      <c r="V554" s="53"/>
      <c r="AM554" s="58"/>
      <c r="AN554" s="58"/>
      <c r="AO554" s="58"/>
      <c r="AP554" s="58"/>
      <c r="AQ554" s="58"/>
      <c r="AR554" s="58"/>
      <c r="AS554" s="58"/>
      <c r="AT554" s="58"/>
    </row>
    <row r="555" spans="7:46">
      <c r="G555" s="112"/>
      <c r="O555" s="53"/>
      <c r="P555" s="53"/>
      <c r="Q555" s="53"/>
      <c r="S555" s="53"/>
      <c r="T555" s="53"/>
      <c r="U555" s="53"/>
      <c r="V555" s="53"/>
      <c r="AM555" s="58"/>
      <c r="AN555" s="58"/>
      <c r="AO555" s="58"/>
      <c r="AP555" s="58"/>
      <c r="AQ555" s="58"/>
      <c r="AR555" s="58"/>
      <c r="AS555" s="58"/>
      <c r="AT555" s="58"/>
    </row>
    <row r="556" spans="7:46">
      <c r="G556" s="112"/>
      <c r="O556" s="53"/>
      <c r="P556" s="53"/>
      <c r="Q556" s="53"/>
      <c r="S556" s="53"/>
      <c r="T556" s="53"/>
      <c r="U556" s="53"/>
      <c r="V556" s="53"/>
      <c r="AM556" s="58"/>
      <c r="AN556" s="58"/>
      <c r="AO556" s="58"/>
      <c r="AP556" s="58"/>
      <c r="AQ556" s="58"/>
      <c r="AR556" s="58"/>
      <c r="AS556" s="58"/>
      <c r="AT556" s="58"/>
    </row>
    <row r="557" spans="7:46">
      <c r="G557" s="112"/>
      <c r="O557" s="53"/>
      <c r="P557" s="53"/>
      <c r="Q557" s="53"/>
      <c r="S557" s="53"/>
      <c r="T557" s="53"/>
      <c r="U557" s="53"/>
      <c r="V557" s="53"/>
      <c r="AM557" s="58"/>
      <c r="AN557" s="58"/>
      <c r="AO557" s="58"/>
      <c r="AP557" s="58"/>
      <c r="AQ557" s="58"/>
      <c r="AR557" s="58"/>
      <c r="AS557" s="58"/>
      <c r="AT557" s="58"/>
    </row>
    <row r="558" spans="7:46">
      <c r="G558" s="112"/>
      <c r="O558" s="53"/>
      <c r="P558" s="53"/>
      <c r="Q558" s="53"/>
      <c r="S558" s="53"/>
      <c r="T558" s="53"/>
      <c r="U558" s="53"/>
      <c r="V558" s="53"/>
      <c r="AM558" s="58"/>
      <c r="AN558" s="58"/>
      <c r="AO558" s="58"/>
      <c r="AP558" s="58"/>
      <c r="AQ558" s="58"/>
      <c r="AR558" s="58"/>
      <c r="AS558" s="58"/>
      <c r="AT558" s="58"/>
    </row>
    <row r="559" spans="7:46">
      <c r="G559" s="112"/>
      <c r="O559" s="53"/>
      <c r="P559" s="53"/>
      <c r="Q559" s="53"/>
      <c r="S559" s="53"/>
      <c r="T559" s="53"/>
      <c r="U559" s="53"/>
      <c r="V559" s="53"/>
      <c r="AM559" s="58"/>
      <c r="AN559" s="58"/>
      <c r="AO559" s="58"/>
      <c r="AP559" s="58"/>
      <c r="AQ559" s="58"/>
      <c r="AR559" s="58"/>
      <c r="AS559" s="58"/>
      <c r="AT559" s="58"/>
    </row>
    <row r="560" spans="7:46">
      <c r="G560" s="112"/>
      <c r="O560" s="53"/>
      <c r="P560" s="53"/>
      <c r="Q560" s="53"/>
      <c r="S560" s="53"/>
      <c r="T560" s="53"/>
      <c r="U560" s="53"/>
      <c r="V560" s="53"/>
      <c r="AM560" s="58"/>
      <c r="AN560" s="58"/>
      <c r="AO560" s="58"/>
      <c r="AP560" s="58"/>
      <c r="AQ560" s="58"/>
      <c r="AR560" s="58"/>
      <c r="AS560" s="58"/>
      <c r="AT560" s="58"/>
    </row>
    <row r="561" spans="7:46">
      <c r="G561" s="112"/>
      <c r="O561" s="53"/>
      <c r="P561" s="53"/>
      <c r="Q561" s="53"/>
      <c r="S561" s="53"/>
      <c r="T561" s="53"/>
      <c r="U561" s="53"/>
      <c r="V561" s="53"/>
      <c r="AM561" s="58"/>
      <c r="AN561" s="58"/>
      <c r="AO561" s="58"/>
      <c r="AP561" s="58"/>
      <c r="AQ561" s="58"/>
      <c r="AR561" s="58"/>
      <c r="AS561" s="58"/>
      <c r="AT561" s="58"/>
    </row>
    <row r="562" spans="7:46">
      <c r="G562" s="112"/>
      <c r="O562" s="53"/>
      <c r="P562" s="53"/>
      <c r="Q562" s="53"/>
      <c r="S562" s="53"/>
      <c r="T562" s="53"/>
      <c r="U562" s="53"/>
      <c r="V562" s="53"/>
      <c r="AM562" s="58"/>
      <c r="AN562" s="58"/>
      <c r="AO562" s="58"/>
      <c r="AP562" s="58"/>
      <c r="AQ562" s="58"/>
      <c r="AR562" s="58"/>
      <c r="AS562" s="58"/>
      <c r="AT562" s="58"/>
    </row>
    <row r="563" spans="7:46">
      <c r="G563" s="112"/>
      <c r="O563" s="53"/>
      <c r="P563" s="53"/>
      <c r="Q563" s="53"/>
      <c r="S563" s="53"/>
      <c r="T563" s="53"/>
      <c r="U563" s="53"/>
      <c r="V563" s="53"/>
      <c r="AM563" s="58"/>
      <c r="AN563" s="58"/>
      <c r="AO563" s="58"/>
      <c r="AP563" s="58"/>
      <c r="AQ563" s="58"/>
      <c r="AR563" s="58"/>
      <c r="AS563" s="58"/>
      <c r="AT563" s="58"/>
    </row>
    <row r="564" spans="7:46">
      <c r="G564" s="112"/>
      <c r="O564" s="53"/>
      <c r="P564" s="53"/>
      <c r="Q564" s="53"/>
      <c r="S564" s="53"/>
      <c r="T564" s="53"/>
      <c r="U564" s="53"/>
      <c r="V564" s="53"/>
      <c r="AM564" s="58"/>
      <c r="AN564" s="58"/>
      <c r="AO564" s="58"/>
      <c r="AP564" s="58"/>
      <c r="AQ564" s="58"/>
      <c r="AR564" s="58"/>
      <c r="AS564" s="58"/>
      <c r="AT564" s="58"/>
    </row>
    <row r="565" spans="7:46">
      <c r="G565" s="112"/>
      <c r="O565" s="53"/>
      <c r="P565" s="53"/>
      <c r="Q565" s="53"/>
      <c r="S565" s="53"/>
      <c r="T565" s="53"/>
      <c r="U565" s="53"/>
      <c r="V565" s="53"/>
      <c r="AM565" s="58"/>
      <c r="AN565" s="58"/>
      <c r="AO565" s="58"/>
      <c r="AP565" s="58"/>
      <c r="AQ565" s="58"/>
      <c r="AR565" s="58"/>
      <c r="AS565" s="58"/>
      <c r="AT565" s="58"/>
    </row>
    <row r="566" spans="7:46">
      <c r="G566" s="112"/>
      <c r="O566" s="53"/>
      <c r="P566" s="53"/>
      <c r="Q566" s="53"/>
      <c r="S566" s="53"/>
      <c r="T566" s="53"/>
      <c r="U566" s="53"/>
      <c r="V566" s="53"/>
      <c r="AM566" s="58"/>
      <c r="AN566" s="58"/>
      <c r="AO566" s="58"/>
      <c r="AP566" s="58"/>
      <c r="AQ566" s="58"/>
      <c r="AR566" s="58"/>
      <c r="AS566" s="58"/>
      <c r="AT566" s="58"/>
    </row>
    <row r="567" spans="7:46">
      <c r="G567" s="112"/>
      <c r="O567" s="53"/>
      <c r="P567" s="53"/>
      <c r="Q567" s="53"/>
      <c r="S567" s="53"/>
      <c r="T567" s="53"/>
      <c r="U567" s="53"/>
      <c r="V567" s="53"/>
      <c r="AM567" s="58"/>
      <c r="AN567" s="58"/>
      <c r="AO567" s="58"/>
      <c r="AP567" s="58"/>
      <c r="AQ567" s="58"/>
      <c r="AR567" s="58"/>
      <c r="AS567" s="58"/>
      <c r="AT567" s="58"/>
    </row>
    <row r="568" spans="7:46">
      <c r="G568" s="112"/>
      <c r="O568" s="53"/>
      <c r="P568" s="53"/>
      <c r="Q568" s="53"/>
      <c r="S568" s="53"/>
      <c r="T568" s="53"/>
      <c r="U568" s="53"/>
      <c r="V568" s="53"/>
      <c r="AM568" s="58"/>
      <c r="AN568" s="58"/>
      <c r="AO568" s="58"/>
      <c r="AP568" s="58"/>
      <c r="AQ568" s="58"/>
      <c r="AR568" s="58"/>
      <c r="AS568" s="58"/>
      <c r="AT568" s="58"/>
    </row>
    <row r="569" spans="7:46">
      <c r="G569" s="112"/>
      <c r="O569" s="53"/>
      <c r="P569" s="53"/>
      <c r="Q569" s="53"/>
      <c r="S569" s="53"/>
      <c r="T569" s="53"/>
      <c r="U569" s="53"/>
      <c r="V569" s="53"/>
      <c r="AM569" s="58"/>
      <c r="AN569" s="58"/>
      <c r="AO569" s="58"/>
      <c r="AP569" s="58"/>
      <c r="AQ569" s="58"/>
      <c r="AR569" s="58"/>
      <c r="AS569" s="58"/>
      <c r="AT569" s="58"/>
    </row>
    <row r="570" spans="7:46">
      <c r="G570" s="112"/>
      <c r="O570" s="53"/>
      <c r="P570" s="53"/>
      <c r="Q570" s="53"/>
      <c r="S570" s="53"/>
      <c r="T570" s="53"/>
      <c r="U570" s="53"/>
      <c r="V570" s="53"/>
      <c r="AM570" s="58"/>
      <c r="AN570" s="58"/>
      <c r="AO570" s="58"/>
      <c r="AP570" s="58"/>
      <c r="AQ570" s="58"/>
      <c r="AR570" s="58"/>
      <c r="AS570" s="58"/>
      <c r="AT570" s="58"/>
    </row>
    <row r="571" spans="7:46">
      <c r="G571" s="112"/>
      <c r="O571" s="53"/>
      <c r="P571" s="53"/>
      <c r="Q571" s="53"/>
      <c r="S571" s="53"/>
      <c r="T571" s="53"/>
      <c r="U571" s="53"/>
      <c r="V571" s="53"/>
      <c r="AM571" s="58"/>
      <c r="AN571" s="58"/>
      <c r="AO571" s="58"/>
      <c r="AP571" s="58"/>
      <c r="AQ571" s="58"/>
      <c r="AR571" s="58"/>
      <c r="AS571" s="58"/>
      <c r="AT571" s="58"/>
    </row>
    <row r="572" spans="7:46">
      <c r="G572" s="112"/>
      <c r="O572" s="53"/>
      <c r="P572" s="53"/>
      <c r="Q572" s="53"/>
      <c r="S572" s="53"/>
      <c r="T572" s="53"/>
      <c r="U572" s="53"/>
      <c r="V572" s="53"/>
      <c r="AM572" s="58"/>
      <c r="AN572" s="58"/>
      <c r="AO572" s="58"/>
      <c r="AP572" s="58"/>
      <c r="AQ572" s="58"/>
      <c r="AR572" s="58"/>
      <c r="AS572" s="58"/>
      <c r="AT572" s="58"/>
    </row>
    <row r="573" spans="7:46">
      <c r="G573" s="112"/>
      <c r="O573" s="53"/>
      <c r="P573" s="53"/>
      <c r="Q573" s="53"/>
      <c r="S573" s="53"/>
      <c r="T573" s="53"/>
      <c r="U573" s="53"/>
      <c r="V573" s="53"/>
      <c r="AM573" s="58"/>
      <c r="AN573" s="58"/>
      <c r="AO573" s="58"/>
      <c r="AP573" s="58"/>
      <c r="AQ573" s="58"/>
      <c r="AR573" s="58"/>
      <c r="AS573" s="58"/>
      <c r="AT573" s="58"/>
    </row>
    <row r="574" spans="7:46">
      <c r="G574" s="112"/>
      <c r="O574" s="53"/>
      <c r="P574" s="53"/>
      <c r="Q574" s="53"/>
      <c r="S574" s="53"/>
      <c r="T574" s="53"/>
      <c r="U574" s="53"/>
      <c r="V574" s="53"/>
      <c r="AM574" s="58"/>
      <c r="AN574" s="58"/>
      <c r="AO574" s="58"/>
      <c r="AP574" s="58"/>
      <c r="AQ574" s="58"/>
      <c r="AR574" s="58"/>
      <c r="AS574" s="58"/>
      <c r="AT574" s="58"/>
    </row>
    <row r="575" spans="7:46">
      <c r="G575" s="112"/>
      <c r="O575" s="53"/>
      <c r="P575" s="53"/>
      <c r="Q575" s="53"/>
      <c r="S575" s="53"/>
      <c r="T575" s="53"/>
      <c r="U575" s="53"/>
      <c r="V575" s="53"/>
      <c r="AM575" s="58"/>
      <c r="AN575" s="58"/>
      <c r="AO575" s="58"/>
      <c r="AP575" s="58"/>
      <c r="AQ575" s="58"/>
      <c r="AR575" s="58"/>
      <c r="AS575" s="58"/>
      <c r="AT575" s="58"/>
    </row>
    <row r="576" spans="7:46">
      <c r="G576" s="112"/>
      <c r="O576" s="53"/>
      <c r="P576" s="53"/>
      <c r="Q576" s="53"/>
      <c r="S576" s="53"/>
      <c r="T576" s="53"/>
      <c r="U576" s="53"/>
      <c r="V576" s="53"/>
      <c r="AM576" s="58"/>
      <c r="AN576" s="58"/>
      <c r="AO576" s="58"/>
      <c r="AP576" s="58"/>
      <c r="AQ576" s="58"/>
      <c r="AR576" s="58"/>
      <c r="AS576" s="58"/>
      <c r="AT576" s="58"/>
    </row>
    <row r="577" spans="7:46">
      <c r="G577" s="112"/>
      <c r="O577" s="53"/>
      <c r="P577" s="53"/>
      <c r="Q577" s="53"/>
      <c r="S577" s="53"/>
      <c r="T577" s="53"/>
      <c r="U577" s="53"/>
      <c r="V577" s="53"/>
      <c r="AM577" s="58"/>
      <c r="AN577" s="58"/>
      <c r="AO577" s="58"/>
      <c r="AP577" s="58"/>
      <c r="AQ577" s="58"/>
      <c r="AR577" s="58"/>
      <c r="AS577" s="58"/>
      <c r="AT577" s="58"/>
    </row>
    <row r="578" spans="7:46">
      <c r="G578" s="112"/>
      <c r="O578" s="53"/>
      <c r="P578" s="53"/>
      <c r="Q578" s="53"/>
      <c r="S578" s="53"/>
      <c r="T578" s="53"/>
      <c r="U578" s="53"/>
      <c r="V578" s="53"/>
      <c r="AM578" s="58"/>
      <c r="AN578" s="58"/>
      <c r="AO578" s="58"/>
      <c r="AP578" s="58"/>
      <c r="AQ578" s="58"/>
      <c r="AR578" s="58"/>
      <c r="AS578" s="58"/>
      <c r="AT578" s="58"/>
    </row>
    <row r="579" spans="7:46">
      <c r="G579" s="112"/>
      <c r="O579" s="53"/>
      <c r="P579" s="53"/>
      <c r="Q579" s="53"/>
      <c r="S579" s="53"/>
      <c r="T579" s="53"/>
      <c r="U579" s="53"/>
      <c r="V579" s="53"/>
      <c r="AM579" s="58"/>
      <c r="AN579" s="58"/>
      <c r="AO579" s="58"/>
      <c r="AP579" s="58"/>
      <c r="AQ579" s="58"/>
      <c r="AR579" s="58"/>
      <c r="AS579" s="58"/>
      <c r="AT579" s="58"/>
    </row>
    <row r="580" spans="7:46">
      <c r="G580" s="112"/>
      <c r="O580" s="53"/>
      <c r="P580" s="53"/>
      <c r="Q580" s="53"/>
      <c r="S580" s="53"/>
      <c r="T580" s="53"/>
      <c r="U580" s="53"/>
      <c r="V580" s="53"/>
      <c r="AM580" s="58"/>
      <c r="AN580" s="58"/>
      <c r="AO580" s="58"/>
      <c r="AP580" s="58"/>
      <c r="AQ580" s="58"/>
      <c r="AR580" s="58"/>
      <c r="AS580" s="58"/>
      <c r="AT580" s="58"/>
    </row>
    <row r="581" spans="7:46">
      <c r="G581" s="112"/>
      <c r="O581" s="53"/>
      <c r="P581" s="53"/>
      <c r="Q581" s="53"/>
      <c r="S581" s="53"/>
      <c r="T581" s="53"/>
      <c r="U581" s="53"/>
      <c r="V581" s="53"/>
      <c r="AM581" s="58"/>
      <c r="AN581" s="58"/>
      <c r="AO581" s="58"/>
      <c r="AP581" s="58"/>
      <c r="AQ581" s="58"/>
      <c r="AR581" s="58"/>
      <c r="AS581" s="58"/>
      <c r="AT581" s="58"/>
    </row>
    <row r="582" spans="7:46">
      <c r="G582" s="112"/>
      <c r="O582" s="53"/>
      <c r="P582" s="53"/>
      <c r="Q582" s="53"/>
      <c r="S582" s="53"/>
      <c r="T582" s="53"/>
      <c r="U582" s="53"/>
      <c r="V582" s="53"/>
      <c r="AM582" s="58"/>
      <c r="AN582" s="58"/>
      <c r="AO582" s="58"/>
      <c r="AP582" s="58"/>
      <c r="AQ582" s="58"/>
      <c r="AR582" s="58"/>
      <c r="AS582" s="58"/>
      <c r="AT582" s="58"/>
    </row>
    <row r="583" spans="7:46">
      <c r="G583" s="112"/>
      <c r="O583" s="53"/>
      <c r="P583" s="53"/>
      <c r="Q583" s="53"/>
      <c r="S583" s="53"/>
      <c r="T583" s="53"/>
      <c r="U583" s="53"/>
      <c r="V583" s="53"/>
      <c r="AM583" s="58"/>
      <c r="AN583" s="58"/>
      <c r="AO583" s="58"/>
      <c r="AP583" s="58"/>
      <c r="AQ583" s="58"/>
      <c r="AR583" s="58"/>
      <c r="AS583" s="58"/>
      <c r="AT583" s="58"/>
    </row>
    <row r="584" spans="7:46">
      <c r="G584" s="112"/>
      <c r="O584" s="53"/>
      <c r="P584" s="53"/>
      <c r="Q584" s="53"/>
      <c r="S584" s="53"/>
      <c r="T584" s="53"/>
      <c r="U584" s="53"/>
      <c r="V584" s="53"/>
      <c r="AM584" s="58"/>
      <c r="AN584" s="58"/>
      <c r="AO584" s="58"/>
      <c r="AP584" s="58"/>
      <c r="AQ584" s="58"/>
      <c r="AR584" s="58"/>
      <c r="AS584" s="58"/>
      <c r="AT584" s="58"/>
    </row>
    <row r="585" spans="7:46">
      <c r="G585" s="112"/>
      <c r="O585" s="53"/>
      <c r="P585" s="53"/>
      <c r="Q585" s="53"/>
      <c r="S585" s="53"/>
      <c r="T585" s="53"/>
      <c r="U585" s="53"/>
      <c r="V585" s="53"/>
      <c r="AM585" s="58"/>
      <c r="AN585" s="58"/>
      <c r="AO585" s="58"/>
      <c r="AP585" s="58"/>
      <c r="AQ585" s="58"/>
      <c r="AR585" s="58"/>
      <c r="AS585" s="58"/>
      <c r="AT585" s="58"/>
    </row>
    <row r="586" spans="7:46">
      <c r="G586" s="112"/>
      <c r="O586" s="53"/>
      <c r="P586" s="53"/>
      <c r="Q586" s="53"/>
      <c r="S586" s="53"/>
      <c r="T586" s="53"/>
      <c r="U586" s="53"/>
      <c r="V586" s="53"/>
      <c r="AM586" s="58"/>
      <c r="AN586" s="58"/>
      <c r="AO586" s="58"/>
      <c r="AP586" s="58"/>
      <c r="AQ586" s="58"/>
      <c r="AR586" s="58"/>
      <c r="AS586" s="58"/>
      <c r="AT586" s="58"/>
    </row>
    <row r="587" spans="7:46">
      <c r="G587" s="112"/>
      <c r="O587" s="53"/>
      <c r="P587" s="53"/>
      <c r="Q587" s="53"/>
      <c r="S587" s="53"/>
      <c r="T587" s="53"/>
      <c r="U587" s="53"/>
      <c r="V587" s="53"/>
      <c r="AM587" s="58"/>
      <c r="AN587" s="58"/>
      <c r="AO587" s="58"/>
      <c r="AP587" s="58"/>
      <c r="AQ587" s="58"/>
      <c r="AR587" s="58"/>
      <c r="AS587" s="58"/>
      <c r="AT587" s="58"/>
    </row>
    <row r="588" spans="7:46">
      <c r="G588" s="112"/>
      <c r="O588" s="53"/>
      <c r="P588" s="53"/>
      <c r="Q588" s="53"/>
      <c r="S588" s="53"/>
      <c r="T588" s="53"/>
      <c r="U588" s="53"/>
      <c r="V588" s="53"/>
      <c r="AM588" s="58"/>
      <c r="AN588" s="58"/>
      <c r="AO588" s="58"/>
      <c r="AP588" s="58"/>
      <c r="AQ588" s="58"/>
      <c r="AR588" s="58"/>
      <c r="AS588" s="58"/>
      <c r="AT588" s="58"/>
    </row>
    <row r="589" spans="7:46">
      <c r="G589" s="112"/>
      <c r="O589" s="53"/>
      <c r="P589" s="53"/>
      <c r="Q589" s="53"/>
      <c r="S589" s="53"/>
      <c r="T589" s="53"/>
      <c r="U589" s="53"/>
      <c r="V589" s="53"/>
      <c r="AM589" s="58"/>
      <c r="AN589" s="58"/>
      <c r="AO589" s="58"/>
      <c r="AP589" s="58"/>
      <c r="AQ589" s="58"/>
      <c r="AR589" s="58"/>
      <c r="AS589" s="58"/>
      <c r="AT589" s="58"/>
    </row>
    <row r="590" spans="7:46">
      <c r="G590" s="112"/>
      <c r="O590" s="53"/>
      <c r="P590" s="53"/>
      <c r="Q590" s="53"/>
      <c r="S590" s="53"/>
      <c r="T590" s="53"/>
      <c r="U590" s="53"/>
      <c r="V590" s="53"/>
      <c r="AM590" s="58"/>
      <c r="AN590" s="58"/>
      <c r="AO590" s="58"/>
      <c r="AP590" s="58"/>
      <c r="AQ590" s="58"/>
      <c r="AR590" s="58"/>
      <c r="AS590" s="58"/>
      <c r="AT590" s="58"/>
    </row>
    <row r="591" spans="7:46">
      <c r="G591" s="112"/>
      <c r="O591" s="53"/>
      <c r="P591" s="53"/>
      <c r="Q591" s="53"/>
      <c r="S591" s="53"/>
      <c r="T591" s="53"/>
      <c r="U591" s="53"/>
      <c r="V591" s="53"/>
      <c r="AM591" s="58"/>
      <c r="AN591" s="58"/>
      <c r="AO591" s="58"/>
      <c r="AP591" s="58"/>
      <c r="AQ591" s="58"/>
      <c r="AR591" s="58"/>
      <c r="AS591" s="58"/>
      <c r="AT591" s="58"/>
    </row>
    <row r="592" spans="7:46">
      <c r="G592" s="112"/>
      <c r="O592" s="53"/>
      <c r="P592" s="53"/>
      <c r="Q592" s="53"/>
      <c r="S592" s="53"/>
      <c r="T592" s="53"/>
      <c r="U592" s="53"/>
      <c r="V592" s="53"/>
      <c r="AM592" s="58"/>
      <c r="AN592" s="58"/>
      <c r="AO592" s="58"/>
      <c r="AP592" s="58"/>
      <c r="AQ592" s="58"/>
      <c r="AR592" s="58"/>
      <c r="AS592" s="58"/>
      <c r="AT592" s="58"/>
    </row>
    <row r="593" spans="7:46">
      <c r="G593" s="112"/>
      <c r="O593" s="53"/>
      <c r="P593" s="53"/>
      <c r="Q593" s="53"/>
      <c r="S593" s="53"/>
      <c r="T593" s="53"/>
      <c r="U593" s="53"/>
      <c r="V593" s="53"/>
      <c r="AM593" s="58"/>
      <c r="AN593" s="58"/>
      <c r="AO593" s="58"/>
      <c r="AP593" s="58"/>
      <c r="AQ593" s="58"/>
      <c r="AR593" s="58"/>
      <c r="AS593" s="58"/>
      <c r="AT593" s="58"/>
    </row>
    <row r="594" spans="7:46">
      <c r="G594" s="112"/>
      <c r="O594" s="53"/>
      <c r="P594" s="53"/>
      <c r="Q594" s="53"/>
      <c r="S594" s="53"/>
      <c r="T594" s="53"/>
      <c r="U594" s="53"/>
      <c r="V594" s="53"/>
      <c r="AM594" s="58"/>
      <c r="AN594" s="58"/>
      <c r="AO594" s="58"/>
      <c r="AP594" s="58"/>
      <c r="AQ594" s="58"/>
      <c r="AR594" s="58"/>
      <c r="AS594" s="58"/>
      <c r="AT594" s="58"/>
    </row>
    <row r="595" spans="7:46">
      <c r="G595" s="112"/>
      <c r="O595" s="53"/>
      <c r="P595" s="53"/>
      <c r="Q595" s="53"/>
      <c r="S595" s="53"/>
      <c r="T595" s="53"/>
      <c r="U595" s="53"/>
      <c r="V595" s="53"/>
      <c r="AM595" s="58"/>
      <c r="AN595" s="58"/>
      <c r="AO595" s="58"/>
      <c r="AP595" s="58"/>
      <c r="AQ595" s="58"/>
      <c r="AR595" s="58"/>
      <c r="AS595" s="58"/>
      <c r="AT595" s="58"/>
    </row>
    <row r="596" spans="7:46">
      <c r="G596" s="112"/>
      <c r="O596" s="53"/>
      <c r="P596" s="53"/>
      <c r="Q596" s="53"/>
      <c r="S596" s="53"/>
      <c r="T596" s="53"/>
      <c r="U596" s="53"/>
      <c r="V596" s="53"/>
      <c r="AM596" s="58"/>
      <c r="AN596" s="58"/>
      <c r="AO596" s="58"/>
      <c r="AP596" s="58"/>
      <c r="AQ596" s="58"/>
      <c r="AR596" s="58"/>
      <c r="AS596" s="58"/>
      <c r="AT596" s="58"/>
    </row>
    <row r="597" spans="7:46">
      <c r="G597" s="112"/>
      <c r="O597" s="53"/>
      <c r="P597" s="53"/>
      <c r="Q597" s="53"/>
      <c r="S597" s="53"/>
      <c r="T597" s="53"/>
      <c r="U597" s="53"/>
      <c r="V597" s="53"/>
      <c r="AM597" s="58"/>
      <c r="AN597" s="58"/>
      <c r="AO597" s="58"/>
      <c r="AP597" s="58"/>
      <c r="AQ597" s="58"/>
      <c r="AR597" s="58"/>
      <c r="AS597" s="58"/>
      <c r="AT597" s="58"/>
    </row>
    <row r="598" spans="7:46">
      <c r="G598" s="112"/>
      <c r="O598" s="53"/>
      <c r="P598" s="53"/>
      <c r="Q598" s="53"/>
      <c r="S598" s="53"/>
      <c r="T598" s="53"/>
      <c r="U598" s="53"/>
      <c r="V598" s="53"/>
      <c r="AM598" s="58"/>
      <c r="AN598" s="58"/>
      <c r="AO598" s="58"/>
      <c r="AP598" s="58"/>
      <c r="AQ598" s="58"/>
      <c r="AR598" s="58"/>
      <c r="AS598" s="58"/>
      <c r="AT598" s="58"/>
    </row>
    <row r="599" spans="7:46">
      <c r="G599" s="112"/>
      <c r="O599" s="53"/>
      <c r="P599" s="53"/>
      <c r="Q599" s="53"/>
      <c r="S599" s="53"/>
      <c r="T599" s="53"/>
      <c r="U599" s="53"/>
      <c r="V599" s="53"/>
      <c r="AM599" s="58"/>
      <c r="AN599" s="58"/>
      <c r="AO599" s="58"/>
      <c r="AP599" s="58"/>
      <c r="AQ599" s="58"/>
      <c r="AR599" s="58"/>
      <c r="AS599" s="58"/>
      <c r="AT599" s="58"/>
    </row>
    <row r="600" spans="7:46">
      <c r="G600" s="112"/>
      <c r="O600" s="53"/>
      <c r="P600" s="53"/>
      <c r="Q600" s="53"/>
      <c r="S600" s="53"/>
      <c r="T600" s="53"/>
      <c r="U600" s="53"/>
      <c r="V600" s="53"/>
      <c r="AM600" s="58"/>
      <c r="AN600" s="58"/>
      <c r="AO600" s="58"/>
      <c r="AP600" s="58"/>
      <c r="AQ600" s="58"/>
      <c r="AR600" s="58"/>
      <c r="AS600" s="58"/>
      <c r="AT600" s="58"/>
    </row>
    <row r="601" spans="7:46">
      <c r="G601" s="112"/>
      <c r="O601" s="53"/>
      <c r="P601" s="53"/>
      <c r="Q601" s="53"/>
      <c r="S601" s="53"/>
      <c r="T601" s="53"/>
      <c r="U601" s="53"/>
      <c r="V601" s="53"/>
      <c r="AM601" s="58"/>
      <c r="AN601" s="58"/>
      <c r="AO601" s="58"/>
      <c r="AP601" s="58"/>
      <c r="AQ601" s="58"/>
      <c r="AR601" s="58"/>
      <c r="AS601" s="58"/>
      <c r="AT601" s="58"/>
    </row>
    <row r="602" spans="7:46">
      <c r="G602" s="112"/>
      <c r="O602" s="53"/>
      <c r="P602" s="53"/>
      <c r="Q602" s="53"/>
      <c r="S602" s="53"/>
      <c r="T602" s="53"/>
      <c r="U602" s="53"/>
      <c r="V602" s="53"/>
      <c r="AM602" s="58"/>
      <c r="AN602" s="58"/>
      <c r="AO602" s="58"/>
      <c r="AP602" s="58"/>
      <c r="AQ602" s="58"/>
      <c r="AR602" s="58"/>
      <c r="AS602" s="58"/>
      <c r="AT602" s="58"/>
    </row>
    <row r="603" spans="7:46">
      <c r="G603" s="112"/>
      <c r="O603" s="53"/>
      <c r="P603" s="53"/>
      <c r="Q603" s="53"/>
      <c r="S603" s="53"/>
      <c r="T603" s="53"/>
      <c r="U603" s="53"/>
      <c r="V603" s="53"/>
      <c r="AM603" s="58"/>
      <c r="AN603" s="58"/>
      <c r="AO603" s="58"/>
      <c r="AP603" s="58"/>
      <c r="AQ603" s="58"/>
      <c r="AR603" s="58"/>
      <c r="AS603" s="58"/>
      <c r="AT603" s="58"/>
    </row>
    <row r="604" spans="7:46">
      <c r="G604" s="112"/>
      <c r="O604" s="53"/>
      <c r="P604" s="53"/>
      <c r="Q604" s="53"/>
      <c r="S604" s="53"/>
      <c r="T604" s="53"/>
      <c r="U604" s="53"/>
      <c r="V604" s="53"/>
      <c r="AM604" s="58"/>
      <c r="AN604" s="58"/>
      <c r="AO604" s="58"/>
      <c r="AP604" s="58"/>
      <c r="AQ604" s="58"/>
      <c r="AR604" s="58"/>
      <c r="AS604" s="58"/>
      <c r="AT604" s="58"/>
    </row>
    <row r="605" spans="7:46">
      <c r="G605" s="112"/>
      <c r="O605" s="53"/>
      <c r="P605" s="53"/>
      <c r="Q605" s="53"/>
      <c r="S605" s="53"/>
      <c r="T605" s="53"/>
      <c r="U605" s="53"/>
      <c r="V605" s="53"/>
      <c r="AM605" s="58"/>
      <c r="AN605" s="58"/>
      <c r="AO605" s="58"/>
      <c r="AP605" s="58"/>
      <c r="AQ605" s="58"/>
      <c r="AR605" s="58"/>
      <c r="AS605" s="58"/>
      <c r="AT605" s="58"/>
    </row>
    <row r="606" spans="7:46">
      <c r="G606" s="112"/>
      <c r="O606" s="53"/>
      <c r="P606" s="53"/>
      <c r="Q606" s="53"/>
      <c r="S606" s="53"/>
      <c r="T606" s="53"/>
      <c r="U606" s="53"/>
      <c r="V606" s="53"/>
      <c r="AM606" s="58"/>
      <c r="AN606" s="58"/>
      <c r="AO606" s="58"/>
      <c r="AP606" s="58"/>
      <c r="AQ606" s="58"/>
      <c r="AR606" s="58"/>
      <c r="AS606" s="58"/>
      <c r="AT606" s="58"/>
    </row>
    <row r="607" spans="7:46">
      <c r="G607" s="112"/>
      <c r="O607" s="53"/>
      <c r="P607" s="53"/>
      <c r="Q607" s="53"/>
      <c r="S607" s="53"/>
      <c r="T607" s="53"/>
      <c r="U607" s="53"/>
      <c r="V607" s="53"/>
      <c r="AM607" s="58"/>
      <c r="AN607" s="58"/>
      <c r="AO607" s="58"/>
      <c r="AP607" s="58"/>
      <c r="AQ607" s="58"/>
      <c r="AR607" s="58"/>
      <c r="AS607" s="58"/>
      <c r="AT607" s="58"/>
    </row>
    <row r="608" spans="7:46">
      <c r="G608" s="112"/>
      <c r="O608" s="53"/>
      <c r="P608" s="53"/>
      <c r="Q608" s="53"/>
      <c r="S608" s="53"/>
      <c r="T608" s="53"/>
      <c r="U608" s="53"/>
      <c r="V608" s="53"/>
      <c r="AM608" s="58"/>
      <c r="AN608" s="58"/>
      <c r="AO608" s="58"/>
      <c r="AP608" s="58"/>
      <c r="AQ608" s="58"/>
      <c r="AR608" s="58"/>
      <c r="AS608" s="58"/>
      <c r="AT608" s="58"/>
    </row>
    <row r="609" spans="7:46">
      <c r="G609" s="112"/>
      <c r="O609" s="53"/>
      <c r="P609" s="53"/>
      <c r="Q609" s="53"/>
      <c r="S609" s="53"/>
      <c r="T609" s="53"/>
      <c r="U609" s="53"/>
      <c r="V609" s="53"/>
      <c r="AM609" s="58"/>
      <c r="AN609" s="58"/>
      <c r="AO609" s="58"/>
      <c r="AP609" s="58"/>
      <c r="AQ609" s="58"/>
      <c r="AR609" s="58"/>
      <c r="AS609" s="58"/>
      <c r="AT609" s="58"/>
    </row>
    <row r="610" spans="7:46">
      <c r="G610" s="112"/>
      <c r="O610" s="53"/>
      <c r="P610" s="53"/>
      <c r="Q610" s="53"/>
      <c r="S610" s="53"/>
      <c r="T610" s="53"/>
      <c r="U610" s="53"/>
      <c r="V610" s="53"/>
      <c r="AM610" s="58"/>
      <c r="AN610" s="58"/>
      <c r="AO610" s="58"/>
      <c r="AP610" s="58"/>
      <c r="AQ610" s="58"/>
      <c r="AR610" s="58"/>
      <c r="AS610" s="58"/>
      <c r="AT610" s="58"/>
    </row>
    <row r="611" spans="7:46">
      <c r="G611" s="112"/>
      <c r="O611" s="53"/>
      <c r="P611" s="53"/>
      <c r="Q611" s="53"/>
      <c r="S611" s="53"/>
      <c r="T611" s="53"/>
      <c r="U611" s="53"/>
      <c r="V611" s="53"/>
      <c r="AM611" s="58"/>
      <c r="AN611" s="58"/>
      <c r="AO611" s="58"/>
      <c r="AP611" s="58"/>
      <c r="AQ611" s="58"/>
      <c r="AR611" s="58"/>
      <c r="AS611" s="58"/>
      <c r="AT611" s="58"/>
    </row>
    <row r="612" spans="7:46">
      <c r="G612" s="112"/>
      <c r="O612" s="53"/>
      <c r="P612" s="53"/>
      <c r="Q612" s="53"/>
      <c r="S612" s="53"/>
      <c r="T612" s="53"/>
      <c r="U612" s="53"/>
      <c r="V612" s="53"/>
      <c r="AM612" s="58"/>
      <c r="AN612" s="58"/>
      <c r="AO612" s="58"/>
      <c r="AP612" s="58"/>
      <c r="AQ612" s="58"/>
      <c r="AR612" s="58"/>
      <c r="AS612" s="58"/>
      <c r="AT612" s="58"/>
    </row>
    <row r="613" spans="7:46">
      <c r="G613" s="112"/>
      <c r="O613" s="53"/>
      <c r="P613" s="53"/>
      <c r="Q613" s="53"/>
      <c r="S613" s="53"/>
      <c r="T613" s="53"/>
      <c r="U613" s="53"/>
      <c r="V613" s="53"/>
      <c r="AM613" s="58"/>
      <c r="AN613" s="58"/>
      <c r="AO613" s="58"/>
      <c r="AP613" s="58"/>
      <c r="AQ613" s="58"/>
      <c r="AR613" s="58"/>
      <c r="AS613" s="58"/>
      <c r="AT613" s="58"/>
    </row>
    <row r="614" spans="7:46">
      <c r="G614" s="112"/>
      <c r="O614" s="53"/>
      <c r="P614" s="53"/>
      <c r="Q614" s="53"/>
      <c r="S614" s="53"/>
      <c r="T614" s="53"/>
      <c r="U614" s="53"/>
      <c r="V614" s="53"/>
      <c r="AM614" s="58"/>
      <c r="AN614" s="58"/>
      <c r="AO614" s="58"/>
      <c r="AP614" s="58"/>
      <c r="AQ614" s="58"/>
      <c r="AR614" s="58"/>
      <c r="AS614" s="58"/>
      <c r="AT614" s="58"/>
    </row>
    <row r="615" spans="7:46">
      <c r="G615" s="112"/>
      <c r="O615" s="53"/>
      <c r="P615" s="53"/>
      <c r="Q615" s="53"/>
      <c r="S615" s="53"/>
      <c r="T615" s="53"/>
      <c r="U615" s="53"/>
      <c r="V615" s="53"/>
      <c r="AM615" s="58"/>
      <c r="AN615" s="58"/>
      <c r="AO615" s="58"/>
      <c r="AP615" s="58"/>
      <c r="AQ615" s="58"/>
      <c r="AR615" s="58"/>
      <c r="AS615" s="58"/>
      <c r="AT615" s="58"/>
    </row>
    <row r="616" spans="7:46">
      <c r="G616" s="112"/>
      <c r="O616" s="53"/>
      <c r="P616" s="53"/>
      <c r="Q616" s="53"/>
      <c r="S616" s="53"/>
      <c r="T616" s="53"/>
      <c r="U616" s="53"/>
      <c r="V616" s="53"/>
      <c r="AM616" s="58"/>
      <c r="AN616" s="58"/>
      <c r="AO616" s="58"/>
      <c r="AP616" s="58"/>
      <c r="AQ616" s="58"/>
      <c r="AR616" s="58"/>
      <c r="AS616" s="58"/>
      <c r="AT616" s="58"/>
    </row>
    <row r="617" spans="7:46">
      <c r="G617" s="112"/>
      <c r="O617" s="53"/>
      <c r="P617" s="53"/>
      <c r="Q617" s="53"/>
      <c r="S617" s="53"/>
      <c r="T617" s="53"/>
      <c r="U617" s="53"/>
      <c r="V617" s="53"/>
      <c r="AM617" s="58"/>
      <c r="AN617" s="58"/>
      <c r="AO617" s="58"/>
      <c r="AP617" s="58"/>
      <c r="AQ617" s="58"/>
      <c r="AR617" s="58"/>
      <c r="AS617" s="58"/>
      <c r="AT617" s="58"/>
    </row>
    <row r="618" spans="7:46">
      <c r="G618" s="112"/>
      <c r="O618" s="53"/>
      <c r="P618" s="53"/>
      <c r="Q618" s="53"/>
      <c r="S618" s="53"/>
      <c r="T618" s="53"/>
      <c r="U618" s="53"/>
      <c r="V618" s="53"/>
      <c r="AM618" s="58"/>
      <c r="AN618" s="58"/>
      <c r="AO618" s="58"/>
      <c r="AP618" s="58"/>
      <c r="AQ618" s="58"/>
      <c r="AR618" s="58"/>
      <c r="AS618" s="58"/>
      <c r="AT618" s="58"/>
    </row>
    <row r="619" spans="7:46">
      <c r="G619" s="112"/>
      <c r="O619" s="53"/>
      <c r="P619" s="53"/>
      <c r="Q619" s="53"/>
      <c r="S619" s="53"/>
      <c r="T619" s="53"/>
      <c r="U619" s="53"/>
      <c r="V619" s="53"/>
      <c r="AM619" s="58"/>
      <c r="AN619" s="58"/>
      <c r="AO619" s="58"/>
      <c r="AP619" s="58"/>
      <c r="AQ619" s="58"/>
      <c r="AR619" s="58"/>
      <c r="AS619" s="58"/>
      <c r="AT619" s="58"/>
    </row>
    <row r="620" spans="7:46">
      <c r="G620" s="112"/>
      <c r="O620" s="53"/>
      <c r="P620" s="53"/>
      <c r="Q620" s="53"/>
      <c r="S620" s="53"/>
      <c r="T620" s="53"/>
      <c r="U620" s="53"/>
      <c r="V620" s="53"/>
      <c r="AM620" s="58"/>
      <c r="AN620" s="58"/>
      <c r="AO620" s="58"/>
      <c r="AP620" s="58"/>
      <c r="AQ620" s="58"/>
      <c r="AR620" s="58"/>
      <c r="AS620" s="58"/>
      <c r="AT620" s="58"/>
    </row>
    <row r="621" spans="7:46">
      <c r="G621" s="112"/>
      <c r="O621" s="53"/>
      <c r="P621" s="53"/>
      <c r="Q621" s="53"/>
      <c r="S621" s="53"/>
      <c r="T621" s="53"/>
      <c r="U621" s="53"/>
      <c r="V621" s="53"/>
      <c r="AM621" s="58"/>
      <c r="AN621" s="58"/>
      <c r="AO621" s="58"/>
      <c r="AP621" s="58"/>
      <c r="AQ621" s="58"/>
      <c r="AR621" s="58"/>
      <c r="AS621" s="58"/>
      <c r="AT621" s="58"/>
    </row>
    <row r="622" spans="7:46">
      <c r="G622" s="112"/>
      <c r="O622" s="53"/>
      <c r="P622" s="53"/>
      <c r="Q622" s="53"/>
      <c r="S622" s="53"/>
      <c r="T622" s="53"/>
      <c r="U622" s="53"/>
      <c r="V622" s="53"/>
      <c r="AM622" s="58"/>
      <c r="AN622" s="58"/>
      <c r="AO622" s="58"/>
      <c r="AP622" s="58"/>
      <c r="AQ622" s="58"/>
      <c r="AR622" s="58"/>
      <c r="AS622" s="58"/>
      <c r="AT622" s="58"/>
    </row>
    <row r="623" spans="7:46">
      <c r="G623" s="112"/>
      <c r="O623" s="53"/>
      <c r="P623" s="53"/>
      <c r="Q623" s="53"/>
      <c r="S623" s="53"/>
      <c r="T623" s="53"/>
      <c r="U623" s="53"/>
      <c r="V623" s="53"/>
      <c r="AM623" s="58"/>
      <c r="AN623" s="58"/>
      <c r="AO623" s="58"/>
      <c r="AP623" s="58"/>
      <c r="AQ623" s="58"/>
      <c r="AR623" s="58"/>
      <c r="AS623" s="58"/>
      <c r="AT623" s="58"/>
    </row>
    <row r="624" spans="7:46">
      <c r="G624" s="112"/>
      <c r="O624" s="53"/>
      <c r="P624" s="53"/>
      <c r="Q624" s="53"/>
      <c r="S624" s="53"/>
      <c r="T624" s="53"/>
      <c r="U624" s="53"/>
      <c r="V624" s="53"/>
      <c r="AM624" s="58"/>
      <c r="AN624" s="58"/>
      <c r="AO624" s="58"/>
      <c r="AP624" s="58"/>
      <c r="AQ624" s="58"/>
      <c r="AR624" s="58"/>
      <c r="AS624" s="58"/>
      <c r="AT624" s="58"/>
    </row>
    <row r="625" spans="7:46">
      <c r="G625" s="112"/>
      <c r="O625" s="53"/>
      <c r="P625" s="53"/>
      <c r="Q625" s="53"/>
      <c r="S625" s="53"/>
      <c r="T625" s="53"/>
      <c r="U625" s="53"/>
      <c r="V625" s="53"/>
      <c r="AM625" s="58"/>
      <c r="AN625" s="58"/>
      <c r="AO625" s="58"/>
      <c r="AP625" s="58"/>
      <c r="AQ625" s="58"/>
      <c r="AR625" s="58"/>
      <c r="AS625" s="58"/>
      <c r="AT625" s="58"/>
    </row>
    <row r="626" spans="7:46">
      <c r="G626" s="112"/>
      <c r="O626" s="53"/>
      <c r="P626" s="53"/>
      <c r="Q626" s="53"/>
      <c r="S626" s="53"/>
      <c r="T626" s="53"/>
      <c r="U626" s="53"/>
      <c r="V626" s="53"/>
      <c r="AM626" s="58"/>
      <c r="AN626" s="58"/>
      <c r="AO626" s="58"/>
      <c r="AP626" s="58"/>
      <c r="AQ626" s="58"/>
      <c r="AR626" s="58"/>
      <c r="AS626" s="58"/>
      <c r="AT626" s="58"/>
    </row>
    <row r="627" spans="7:46">
      <c r="G627" s="112"/>
      <c r="O627" s="53"/>
      <c r="P627" s="53"/>
      <c r="Q627" s="53"/>
      <c r="S627" s="53"/>
      <c r="T627" s="53"/>
      <c r="U627" s="53"/>
      <c r="V627" s="53"/>
      <c r="AM627" s="58"/>
      <c r="AN627" s="58"/>
      <c r="AO627" s="58"/>
      <c r="AP627" s="58"/>
      <c r="AQ627" s="58"/>
      <c r="AR627" s="58"/>
      <c r="AS627" s="58"/>
      <c r="AT627" s="58"/>
    </row>
    <row r="628" spans="7:46">
      <c r="G628" s="112"/>
      <c r="O628" s="53"/>
      <c r="P628" s="53"/>
      <c r="Q628" s="53"/>
      <c r="S628" s="53"/>
      <c r="T628" s="53"/>
      <c r="U628" s="53"/>
      <c r="V628" s="53"/>
      <c r="AM628" s="58"/>
      <c r="AN628" s="58"/>
      <c r="AO628" s="58"/>
      <c r="AP628" s="58"/>
      <c r="AQ628" s="58"/>
      <c r="AR628" s="58"/>
      <c r="AS628" s="58"/>
      <c r="AT628" s="58"/>
    </row>
    <row r="629" spans="7:46">
      <c r="G629" s="112"/>
      <c r="O629" s="53"/>
      <c r="P629" s="53"/>
      <c r="Q629" s="53"/>
      <c r="S629" s="53"/>
      <c r="T629" s="53"/>
      <c r="U629" s="53"/>
      <c r="V629" s="53"/>
      <c r="AM629" s="58"/>
      <c r="AN629" s="58"/>
      <c r="AO629" s="58"/>
      <c r="AP629" s="58"/>
      <c r="AQ629" s="58"/>
      <c r="AR629" s="58"/>
      <c r="AS629" s="58"/>
      <c r="AT629" s="58"/>
    </row>
    <row r="630" spans="7:46">
      <c r="G630" s="112"/>
      <c r="O630" s="53"/>
      <c r="P630" s="53"/>
      <c r="Q630" s="53"/>
      <c r="S630" s="53"/>
      <c r="T630" s="53"/>
      <c r="U630" s="53"/>
      <c r="V630" s="53"/>
      <c r="AM630" s="58"/>
      <c r="AN630" s="58"/>
      <c r="AO630" s="58"/>
      <c r="AP630" s="58"/>
      <c r="AQ630" s="58"/>
      <c r="AR630" s="58"/>
      <c r="AS630" s="58"/>
      <c r="AT630" s="58"/>
    </row>
    <row r="631" spans="7:46">
      <c r="G631" s="112"/>
      <c r="O631" s="53"/>
      <c r="P631" s="53"/>
      <c r="Q631" s="53"/>
      <c r="S631" s="53"/>
      <c r="T631" s="53"/>
      <c r="U631" s="53"/>
      <c r="V631" s="53"/>
      <c r="AM631" s="58"/>
      <c r="AN631" s="58"/>
      <c r="AO631" s="58"/>
      <c r="AP631" s="58"/>
      <c r="AQ631" s="58"/>
      <c r="AR631" s="58"/>
      <c r="AS631" s="58"/>
      <c r="AT631" s="58"/>
    </row>
    <row r="632" spans="7:46">
      <c r="G632" s="112"/>
      <c r="O632" s="53"/>
      <c r="P632" s="53"/>
      <c r="Q632" s="53"/>
      <c r="S632" s="53"/>
      <c r="T632" s="53"/>
      <c r="U632" s="53"/>
      <c r="V632" s="53"/>
      <c r="AM632" s="58"/>
      <c r="AN632" s="58"/>
      <c r="AO632" s="58"/>
      <c r="AP632" s="58"/>
      <c r="AQ632" s="58"/>
      <c r="AR632" s="58"/>
      <c r="AS632" s="58"/>
      <c r="AT632" s="58"/>
    </row>
    <row r="633" spans="7:46">
      <c r="G633" s="112"/>
      <c r="O633" s="53"/>
      <c r="P633" s="53"/>
      <c r="Q633" s="53"/>
      <c r="S633" s="53"/>
      <c r="T633" s="53"/>
      <c r="U633" s="53"/>
      <c r="V633" s="53"/>
      <c r="AM633" s="58"/>
      <c r="AN633" s="58"/>
      <c r="AO633" s="58"/>
      <c r="AP633" s="58"/>
      <c r="AQ633" s="58"/>
      <c r="AR633" s="58"/>
      <c r="AS633" s="58"/>
      <c r="AT633" s="58"/>
    </row>
    <row r="634" spans="7:46">
      <c r="G634" s="112"/>
      <c r="O634" s="53"/>
      <c r="P634" s="53"/>
      <c r="Q634" s="53"/>
      <c r="S634" s="53"/>
      <c r="T634" s="53"/>
      <c r="U634" s="53"/>
      <c r="V634" s="53"/>
      <c r="AM634" s="58"/>
      <c r="AN634" s="58"/>
      <c r="AO634" s="58"/>
      <c r="AP634" s="58"/>
      <c r="AQ634" s="58"/>
      <c r="AR634" s="58"/>
      <c r="AS634" s="58"/>
      <c r="AT634" s="58"/>
    </row>
    <row r="635" spans="7:46">
      <c r="G635" s="112"/>
      <c r="O635" s="53"/>
      <c r="P635" s="53"/>
      <c r="Q635" s="53"/>
      <c r="S635" s="53"/>
      <c r="T635" s="53"/>
      <c r="U635" s="53"/>
      <c r="V635" s="53"/>
      <c r="AM635" s="58"/>
      <c r="AN635" s="58"/>
      <c r="AO635" s="58"/>
      <c r="AP635" s="58"/>
      <c r="AQ635" s="58"/>
      <c r="AR635" s="58"/>
      <c r="AS635" s="58"/>
      <c r="AT635" s="58"/>
    </row>
    <row r="636" spans="7:46">
      <c r="G636" s="112"/>
      <c r="O636" s="53"/>
      <c r="P636" s="53"/>
      <c r="Q636" s="53"/>
      <c r="S636" s="53"/>
      <c r="T636" s="53"/>
      <c r="U636" s="53"/>
      <c r="V636" s="53"/>
      <c r="AM636" s="58"/>
      <c r="AN636" s="58"/>
      <c r="AO636" s="58"/>
      <c r="AP636" s="58"/>
      <c r="AQ636" s="58"/>
      <c r="AR636" s="58"/>
      <c r="AS636" s="58"/>
      <c r="AT636" s="58"/>
    </row>
    <row r="637" spans="7:46">
      <c r="G637" s="112"/>
      <c r="O637" s="53"/>
      <c r="P637" s="53"/>
      <c r="Q637" s="53"/>
      <c r="S637" s="53"/>
      <c r="T637" s="53"/>
      <c r="U637" s="53"/>
      <c r="V637" s="53"/>
      <c r="AM637" s="58"/>
      <c r="AN637" s="58"/>
      <c r="AO637" s="58"/>
      <c r="AP637" s="58"/>
      <c r="AQ637" s="58"/>
      <c r="AR637" s="58"/>
      <c r="AS637" s="58"/>
      <c r="AT637" s="58"/>
    </row>
    <row r="638" spans="7:46">
      <c r="G638" s="112"/>
      <c r="O638" s="53"/>
      <c r="P638" s="53"/>
      <c r="Q638" s="53"/>
      <c r="S638" s="53"/>
      <c r="T638" s="53"/>
      <c r="U638" s="53"/>
      <c r="V638" s="53"/>
      <c r="AM638" s="58"/>
      <c r="AN638" s="58"/>
      <c r="AO638" s="58"/>
      <c r="AP638" s="58"/>
      <c r="AQ638" s="58"/>
      <c r="AR638" s="58"/>
      <c r="AS638" s="58"/>
      <c r="AT638" s="58"/>
    </row>
    <row r="639" spans="7:46">
      <c r="G639" s="112"/>
      <c r="O639" s="53"/>
      <c r="P639" s="53"/>
      <c r="Q639" s="53"/>
      <c r="S639" s="53"/>
      <c r="T639" s="53"/>
      <c r="U639" s="53"/>
      <c r="V639" s="53"/>
      <c r="AM639" s="58"/>
      <c r="AN639" s="58"/>
      <c r="AO639" s="58"/>
      <c r="AP639" s="58"/>
      <c r="AQ639" s="58"/>
      <c r="AR639" s="58"/>
      <c r="AS639" s="58"/>
      <c r="AT639" s="58"/>
    </row>
    <row r="640" spans="7:46">
      <c r="G640" s="112"/>
      <c r="O640" s="53"/>
      <c r="P640" s="53"/>
      <c r="Q640" s="53"/>
      <c r="S640" s="53"/>
      <c r="T640" s="53"/>
      <c r="U640" s="53"/>
      <c r="V640" s="53"/>
      <c r="AM640" s="58"/>
      <c r="AN640" s="58"/>
      <c r="AO640" s="58"/>
      <c r="AP640" s="58"/>
      <c r="AQ640" s="58"/>
      <c r="AR640" s="58"/>
      <c r="AS640" s="58"/>
      <c r="AT640" s="58"/>
    </row>
    <row r="641" spans="7:46">
      <c r="G641" s="112"/>
      <c r="O641" s="53"/>
      <c r="P641" s="53"/>
      <c r="Q641" s="53"/>
      <c r="S641" s="53"/>
      <c r="T641" s="53"/>
      <c r="U641" s="53"/>
      <c r="V641" s="53"/>
      <c r="AM641" s="58"/>
      <c r="AN641" s="58"/>
      <c r="AO641" s="58"/>
      <c r="AP641" s="58"/>
      <c r="AQ641" s="58"/>
      <c r="AR641" s="58"/>
      <c r="AS641" s="58"/>
      <c r="AT641" s="58"/>
    </row>
    <row r="642" spans="7:46">
      <c r="G642" s="112"/>
      <c r="O642" s="53"/>
      <c r="P642" s="53"/>
      <c r="Q642" s="53"/>
      <c r="S642" s="53"/>
      <c r="T642" s="53"/>
      <c r="U642" s="53"/>
      <c r="V642" s="53"/>
      <c r="AM642" s="58"/>
      <c r="AN642" s="58"/>
      <c r="AO642" s="58"/>
      <c r="AP642" s="58"/>
      <c r="AQ642" s="58"/>
      <c r="AR642" s="58"/>
      <c r="AS642" s="58"/>
      <c r="AT642" s="58"/>
    </row>
    <row r="643" spans="7:46">
      <c r="G643" s="112"/>
      <c r="O643" s="53"/>
      <c r="P643" s="53"/>
      <c r="Q643" s="53"/>
      <c r="S643" s="53"/>
      <c r="T643" s="53"/>
      <c r="U643" s="53"/>
      <c r="V643" s="53"/>
      <c r="AM643" s="58"/>
      <c r="AN643" s="58"/>
      <c r="AO643" s="58"/>
      <c r="AP643" s="58"/>
      <c r="AQ643" s="58"/>
      <c r="AR643" s="58"/>
      <c r="AS643" s="58"/>
      <c r="AT643" s="58"/>
    </row>
    <row r="644" spans="7:46">
      <c r="G644" s="112"/>
      <c r="O644" s="53"/>
      <c r="P644" s="53"/>
      <c r="Q644" s="53"/>
      <c r="S644" s="53"/>
      <c r="T644" s="53"/>
      <c r="U644" s="53"/>
      <c r="V644" s="53"/>
      <c r="AM644" s="58"/>
      <c r="AN644" s="58"/>
      <c r="AO644" s="58"/>
      <c r="AP644" s="58"/>
      <c r="AQ644" s="58"/>
      <c r="AR644" s="58"/>
      <c r="AS644" s="58"/>
      <c r="AT644" s="58"/>
    </row>
    <row r="645" spans="7:46">
      <c r="G645" s="112"/>
      <c r="O645" s="53"/>
      <c r="P645" s="53"/>
      <c r="Q645" s="53"/>
      <c r="S645" s="53"/>
      <c r="T645" s="53"/>
      <c r="U645" s="53"/>
      <c r="V645" s="53"/>
      <c r="AM645" s="58"/>
      <c r="AN645" s="58"/>
      <c r="AO645" s="58"/>
      <c r="AP645" s="58"/>
      <c r="AQ645" s="58"/>
      <c r="AR645" s="58"/>
      <c r="AS645" s="58"/>
      <c r="AT645" s="58"/>
    </row>
    <row r="646" spans="7:46">
      <c r="G646" s="112"/>
      <c r="O646" s="53"/>
      <c r="P646" s="53"/>
      <c r="Q646" s="53"/>
      <c r="S646" s="53"/>
      <c r="T646" s="53"/>
      <c r="U646" s="53"/>
      <c r="V646" s="53"/>
      <c r="AM646" s="58"/>
      <c r="AN646" s="58"/>
      <c r="AO646" s="58"/>
      <c r="AP646" s="58"/>
      <c r="AQ646" s="58"/>
      <c r="AR646" s="58"/>
      <c r="AS646" s="58"/>
      <c r="AT646" s="58"/>
    </row>
    <row r="647" spans="7:46">
      <c r="G647" s="112"/>
      <c r="O647" s="53"/>
      <c r="P647" s="53"/>
      <c r="Q647" s="53"/>
      <c r="S647" s="53"/>
      <c r="T647" s="53"/>
      <c r="U647" s="53"/>
      <c r="V647" s="53"/>
      <c r="AM647" s="58"/>
      <c r="AN647" s="58"/>
      <c r="AO647" s="58"/>
      <c r="AP647" s="58"/>
      <c r="AQ647" s="58"/>
      <c r="AR647" s="58"/>
      <c r="AS647" s="58"/>
      <c r="AT647" s="58"/>
    </row>
    <row r="648" spans="7:46">
      <c r="G648" s="112"/>
      <c r="O648" s="53"/>
      <c r="P648" s="53"/>
      <c r="Q648" s="53"/>
      <c r="S648" s="53"/>
      <c r="T648" s="53"/>
      <c r="U648" s="53"/>
      <c r="V648" s="53"/>
      <c r="AM648" s="58"/>
      <c r="AN648" s="58"/>
      <c r="AO648" s="58"/>
      <c r="AP648" s="58"/>
      <c r="AQ648" s="58"/>
      <c r="AR648" s="58"/>
      <c r="AS648" s="58"/>
      <c r="AT648" s="58"/>
    </row>
    <row r="649" spans="7:46">
      <c r="G649" s="112"/>
      <c r="O649" s="53"/>
      <c r="P649" s="53"/>
      <c r="Q649" s="53"/>
      <c r="S649" s="53"/>
      <c r="T649" s="53"/>
      <c r="U649" s="53"/>
      <c r="V649" s="53"/>
      <c r="AM649" s="58"/>
      <c r="AN649" s="58"/>
      <c r="AO649" s="58"/>
      <c r="AP649" s="58"/>
      <c r="AQ649" s="58"/>
      <c r="AR649" s="58"/>
      <c r="AS649" s="58"/>
      <c r="AT649" s="58"/>
    </row>
    <row r="650" spans="7:46">
      <c r="G650" s="112"/>
      <c r="O650" s="53"/>
      <c r="P650" s="53"/>
      <c r="Q650" s="53"/>
      <c r="S650" s="53"/>
      <c r="T650" s="53"/>
      <c r="U650" s="53"/>
      <c r="V650" s="53"/>
      <c r="AM650" s="58"/>
      <c r="AN650" s="58"/>
      <c r="AO650" s="58"/>
      <c r="AP650" s="58"/>
      <c r="AQ650" s="58"/>
      <c r="AR650" s="58"/>
      <c r="AS650" s="58"/>
      <c r="AT650" s="58"/>
    </row>
    <row r="651" spans="7:46">
      <c r="G651" s="112"/>
      <c r="O651" s="53"/>
      <c r="P651" s="53"/>
      <c r="Q651" s="53"/>
      <c r="S651" s="53"/>
      <c r="T651" s="53"/>
      <c r="U651" s="53"/>
      <c r="V651" s="53"/>
      <c r="AM651" s="58"/>
      <c r="AN651" s="58"/>
      <c r="AO651" s="58"/>
      <c r="AP651" s="58"/>
      <c r="AQ651" s="58"/>
      <c r="AR651" s="58"/>
      <c r="AS651" s="58"/>
      <c r="AT651" s="58"/>
    </row>
    <row r="652" spans="7:46">
      <c r="G652" s="112"/>
      <c r="O652" s="53"/>
      <c r="P652" s="53"/>
      <c r="Q652" s="53"/>
      <c r="S652" s="53"/>
      <c r="T652" s="53"/>
      <c r="U652" s="53"/>
      <c r="V652" s="53"/>
      <c r="AM652" s="58"/>
      <c r="AN652" s="58"/>
      <c r="AO652" s="58"/>
      <c r="AP652" s="58"/>
      <c r="AQ652" s="58"/>
      <c r="AR652" s="58"/>
      <c r="AS652" s="58"/>
      <c r="AT652" s="58"/>
    </row>
    <row r="653" spans="7:46">
      <c r="G653" s="112"/>
      <c r="O653" s="53"/>
      <c r="P653" s="53"/>
      <c r="Q653" s="53"/>
      <c r="S653" s="53"/>
      <c r="T653" s="53"/>
      <c r="U653" s="53"/>
      <c r="V653" s="53"/>
      <c r="AM653" s="58"/>
      <c r="AN653" s="58"/>
      <c r="AO653" s="58"/>
      <c r="AP653" s="58"/>
      <c r="AQ653" s="58"/>
      <c r="AR653" s="58"/>
      <c r="AS653" s="58"/>
      <c r="AT653" s="58"/>
    </row>
    <row r="654" spans="7:46">
      <c r="G654" s="112"/>
      <c r="O654" s="53"/>
      <c r="P654" s="53"/>
      <c r="Q654" s="53"/>
      <c r="S654" s="53"/>
      <c r="T654" s="53"/>
      <c r="U654" s="53"/>
      <c r="V654" s="53"/>
      <c r="AM654" s="58"/>
      <c r="AN654" s="58"/>
      <c r="AO654" s="58"/>
      <c r="AP654" s="58"/>
      <c r="AQ654" s="58"/>
      <c r="AR654" s="58"/>
      <c r="AS654" s="58"/>
      <c r="AT654" s="58"/>
    </row>
    <row r="655" spans="7:46">
      <c r="G655" s="112"/>
      <c r="O655" s="53"/>
      <c r="P655" s="53"/>
      <c r="Q655" s="53"/>
      <c r="S655" s="53"/>
      <c r="T655" s="53"/>
      <c r="U655" s="53"/>
      <c r="V655" s="53"/>
      <c r="AM655" s="58"/>
      <c r="AN655" s="58"/>
      <c r="AO655" s="58"/>
      <c r="AP655" s="58"/>
      <c r="AQ655" s="58"/>
      <c r="AR655" s="58"/>
      <c r="AS655" s="58"/>
      <c r="AT655" s="58"/>
    </row>
    <row r="656" spans="7:46">
      <c r="G656" s="112"/>
      <c r="O656" s="53"/>
      <c r="P656" s="53"/>
      <c r="Q656" s="53"/>
      <c r="S656" s="53"/>
      <c r="T656" s="53"/>
      <c r="U656" s="53"/>
      <c r="V656" s="53"/>
      <c r="AM656" s="58"/>
      <c r="AN656" s="58"/>
      <c r="AO656" s="58"/>
      <c r="AP656" s="58"/>
      <c r="AQ656" s="58"/>
      <c r="AR656" s="58"/>
      <c r="AS656" s="58"/>
      <c r="AT656" s="58"/>
    </row>
    <row r="657" spans="7:46">
      <c r="G657" s="112"/>
      <c r="O657" s="53"/>
      <c r="P657" s="53"/>
      <c r="Q657" s="53"/>
      <c r="S657" s="53"/>
      <c r="T657" s="53"/>
      <c r="U657" s="53"/>
      <c r="V657" s="53"/>
      <c r="AM657" s="58"/>
      <c r="AN657" s="58"/>
      <c r="AO657" s="58"/>
      <c r="AP657" s="58"/>
      <c r="AQ657" s="58"/>
      <c r="AR657" s="58"/>
      <c r="AS657" s="58"/>
      <c r="AT657" s="58"/>
    </row>
    <row r="658" spans="7:46">
      <c r="G658" s="112"/>
      <c r="O658" s="53"/>
      <c r="P658" s="53"/>
      <c r="Q658" s="53"/>
      <c r="S658" s="53"/>
      <c r="T658" s="53"/>
      <c r="U658" s="53"/>
      <c r="V658" s="53"/>
      <c r="AM658" s="58"/>
      <c r="AN658" s="58"/>
      <c r="AO658" s="58"/>
      <c r="AP658" s="58"/>
      <c r="AQ658" s="58"/>
      <c r="AR658" s="58"/>
      <c r="AS658" s="58"/>
      <c r="AT658" s="58"/>
    </row>
    <row r="659" spans="7:46">
      <c r="G659" s="112"/>
      <c r="O659" s="53"/>
      <c r="P659" s="53"/>
      <c r="Q659" s="53"/>
      <c r="S659" s="53"/>
      <c r="T659" s="53"/>
      <c r="U659" s="53"/>
      <c r="V659" s="53"/>
      <c r="AM659" s="58"/>
      <c r="AN659" s="58"/>
      <c r="AO659" s="58"/>
      <c r="AP659" s="58"/>
      <c r="AQ659" s="58"/>
      <c r="AR659" s="58"/>
      <c r="AS659" s="58"/>
      <c r="AT659" s="58"/>
    </row>
    <row r="660" spans="7:46">
      <c r="G660" s="112"/>
      <c r="O660" s="53"/>
      <c r="P660" s="53"/>
      <c r="Q660" s="53"/>
      <c r="S660" s="53"/>
      <c r="T660" s="53"/>
      <c r="U660" s="53"/>
      <c r="V660" s="53"/>
      <c r="AM660" s="58"/>
      <c r="AN660" s="58"/>
      <c r="AO660" s="58"/>
      <c r="AP660" s="58"/>
      <c r="AQ660" s="58"/>
      <c r="AR660" s="58"/>
      <c r="AS660" s="58"/>
      <c r="AT660" s="58"/>
    </row>
    <row r="661" spans="7:46">
      <c r="G661" s="112"/>
      <c r="O661" s="53"/>
      <c r="P661" s="53"/>
      <c r="Q661" s="53"/>
      <c r="S661" s="53"/>
      <c r="T661" s="53"/>
      <c r="U661" s="53"/>
      <c r="V661" s="53"/>
      <c r="AM661" s="58"/>
      <c r="AN661" s="58"/>
      <c r="AO661" s="58"/>
      <c r="AP661" s="58"/>
      <c r="AQ661" s="58"/>
      <c r="AR661" s="58"/>
      <c r="AS661" s="58"/>
      <c r="AT661" s="58"/>
    </row>
    <row r="662" spans="7:46">
      <c r="G662" s="112"/>
      <c r="O662" s="53"/>
      <c r="P662" s="53"/>
      <c r="Q662" s="53"/>
      <c r="S662" s="53"/>
      <c r="T662" s="53"/>
      <c r="U662" s="53"/>
      <c r="V662" s="53"/>
      <c r="AM662" s="58"/>
      <c r="AN662" s="58"/>
      <c r="AO662" s="58"/>
      <c r="AP662" s="58"/>
      <c r="AQ662" s="58"/>
      <c r="AR662" s="58"/>
      <c r="AS662" s="58"/>
      <c r="AT662" s="58"/>
    </row>
    <row r="663" spans="7:46">
      <c r="G663" s="112"/>
      <c r="O663" s="53"/>
      <c r="P663" s="53"/>
      <c r="Q663" s="53"/>
      <c r="S663" s="53"/>
      <c r="T663" s="53"/>
      <c r="U663" s="53"/>
      <c r="V663" s="53"/>
      <c r="AM663" s="58"/>
      <c r="AN663" s="58"/>
      <c r="AO663" s="58"/>
      <c r="AP663" s="58"/>
      <c r="AQ663" s="58"/>
      <c r="AR663" s="58"/>
      <c r="AS663" s="58"/>
      <c r="AT663" s="58"/>
    </row>
    <row r="664" spans="7:46">
      <c r="G664" s="112"/>
      <c r="O664" s="53"/>
      <c r="P664" s="53"/>
      <c r="Q664" s="53"/>
      <c r="S664" s="53"/>
      <c r="T664" s="53"/>
      <c r="U664" s="53"/>
      <c r="V664" s="53"/>
      <c r="AM664" s="58"/>
      <c r="AN664" s="58"/>
      <c r="AO664" s="58"/>
      <c r="AP664" s="58"/>
      <c r="AQ664" s="58"/>
      <c r="AR664" s="58"/>
      <c r="AS664" s="58"/>
      <c r="AT664" s="58"/>
    </row>
    <row r="665" spans="7:46">
      <c r="G665" s="112"/>
      <c r="O665" s="53"/>
      <c r="P665" s="53"/>
      <c r="Q665" s="53"/>
      <c r="S665" s="53"/>
      <c r="T665" s="53"/>
      <c r="U665" s="53"/>
      <c r="V665" s="53"/>
      <c r="AM665" s="58"/>
      <c r="AN665" s="58"/>
      <c r="AO665" s="58"/>
      <c r="AP665" s="58"/>
      <c r="AQ665" s="58"/>
      <c r="AR665" s="58"/>
      <c r="AS665" s="58"/>
      <c r="AT665" s="58"/>
    </row>
    <row r="666" spans="7:46">
      <c r="G666" s="112"/>
      <c r="O666" s="53"/>
      <c r="P666" s="53"/>
      <c r="Q666" s="53"/>
      <c r="S666" s="53"/>
      <c r="T666" s="53"/>
      <c r="U666" s="53"/>
      <c r="V666" s="53"/>
      <c r="AM666" s="58"/>
      <c r="AN666" s="58"/>
      <c r="AO666" s="58"/>
      <c r="AP666" s="58"/>
      <c r="AQ666" s="58"/>
      <c r="AR666" s="58"/>
      <c r="AS666" s="58"/>
      <c r="AT666" s="58"/>
    </row>
    <row r="667" spans="7:46">
      <c r="G667" s="112"/>
      <c r="O667" s="53"/>
      <c r="P667" s="53"/>
      <c r="Q667" s="53"/>
      <c r="S667" s="53"/>
      <c r="T667" s="53"/>
      <c r="U667" s="53"/>
      <c r="V667" s="53"/>
      <c r="AM667" s="58"/>
      <c r="AN667" s="58"/>
      <c r="AO667" s="58"/>
      <c r="AP667" s="58"/>
      <c r="AQ667" s="58"/>
      <c r="AR667" s="58"/>
      <c r="AS667" s="58"/>
      <c r="AT667" s="58"/>
    </row>
    <row r="668" spans="7:46">
      <c r="G668" s="112"/>
      <c r="O668" s="53"/>
      <c r="P668" s="53"/>
      <c r="Q668" s="53"/>
      <c r="S668" s="53"/>
      <c r="T668" s="53"/>
      <c r="U668" s="53"/>
      <c r="V668" s="53"/>
      <c r="AM668" s="58"/>
      <c r="AN668" s="58"/>
      <c r="AO668" s="58"/>
      <c r="AP668" s="58"/>
      <c r="AQ668" s="58"/>
      <c r="AR668" s="58"/>
      <c r="AS668" s="58"/>
      <c r="AT668" s="58"/>
    </row>
    <row r="669" spans="7:46">
      <c r="G669" s="112"/>
      <c r="O669" s="53"/>
      <c r="P669" s="53"/>
      <c r="Q669" s="53"/>
      <c r="S669" s="53"/>
      <c r="T669" s="53"/>
      <c r="U669" s="53"/>
      <c r="V669" s="53"/>
      <c r="AM669" s="58"/>
      <c r="AN669" s="58"/>
      <c r="AO669" s="58"/>
      <c r="AP669" s="58"/>
      <c r="AQ669" s="58"/>
      <c r="AR669" s="58"/>
      <c r="AS669" s="58"/>
      <c r="AT669" s="58"/>
    </row>
    <row r="670" spans="7:46">
      <c r="G670" s="112"/>
      <c r="O670" s="53"/>
      <c r="P670" s="53"/>
      <c r="Q670" s="53"/>
      <c r="S670" s="53"/>
      <c r="T670" s="53"/>
      <c r="U670" s="53"/>
      <c r="V670" s="53"/>
      <c r="AM670" s="58"/>
      <c r="AN670" s="58"/>
      <c r="AO670" s="58"/>
      <c r="AP670" s="58"/>
      <c r="AQ670" s="58"/>
      <c r="AR670" s="58"/>
      <c r="AS670" s="58"/>
      <c r="AT670" s="58"/>
    </row>
    <row r="671" spans="7:46">
      <c r="G671" s="112"/>
      <c r="O671" s="53"/>
      <c r="P671" s="53"/>
      <c r="Q671" s="53"/>
      <c r="S671" s="53"/>
      <c r="T671" s="53"/>
      <c r="U671" s="53"/>
      <c r="V671" s="53"/>
      <c r="AM671" s="58"/>
      <c r="AN671" s="58"/>
      <c r="AO671" s="58"/>
      <c r="AP671" s="58"/>
      <c r="AQ671" s="58"/>
      <c r="AR671" s="58"/>
      <c r="AS671" s="58"/>
      <c r="AT671" s="58"/>
    </row>
    <row r="672" spans="7:46">
      <c r="G672" s="112"/>
      <c r="O672" s="53"/>
      <c r="P672" s="53"/>
      <c r="Q672" s="53"/>
      <c r="S672" s="53"/>
      <c r="T672" s="53"/>
      <c r="U672" s="53"/>
      <c r="V672" s="53"/>
      <c r="AM672" s="58"/>
      <c r="AN672" s="58"/>
      <c r="AO672" s="58"/>
      <c r="AP672" s="58"/>
      <c r="AQ672" s="58"/>
      <c r="AR672" s="58"/>
      <c r="AS672" s="58"/>
      <c r="AT672" s="58"/>
    </row>
    <row r="673" spans="7:46">
      <c r="G673" s="112"/>
      <c r="O673" s="53"/>
      <c r="P673" s="53"/>
      <c r="Q673" s="53"/>
      <c r="S673" s="53"/>
      <c r="T673" s="53"/>
      <c r="U673" s="53"/>
      <c r="V673" s="53"/>
      <c r="AM673" s="58"/>
      <c r="AN673" s="58"/>
      <c r="AO673" s="58"/>
      <c r="AP673" s="58"/>
      <c r="AQ673" s="58"/>
      <c r="AR673" s="58"/>
      <c r="AS673" s="58"/>
      <c r="AT673" s="58"/>
    </row>
    <row r="674" spans="7:46">
      <c r="G674" s="112"/>
      <c r="O674" s="53"/>
      <c r="P674" s="53"/>
      <c r="Q674" s="53"/>
      <c r="S674" s="53"/>
      <c r="T674" s="53"/>
      <c r="U674" s="53"/>
      <c r="V674" s="53"/>
      <c r="AM674" s="58"/>
      <c r="AN674" s="58"/>
      <c r="AO674" s="58"/>
      <c r="AP674" s="58"/>
      <c r="AQ674" s="58"/>
      <c r="AR674" s="58"/>
      <c r="AS674" s="58"/>
      <c r="AT674" s="58"/>
    </row>
    <row r="675" spans="7:46">
      <c r="G675" s="112"/>
      <c r="O675" s="53"/>
      <c r="P675" s="53"/>
      <c r="Q675" s="53"/>
      <c r="S675" s="53"/>
      <c r="T675" s="53"/>
      <c r="U675" s="53"/>
      <c r="V675" s="53"/>
      <c r="AM675" s="58"/>
      <c r="AN675" s="58"/>
      <c r="AO675" s="58"/>
      <c r="AP675" s="58"/>
      <c r="AQ675" s="58"/>
      <c r="AR675" s="58"/>
      <c r="AS675" s="58"/>
      <c r="AT675" s="58"/>
    </row>
    <row r="676" spans="7:46">
      <c r="G676" s="112"/>
      <c r="O676" s="53"/>
      <c r="P676" s="53"/>
      <c r="Q676" s="53"/>
      <c r="S676" s="53"/>
      <c r="T676" s="53"/>
      <c r="U676" s="53"/>
      <c r="V676" s="53"/>
      <c r="AM676" s="58"/>
      <c r="AN676" s="58"/>
      <c r="AO676" s="58"/>
      <c r="AP676" s="58"/>
      <c r="AQ676" s="58"/>
      <c r="AR676" s="58"/>
      <c r="AS676" s="58"/>
      <c r="AT676" s="58"/>
    </row>
    <row r="677" spans="7:46">
      <c r="G677" s="112"/>
      <c r="O677" s="53"/>
      <c r="P677" s="53"/>
      <c r="Q677" s="53"/>
      <c r="S677" s="53"/>
      <c r="T677" s="53"/>
      <c r="U677" s="53"/>
      <c r="V677" s="53"/>
      <c r="AM677" s="58"/>
      <c r="AN677" s="58"/>
      <c r="AO677" s="58"/>
      <c r="AP677" s="58"/>
      <c r="AQ677" s="58"/>
      <c r="AR677" s="58"/>
      <c r="AS677" s="58"/>
      <c r="AT677" s="58"/>
    </row>
    <row r="678" spans="7:46">
      <c r="G678" s="112"/>
      <c r="O678" s="53"/>
      <c r="P678" s="53"/>
      <c r="Q678" s="53"/>
      <c r="S678" s="53"/>
      <c r="T678" s="53"/>
      <c r="U678" s="53"/>
      <c r="V678" s="53"/>
      <c r="AM678" s="58"/>
      <c r="AN678" s="58"/>
      <c r="AO678" s="58"/>
      <c r="AP678" s="58"/>
      <c r="AQ678" s="58"/>
      <c r="AR678" s="58"/>
      <c r="AS678" s="58"/>
      <c r="AT678" s="58"/>
    </row>
    <row r="679" spans="7:46">
      <c r="G679" s="112"/>
      <c r="O679" s="53"/>
      <c r="P679" s="53"/>
      <c r="Q679" s="53"/>
      <c r="S679" s="53"/>
      <c r="T679" s="53"/>
      <c r="U679" s="53"/>
      <c r="V679" s="53"/>
      <c r="AM679" s="58"/>
      <c r="AN679" s="58"/>
      <c r="AO679" s="58"/>
      <c r="AP679" s="58"/>
      <c r="AQ679" s="58"/>
      <c r="AR679" s="58"/>
      <c r="AS679" s="58"/>
      <c r="AT679" s="58"/>
    </row>
    <row r="680" spans="7:46">
      <c r="G680" s="112"/>
      <c r="O680" s="53"/>
      <c r="P680" s="53"/>
      <c r="Q680" s="53"/>
      <c r="S680" s="53"/>
      <c r="T680" s="53"/>
      <c r="U680" s="53"/>
      <c r="V680" s="53"/>
      <c r="AM680" s="58"/>
      <c r="AN680" s="58"/>
      <c r="AO680" s="58"/>
      <c r="AP680" s="58"/>
      <c r="AQ680" s="58"/>
      <c r="AR680" s="58"/>
      <c r="AS680" s="58"/>
      <c r="AT680" s="58"/>
    </row>
    <row r="681" spans="7:46">
      <c r="G681" s="112"/>
      <c r="O681" s="53"/>
      <c r="P681" s="53"/>
      <c r="Q681" s="53"/>
      <c r="S681" s="53"/>
      <c r="T681" s="53"/>
      <c r="U681" s="53"/>
      <c r="V681" s="53"/>
      <c r="AM681" s="58"/>
      <c r="AN681" s="58"/>
      <c r="AO681" s="58"/>
      <c r="AP681" s="58"/>
      <c r="AQ681" s="58"/>
      <c r="AR681" s="58"/>
      <c r="AS681" s="58"/>
      <c r="AT681" s="58"/>
    </row>
    <row r="682" spans="7:46">
      <c r="G682" s="112"/>
      <c r="O682" s="53"/>
      <c r="P682" s="53"/>
      <c r="Q682" s="53"/>
      <c r="S682" s="53"/>
      <c r="T682" s="53"/>
      <c r="U682" s="53"/>
      <c r="V682" s="53"/>
      <c r="AM682" s="58"/>
      <c r="AN682" s="58"/>
      <c r="AO682" s="58"/>
      <c r="AP682" s="58"/>
      <c r="AQ682" s="58"/>
      <c r="AR682" s="58"/>
      <c r="AS682" s="58"/>
      <c r="AT682" s="58"/>
    </row>
    <row r="683" spans="7:46">
      <c r="G683" s="112"/>
      <c r="O683" s="53"/>
      <c r="P683" s="53"/>
      <c r="Q683" s="53"/>
      <c r="S683" s="53"/>
      <c r="T683" s="53"/>
      <c r="U683" s="53"/>
      <c r="V683" s="53"/>
      <c r="AM683" s="58"/>
      <c r="AN683" s="58"/>
      <c r="AO683" s="58"/>
      <c r="AP683" s="58"/>
      <c r="AQ683" s="58"/>
      <c r="AR683" s="58"/>
      <c r="AS683" s="58"/>
      <c r="AT683" s="58"/>
    </row>
    <row r="684" spans="7:46">
      <c r="G684" s="112"/>
      <c r="O684" s="53"/>
      <c r="P684" s="53"/>
      <c r="Q684" s="53"/>
      <c r="S684" s="53"/>
      <c r="T684" s="53"/>
      <c r="U684" s="53"/>
      <c r="V684" s="53"/>
      <c r="AM684" s="58"/>
      <c r="AN684" s="58"/>
      <c r="AO684" s="58"/>
      <c r="AP684" s="58"/>
      <c r="AQ684" s="58"/>
      <c r="AR684" s="58"/>
      <c r="AS684" s="58"/>
      <c r="AT684" s="58"/>
    </row>
    <row r="685" spans="7:46">
      <c r="G685" s="112"/>
      <c r="O685" s="53"/>
      <c r="P685" s="53"/>
      <c r="Q685" s="53"/>
      <c r="S685" s="53"/>
      <c r="T685" s="53"/>
      <c r="U685" s="53"/>
      <c r="V685" s="53"/>
      <c r="AM685" s="58"/>
      <c r="AN685" s="58"/>
      <c r="AO685" s="58"/>
      <c r="AP685" s="58"/>
      <c r="AQ685" s="58"/>
      <c r="AR685" s="58"/>
      <c r="AS685" s="58"/>
      <c r="AT685" s="58"/>
    </row>
    <row r="686" spans="7:46">
      <c r="G686" s="112"/>
      <c r="O686" s="53"/>
      <c r="P686" s="53"/>
      <c r="Q686" s="53"/>
      <c r="S686" s="53"/>
      <c r="T686" s="53"/>
      <c r="U686" s="53"/>
      <c r="V686" s="53"/>
      <c r="AM686" s="58"/>
      <c r="AN686" s="58"/>
      <c r="AO686" s="58"/>
      <c r="AP686" s="58"/>
      <c r="AQ686" s="58"/>
      <c r="AR686" s="58"/>
      <c r="AS686" s="58"/>
      <c r="AT686" s="58"/>
    </row>
    <row r="687" spans="7:46">
      <c r="G687" s="112"/>
      <c r="O687" s="53"/>
      <c r="P687" s="53"/>
      <c r="Q687" s="53"/>
      <c r="S687" s="53"/>
      <c r="T687" s="53"/>
      <c r="U687" s="53"/>
      <c r="V687" s="53"/>
      <c r="AM687" s="58"/>
      <c r="AN687" s="58"/>
      <c r="AO687" s="58"/>
      <c r="AP687" s="58"/>
      <c r="AQ687" s="58"/>
      <c r="AR687" s="58"/>
      <c r="AS687" s="58"/>
      <c r="AT687" s="58"/>
    </row>
    <row r="688" spans="7:46">
      <c r="G688" s="112"/>
      <c r="O688" s="53"/>
      <c r="P688" s="53"/>
      <c r="Q688" s="53"/>
      <c r="S688" s="53"/>
      <c r="T688" s="53"/>
      <c r="U688" s="53"/>
      <c r="V688" s="53"/>
      <c r="AM688" s="58"/>
      <c r="AN688" s="58"/>
      <c r="AO688" s="58"/>
      <c r="AP688" s="58"/>
      <c r="AQ688" s="58"/>
      <c r="AR688" s="58"/>
      <c r="AS688" s="58"/>
      <c r="AT688" s="58"/>
    </row>
    <row r="689" spans="7:46">
      <c r="G689" s="112"/>
      <c r="O689" s="53"/>
      <c r="P689" s="53"/>
      <c r="Q689" s="53"/>
      <c r="S689" s="53"/>
      <c r="T689" s="53"/>
      <c r="U689" s="53"/>
      <c r="V689" s="53"/>
      <c r="AM689" s="58"/>
      <c r="AN689" s="58"/>
      <c r="AO689" s="58"/>
      <c r="AP689" s="58"/>
      <c r="AQ689" s="58"/>
      <c r="AR689" s="58"/>
      <c r="AS689" s="58"/>
      <c r="AT689" s="58"/>
    </row>
    <row r="690" spans="7:46">
      <c r="G690" s="112"/>
      <c r="O690" s="53"/>
      <c r="P690" s="53"/>
      <c r="Q690" s="53"/>
      <c r="S690" s="53"/>
      <c r="T690" s="53"/>
      <c r="U690" s="53"/>
      <c r="V690" s="53"/>
      <c r="AM690" s="58"/>
      <c r="AN690" s="58"/>
      <c r="AO690" s="58"/>
      <c r="AP690" s="58"/>
      <c r="AQ690" s="58"/>
      <c r="AR690" s="58"/>
      <c r="AS690" s="58"/>
      <c r="AT690" s="58"/>
    </row>
    <row r="691" spans="7:46">
      <c r="G691" s="112"/>
      <c r="O691" s="53"/>
      <c r="P691" s="53"/>
      <c r="Q691" s="53"/>
      <c r="S691" s="53"/>
      <c r="T691" s="53"/>
      <c r="U691" s="53"/>
      <c r="V691" s="53"/>
      <c r="AM691" s="58"/>
      <c r="AN691" s="58"/>
      <c r="AO691" s="58"/>
      <c r="AP691" s="58"/>
      <c r="AQ691" s="58"/>
      <c r="AR691" s="58"/>
      <c r="AS691" s="58"/>
      <c r="AT691" s="58"/>
    </row>
    <row r="692" spans="7:46">
      <c r="G692" s="112"/>
      <c r="O692" s="53"/>
      <c r="P692" s="53"/>
      <c r="Q692" s="53"/>
      <c r="S692" s="53"/>
      <c r="T692" s="53"/>
      <c r="U692" s="53"/>
      <c r="V692" s="53"/>
      <c r="AM692" s="58"/>
      <c r="AN692" s="58"/>
      <c r="AO692" s="58"/>
      <c r="AP692" s="58"/>
      <c r="AQ692" s="58"/>
      <c r="AR692" s="58"/>
      <c r="AS692" s="58"/>
      <c r="AT692" s="58"/>
    </row>
    <row r="693" spans="7:46">
      <c r="G693" s="112"/>
      <c r="O693" s="53"/>
      <c r="P693" s="53"/>
      <c r="Q693" s="53"/>
      <c r="S693" s="53"/>
      <c r="T693" s="53"/>
      <c r="U693" s="53"/>
      <c r="V693" s="53"/>
      <c r="AM693" s="58"/>
      <c r="AN693" s="58"/>
      <c r="AO693" s="58"/>
      <c r="AP693" s="58"/>
      <c r="AQ693" s="58"/>
      <c r="AR693" s="58"/>
      <c r="AS693" s="58"/>
      <c r="AT693" s="58"/>
    </row>
    <row r="694" spans="7:46">
      <c r="G694" s="112"/>
      <c r="O694" s="53"/>
      <c r="P694" s="53"/>
      <c r="Q694" s="53"/>
      <c r="S694" s="53"/>
      <c r="T694" s="53"/>
      <c r="U694" s="53"/>
      <c r="V694" s="53"/>
      <c r="AM694" s="58"/>
      <c r="AN694" s="58"/>
      <c r="AO694" s="58"/>
      <c r="AP694" s="58"/>
      <c r="AQ694" s="58"/>
      <c r="AR694" s="58"/>
      <c r="AS694" s="58"/>
      <c r="AT694" s="58"/>
    </row>
    <row r="695" spans="7:46">
      <c r="G695" s="112"/>
      <c r="O695" s="53"/>
      <c r="P695" s="53"/>
      <c r="Q695" s="53"/>
      <c r="S695" s="53"/>
      <c r="T695" s="53"/>
      <c r="U695" s="53"/>
      <c r="V695" s="53"/>
      <c r="AM695" s="58"/>
      <c r="AN695" s="58"/>
      <c r="AO695" s="58"/>
      <c r="AP695" s="58"/>
      <c r="AQ695" s="58"/>
      <c r="AR695" s="58"/>
      <c r="AS695" s="58"/>
      <c r="AT695" s="58"/>
    </row>
    <row r="696" spans="7:46">
      <c r="G696" s="112"/>
      <c r="O696" s="53"/>
      <c r="P696" s="53"/>
      <c r="Q696" s="53"/>
      <c r="S696" s="53"/>
      <c r="T696" s="53"/>
      <c r="U696" s="53"/>
      <c r="V696" s="53"/>
      <c r="AM696" s="58"/>
      <c r="AN696" s="58"/>
      <c r="AO696" s="58"/>
      <c r="AP696" s="58"/>
      <c r="AQ696" s="58"/>
      <c r="AR696" s="58"/>
      <c r="AS696" s="58"/>
      <c r="AT696" s="58"/>
    </row>
    <row r="697" spans="7:46">
      <c r="G697" s="112"/>
      <c r="O697" s="53"/>
      <c r="P697" s="53"/>
      <c r="Q697" s="53"/>
      <c r="S697" s="53"/>
      <c r="T697" s="53"/>
      <c r="U697" s="53"/>
      <c r="V697" s="53"/>
      <c r="AM697" s="58"/>
      <c r="AN697" s="58"/>
      <c r="AO697" s="58"/>
      <c r="AP697" s="58"/>
      <c r="AQ697" s="58"/>
      <c r="AR697" s="58"/>
      <c r="AS697" s="58"/>
      <c r="AT697" s="58"/>
    </row>
    <row r="698" spans="7:46">
      <c r="G698" s="112"/>
      <c r="O698" s="53"/>
      <c r="P698" s="53"/>
      <c r="Q698" s="53"/>
      <c r="S698" s="53"/>
      <c r="T698" s="53"/>
      <c r="U698" s="53"/>
      <c r="V698" s="53"/>
      <c r="AM698" s="58"/>
      <c r="AN698" s="58"/>
      <c r="AO698" s="58"/>
      <c r="AP698" s="58"/>
      <c r="AQ698" s="58"/>
      <c r="AR698" s="58"/>
      <c r="AS698" s="58"/>
      <c r="AT698" s="58"/>
    </row>
    <row r="699" spans="7:46">
      <c r="G699" s="112"/>
      <c r="O699" s="53"/>
      <c r="P699" s="53"/>
      <c r="Q699" s="53"/>
      <c r="S699" s="53"/>
      <c r="T699" s="53"/>
      <c r="U699" s="53"/>
      <c r="V699" s="53"/>
      <c r="AM699" s="58"/>
      <c r="AN699" s="58"/>
      <c r="AO699" s="58"/>
      <c r="AP699" s="58"/>
      <c r="AQ699" s="58"/>
      <c r="AR699" s="58"/>
      <c r="AS699" s="58"/>
      <c r="AT699" s="58"/>
    </row>
    <row r="700" spans="7:46">
      <c r="G700" s="112"/>
      <c r="O700" s="53"/>
      <c r="P700" s="53"/>
      <c r="Q700" s="53"/>
      <c r="S700" s="53"/>
      <c r="T700" s="53"/>
      <c r="U700" s="53"/>
      <c r="V700" s="53"/>
      <c r="AM700" s="58"/>
      <c r="AN700" s="58"/>
      <c r="AO700" s="58"/>
      <c r="AP700" s="58"/>
      <c r="AQ700" s="58"/>
      <c r="AR700" s="58"/>
      <c r="AS700" s="58"/>
      <c r="AT700" s="58"/>
    </row>
    <row r="701" spans="7:46">
      <c r="G701" s="112"/>
      <c r="O701" s="53"/>
      <c r="P701" s="53"/>
      <c r="Q701" s="53"/>
      <c r="S701" s="53"/>
      <c r="T701" s="53"/>
      <c r="U701" s="53"/>
      <c r="V701" s="53"/>
      <c r="AM701" s="58"/>
      <c r="AN701" s="58"/>
      <c r="AO701" s="58"/>
      <c r="AP701" s="58"/>
      <c r="AQ701" s="58"/>
      <c r="AR701" s="58"/>
      <c r="AS701" s="58"/>
      <c r="AT701" s="58"/>
    </row>
    <row r="702" spans="7:46">
      <c r="G702" s="112"/>
      <c r="O702" s="53"/>
      <c r="P702" s="53"/>
      <c r="Q702" s="53"/>
      <c r="S702" s="53"/>
      <c r="T702" s="53"/>
      <c r="U702" s="53"/>
      <c r="V702" s="53"/>
      <c r="AM702" s="58"/>
      <c r="AN702" s="58"/>
      <c r="AO702" s="58"/>
      <c r="AP702" s="58"/>
      <c r="AQ702" s="58"/>
      <c r="AR702" s="58"/>
      <c r="AS702" s="58"/>
      <c r="AT702" s="58"/>
    </row>
    <row r="703" spans="7:46">
      <c r="G703" s="112"/>
      <c r="O703" s="53"/>
      <c r="P703" s="53"/>
      <c r="Q703" s="53"/>
      <c r="S703" s="53"/>
      <c r="T703" s="53"/>
      <c r="U703" s="53"/>
      <c r="V703" s="53"/>
      <c r="AM703" s="58"/>
      <c r="AN703" s="58"/>
      <c r="AO703" s="58"/>
      <c r="AP703" s="58"/>
      <c r="AQ703" s="58"/>
      <c r="AR703" s="58"/>
      <c r="AS703" s="58"/>
      <c r="AT703" s="58"/>
    </row>
    <row r="704" spans="7:46">
      <c r="G704" s="112"/>
      <c r="O704" s="53"/>
      <c r="P704" s="53"/>
      <c r="Q704" s="53"/>
      <c r="S704" s="53"/>
      <c r="T704" s="53"/>
      <c r="U704" s="53"/>
      <c r="V704" s="53"/>
      <c r="AM704" s="58"/>
      <c r="AN704" s="58"/>
      <c r="AO704" s="58"/>
      <c r="AP704" s="58"/>
      <c r="AQ704" s="58"/>
      <c r="AR704" s="58"/>
      <c r="AS704" s="58"/>
      <c r="AT704" s="58"/>
    </row>
    <row r="705" spans="7:46">
      <c r="G705" s="112"/>
      <c r="O705" s="53"/>
      <c r="P705" s="53"/>
      <c r="Q705" s="53"/>
      <c r="S705" s="53"/>
      <c r="T705" s="53"/>
      <c r="U705" s="53"/>
      <c r="V705" s="53"/>
      <c r="AM705" s="58"/>
      <c r="AN705" s="58"/>
      <c r="AO705" s="58"/>
      <c r="AP705" s="58"/>
      <c r="AQ705" s="58"/>
      <c r="AR705" s="58"/>
      <c r="AS705" s="58"/>
      <c r="AT705" s="58"/>
    </row>
    <row r="706" spans="7:46">
      <c r="G706" s="112"/>
      <c r="O706" s="53"/>
      <c r="P706" s="53"/>
      <c r="Q706" s="53"/>
      <c r="S706" s="53"/>
      <c r="T706" s="53"/>
      <c r="U706" s="53"/>
      <c r="V706" s="53"/>
      <c r="AM706" s="58"/>
      <c r="AN706" s="58"/>
      <c r="AO706" s="58"/>
      <c r="AP706" s="58"/>
      <c r="AQ706" s="58"/>
      <c r="AR706" s="58"/>
      <c r="AS706" s="58"/>
      <c r="AT706" s="58"/>
    </row>
    <row r="707" spans="7:46">
      <c r="G707" s="112"/>
      <c r="O707" s="53"/>
      <c r="P707" s="53"/>
      <c r="Q707" s="53"/>
      <c r="S707" s="53"/>
      <c r="T707" s="53"/>
      <c r="U707" s="53"/>
      <c r="V707" s="53"/>
      <c r="AM707" s="58"/>
      <c r="AN707" s="58"/>
      <c r="AO707" s="58"/>
      <c r="AP707" s="58"/>
      <c r="AQ707" s="58"/>
      <c r="AR707" s="58"/>
      <c r="AS707" s="58"/>
      <c r="AT707" s="58"/>
    </row>
    <row r="708" spans="7:46">
      <c r="G708" s="112"/>
      <c r="O708" s="53"/>
      <c r="P708" s="53"/>
      <c r="Q708" s="53"/>
      <c r="S708" s="53"/>
      <c r="T708" s="53"/>
      <c r="U708" s="53"/>
      <c r="V708" s="53"/>
      <c r="AM708" s="58"/>
      <c r="AN708" s="58"/>
      <c r="AO708" s="58"/>
      <c r="AP708" s="58"/>
      <c r="AQ708" s="58"/>
      <c r="AR708" s="58"/>
      <c r="AS708" s="58"/>
      <c r="AT708" s="58"/>
    </row>
    <row r="709" spans="7:46">
      <c r="G709" s="112"/>
      <c r="O709" s="53"/>
      <c r="P709" s="53"/>
      <c r="Q709" s="53"/>
      <c r="S709" s="53"/>
      <c r="T709" s="53"/>
      <c r="U709" s="53"/>
      <c r="V709" s="53"/>
      <c r="AM709" s="58"/>
      <c r="AN709" s="58"/>
      <c r="AO709" s="58"/>
      <c r="AP709" s="58"/>
      <c r="AQ709" s="58"/>
      <c r="AR709" s="58"/>
      <c r="AS709" s="58"/>
      <c r="AT709" s="58"/>
    </row>
    <row r="710" spans="7:46">
      <c r="G710" s="112"/>
      <c r="O710" s="53"/>
      <c r="P710" s="53"/>
      <c r="Q710" s="53"/>
      <c r="S710" s="53"/>
      <c r="T710" s="53"/>
      <c r="U710" s="53"/>
      <c r="V710" s="53"/>
      <c r="AM710" s="58"/>
      <c r="AN710" s="58"/>
      <c r="AO710" s="58"/>
      <c r="AP710" s="58"/>
      <c r="AQ710" s="58"/>
      <c r="AR710" s="58"/>
      <c r="AS710" s="58"/>
      <c r="AT710" s="58"/>
    </row>
    <row r="711" spans="7:46">
      <c r="G711" s="112"/>
      <c r="O711" s="53"/>
      <c r="P711" s="53"/>
      <c r="Q711" s="53"/>
      <c r="S711" s="53"/>
      <c r="T711" s="53"/>
      <c r="U711" s="53"/>
      <c r="V711" s="53"/>
      <c r="AM711" s="58"/>
      <c r="AN711" s="58"/>
      <c r="AO711" s="58"/>
      <c r="AP711" s="58"/>
      <c r="AQ711" s="58"/>
      <c r="AR711" s="58"/>
      <c r="AS711" s="58"/>
      <c r="AT711" s="58"/>
    </row>
    <row r="712" spans="7:46">
      <c r="G712" s="112"/>
      <c r="O712" s="53"/>
      <c r="P712" s="53"/>
      <c r="Q712" s="53"/>
      <c r="S712" s="53"/>
      <c r="T712" s="53"/>
      <c r="U712" s="53"/>
      <c r="V712" s="53"/>
      <c r="AM712" s="58"/>
      <c r="AN712" s="58"/>
      <c r="AO712" s="58"/>
      <c r="AP712" s="58"/>
      <c r="AQ712" s="58"/>
      <c r="AR712" s="58"/>
      <c r="AS712" s="58"/>
      <c r="AT712" s="58"/>
    </row>
    <row r="713" spans="7:46">
      <c r="G713" s="112"/>
      <c r="O713" s="53"/>
      <c r="P713" s="53"/>
      <c r="Q713" s="53"/>
      <c r="S713" s="53"/>
      <c r="T713" s="53"/>
      <c r="U713" s="53"/>
      <c r="V713" s="53"/>
      <c r="AM713" s="58"/>
      <c r="AN713" s="58"/>
      <c r="AO713" s="58"/>
      <c r="AP713" s="58"/>
      <c r="AQ713" s="58"/>
      <c r="AR713" s="58"/>
      <c r="AS713" s="58"/>
      <c r="AT713" s="58"/>
    </row>
    <row r="714" spans="7:46">
      <c r="G714" s="112"/>
      <c r="O714" s="53"/>
      <c r="P714" s="53"/>
      <c r="Q714" s="53"/>
      <c r="S714" s="53"/>
      <c r="T714" s="53"/>
      <c r="U714" s="53"/>
      <c r="V714" s="53"/>
      <c r="AM714" s="58"/>
      <c r="AN714" s="58"/>
      <c r="AO714" s="58"/>
      <c r="AP714" s="58"/>
      <c r="AQ714" s="58"/>
      <c r="AR714" s="58"/>
      <c r="AS714" s="58"/>
      <c r="AT714" s="58"/>
    </row>
    <row r="715" spans="7:46">
      <c r="G715" s="112"/>
      <c r="O715" s="53"/>
      <c r="P715" s="53"/>
      <c r="Q715" s="53"/>
      <c r="S715" s="53"/>
      <c r="T715" s="53"/>
      <c r="U715" s="53"/>
      <c r="V715" s="53"/>
      <c r="AM715" s="58"/>
      <c r="AN715" s="58"/>
      <c r="AO715" s="58"/>
      <c r="AP715" s="58"/>
      <c r="AQ715" s="58"/>
      <c r="AR715" s="58"/>
      <c r="AS715" s="58"/>
      <c r="AT715" s="58"/>
    </row>
    <row r="716" spans="7:46">
      <c r="G716" s="112"/>
      <c r="O716" s="53"/>
      <c r="P716" s="53"/>
      <c r="Q716" s="53"/>
      <c r="S716" s="53"/>
      <c r="T716" s="53"/>
      <c r="U716" s="53"/>
      <c r="V716" s="53"/>
      <c r="AM716" s="58"/>
      <c r="AN716" s="58"/>
      <c r="AO716" s="58"/>
      <c r="AP716" s="58"/>
      <c r="AQ716" s="58"/>
      <c r="AR716" s="58"/>
      <c r="AS716" s="58"/>
      <c r="AT716" s="58"/>
    </row>
    <row r="717" spans="7:46">
      <c r="G717" s="112"/>
      <c r="O717" s="53"/>
      <c r="P717" s="53"/>
      <c r="Q717" s="53"/>
      <c r="S717" s="53"/>
      <c r="T717" s="53"/>
      <c r="U717" s="53"/>
      <c r="V717" s="53"/>
      <c r="AM717" s="58"/>
      <c r="AN717" s="58"/>
      <c r="AO717" s="58"/>
      <c r="AP717" s="58"/>
      <c r="AQ717" s="58"/>
      <c r="AR717" s="58"/>
      <c r="AS717" s="58"/>
      <c r="AT717" s="58"/>
    </row>
    <row r="718" spans="7:46">
      <c r="G718" s="112"/>
      <c r="O718" s="53"/>
      <c r="P718" s="53"/>
      <c r="Q718" s="53"/>
      <c r="S718" s="53"/>
      <c r="T718" s="53"/>
      <c r="U718" s="53"/>
      <c r="V718" s="53"/>
      <c r="AM718" s="58"/>
      <c r="AN718" s="58"/>
      <c r="AO718" s="58"/>
      <c r="AP718" s="58"/>
      <c r="AQ718" s="58"/>
      <c r="AR718" s="58"/>
      <c r="AS718" s="58"/>
      <c r="AT718" s="58"/>
    </row>
    <row r="719" spans="7:46">
      <c r="G719" s="112"/>
      <c r="O719" s="53"/>
      <c r="P719" s="53"/>
      <c r="Q719" s="53"/>
      <c r="S719" s="53"/>
      <c r="T719" s="53"/>
      <c r="U719" s="53"/>
      <c r="V719" s="53"/>
      <c r="AM719" s="58"/>
      <c r="AN719" s="58"/>
      <c r="AO719" s="58"/>
      <c r="AP719" s="58"/>
      <c r="AQ719" s="58"/>
      <c r="AR719" s="58"/>
      <c r="AS719" s="58"/>
      <c r="AT719" s="58"/>
    </row>
    <row r="720" spans="7:46">
      <c r="G720" s="112"/>
      <c r="O720" s="53"/>
      <c r="P720" s="53"/>
      <c r="Q720" s="53"/>
      <c r="S720" s="53"/>
      <c r="T720" s="53"/>
      <c r="U720" s="53"/>
      <c r="V720" s="53"/>
      <c r="AM720" s="58"/>
      <c r="AN720" s="58"/>
      <c r="AO720" s="58"/>
      <c r="AP720" s="58"/>
      <c r="AQ720" s="58"/>
      <c r="AR720" s="58"/>
      <c r="AS720" s="58"/>
      <c r="AT720" s="58"/>
    </row>
    <row r="721" spans="7:46">
      <c r="G721" s="112"/>
      <c r="O721" s="53"/>
      <c r="P721" s="53"/>
      <c r="Q721" s="53"/>
      <c r="S721" s="53"/>
      <c r="T721" s="53"/>
      <c r="U721" s="53"/>
      <c r="V721" s="53"/>
      <c r="AM721" s="58"/>
      <c r="AN721" s="58"/>
      <c r="AO721" s="58"/>
      <c r="AP721" s="58"/>
      <c r="AQ721" s="58"/>
      <c r="AR721" s="58"/>
      <c r="AS721" s="58"/>
      <c r="AT721" s="58"/>
    </row>
    <row r="722" spans="7:46">
      <c r="G722" s="112"/>
      <c r="O722" s="53"/>
      <c r="P722" s="53"/>
      <c r="Q722" s="53"/>
      <c r="S722" s="53"/>
      <c r="T722" s="53"/>
      <c r="U722" s="53"/>
      <c r="V722" s="53"/>
      <c r="AM722" s="58"/>
      <c r="AN722" s="58"/>
      <c r="AO722" s="58"/>
      <c r="AP722" s="58"/>
      <c r="AQ722" s="58"/>
      <c r="AR722" s="58"/>
      <c r="AS722" s="58"/>
      <c r="AT722" s="58"/>
    </row>
    <row r="723" spans="7:46">
      <c r="G723" s="112"/>
      <c r="O723" s="53"/>
      <c r="P723" s="53"/>
      <c r="Q723" s="53"/>
      <c r="S723" s="53"/>
      <c r="T723" s="53"/>
      <c r="U723" s="53"/>
      <c r="V723" s="53"/>
      <c r="AM723" s="58"/>
      <c r="AN723" s="58"/>
      <c r="AO723" s="58"/>
      <c r="AP723" s="58"/>
      <c r="AQ723" s="58"/>
      <c r="AR723" s="58"/>
      <c r="AS723" s="58"/>
      <c r="AT723" s="58"/>
    </row>
    <row r="724" spans="7:46">
      <c r="G724" s="112"/>
      <c r="O724" s="53"/>
      <c r="P724" s="53"/>
      <c r="Q724" s="53"/>
      <c r="S724" s="53"/>
      <c r="T724" s="53"/>
      <c r="U724" s="53"/>
      <c r="V724" s="53"/>
      <c r="AM724" s="58"/>
      <c r="AN724" s="58"/>
      <c r="AO724" s="58"/>
      <c r="AP724" s="58"/>
      <c r="AQ724" s="58"/>
      <c r="AR724" s="58"/>
      <c r="AS724" s="58"/>
      <c r="AT724" s="58"/>
    </row>
    <row r="725" spans="7:46">
      <c r="G725" s="112"/>
      <c r="O725" s="53"/>
      <c r="P725" s="53"/>
      <c r="Q725" s="53"/>
      <c r="S725" s="53"/>
      <c r="T725" s="53"/>
      <c r="U725" s="53"/>
      <c r="V725" s="53"/>
      <c r="AM725" s="58"/>
      <c r="AN725" s="58"/>
      <c r="AO725" s="58"/>
      <c r="AP725" s="58"/>
      <c r="AQ725" s="58"/>
      <c r="AR725" s="58"/>
      <c r="AS725" s="58"/>
      <c r="AT725" s="58"/>
    </row>
    <row r="726" spans="7:46">
      <c r="G726" s="112"/>
      <c r="O726" s="53"/>
      <c r="P726" s="53"/>
      <c r="Q726" s="53"/>
      <c r="S726" s="53"/>
      <c r="T726" s="53"/>
      <c r="U726" s="53"/>
      <c r="V726" s="53"/>
      <c r="AM726" s="58"/>
      <c r="AN726" s="58"/>
      <c r="AO726" s="58"/>
      <c r="AP726" s="58"/>
      <c r="AQ726" s="58"/>
      <c r="AR726" s="58"/>
      <c r="AS726" s="58"/>
      <c r="AT726" s="58"/>
    </row>
    <row r="727" spans="7:46">
      <c r="G727" s="112"/>
      <c r="O727" s="53"/>
      <c r="P727" s="53"/>
      <c r="Q727" s="53"/>
      <c r="S727" s="53"/>
      <c r="T727" s="53"/>
      <c r="U727" s="53"/>
      <c r="V727" s="53"/>
      <c r="AM727" s="58"/>
      <c r="AN727" s="58"/>
      <c r="AO727" s="58"/>
      <c r="AP727" s="58"/>
      <c r="AQ727" s="58"/>
      <c r="AR727" s="58"/>
      <c r="AS727" s="58"/>
      <c r="AT727" s="58"/>
    </row>
    <row r="728" spans="7:46">
      <c r="G728" s="112"/>
      <c r="O728" s="53"/>
      <c r="P728" s="53"/>
      <c r="Q728" s="53"/>
      <c r="S728" s="53"/>
      <c r="T728" s="53"/>
      <c r="U728" s="53"/>
      <c r="V728" s="53"/>
      <c r="AM728" s="58"/>
      <c r="AN728" s="58"/>
      <c r="AO728" s="58"/>
      <c r="AP728" s="58"/>
      <c r="AQ728" s="58"/>
      <c r="AR728" s="58"/>
      <c r="AS728" s="58"/>
      <c r="AT728" s="58"/>
    </row>
    <row r="729" spans="7:46">
      <c r="G729" s="112"/>
      <c r="O729" s="53"/>
      <c r="P729" s="53"/>
      <c r="Q729" s="53"/>
      <c r="S729" s="53"/>
      <c r="T729" s="53"/>
      <c r="U729" s="53"/>
      <c r="V729" s="53"/>
      <c r="AM729" s="58"/>
      <c r="AN729" s="58"/>
      <c r="AO729" s="58"/>
      <c r="AP729" s="58"/>
      <c r="AQ729" s="58"/>
      <c r="AR729" s="58"/>
      <c r="AS729" s="58"/>
      <c r="AT729" s="58"/>
    </row>
    <row r="730" spans="7:46">
      <c r="G730" s="112"/>
      <c r="O730" s="53"/>
      <c r="P730" s="53"/>
      <c r="Q730" s="53"/>
      <c r="S730" s="53"/>
      <c r="T730" s="53"/>
      <c r="U730" s="53"/>
      <c r="V730" s="53"/>
      <c r="AM730" s="58"/>
      <c r="AN730" s="58"/>
      <c r="AO730" s="58"/>
      <c r="AP730" s="58"/>
      <c r="AQ730" s="58"/>
      <c r="AR730" s="58"/>
      <c r="AS730" s="58"/>
      <c r="AT730" s="58"/>
    </row>
    <row r="731" spans="7:46">
      <c r="G731" s="112"/>
      <c r="O731" s="53"/>
      <c r="P731" s="53"/>
      <c r="Q731" s="53"/>
      <c r="S731" s="53"/>
      <c r="T731" s="53"/>
      <c r="U731" s="53"/>
      <c r="V731" s="53"/>
      <c r="AM731" s="58"/>
      <c r="AN731" s="58"/>
      <c r="AO731" s="58"/>
      <c r="AP731" s="58"/>
      <c r="AQ731" s="58"/>
      <c r="AR731" s="58"/>
      <c r="AS731" s="58"/>
      <c r="AT731" s="58"/>
    </row>
    <row r="732" spans="7:46">
      <c r="G732" s="112"/>
      <c r="O732" s="53"/>
      <c r="P732" s="53"/>
      <c r="Q732" s="53"/>
      <c r="S732" s="53"/>
      <c r="T732" s="53"/>
      <c r="U732" s="53"/>
      <c r="V732" s="53"/>
      <c r="AM732" s="58"/>
      <c r="AN732" s="58"/>
      <c r="AO732" s="58"/>
      <c r="AP732" s="58"/>
      <c r="AQ732" s="58"/>
      <c r="AR732" s="58"/>
      <c r="AS732" s="58"/>
      <c r="AT732" s="58"/>
    </row>
    <row r="733" spans="7:46">
      <c r="G733" s="112"/>
      <c r="O733" s="53"/>
      <c r="P733" s="53"/>
      <c r="Q733" s="53"/>
      <c r="S733" s="53"/>
      <c r="T733" s="53"/>
      <c r="U733" s="53"/>
      <c r="V733" s="53"/>
      <c r="AM733" s="58"/>
      <c r="AN733" s="58"/>
      <c r="AO733" s="58"/>
      <c r="AP733" s="58"/>
      <c r="AQ733" s="58"/>
      <c r="AR733" s="58"/>
      <c r="AS733" s="58"/>
      <c r="AT733" s="58"/>
    </row>
    <row r="734" spans="7:46">
      <c r="G734" s="112"/>
      <c r="O734" s="53"/>
      <c r="P734" s="53"/>
      <c r="Q734" s="53"/>
      <c r="S734" s="53"/>
      <c r="T734" s="53"/>
      <c r="U734" s="53"/>
      <c r="V734" s="53"/>
      <c r="AM734" s="58"/>
      <c r="AN734" s="58"/>
      <c r="AO734" s="58"/>
      <c r="AP734" s="58"/>
      <c r="AQ734" s="58"/>
      <c r="AR734" s="58"/>
      <c r="AS734" s="58"/>
      <c r="AT734" s="58"/>
    </row>
    <row r="735" spans="7:46">
      <c r="G735" s="112"/>
      <c r="O735" s="53"/>
      <c r="P735" s="53"/>
      <c r="Q735" s="53"/>
      <c r="S735" s="53"/>
      <c r="T735" s="53"/>
      <c r="U735" s="53"/>
      <c r="V735" s="53"/>
      <c r="AM735" s="58"/>
      <c r="AN735" s="58"/>
      <c r="AO735" s="58"/>
      <c r="AP735" s="58"/>
      <c r="AQ735" s="58"/>
      <c r="AR735" s="58"/>
      <c r="AS735" s="58"/>
      <c r="AT735" s="58"/>
    </row>
    <row r="736" spans="7:46">
      <c r="G736" s="112"/>
      <c r="O736" s="53"/>
      <c r="P736" s="53"/>
      <c r="Q736" s="53"/>
      <c r="S736" s="53"/>
      <c r="T736" s="53"/>
      <c r="U736" s="53"/>
      <c r="V736" s="53"/>
      <c r="AM736" s="58"/>
      <c r="AN736" s="58"/>
      <c r="AO736" s="58"/>
      <c r="AP736" s="58"/>
      <c r="AQ736" s="58"/>
      <c r="AR736" s="58"/>
      <c r="AS736" s="58"/>
      <c r="AT736" s="58"/>
    </row>
    <row r="737" spans="7:46">
      <c r="G737" s="112"/>
      <c r="O737" s="53"/>
      <c r="P737" s="53"/>
      <c r="Q737" s="53"/>
      <c r="S737" s="53"/>
      <c r="T737" s="53"/>
      <c r="U737" s="53"/>
      <c r="V737" s="53"/>
      <c r="AM737" s="58"/>
      <c r="AN737" s="58"/>
      <c r="AO737" s="58"/>
      <c r="AP737" s="58"/>
      <c r="AQ737" s="58"/>
      <c r="AR737" s="58"/>
      <c r="AS737" s="58"/>
      <c r="AT737" s="58"/>
    </row>
    <row r="738" spans="7:46">
      <c r="G738" s="112"/>
      <c r="O738" s="53"/>
      <c r="P738" s="53"/>
      <c r="Q738" s="53"/>
      <c r="S738" s="53"/>
      <c r="T738" s="53"/>
      <c r="U738" s="53"/>
      <c r="V738" s="53"/>
      <c r="AM738" s="58"/>
      <c r="AN738" s="58"/>
      <c r="AO738" s="58"/>
      <c r="AP738" s="58"/>
      <c r="AQ738" s="58"/>
      <c r="AR738" s="58"/>
      <c r="AS738" s="58"/>
      <c r="AT738" s="58"/>
    </row>
    <row r="739" spans="7:46">
      <c r="G739" s="112"/>
      <c r="O739" s="53"/>
      <c r="P739" s="53"/>
      <c r="Q739" s="53"/>
      <c r="S739" s="53"/>
      <c r="T739" s="53"/>
      <c r="U739" s="53"/>
      <c r="V739" s="53"/>
      <c r="AM739" s="58"/>
      <c r="AN739" s="58"/>
      <c r="AO739" s="58"/>
      <c r="AP739" s="58"/>
      <c r="AQ739" s="58"/>
      <c r="AR739" s="58"/>
      <c r="AS739" s="58"/>
      <c r="AT739" s="58"/>
    </row>
    <row r="740" spans="7:46">
      <c r="G740" s="112"/>
      <c r="O740" s="53"/>
      <c r="P740" s="53"/>
      <c r="Q740" s="53"/>
      <c r="S740" s="53"/>
      <c r="T740" s="53"/>
      <c r="U740" s="53"/>
      <c r="V740" s="53"/>
      <c r="AM740" s="58"/>
      <c r="AN740" s="58"/>
      <c r="AO740" s="58"/>
      <c r="AP740" s="58"/>
      <c r="AQ740" s="58"/>
      <c r="AR740" s="58"/>
      <c r="AS740" s="58"/>
      <c r="AT740" s="58"/>
    </row>
    <row r="741" spans="7:46">
      <c r="G741" s="112"/>
      <c r="O741" s="53"/>
      <c r="P741" s="53"/>
      <c r="Q741" s="53"/>
      <c r="S741" s="53"/>
      <c r="T741" s="53"/>
      <c r="U741" s="53"/>
      <c r="V741" s="53"/>
      <c r="AM741" s="58"/>
      <c r="AN741" s="58"/>
      <c r="AO741" s="58"/>
      <c r="AP741" s="58"/>
      <c r="AQ741" s="58"/>
      <c r="AR741" s="58"/>
      <c r="AS741" s="58"/>
      <c r="AT741" s="58"/>
    </row>
    <row r="742" spans="7:46">
      <c r="G742" s="112"/>
      <c r="O742" s="53"/>
      <c r="P742" s="53"/>
      <c r="Q742" s="53"/>
      <c r="S742" s="53"/>
      <c r="T742" s="53"/>
      <c r="U742" s="53"/>
      <c r="V742" s="53"/>
      <c r="AM742" s="58"/>
      <c r="AN742" s="58"/>
      <c r="AO742" s="58"/>
      <c r="AP742" s="58"/>
      <c r="AQ742" s="58"/>
      <c r="AR742" s="58"/>
      <c r="AS742" s="58"/>
      <c r="AT742" s="58"/>
    </row>
    <row r="743" spans="7:46">
      <c r="G743" s="112"/>
      <c r="O743" s="53"/>
      <c r="P743" s="53"/>
      <c r="Q743" s="53"/>
      <c r="S743" s="53"/>
      <c r="T743" s="53"/>
      <c r="U743" s="53"/>
      <c r="V743" s="53"/>
      <c r="AM743" s="58"/>
      <c r="AN743" s="58"/>
      <c r="AO743" s="58"/>
      <c r="AP743" s="58"/>
      <c r="AQ743" s="58"/>
      <c r="AR743" s="58"/>
      <c r="AS743" s="58"/>
      <c r="AT743" s="58"/>
    </row>
    <row r="744" spans="7:46">
      <c r="G744" s="112"/>
      <c r="O744" s="53"/>
      <c r="P744" s="53"/>
      <c r="Q744" s="53"/>
      <c r="S744" s="53"/>
      <c r="T744" s="53"/>
      <c r="U744" s="53"/>
      <c r="V744" s="53"/>
      <c r="AM744" s="58"/>
      <c r="AN744" s="58"/>
      <c r="AO744" s="58"/>
      <c r="AP744" s="58"/>
      <c r="AQ744" s="58"/>
      <c r="AR744" s="58"/>
      <c r="AS744" s="58"/>
      <c r="AT744" s="58"/>
    </row>
    <row r="745" spans="7:46">
      <c r="G745" s="112"/>
      <c r="O745" s="53"/>
      <c r="P745" s="53"/>
      <c r="Q745" s="53"/>
      <c r="S745" s="53"/>
      <c r="T745" s="53"/>
      <c r="U745" s="53"/>
      <c r="V745" s="53"/>
      <c r="AM745" s="58"/>
      <c r="AN745" s="58"/>
      <c r="AO745" s="58"/>
      <c r="AP745" s="58"/>
      <c r="AQ745" s="58"/>
      <c r="AR745" s="58"/>
      <c r="AS745" s="58"/>
      <c r="AT745" s="58"/>
    </row>
    <row r="746" spans="7:46">
      <c r="G746" s="112"/>
      <c r="O746" s="53"/>
      <c r="P746" s="53"/>
      <c r="Q746" s="53"/>
      <c r="S746" s="53"/>
      <c r="T746" s="53"/>
      <c r="U746" s="53"/>
      <c r="V746" s="53"/>
      <c r="AM746" s="58"/>
      <c r="AN746" s="58"/>
      <c r="AO746" s="58"/>
      <c r="AP746" s="58"/>
      <c r="AQ746" s="58"/>
      <c r="AR746" s="58"/>
      <c r="AS746" s="58"/>
      <c r="AT746" s="58"/>
    </row>
    <row r="747" spans="7:46">
      <c r="G747" s="112"/>
      <c r="O747" s="53"/>
      <c r="P747" s="53"/>
      <c r="Q747" s="53"/>
      <c r="S747" s="53"/>
      <c r="T747" s="53"/>
      <c r="U747" s="53"/>
      <c r="V747" s="53"/>
      <c r="AM747" s="58"/>
      <c r="AN747" s="58"/>
      <c r="AO747" s="58"/>
      <c r="AP747" s="58"/>
      <c r="AQ747" s="58"/>
      <c r="AR747" s="58"/>
      <c r="AS747" s="58"/>
      <c r="AT747" s="58"/>
    </row>
    <row r="748" spans="7:46">
      <c r="G748" s="112"/>
      <c r="O748" s="53"/>
      <c r="P748" s="53"/>
      <c r="Q748" s="53"/>
      <c r="S748" s="53"/>
      <c r="T748" s="53"/>
      <c r="U748" s="53"/>
      <c r="V748" s="53"/>
      <c r="AM748" s="58"/>
      <c r="AN748" s="58"/>
      <c r="AO748" s="58"/>
      <c r="AP748" s="58"/>
      <c r="AQ748" s="58"/>
      <c r="AR748" s="58"/>
      <c r="AS748" s="58"/>
      <c r="AT748" s="58"/>
    </row>
    <row r="749" spans="7:46">
      <c r="G749" s="112"/>
      <c r="O749" s="53"/>
      <c r="P749" s="53"/>
      <c r="Q749" s="53"/>
      <c r="S749" s="53"/>
      <c r="T749" s="53"/>
      <c r="U749" s="53"/>
      <c r="V749" s="53"/>
      <c r="AM749" s="58"/>
      <c r="AN749" s="58"/>
      <c r="AO749" s="58"/>
      <c r="AP749" s="58"/>
      <c r="AQ749" s="58"/>
      <c r="AR749" s="58"/>
      <c r="AS749" s="58"/>
      <c r="AT749" s="58"/>
    </row>
    <row r="750" spans="7:46">
      <c r="G750" s="112"/>
      <c r="O750" s="53"/>
      <c r="P750" s="53"/>
      <c r="Q750" s="53"/>
      <c r="S750" s="53"/>
      <c r="T750" s="53"/>
      <c r="U750" s="53"/>
      <c r="V750" s="53"/>
      <c r="AM750" s="58"/>
      <c r="AN750" s="58"/>
      <c r="AO750" s="58"/>
      <c r="AP750" s="58"/>
      <c r="AQ750" s="58"/>
      <c r="AR750" s="58"/>
      <c r="AS750" s="58"/>
      <c r="AT750" s="58"/>
    </row>
    <row r="751" spans="7:46">
      <c r="G751" s="112"/>
      <c r="O751" s="53"/>
      <c r="P751" s="53"/>
      <c r="Q751" s="53"/>
      <c r="S751" s="53"/>
      <c r="T751" s="53"/>
      <c r="U751" s="53"/>
      <c r="V751" s="53"/>
      <c r="AM751" s="58"/>
      <c r="AN751" s="58"/>
      <c r="AO751" s="58"/>
      <c r="AP751" s="58"/>
      <c r="AQ751" s="58"/>
      <c r="AR751" s="58"/>
      <c r="AS751" s="58"/>
      <c r="AT751" s="58"/>
    </row>
    <row r="752" spans="7:46">
      <c r="G752" s="112"/>
      <c r="O752" s="53"/>
      <c r="P752" s="53"/>
      <c r="Q752" s="53"/>
      <c r="S752" s="53"/>
      <c r="T752" s="53"/>
      <c r="U752" s="53"/>
      <c r="V752" s="53"/>
      <c r="AM752" s="58"/>
      <c r="AN752" s="58"/>
      <c r="AO752" s="58"/>
      <c r="AP752" s="58"/>
      <c r="AQ752" s="58"/>
      <c r="AR752" s="58"/>
      <c r="AS752" s="58"/>
      <c r="AT752" s="58"/>
    </row>
    <row r="753" spans="7:46">
      <c r="G753" s="112"/>
      <c r="O753" s="53"/>
      <c r="P753" s="53"/>
      <c r="Q753" s="53"/>
      <c r="S753" s="53"/>
      <c r="T753" s="53"/>
      <c r="U753" s="53"/>
      <c r="V753" s="53"/>
      <c r="AM753" s="58"/>
      <c r="AN753" s="58"/>
      <c r="AO753" s="58"/>
      <c r="AP753" s="58"/>
      <c r="AQ753" s="58"/>
      <c r="AR753" s="58"/>
      <c r="AS753" s="58"/>
      <c r="AT753" s="58"/>
    </row>
    <row r="754" spans="7:46">
      <c r="G754" s="112"/>
      <c r="O754" s="53"/>
      <c r="P754" s="53"/>
      <c r="Q754" s="53"/>
      <c r="S754" s="53"/>
      <c r="T754" s="53"/>
      <c r="U754" s="53"/>
      <c r="V754" s="53"/>
      <c r="AM754" s="58"/>
      <c r="AN754" s="58"/>
      <c r="AO754" s="58"/>
      <c r="AP754" s="58"/>
      <c r="AQ754" s="58"/>
      <c r="AR754" s="58"/>
      <c r="AS754" s="58"/>
      <c r="AT754" s="58"/>
    </row>
    <row r="755" spans="7:46">
      <c r="G755" s="112"/>
      <c r="O755" s="53"/>
      <c r="P755" s="53"/>
      <c r="Q755" s="53"/>
      <c r="S755" s="53"/>
      <c r="T755" s="53"/>
      <c r="U755" s="53"/>
      <c r="V755" s="53"/>
      <c r="AM755" s="58"/>
      <c r="AN755" s="58"/>
      <c r="AO755" s="58"/>
      <c r="AP755" s="58"/>
      <c r="AQ755" s="58"/>
      <c r="AR755" s="58"/>
      <c r="AS755" s="58"/>
      <c r="AT755" s="58"/>
    </row>
    <row r="756" spans="7:46">
      <c r="G756" s="112"/>
      <c r="O756" s="53"/>
      <c r="P756" s="53"/>
      <c r="Q756" s="53"/>
      <c r="S756" s="53"/>
      <c r="T756" s="53"/>
      <c r="U756" s="53"/>
      <c r="V756" s="53"/>
      <c r="AM756" s="58"/>
      <c r="AN756" s="58"/>
      <c r="AO756" s="58"/>
      <c r="AP756" s="58"/>
      <c r="AQ756" s="58"/>
      <c r="AR756" s="58"/>
      <c r="AS756" s="58"/>
      <c r="AT756" s="58"/>
    </row>
    <row r="757" spans="7:46">
      <c r="G757" s="112"/>
      <c r="O757" s="53"/>
      <c r="P757" s="53"/>
      <c r="Q757" s="53"/>
      <c r="S757" s="53"/>
      <c r="T757" s="53"/>
      <c r="U757" s="53"/>
      <c r="V757" s="53"/>
      <c r="AM757" s="58"/>
      <c r="AN757" s="58"/>
      <c r="AO757" s="58"/>
      <c r="AP757" s="58"/>
      <c r="AQ757" s="58"/>
      <c r="AR757" s="58"/>
      <c r="AS757" s="58"/>
      <c r="AT757" s="58"/>
    </row>
    <row r="758" spans="7:46">
      <c r="G758" s="112"/>
      <c r="O758" s="53"/>
      <c r="P758" s="53"/>
      <c r="Q758" s="53"/>
      <c r="S758" s="53"/>
      <c r="T758" s="53"/>
      <c r="U758" s="53"/>
      <c r="V758" s="53"/>
      <c r="AM758" s="58"/>
      <c r="AN758" s="58"/>
      <c r="AO758" s="58"/>
      <c r="AP758" s="58"/>
      <c r="AQ758" s="58"/>
      <c r="AR758" s="58"/>
      <c r="AS758" s="58"/>
      <c r="AT758" s="58"/>
    </row>
    <row r="759" spans="7:46">
      <c r="G759" s="112"/>
      <c r="O759" s="53"/>
      <c r="P759" s="53"/>
      <c r="Q759" s="53"/>
      <c r="S759" s="53"/>
      <c r="T759" s="53"/>
      <c r="U759" s="53"/>
      <c r="V759" s="53"/>
      <c r="AM759" s="58"/>
      <c r="AN759" s="58"/>
      <c r="AO759" s="58"/>
      <c r="AP759" s="58"/>
      <c r="AQ759" s="58"/>
      <c r="AR759" s="58"/>
      <c r="AS759" s="58"/>
      <c r="AT759" s="58"/>
    </row>
    <row r="760" spans="7:46">
      <c r="G760" s="112"/>
      <c r="O760" s="53"/>
      <c r="P760" s="53"/>
      <c r="Q760" s="53"/>
      <c r="S760" s="53"/>
      <c r="T760" s="53"/>
      <c r="U760" s="53"/>
      <c r="V760" s="53"/>
      <c r="AM760" s="58"/>
      <c r="AN760" s="58"/>
      <c r="AO760" s="58"/>
      <c r="AP760" s="58"/>
      <c r="AQ760" s="58"/>
      <c r="AR760" s="58"/>
      <c r="AS760" s="58"/>
      <c r="AT760" s="58"/>
    </row>
    <row r="761" spans="7:46">
      <c r="G761" s="112"/>
      <c r="O761" s="53"/>
      <c r="P761" s="53"/>
      <c r="Q761" s="53"/>
      <c r="S761" s="53"/>
      <c r="T761" s="53"/>
      <c r="U761" s="53"/>
      <c r="V761" s="53"/>
      <c r="AM761" s="58"/>
      <c r="AN761" s="58"/>
      <c r="AO761" s="58"/>
      <c r="AP761" s="58"/>
      <c r="AQ761" s="58"/>
      <c r="AR761" s="58"/>
      <c r="AS761" s="58"/>
      <c r="AT761" s="58"/>
    </row>
    <row r="762" spans="7:46">
      <c r="G762" s="112"/>
      <c r="O762" s="53"/>
      <c r="P762" s="53"/>
      <c r="Q762" s="53"/>
      <c r="S762" s="53"/>
      <c r="T762" s="53"/>
      <c r="U762" s="53"/>
      <c r="V762" s="53"/>
      <c r="AM762" s="58"/>
      <c r="AN762" s="58"/>
      <c r="AO762" s="58"/>
      <c r="AP762" s="58"/>
      <c r="AQ762" s="58"/>
      <c r="AR762" s="58"/>
      <c r="AS762" s="58"/>
      <c r="AT762" s="58"/>
    </row>
    <row r="763" spans="7:46">
      <c r="G763" s="112"/>
      <c r="O763" s="53"/>
      <c r="P763" s="53"/>
      <c r="Q763" s="53"/>
      <c r="S763" s="53"/>
      <c r="T763" s="53"/>
      <c r="U763" s="53"/>
      <c r="V763" s="53"/>
      <c r="AM763" s="58"/>
      <c r="AN763" s="58"/>
      <c r="AO763" s="58"/>
      <c r="AP763" s="58"/>
      <c r="AQ763" s="58"/>
      <c r="AR763" s="58"/>
      <c r="AS763" s="58"/>
      <c r="AT763" s="58"/>
    </row>
    <row r="764" spans="7:46">
      <c r="G764" s="112"/>
      <c r="O764" s="53"/>
      <c r="P764" s="53"/>
      <c r="Q764" s="53"/>
      <c r="S764" s="53"/>
      <c r="T764" s="53"/>
      <c r="U764" s="53"/>
      <c r="V764" s="53"/>
      <c r="AM764" s="58"/>
      <c r="AN764" s="58"/>
      <c r="AO764" s="58"/>
      <c r="AP764" s="58"/>
      <c r="AQ764" s="58"/>
      <c r="AR764" s="58"/>
      <c r="AS764" s="58"/>
      <c r="AT764" s="58"/>
    </row>
    <row r="765" spans="7:46">
      <c r="G765" s="112"/>
      <c r="O765" s="53"/>
      <c r="P765" s="53"/>
      <c r="Q765" s="53"/>
      <c r="S765" s="53"/>
      <c r="T765" s="53"/>
      <c r="U765" s="53"/>
      <c r="V765" s="53"/>
      <c r="AM765" s="58"/>
      <c r="AN765" s="58"/>
      <c r="AO765" s="58"/>
      <c r="AP765" s="58"/>
      <c r="AQ765" s="58"/>
      <c r="AR765" s="58"/>
      <c r="AS765" s="58"/>
      <c r="AT765" s="58"/>
    </row>
    <row r="766" spans="7:46">
      <c r="G766" s="112"/>
      <c r="O766" s="53"/>
      <c r="P766" s="53"/>
      <c r="Q766" s="53"/>
      <c r="S766" s="53"/>
      <c r="T766" s="53"/>
      <c r="U766" s="53"/>
      <c r="V766" s="53"/>
      <c r="AM766" s="58"/>
      <c r="AN766" s="58"/>
      <c r="AO766" s="58"/>
      <c r="AP766" s="58"/>
      <c r="AQ766" s="58"/>
      <c r="AR766" s="58"/>
      <c r="AS766" s="58"/>
      <c r="AT766" s="58"/>
    </row>
    <row r="767" spans="7:46">
      <c r="G767" s="112"/>
      <c r="O767" s="53"/>
      <c r="P767" s="53"/>
      <c r="Q767" s="53"/>
      <c r="S767" s="53"/>
      <c r="T767" s="53"/>
      <c r="U767" s="53"/>
      <c r="V767" s="53"/>
      <c r="AM767" s="58"/>
      <c r="AN767" s="58"/>
      <c r="AO767" s="58"/>
      <c r="AP767" s="58"/>
      <c r="AQ767" s="58"/>
      <c r="AR767" s="58"/>
      <c r="AS767" s="58"/>
      <c r="AT767" s="58"/>
    </row>
    <row r="768" spans="7:46">
      <c r="G768" s="112"/>
      <c r="O768" s="53"/>
      <c r="P768" s="53"/>
      <c r="Q768" s="53"/>
      <c r="S768" s="53"/>
      <c r="T768" s="53"/>
      <c r="U768" s="53"/>
      <c r="V768" s="53"/>
      <c r="AM768" s="58"/>
      <c r="AN768" s="58"/>
      <c r="AO768" s="58"/>
      <c r="AP768" s="58"/>
      <c r="AQ768" s="58"/>
      <c r="AR768" s="58"/>
      <c r="AS768" s="58"/>
      <c r="AT768" s="58"/>
    </row>
    <row r="769" spans="7:46">
      <c r="G769" s="112"/>
      <c r="O769" s="53"/>
      <c r="P769" s="53"/>
      <c r="Q769" s="53"/>
      <c r="S769" s="53"/>
      <c r="T769" s="53"/>
      <c r="U769" s="53"/>
      <c r="V769" s="53"/>
      <c r="AM769" s="58"/>
      <c r="AN769" s="58"/>
      <c r="AO769" s="58"/>
      <c r="AP769" s="58"/>
      <c r="AQ769" s="58"/>
      <c r="AR769" s="58"/>
      <c r="AS769" s="58"/>
      <c r="AT769" s="58"/>
    </row>
    <row r="770" spans="7:46">
      <c r="G770" s="112"/>
      <c r="O770" s="53"/>
      <c r="P770" s="53"/>
      <c r="Q770" s="53"/>
      <c r="S770" s="53"/>
      <c r="T770" s="53"/>
      <c r="U770" s="53"/>
      <c r="V770" s="53"/>
      <c r="AM770" s="58"/>
      <c r="AN770" s="58"/>
      <c r="AO770" s="58"/>
      <c r="AP770" s="58"/>
      <c r="AQ770" s="58"/>
      <c r="AR770" s="58"/>
      <c r="AS770" s="58"/>
      <c r="AT770" s="58"/>
    </row>
    <row r="771" spans="7:46">
      <c r="G771" s="112"/>
      <c r="O771" s="53"/>
      <c r="P771" s="53"/>
      <c r="Q771" s="53"/>
      <c r="S771" s="53"/>
      <c r="T771" s="53"/>
      <c r="U771" s="53"/>
      <c r="V771" s="53"/>
      <c r="AM771" s="58"/>
      <c r="AN771" s="58"/>
      <c r="AO771" s="58"/>
      <c r="AP771" s="58"/>
      <c r="AQ771" s="58"/>
      <c r="AR771" s="58"/>
      <c r="AS771" s="58"/>
      <c r="AT771" s="58"/>
    </row>
    <row r="772" spans="7:46">
      <c r="G772" s="112"/>
      <c r="O772" s="53"/>
      <c r="P772" s="53"/>
      <c r="Q772" s="53"/>
      <c r="S772" s="53"/>
      <c r="T772" s="53"/>
      <c r="U772" s="53"/>
      <c r="V772" s="53"/>
      <c r="AM772" s="58"/>
      <c r="AN772" s="58"/>
      <c r="AO772" s="58"/>
      <c r="AP772" s="58"/>
      <c r="AQ772" s="58"/>
      <c r="AR772" s="58"/>
      <c r="AS772" s="58"/>
      <c r="AT772" s="58"/>
    </row>
    <row r="773" spans="7:46">
      <c r="G773" s="112"/>
      <c r="O773" s="53"/>
      <c r="P773" s="53"/>
      <c r="Q773" s="53"/>
      <c r="S773" s="53"/>
      <c r="T773" s="53"/>
      <c r="U773" s="53"/>
      <c r="V773" s="53"/>
      <c r="AM773" s="58"/>
      <c r="AN773" s="58"/>
      <c r="AO773" s="58"/>
      <c r="AP773" s="58"/>
      <c r="AQ773" s="58"/>
      <c r="AR773" s="58"/>
      <c r="AS773" s="58"/>
      <c r="AT773" s="58"/>
    </row>
    <row r="774" spans="7:46">
      <c r="G774" s="112"/>
      <c r="O774" s="53"/>
      <c r="P774" s="53"/>
      <c r="Q774" s="53"/>
      <c r="S774" s="53"/>
      <c r="T774" s="53"/>
      <c r="U774" s="53"/>
      <c r="V774" s="53"/>
      <c r="AM774" s="58"/>
      <c r="AN774" s="58"/>
      <c r="AO774" s="58"/>
      <c r="AP774" s="58"/>
      <c r="AQ774" s="58"/>
      <c r="AR774" s="58"/>
      <c r="AS774" s="58"/>
      <c r="AT774" s="58"/>
    </row>
    <row r="775" spans="7:46">
      <c r="G775" s="112"/>
      <c r="O775" s="53"/>
      <c r="P775" s="53"/>
      <c r="Q775" s="53"/>
      <c r="S775" s="53"/>
      <c r="T775" s="53"/>
      <c r="U775" s="53"/>
      <c r="V775" s="53"/>
      <c r="AM775" s="58"/>
      <c r="AN775" s="58"/>
      <c r="AO775" s="58"/>
      <c r="AP775" s="58"/>
      <c r="AQ775" s="58"/>
      <c r="AR775" s="58"/>
      <c r="AS775" s="58"/>
      <c r="AT775" s="58"/>
    </row>
    <row r="776" spans="7:46">
      <c r="G776" s="112"/>
      <c r="O776" s="53"/>
      <c r="P776" s="53"/>
      <c r="Q776" s="53"/>
      <c r="S776" s="53"/>
      <c r="T776" s="53"/>
      <c r="U776" s="53"/>
      <c r="V776" s="53"/>
      <c r="AM776" s="58"/>
      <c r="AN776" s="58"/>
      <c r="AO776" s="58"/>
      <c r="AP776" s="58"/>
      <c r="AQ776" s="58"/>
      <c r="AR776" s="58"/>
      <c r="AS776" s="58"/>
      <c r="AT776" s="58"/>
    </row>
    <row r="777" spans="7:46">
      <c r="G777" s="112"/>
      <c r="O777" s="53"/>
      <c r="P777" s="53"/>
      <c r="Q777" s="53"/>
      <c r="S777" s="53"/>
      <c r="T777" s="53"/>
      <c r="U777" s="53"/>
      <c r="V777" s="53"/>
      <c r="AM777" s="58"/>
      <c r="AN777" s="58"/>
      <c r="AO777" s="58"/>
      <c r="AP777" s="58"/>
      <c r="AQ777" s="58"/>
      <c r="AR777" s="58"/>
      <c r="AS777" s="58"/>
      <c r="AT777" s="58"/>
    </row>
    <row r="778" spans="7:46">
      <c r="G778" s="112"/>
      <c r="O778" s="53"/>
      <c r="P778" s="53"/>
      <c r="Q778" s="53"/>
      <c r="S778" s="53"/>
      <c r="T778" s="53"/>
      <c r="U778" s="53"/>
      <c r="V778" s="53"/>
      <c r="AM778" s="58"/>
      <c r="AN778" s="58"/>
      <c r="AO778" s="58"/>
      <c r="AP778" s="58"/>
      <c r="AQ778" s="58"/>
      <c r="AR778" s="58"/>
      <c r="AS778" s="58"/>
      <c r="AT778" s="58"/>
    </row>
    <row r="779" spans="7:46">
      <c r="G779" s="112"/>
      <c r="O779" s="53"/>
      <c r="P779" s="53"/>
      <c r="Q779" s="53"/>
      <c r="S779" s="53"/>
      <c r="T779" s="53"/>
      <c r="U779" s="53"/>
      <c r="V779" s="53"/>
      <c r="AM779" s="58"/>
      <c r="AN779" s="58"/>
      <c r="AO779" s="58"/>
      <c r="AP779" s="58"/>
      <c r="AQ779" s="58"/>
      <c r="AR779" s="58"/>
      <c r="AS779" s="58"/>
      <c r="AT779" s="58"/>
    </row>
    <row r="780" spans="7:46">
      <c r="G780" s="112"/>
      <c r="O780" s="53"/>
      <c r="P780" s="53"/>
      <c r="Q780" s="53"/>
      <c r="S780" s="53"/>
      <c r="T780" s="53"/>
      <c r="U780" s="53"/>
      <c r="V780" s="53"/>
      <c r="AM780" s="58"/>
      <c r="AN780" s="58"/>
      <c r="AO780" s="58"/>
      <c r="AP780" s="58"/>
      <c r="AQ780" s="58"/>
      <c r="AR780" s="58"/>
      <c r="AS780" s="58"/>
      <c r="AT780" s="58"/>
    </row>
    <row r="781" spans="7:46">
      <c r="G781" s="112"/>
      <c r="O781" s="53"/>
      <c r="P781" s="53"/>
      <c r="Q781" s="53"/>
      <c r="S781" s="53"/>
      <c r="T781" s="53"/>
      <c r="U781" s="53"/>
      <c r="V781" s="53"/>
      <c r="AM781" s="58"/>
      <c r="AN781" s="58"/>
      <c r="AO781" s="58"/>
      <c r="AP781" s="58"/>
      <c r="AQ781" s="58"/>
      <c r="AR781" s="58"/>
      <c r="AS781" s="58"/>
      <c r="AT781" s="58"/>
    </row>
    <row r="782" spans="7:46">
      <c r="G782" s="112"/>
      <c r="O782" s="53"/>
      <c r="P782" s="53"/>
      <c r="Q782" s="53"/>
      <c r="S782" s="53"/>
      <c r="T782" s="53"/>
      <c r="U782" s="53"/>
      <c r="V782" s="53"/>
      <c r="AM782" s="58"/>
      <c r="AN782" s="58"/>
      <c r="AO782" s="58"/>
      <c r="AP782" s="58"/>
      <c r="AQ782" s="58"/>
      <c r="AR782" s="58"/>
      <c r="AS782" s="58"/>
      <c r="AT782" s="58"/>
    </row>
    <row r="783" spans="7:46">
      <c r="G783" s="112"/>
      <c r="O783" s="53"/>
      <c r="P783" s="53"/>
      <c r="Q783" s="53"/>
      <c r="S783" s="53"/>
      <c r="T783" s="53"/>
      <c r="U783" s="53"/>
      <c r="V783" s="53"/>
      <c r="AM783" s="58"/>
      <c r="AN783" s="58"/>
      <c r="AO783" s="58"/>
      <c r="AP783" s="58"/>
      <c r="AQ783" s="58"/>
      <c r="AR783" s="58"/>
      <c r="AS783" s="58"/>
      <c r="AT783" s="58"/>
    </row>
    <row r="784" spans="7:46">
      <c r="G784" s="112"/>
      <c r="O784" s="53"/>
      <c r="P784" s="53"/>
      <c r="Q784" s="53"/>
      <c r="S784" s="53"/>
      <c r="T784" s="53"/>
      <c r="U784" s="53"/>
      <c r="V784" s="53"/>
      <c r="AM784" s="58"/>
      <c r="AN784" s="58"/>
      <c r="AO784" s="58"/>
      <c r="AP784" s="58"/>
      <c r="AQ784" s="58"/>
      <c r="AR784" s="58"/>
      <c r="AS784" s="58"/>
      <c r="AT784" s="58"/>
    </row>
    <row r="785" spans="7:46">
      <c r="G785" s="112"/>
      <c r="O785" s="53"/>
      <c r="P785" s="53"/>
      <c r="Q785" s="53"/>
      <c r="S785" s="53"/>
      <c r="T785" s="53"/>
      <c r="U785" s="53"/>
      <c r="V785" s="53"/>
      <c r="AM785" s="58"/>
      <c r="AN785" s="58"/>
      <c r="AO785" s="58"/>
      <c r="AP785" s="58"/>
      <c r="AQ785" s="58"/>
      <c r="AR785" s="58"/>
      <c r="AS785" s="58"/>
      <c r="AT785" s="58"/>
    </row>
    <row r="786" spans="7:46">
      <c r="G786" s="112"/>
      <c r="O786" s="53"/>
      <c r="P786" s="53"/>
      <c r="Q786" s="53"/>
      <c r="S786" s="53"/>
      <c r="T786" s="53"/>
      <c r="U786" s="53"/>
      <c r="V786" s="53"/>
      <c r="AM786" s="58"/>
      <c r="AN786" s="58"/>
      <c r="AO786" s="58"/>
      <c r="AP786" s="58"/>
      <c r="AQ786" s="58"/>
      <c r="AR786" s="58"/>
      <c r="AS786" s="58"/>
      <c r="AT786" s="58"/>
    </row>
    <row r="787" spans="7:46">
      <c r="G787" s="112"/>
      <c r="O787" s="53"/>
      <c r="P787" s="53"/>
      <c r="Q787" s="53"/>
      <c r="S787" s="53"/>
      <c r="T787" s="53"/>
      <c r="U787" s="53"/>
      <c r="V787" s="53"/>
      <c r="AM787" s="58"/>
      <c r="AN787" s="58"/>
      <c r="AO787" s="58"/>
      <c r="AP787" s="58"/>
      <c r="AQ787" s="58"/>
      <c r="AR787" s="58"/>
      <c r="AS787" s="58"/>
      <c r="AT787" s="58"/>
    </row>
    <row r="788" spans="7:46">
      <c r="G788" s="112"/>
      <c r="O788" s="53"/>
      <c r="P788" s="53"/>
      <c r="Q788" s="53"/>
      <c r="S788" s="53"/>
      <c r="T788" s="53"/>
      <c r="U788" s="53"/>
      <c r="V788" s="53"/>
      <c r="AM788" s="58"/>
      <c r="AN788" s="58"/>
      <c r="AO788" s="58"/>
      <c r="AP788" s="58"/>
      <c r="AQ788" s="58"/>
      <c r="AR788" s="58"/>
      <c r="AS788" s="58"/>
      <c r="AT788" s="58"/>
    </row>
    <row r="789" spans="7:46">
      <c r="G789" s="112"/>
      <c r="O789" s="53"/>
      <c r="P789" s="53"/>
      <c r="Q789" s="53"/>
      <c r="S789" s="53"/>
      <c r="T789" s="53"/>
      <c r="U789" s="53"/>
      <c r="V789" s="53"/>
      <c r="AM789" s="58"/>
      <c r="AN789" s="58"/>
      <c r="AO789" s="58"/>
      <c r="AP789" s="58"/>
      <c r="AQ789" s="58"/>
      <c r="AR789" s="58"/>
      <c r="AS789" s="58"/>
      <c r="AT789" s="58"/>
    </row>
    <row r="790" spans="7:46">
      <c r="G790" s="112"/>
      <c r="O790" s="53"/>
      <c r="P790" s="53"/>
      <c r="Q790" s="53"/>
      <c r="S790" s="53"/>
      <c r="T790" s="53"/>
      <c r="U790" s="53"/>
      <c r="V790" s="53"/>
      <c r="AM790" s="58"/>
      <c r="AN790" s="58"/>
      <c r="AO790" s="58"/>
      <c r="AP790" s="58"/>
      <c r="AQ790" s="58"/>
      <c r="AR790" s="58"/>
      <c r="AS790" s="58"/>
      <c r="AT790" s="58"/>
    </row>
    <row r="791" spans="7:46">
      <c r="G791" s="112"/>
      <c r="O791" s="53"/>
      <c r="P791" s="53"/>
      <c r="Q791" s="53"/>
      <c r="S791" s="53"/>
      <c r="T791" s="53"/>
      <c r="U791" s="53"/>
      <c r="V791" s="53"/>
      <c r="AM791" s="58"/>
      <c r="AN791" s="58"/>
      <c r="AO791" s="58"/>
      <c r="AP791" s="58"/>
      <c r="AQ791" s="58"/>
      <c r="AR791" s="58"/>
      <c r="AS791" s="58"/>
      <c r="AT791" s="58"/>
    </row>
    <row r="792" spans="7:46">
      <c r="G792" s="112"/>
      <c r="O792" s="53"/>
      <c r="P792" s="53"/>
      <c r="Q792" s="53"/>
      <c r="S792" s="53"/>
      <c r="T792" s="53"/>
      <c r="U792" s="53"/>
      <c r="V792" s="53"/>
      <c r="AM792" s="58"/>
      <c r="AN792" s="58"/>
      <c r="AO792" s="58"/>
      <c r="AP792" s="58"/>
      <c r="AQ792" s="58"/>
      <c r="AR792" s="58"/>
      <c r="AS792" s="58"/>
      <c r="AT792" s="58"/>
    </row>
    <row r="793" spans="7:46">
      <c r="G793" s="112"/>
      <c r="O793" s="53"/>
      <c r="P793" s="53"/>
      <c r="Q793" s="53"/>
      <c r="S793" s="53"/>
      <c r="T793" s="53"/>
      <c r="U793" s="53"/>
      <c r="V793" s="53"/>
      <c r="AM793" s="58"/>
      <c r="AN793" s="58"/>
      <c r="AO793" s="58"/>
      <c r="AP793" s="58"/>
      <c r="AQ793" s="58"/>
      <c r="AR793" s="58"/>
      <c r="AS793" s="58"/>
      <c r="AT793" s="58"/>
    </row>
    <row r="794" spans="7:46">
      <c r="G794" s="112"/>
      <c r="O794" s="53"/>
      <c r="P794" s="53"/>
      <c r="Q794" s="53"/>
      <c r="S794" s="53"/>
      <c r="T794" s="53"/>
      <c r="U794" s="53"/>
      <c r="V794" s="53"/>
      <c r="AM794" s="58"/>
      <c r="AN794" s="58"/>
      <c r="AO794" s="58"/>
      <c r="AP794" s="58"/>
      <c r="AQ794" s="58"/>
      <c r="AR794" s="58"/>
      <c r="AS794" s="58"/>
      <c r="AT794" s="58"/>
    </row>
    <row r="795" spans="7:46">
      <c r="G795" s="112"/>
      <c r="O795" s="53"/>
      <c r="P795" s="53"/>
      <c r="Q795" s="53"/>
      <c r="S795" s="53"/>
      <c r="T795" s="53"/>
      <c r="U795" s="53"/>
      <c r="V795" s="53"/>
      <c r="AM795" s="58"/>
      <c r="AN795" s="58"/>
      <c r="AO795" s="58"/>
      <c r="AP795" s="58"/>
      <c r="AQ795" s="58"/>
      <c r="AR795" s="58"/>
      <c r="AS795" s="58"/>
      <c r="AT795" s="58"/>
    </row>
    <row r="796" spans="7:46">
      <c r="G796" s="112"/>
      <c r="O796" s="53"/>
      <c r="P796" s="53"/>
      <c r="Q796" s="53"/>
      <c r="S796" s="53"/>
      <c r="T796" s="53"/>
      <c r="U796" s="53"/>
      <c r="V796" s="53"/>
      <c r="AM796" s="58"/>
      <c r="AN796" s="58"/>
      <c r="AO796" s="58"/>
      <c r="AP796" s="58"/>
      <c r="AQ796" s="58"/>
      <c r="AR796" s="58"/>
      <c r="AS796" s="58"/>
      <c r="AT796" s="58"/>
    </row>
    <row r="797" spans="7:46">
      <c r="G797" s="112"/>
      <c r="O797" s="53"/>
      <c r="P797" s="53"/>
      <c r="Q797" s="53"/>
      <c r="S797" s="53"/>
      <c r="T797" s="53"/>
      <c r="U797" s="53"/>
      <c r="V797" s="53"/>
      <c r="AM797" s="58"/>
      <c r="AN797" s="58"/>
      <c r="AO797" s="58"/>
      <c r="AP797" s="58"/>
      <c r="AQ797" s="58"/>
      <c r="AR797" s="58"/>
      <c r="AS797" s="58"/>
      <c r="AT797" s="58"/>
    </row>
    <row r="798" spans="7:46">
      <c r="G798" s="112"/>
      <c r="O798" s="53"/>
      <c r="P798" s="53"/>
      <c r="Q798" s="53"/>
      <c r="S798" s="53"/>
      <c r="T798" s="53"/>
      <c r="U798" s="53"/>
      <c r="V798" s="53"/>
      <c r="AM798" s="58"/>
      <c r="AN798" s="58"/>
      <c r="AO798" s="58"/>
      <c r="AP798" s="58"/>
      <c r="AQ798" s="58"/>
      <c r="AR798" s="58"/>
      <c r="AS798" s="58"/>
      <c r="AT798" s="58"/>
    </row>
    <row r="799" spans="7:46">
      <c r="G799" s="112"/>
      <c r="O799" s="53"/>
      <c r="P799" s="53"/>
      <c r="Q799" s="53"/>
      <c r="S799" s="53"/>
      <c r="T799" s="53"/>
      <c r="U799" s="53"/>
      <c r="V799" s="53"/>
      <c r="AM799" s="58"/>
      <c r="AN799" s="58"/>
      <c r="AO799" s="58"/>
      <c r="AP799" s="58"/>
      <c r="AQ799" s="58"/>
      <c r="AR799" s="58"/>
      <c r="AS799" s="58"/>
      <c r="AT799" s="58"/>
    </row>
    <row r="800" spans="7:46">
      <c r="G800" s="112"/>
      <c r="O800" s="53"/>
      <c r="P800" s="53"/>
      <c r="Q800" s="53"/>
      <c r="S800" s="53"/>
      <c r="T800" s="53"/>
      <c r="U800" s="53"/>
      <c r="V800" s="53"/>
      <c r="AM800" s="58"/>
      <c r="AN800" s="58"/>
      <c r="AO800" s="58"/>
      <c r="AP800" s="58"/>
      <c r="AQ800" s="58"/>
      <c r="AR800" s="58"/>
      <c r="AS800" s="58"/>
      <c r="AT800" s="58"/>
    </row>
    <row r="801" spans="7:46">
      <c r="G801" s="112"/>
      <c r="O801" s="53"/>
      <c r="P801" s="53"/>
      <c r="Q801" s="53"/>
      <c r="S801" s="53"/>
      <c r="T801" s="53"/>
      <c r="U801" s="53"/>
      <c r="V801" s="53"/>
      <c r="AM801" s="58"/>
      <c r="AN801" s="58"/>
      <c r="AO801" s="58"/>
      <c r="AP801" s="58"/>
      <c r="AQ801" s="58"/>
      <c r="AR801" s="58"/>
      <c r="AS801" s="58"/>
      <c r="AT801" s="58"/>
    </row>
    <row r="802" spans="7:46">
      <c r="G802" s="112"/>
      <c r="O802" s="53"/>
      <c r="P802" s="53"/>
      <c r="Q802" s="53"/>
      <c r="S802" s="53"/>
      <c r="T802" s="53"/>
      <c r="U802" s="53"/>
      <c r="V802" s="53"/>
      <c r="AM802" s="58"/>
      <c r="AN802" s="58"/>
      <c r="AO802" s="58"/>
      <c r="AP802" s="58"/>
      <c r="AQ802" s="58"/>
      <c r="AR802" s="58"/>
      <c r="AS802" s="58"/>
      <c r="AT802" s="58"/>
    </row>
    <row r="803" spans="7:46">
      <c r="G803" s="112"/>
      <c r="O803" s="53"/>
      <c r="P803" s="53"/>
      <c r="Q803" s="53"/>
      <c r="S803" s="53"/>
      <c r="T803" s="53"/>
      <c r="U803" s="53"/>
      <c r="V803" s="53"/>
      <c r="AM803" s="58"/>
      <c r="AN803" s="58"/>
      <c r="AO803" s="58"/>
      <c r="AP803" s="58"/>
      <c r="AQ803" s="58"/>
      <c r="AR803" s="58"/>
      <c r="AS803" s="58"/>
      <c r="AT803" s="58"/>
    </row>
    <row r="804" spans="7:46">
      <c r="G804" s="112"/>
      <c r="O804" s="53"/>
      <c r="P804" s="53"/>
      <c r="Q804" s="53"/>
      <c r="S804" s="53"/>
      <c r="T804" s="53"/>
      <c r="U804" s="53"/>
      <c r="V804" s="53"/>
      <c r="AM804" s="58"/>
      <c r="AN804" s="58"/>
      <c r="AO804" s="58"/>
      <c r="AP804" s="58"/>
      <c r="AQ804" s="58"/>
      <c r="AR804" s="58"/>
      <c r="AS804" s="58"/>
      <c r="AT804" s="58"/>
    </row>
    <row r="805" spans="7:46">
      <c r="G805" s="112"/>
      <c r="O805" s="53"/>
      <c r="P805" s="53"/>
      <c r="Q805" s="53"/>
      <c r="S805" s="53"/>
      <c r="T805" s="53"/>
      <c r="U805" s="53"/>
      <c r="V805" s="53"/>
      <c r="AM805" s="58"/>
      <c r="AN805" s="58"/>
      <c r="AO805" s="58"/>
      <c r="AP805" s="58"/>
      <c r="AQ805" s="58"/>
      <c r="AR805" s="58"/>
      <c r="AS805" s="58"/>
      <c r="AT805" s="58"/>
    </row>
    <row r="806" spans="7:46">
      <c r="G806" s="112"/>
      <c r="O806" s="53"/>
      <c r="P806" s="53"/>
      <c r="Q806" s="53"/>
      <c r="S806" s="53"/>
      <c r="T806" s="53"/>
      <c r="U806" s="53"/>
      <c r="V806" s="53"/>
      <c r="AM806" s="58"/>
      <c r="AN806" s="58"/>
      <c r="AO806" s="58"/>
      <c r="AP806" s="58"/>
      <c r="AQ806" s="58"/>
      <c r="AR806" s="58"/>
      <c r="AS806" s="58"/>
      <c r="AT806" s="58"/>
    </row>
    <row r="807" spans="7:46">
      <c r="G807" s="112"/>
      <c r="O807" s="53"/>
      <c r="P807" s="53"/>
      <c r="Q807" s="53"/>
      <c r="S807" s="53"/>
      <c r="T807" s="53"/>
      <c r="U807" s="53"/>
      <c r="V807" s="53"/>
      <c r="AM807" s="58"/>
      <c r="AN807" s="58"/>
      <c r="AO807" s="58"/>
      <c r="AP807" s="58"/>
      <c r="AQ807" s="58"/>
      <c r="AR807" s="58"/>
      <c r="AS807" s="58"/>
      <c r="AT807" s="58"/>
    </row>
    <row r="808" spans="7:46">
      <c r="G808" s="112"/>
      <c r="O808" s="53"/>
      <c r="P808" s="53"/>
      <c r="Q808" s="53"/>
      <c r="S808" s="53"/>
      <c r="T808" s="53"/>
      <c r="U808" s="53"/>
      <c r="V808" s="53"/>
      <c r="AM808" s="58"/>
      <c r="AN808" s="58"/>
      <c r="AO808" s="58"/>
      <c r="AP808" s="58"/>
      <c r="AQ808" s="58"/>
      <c r="AR808" s="58"/>
      <c r="AS808" s="58"/>
      <c r="AT808" s="58"/>
    </row>
    <row r="809" spans="7:46">
      <c r="G809" s="112"/>
      <c r="O809" s="53"/>
      <c r="P809" s="53"/>
      <c r="Q809" s="53"/>
      <c r="S809" s="53"/>
      <c r="T809" s="53"/>
      <c r="U809" s="53"/>
      <c r="V809" s="53"/>
      <c r="AM809" s="58"/>
      <c r="AN809" s="58"/>
      <c r="AO809" s="58"/>
      <c r="AP809" s="58"/>
      <c r="AQ809" s="58"/>
      <c r="AR809" s="58"/>
      <c r="AS809" s="58"/>
      <c r="AT809" s="58"/>
    </row>
    <row r="810" spans="7:46">
      <c r="G810" s="112"/>
      <c r="O810" s="53"/>
      <c r="P810" s="53"/>
      <c r="Q810" s="53"/>
      <c r="S810" s="53"/>
      <c r="T810" s="53"/>
      <c r="U810" s="53"/>
      <c r="V810" s="53"/>
      <c r="AM810" s="58"/>
      <c r="AN810" s="58"/>
      <c r="AO810" s="58"/>
      <c r="AP810" s="58"/>
      <c r="AQ810" s="58"/>
      <c r="AR810" s="58"/>
      <c r="AS810" s="58"/>
      <c r="AT810" s="58"/>
    </row>
    <row r="811" spans="7:46">
      <c r="G811" s="112"/>
      <c r="O811" s="53"/>
      <c r="P811" s="53"/>
      <c r="Q811" s="53"/>
      <c r="S811" s="53"/>
      <c r="T811" s="53"/>
      <c r="U811" s="53"/>
      <c r="V811" s="53"/>
      <c r="AM811" s="58"/>
      <c r="AN811" s="58"/>
      <c r="AO811" s="58"/>
      <c r="AP811" s="58"/>
      <c r="AQ811" s="58"/>
      <c r="AR811" s="58"/>
      <c r="AS811" s="58"/>
      <c r="AT811" s="58"/>
    </row>
    <row r="812" spans="7:46">
      <c r="G812" s="112"/>
      <c r="O812" s="53"/>
      <c r="P812" s="53"/>
      <c r="Q812" s="53"/>
      <c r="S812" s="53"/>
      <c r="T812" s="53"/>
      <c r="U812" s="53"/>
      <c r="V812" s="53"/>
      <c r="AM812" s="58"/>
      <c r="AN812" s="58"/>
      <c r="AO812" s="58"/>
      <c r="AP812" s="58"/>
      <c r="AQ812" s="58"/>
      <c r="AR812" s="58"/>
      <c r="AS812" s="58"/>
      <c r="AT812" s="58"/>
    </row>
    <row r="813" spans="7:46">
      <c r="G813" s="112"/>
      <c r="O813" s="53"/>
      <c r="P813" s="53"/>
      <c r="Q813" s="53"/>
      <c r="S813" s="53"/>
      <c r="T813" s="53"/>
      <c r="U813" s="53"/>
      <c r="V813" s="53"/>
      <c r="AM813" s="58"/>
      <c r="AN813" s="58"/>
      <c r="AO813" s="58"/>
      <c r="AP813" s="58"/>
      <c r="AQ813" s="58"/>
      <c r="AR813" s="58"/>
      <c r="AS813" s="58"/>
      <c r="AT813" s="58"/>
    </row>
    <row r="814" spans="7:46">
      <c r="G814" s="112"/>
      <c r="O814" s="53"/>
      <c r="P814" s="53"/>
      <c r="Q814" s="53"/>
      <c r="S814" s="53"/>
      <c r="T814" s="53"/>
      <c r="U814" s="53"/>
      <c r="V814" s="53"/>
      <c r="AM814" s="58"/>
      <c r="AN814" s="58"/>
      <c r="AO814" s="58"/>
      <c r="AP814" s="58"/>
      <c r="AQ814" s="58"/>
      <c r="AR814" s="58"/>
      <c r="AS814" s="58"/>
      <c r="AT814" s="58"/>
    </row>
    <row r="815" spans="7:46">
      <c r="G815" s="112"/>
      <c r="O815" s="53"/>
      <c r="P815" s="53"/>
      <c r="Q815" s="53"/>
      <c r="S815" s="53"/>
      <c r="T815" s="53"/>
      <c r="U815" s="53"/>
      <c r="V815" s="53"/>
      <c r="AM815" s="58"/>
      <c r="AN815" s="58"/>
      <c r="AO815" s="58"/>
      <c r="AP815" s="58"/>
      <c r="AQ815" s="58"/>
      <c r="AR815" s="58"/>
      <c r="AS815" s="58"/>
      <c r="AT815" s="58"/>
    </row>
    <row r="816" spans="7:46">
      <c r="G816" s="112"/>
      <c r="O816" s="53"/>
      <c r="P816" s="53"/>
      <c r="Q816" s="53"/>
      <c r="S816" s="53"/>
      <c r="T816" s="53"/>
      <c r="U816" s="53"/>
      <c r="V816" s="53"/>
      <c r="AM816" s="58"/>
      <c r="AN816" s="58"/>
      <c r="AO816" s="58"/>
      <c r="AP816" s="58"/>
      <c r="AQ816" s="58"/>
      <c r="AR816" s="58"/>
      <c r="AS816" s="58"/>
      <c r="AT816" s="58"/>
    </row>
    <row r="817" spans="7:46">
      <c r="G817" s="112"/>
      <c r="O817" s="53"/>
      <c r="P817" s="53"/>
      <c r="Q817" s="53"/>
      <c r="S817" s="53"/>
      <c r="T817" s="53"/>
      <c r="U817" s="53"/>
      <c r="V817" s="53"/>
      <c r="AM817" s="58"/>
      <c r="AN817" s="58"/>
      <c r="AO817" s="58"/>
      <c r="AP817" s="58"/>
      <c r="AQ817" s="58"/>
      <c r="AR817" s="58"/>
      <c r="AS817" s="58"/>
      <c r="AT817" s="58"/>
    </row>
    <row r="818" spans="7:46">
      <c r="G818" s="112"/>
      <c r="O818" s="53"/>
      <c r="P818" s="53"/>
      <c r="Q818" s="53"/>
      <c r="S818" s="53"/>
      <c r="T818" s="53"/>
      <c r="U818" s="53"/>
      <c r="V818" s="53"/>
      <c r="AM818" s="58"/>
      <c r="AN818" s="58"/>
      <c r="AO818" s="58"/>
      <c r="AP818" s="58"/>
      <c r="AQ818" s="58"/>
      <c r="AR818" s="58"/>
      <c r="AS818" s="58"/>
      <c r="AT818" s="58"/>
    </row>
    <row r="819" spans="7:46">
      <c r="G819" s="112"/>
      <c r="O819" s="53"/>
      <c r="P819" s="53"/>
      <c r="Q819" s="53"/>
      <c r="S819" s="53"/>
      <c r="T819" s="53"/>
      <c r="U819" s="53"/>
      <c r="V819" s="53"/>
      <c r="AM819" s="58"/>
      <c r="AN819" s="58"/>
      <c r="AO819" s="58"/>
      <c r="AP819" s="58"/>
      <c r="AQ819" s="58"/>
      <c r="AR819" s="58"/>
      <c r="AS819" s="58"/>
      <c r="AT819" s="58"/>
    </row>
    <row r="820" spans="7:46">
      <c r="G820" s="112"/>
      <c r="O820" s="53"/>
      <c r="P820" s="53"/>
      <c r="Q820" s="53"/>
      <c r="S820" s="53"/>
      <c r="T820" s="53"/>
      <c r="U820" s="53"/>
      <c r="V820" s="53"/>
      <c r="AM820" s="58"/>
      <c r="AN820" s="58"/>
      <c r="AO820" s="58"/>
      <c r="AP820" s="58"/>
      <c r="AQ820" s="58"/>
      <c r="AR820" s="58"/>
      <c r="AS820" s="58"/>
      <c r="AT820" s="58"/>
    </row>
    <row r="821" spans="7:46">
      <c r="G821" s="112"/>
      <c r="O821" s="53"/>
      <c r="P821" s="53"/>
      <c r="Q821" s="53"/>
      <c r="S821" s="53"/>
      <c r="T821" s="53"/>
      <c r="U821" s="53"/>
      <c r="V821" s="53"/>
      <c r="AM821" s="58"/>
      <c r="AN821" s="58"/>
      <c r="AO821" s="58"/>
      <c r="AP821" s="58"/>
      <c r="AQ821" s="58"/>
      <c r="AR821" s="58"/>
      <c r="AS821" s="58"/>
      <c r="AT821" s="58"/>
    </row>
    <row r="822" spans="7:46">
      <c r="G822" s="112"/>
      <c r="O822" s="53"/>
      <c r="P822" s="53"/>
      <c r="Q822" s="53"/>
      <c r="S822" s="53"/>
      <c r="T822" s="53"/>
      <c r="U822" s="53"/>
      <c r="V822" s="53"/>
      <c r="AM822" s="58"/>
      <c r="AN822" s="58"/>
      <c r="AO822" s="58"/>
      <c r="AP822" s="58"/>
      <c r="AQ822" s="58"/>
      <c r="AR822" s="58"/>
      <c r="AS822" s="58"/>
      <c r="AT822" s="58"/>
    </row>
    <row r="823" spans="7:46">
      <c r="G823" s="112"/>
      <c r="O823" s="53"/>
      <c r="P823" s="53"/>
      <c r="Q823" s="53"/>
      <c r="S823" s="53"/>
      <c r="T823" s="53"/>
      <c r="U823" s="53"/>
      <c r="V823" s="53"/>
      <c r="AM823" s="58"/>
      <c r="AN823" s="58"/>
      <c r="AO823" s="58"/>
      <c r="AP823" s="58"/>
      <c r="AQ823" s="58"/>
      <c r="AR823" s="58"/>
      <c r="AS823" s="58"/>
      <c r="AT823" s="58"/>
    </row>
    <row r="824" spans="7:46">
      <c r="G824" s="112"/>
      <c r="O824" s="53"/>
      <c r="P824" s="53"/>
      <c r="Q824" s="53"/>
      <c r="S824" s="53"/>
      <c r="T824" s="53"/>
      <c r="U824" s="53"/>
      <c r="V824" s="53"/>
      <c r="AM824" s="58"/>
      <c r="AN824" s="58"/>
      <c r="AO824" s="58"/>
      <c r="AP824" s="58"/>
      <c r="AQ824" s="58"/>
      <c r="AR824" s="58"/>
      <c r="AS824" s="58"/>
      <c r="AT824" s="58"/>
    </row>
    <row r="825" spans="7:46">
      <c r="G825" s="112"/>
      <c r="O825" s="53"/>
      <c r="P825" s="53"/>
      <c r="Q825" s="53"/>
      <c r="S825" s="53"/>
      <c r="T825" s="53"/>
      <c r="U825" s="53"/>
      <c r="V825" s="53"/>
      <c r="AM825" s="58"/>
      <c r="AN825" s="58"/>
      <c r="AO825" s="58"/>
      <c r="AP825" s="58"/>
      <c r="AQ825" s="58"/>
      <c r="AR825" s="58"/>
      <c r="AS825" s="58"/>
      <c r="AT825" s="58"/>
    </row>
    <row r="826" spans="7:46">
      <c r="G826" s="112"/>
      <c r="O826" s="53"/>
      <c r="P826" s="53"/>
      <c r="Q826" s="53"/>
      <c r="S826" s="53"/>
      <c r="T826" s="53"/>
      <c r="U826" s="53"/>
      <c r="V826" s="53"/>
      <c r="AM826" s="58"/>
      <c r="AN826" s="58"/>
      <c r="AO826" s="58"/>
      <c r="AP826" s="58"/>
      <c r="AQ826" s="58"/>
      <c r="AR826" s="58"/>
      <c r="AS826" s="58"/>
      <c r="AT826" s="58"/>
    </row>
    <row r="827" spans="7:46">
      <c r="G827" s="112"/>
      <c r="O827" s="53"/>
      <c r="P827" s="53"/>
      <c r="Q827" s="53"/>
      <c r="S827" s="53"/>
      <c r="T827" s="53"/>
      <c r="U827" s="53"/>
      <c r="V827" s="53"/>
      <c r="AM827" s="58"/>
      <c r="AN827" s="58"/>
      <c r="AO827" s="58"/>
      <c r="AP827" s="58"/>
      <c r="AQ827" s="58"/>
      <c r="AR827" s="58"/>
      <c r="AS827" s="58"/>
      <c r="AT827" s="58"/>
    </row>
    <row r="828" spans="7:46">
      <c r="G828" s="112"/>
      <c r="O828" s="53"/>
      <c r="P828" s="53"/>
      <c r="Q828" s="53"/>
      <c r="S828" s="53"/>
      <c r="T828" s="53"/>
      <c r="U828" s="53"/>
      <c r="V828" s="53"/>
      <c r="AM828" s="58"/>
      <c r="AN828" s="58"/>
      <c r="AO828" s="58"/>
      <c r="AP828" s="58"/>
      <c r="AQ828" s="58"/>
      <c r="AR828" s="58"/>
      <c r="AS828" s="58"/>
      <c r="AT828" s="58"/>
    </row>
    <row r="829" spans="7:46">
      <c r="G829" s="112"/>
      <c r="O829" s="53"/>
      <c r="P829" s="53"/>
      <c r="Q829" s="53"/>
      <c r="S829" s="53"/>
      <c r="T829" s="53"/>
      <c r="U829" s="53"/>
      <c r="V829" s="53"/>
      <c r="AM829" s="58"/>
      <c r="AN829" s="58"/>
      <c r="AO829" s="58"/>
      <c r="AP829" s="58"/>
      <c r="AQ829" s="58"/>
      <c r="AR829" s="58"/>
      <c r="AS829" s="58"/>
      <c r="AT829" s="58"/>
    </row>
    <row r="830" spans="7:46">
      <c r="G830" s="112"/>
      <c r="O830" s="53"/>
      <c r="P830" s="53"/>
      <c r="Q830" s="53"/>
      <c r="S830" s="53"/>
      <c r="T830" s="53"/>
      <c r="U830" s="53"/>
      <c r="V830" s="53"/>
      <c r="AM830" s="58"/>
      <c r="AN830" s="58"/>
      <c r="AO830" s="58"/>
      <c r="AP830" s="58"/>
      <c r="AQ830" s="58"/>
      <c r="AR830" s="58"/>
      <c r="AS830" s="58"/>
      <c r="AT830" s="58"/>
    </row>
    <row r="831" spans="7:46">
      <c r="G831" s="112"/>
      <c r="O831" s="53"/>
      <c r="P831" s="53"/>
      <c r="Q831" s="53"/>
      <c r="S831" s="53"/>
      <c r="T831" s="53"/>
      <c r="U831" s="53"/>
      <c r="V831" s="53"/>
      <c r="AM831" s="58"/>
      <c r="AN831" s="58"/>
      <c r="AO831" s="58"/>
      <c r="AP831" s="58"/>
      <c r="AQ831" s="58"/>
      <c r="AR831" s="58"/>
      <c r="AS831" s="58"/>
      <c r="AT831" s="58"/>
    </row>
    <row r="832" spans="7:46">
      <c r="G832" s="112"/>
      <c r="O832" s="53"/>
      <c r="P832" s="53"/>
      <c r="Q832" s="53"/>
      <c r="S832" s="53"/>
      <c r="T832" s="53"/>
      <c r="U832" s="53"/>
      <c r="V832" s="53"/>
      <c r="AM832" s="58"/>
      <c r="AN832" s="58"/>
      <c r="AO832" s="58"/>
      <c r="AP832" s="58"/>
      <c r="AQ832" s="58"/>
      <c r="AR832" s="58"/>
      <c r="AS832" s="58"/>
      <c r="AT832" s="58"/>
    </row>
    <row r="833" spans="7:46">
      <c r="G833" s="112"/>
      <c r="O833" s="53"/>
      <c r="P833" s="53"/>
      <c r="Q833" s="53"/>
      <c r="S833" s="53"/>
      <c r="T833" s="53"/>
      <c r="U833" s="53"/>
      <c r="V833" s="53"/>
      <c r="AM833" s="58"/>
      <c r="AN833" s="58"/>
      <c r="AO833" s="58"/>
      <c r="AP833" s="58"/>
      <c r="AQ833" s="58"/>
      <c r="AR833" s="58"/>
      <c r="AS833" s="58"/>
      <c r="AT833" s="58"/>
    </row>
    <row r="834" spans="7:46">
      <c r="G834" s="112"/>
      <c r="O834" s="53"/>
      <c r="P834" s="53"/>
      <c r="Q834" s="53"/>
      <c r="S834" s="53"/>
      <c r="T834" s="53"/>
      <c r="U834" s="53"/>
      <c r="V834" s="53"/>
      <c r="AM834" s="58"/>
      <c r="AN834" s="58"/>
      <c r="AO834" s="58"/>
      <c r="AP834" s="58"/>
      <c r="AQ834" s="58"/>
      <c r="AR834" s="58"/>
      <c r="AS834" s="58"/>
      <c r="AT834" s="58"/>
    </row>
    <row r="835" spans="7:46">
      <c r="G835" s="112"/>
      <c r="O835" s="53"/>
      <c r="P835" s="53"/>
      <c r="Q835" s="53"/>
      <c r="S835" s="53"/>
      <c r="T835" s="53"/>
      <c r="U835" s="53"/>
      <c r="V835" s="53"/>
      <c r="AM835" s="58"/>
      <c r="AN835" s="58"/>
      <c r="AO835" s="58"/>
      <c r="AP835" s="58"/>
      <c r="AQ835" s="58"/>
      <c r="AR835" s="58"/>
      <c r="AS835" s="58"/>
      <c r="AT835" s="58"/>
    </row>
    <row r="836" spans="7:46">
      <c r="G836" s="112"/>
      <c r="O836" s="53"/>
      <c r="P836" s="53"/>
      <c r="Q836" s="53"/>
      <c r="S836" s="53"/>
      <c r="T836" s="53"/>
      <c r="U836" s="53"/>
      <c r="V836" s="53"/>
      <c r="AM836" s="58"/>
      <c r="AN836" s="58"/>
      <c r="AO836" s="58"/>
      <c r="AP836" s="58"/>
      <c r="AQ836" s="58"/>
      <c r="AR836" s="58"/>
      <c r="AS836" s="58"/>
      <c r="AT836" s="58"/>
    </row>
    <row r="837" spans="7:46">
      <c r="G837" s="112"/>
      <c r="O837" s="53"/>
      <c r="P837" s="53"/>
      <c r="Q837" s="53"/>
      <c r="S837" s="53"/>
      <c r="T837" s="53"/>
      <c r="U837" s="53"/>
      <c r="V837" s="53"/>
      <c r="AM837" s="58"/>
      <c r="AN837" s="58"/>
      <c r="AO837" s="58"/>
      <c r="AP837" s="58"/>
      <c r="AQ837" s="58"/>
      <c r="AR837" s="58"/>
      <c r="AS837" s="58"/>
      <c r="AT837" s="58"/>
    </row>
    <row r="838" spans="7:46">
      <c r="G838" s="112"/>
      <c r="O838" s="53"/>
      <c r="P838" s="53"/>
      <c r="Q838" s="53"/>
      <c r="S838" s="53"/>
      <c r="T838" s="53"/>
      <c r="U838" s="53"/>
      <c r="V838" s="53"/>
      <c r="AM838" s="58"/>
      <c r="AN838" s="58"/>
      <c r="AO838" s="58"/>
      <c r="AP838" s="58"/>
      <c r="AQ838" s="58"/>
      <c r="AR838" s="58"/>
      <c r="AS838" s="58"/>
      <c r="AT838" s="58"/>
    </row>
    <row r="839" spans="7:46">
      <c r="G839" s="112"/>
      <c r="O839" s="53"/>
      <c r="P839" s="53"/>
      <c r="Q839" s="53"/>
      <c r="S839" s="53"/>
      <c r="T839" s="53"/>
      <c r="U839" s="53"/>
      <c r="V839" s="53"/>
      <c r="AM839" s="58"/>
      <c r="AN839" s="58"/>
      <c r="AO839" s="58"/>
      <c r="AP839" s="58"/>
      <c r="AQ839" s="58"/>
      <c r="AR839" s="58"/>
      <c r="AS839" s="58"/>
      <c r="AT839" s="58"/>
    </row>
    <row r="840" spans="7:46">
      <c r="G840" s="112"/>
      <c r="O840" s="53"/>
      <c r="P840" s="53"/>
      <c r="Q840" s="53"/>
      <c r="S840" s="53"/>
      <c r="T840" s="53"/>
      <c r="U840" s="53"/>
      <c r="V840" s="53"/>
      <c r="AM840" s="58"/>
      <c r="AN840" s="58"/>
      <c r="AO840" s="58"/>
      <c r="AP840" s="58"/>
      <c r="AQ840" s="58"/>
      <c r="AR840" s="58"/>
      <c r="AS840" s="58"/>
      <c r="AT840" s="58"/>
    </row>
    <row r="841" spans="7:46">
      <c r="G841" s="112"/>
      <c r="O841" s="53"/>
      <c r="P841" s="53"/>
      <c r="Q841" s="53"/>
      <c r="S841" s="53"/>
      <c r="T841" s="53"/>
      <c r="U841" s="53"/>
      <c r="V841" s="53"/>
      <c r="AM841" s="58"/>
      <c r="AN841" s="58"/>
      <c r="AO841" s="58"/>
      <c r="AP841" s="58"/>
      <c r="AQ841" s="58"/>
      <c r="AR841" s="58"/>
      <c r="AS841" s="58"/>
      <c r="AT841" s="58"/>
    </row>
    <row r="842" spans="7:46">
      <c r="G842" s="112"/>
      <c r="O842" s="53"/>
      <c r="P842" s="53"/>
      <c r="Q842" s="53"/>
      <c r="S842" s="53"/>
      <c r="T842" s="53"/>
      <c r="U842" s="53"/>
      <c r="V842" s="53"/>
      <c r="AM842" s="58"/>
      <c r="AN842" s="58"/>
      <c r="AO842" s="58"/>
      <c r="AP842" s="58"/>
      <c r="AQ842" s="58"/>
      <c r="AR842" s="58"/>
      <c r="AS842" s="58"/>
      <c r="AT842" s="58"/>
    </row>
    <row r="843" spans="7:46">
      <c r="G843" s="112"/>
      <c r="O843" s="53"/>
      <c r="P843" s="53"/>
      <c r="Q843" s="53"/>
      <c r="S843" s="53"/>
      <c r="T843" s="53"/>
      <c r="U843" s="53"/>
      <c r="V843" s="53"/>
      <c r="AM843" s="58"/>
      <c r="AN843" s="58"/>
      <c r="AO843" s="58"/>
      <c r="AP843" s="58"/>
      <c r="AQ843" s="58"/>
      <c r="AR843" s="58"/>
      <c r="AS843" s="58"/>
      <c r="AT843" s="58"/>
    </row>
    <row r="844" spans="7:46">
      <c r="G844" s="112"/>
      <c r="O844" s="53"/>
      <c r="P844" s="53"/>
      <c r="Q844" s="53"/>
      <c r="S844" s="53"/>
      <c r="T844" s="53"/>
      <c r="U844" s="53"/>
      <c r="V844" s="53"/>
      <c r="AM844" s="58"/>
      <c r="AN844" s="58"/>
      <c r="AO844" s="58"/>
      <c r="AP844" s="58"/>
      <c r="AQ844" s="58"/>
      <c r="AR844" s="58"/>
      <c r="AS844" s="58"/>
      <c r="AT844" s="58"/>
    </row>
    <row r="845" spans="7:46">
      <c r="G845" s="112"/>
      <c r="O845" s="53"/>
      <c r="P845" s="53"/>
      <c r="Q845" s="53"/>
      <c r="S845" s="53"/>
      <c r="T845" s="53"/>
      <c r="U845" s="53"/>
      <c r="V845" s="53"/>
      <c r="AM845" s="58"/>
      <c r="AN845" s="58"/>
      <c r="AO845" s="58"/>
      <c r="AP845" s="58"/>
      <c r="AQ845" s="58"/>
      <c r="AR845" s="58"/>
      <c r="AS845" s="58"/>
      <c r="AT845" s="58"/>
    </row>
    <row r="846" spans="7:46">
      <c r="G846" s="112"/>
      <c r="O846" s="53"/>
      <c r="P846" s="53"/>
      <c r="Q846" s="53"/>
      <c r="S846" s="53"/>
      <c r="T846" s="53"/>
      <c r="U846" s="53"/>
      <c r="V846" s="53"/>
      <c r="AM846" s="58"/>
      <c r="AN846" s="58"/>
      <c r="AO846" s="58"/>
      <c r="AP846" s="58"/>
      <c r="AQ846" s="58"/>
      <c r="AR846" s="58"/>
      <c r="AS846" s="58"/>
      <c r="AT846" s="58"/>
    </row>
    <row r="847" spans="7:46">
      <c r="G847" s="112"/>
      <c r="O847" s="53"/>
      <c r="P847" s="53"/>
      <c r="Q847" s="53"/>
      <c r="S847" s="53"/>
      <c r="T847" s="53"/>
      <c r="U847" s="53"/>
      <c r="V847" s="53"/>
      <c r="AM847" s="58"/>
      <c r="AN847" s="58"/>
      <c r="AO847" s="58"/>
      <c r="AP847" s="58"/>
      <c r="AQ847" s="58"/>
      <c r="AR847" s="58"/>
      <c r="AS847" s="58"/>
      <c r="AT847" s="58"/>
    </row>
    <row r="848" spans="7:46">
      <c r="G848" s="112"/>
      <c r="O848" s="53"/>
      <c r="P848" s="53"/>
      <c r="Q848" s="53"/>
      <c r="S848" s="53"/>
      <c r="T848" s="53"/>
      <c r="U848" s="53"/>
      <c r="V848" s="53"/>
      <c r="AM848" s="58"/>
      <c r="AN848" s="58"/>
      <c r="AO848" s="58"/>
      <c r="AP848" s="58"/>
      <c r="AQ848" s="58"/>
      <c r="AR848" s="58"/>
      <c r="AS848" s="58"/>
      <c r="AT848" s="58"/>
    </row>
    <row r="849" spans="7:46">
      <c r="G849" s="112"/>
      <c r="O849" s="53"/>
      <c r="P849" s="53"/>
      <c r="Q849" s="53"/>
      <c r="S849" s="53"/>
      <c r="T849" s="53"/>
      <c r="U849" s="53"/>
      <c r="V849" s="53"/>
      <c r="AM849" s="58"/>
      <c r="AN849" s="58"/>
      <c r="AO849" s="58"/>
      <c r="AP849" s="58"/>
      <c r="AQ849" s="58"/>
      <c r="AR849" s="58"/>
      <c r="AS849" s="58"/>
      <c r="AT849" s="58"/>
    </row>
    <row r="850" spans="7:46">
      <c r="G850" s="112"/>
      <c r="O850" s="53"/>
      <c r="P850" s="53"/>
      <c r="Q850" s="53"/>
      <c r="S850" s="53"/>
      <c r="T850" s="53"/>
      <c r="U850" s="53"/>
      <c r="V850" s="53"/>
      <c r="AM850" s="58"/>
      <c r="AN850" s="58"/>
      <c r="AO850" s="58"/>
      <c r="AP850" s="58"/>
      <c r="AQ850" s="58"/>
      <c r="AR850" s="58"/>
      <c r="AS850" s="58"/>
      <c r="AT850" s="58"/>
    </row>
    <row r="851" spans="7:46">
      <c r="G851" s="112"/>
      <c r="O851" s="53"/>
      <c r="P851" s="53"/>
      <c r="Q851" s="53"/>
      <c r="S851" s="53"/>
      <c r="T851" s="53"/>
      <c r="U851" s="53"/>
      <c r="V851" s="53"/>
      <c r="AM851" s="58"/>
      <c r="AN851" s="58"/>
      <c r="AO851" s="58"/>
      <c r="AP851" s="58"/>
      <c r="AQ851" s="58"/>
      <c r="AR851" s="58"/>
      <c r="AS851" s="58"/>
      <c r="AT851" s="58"/>
    </row>
    <row r="852" spans="7:46">
      <c r="G852" s="112"/>
      <c r="O852" s="53"/>
      <c r="P852" s="53"/>
      <c r="Q852" s="53"/>
      <c r="S852" s="53"/>
      <c r="T852" s="53"/>
      <c r="U852" s="53"/>
      <c r="V852" s="53"/>
      <c r="AM852" s="58"/>
      <c r="AN852" s="58"/>
      <c r="AO852" s="58"/>
      <c r="AP852" s="58"/>
      <c r="AQ852" s="58"/>
      <c r="AR852" s="58"/>
      <c r="AS852" s="58"/>
      <c r="AT852" s="58"/>
    </row>
    <row r="853" spans="7:46">
      <c r="G853" s="112"/>
      <c r="O853" s="53"/>
      <c r="P853" s="53"/>
      <c r="Q853" s="53"/>
      <c r="S853" s="53"/>
      <c r="T853" s="53"/>
      <c r="U853" s="53"/>
      <c r="V853" s="53"/>
      <c r="AM853" s="58"/>
      <c r="AN853" s="58"/>
      <c r="AO853" s="58"/>
      <c r="AP853" s="58"/>
      <c r="AQ853" s="58"/>
      <c r="AR853" s="58"/>
      <c r="AS853" s="58"/>
      <c r="AT853" s="58"/>
    </row>
    <row r="854" spans="7:46">
      <c r="G854" s="112"/>
      <c r="O854" s="53"/>
      <c r="P854" s="53"/>
      <c r="Q854" s="53"/>
      <c r="S854" s="53"/>
      <c r="T854" s="53"/>
      <c r="U854" s="53"/>
      <c r="V854" s="53"/>
      <c r="AM854" s="58"/>
      <c r="AN854" s="58"/>
      <c r="AO854" s="58"/>
      <c r="AP854" s="58"/>
      <c r="AQ854" s="58"/>
      <c r="AR854" s="58"/>
      <c r="AS854" s="58"/>
      <c r="AT854" s="58"/>
    </row>
    <row r="855" spans="7:46">
      <c r="G855" s="112"/>
      <c r="O855" s="53"/>
      <c r="P855" s="53"/>
      <c r="Q855" s="53"/>
      <c r="S855" s="53"/>
      <c r="T855" s="53"/>
      <c r="U855" s="53"/>
      <c r="V855" s="53"/>
      <c r="AM855" s="58"/>
      <c r="AN855" s="58"/>
      <c r="AO855" s="58"/>
      <c r="AP855" s="58"/>
      <c r="AQ855" s="58"/>
      <c r="AR855" s="58"/>
      <c r="AS855" s="58"/>
      <c r="AT855" s="58"/>
    </row>
    <row r="856" spans="7:46">
      <c r="G856" s="112"/>
      <c r="O856" s="53"/>
      <c r="P856" s="53"/>
      <c r="Q856" s="53"/>
      <c r="S856" s="53"/>
      <c r="T856" s="53"/>
      <c r="U856" s="53"/>
      <c r="V856" s="53"/>
      <c r="AM856" s="58"/>
      <c r="AN856" s="58"/>
      <c r="AO856" s="58"/>
      <c r="AP856" s="58"/>
      <c r="AQ856" s="58"/>
      <c r="AR856" s="58"/>
      <c r="AS856" s="58"/>
      <c r="AT856" s="58"/>
    </row>
    <row r="857" spans="7:46">
      <c r="G857" s="112"/>
      <c r="O857" s="53"/>
      <c r="P857" s="53"/>
      <c r="Q857" s="53"/>
      <c r="S857" s="53"/>
      <c r="T857" s="53"/>
      <c r="U857" s="53"/>
      <c r="V857" s="53"/>
      <c r="AM857" s="58"/>
      <c r="AN857" s="58"/>
      <c r="AO857" s="58"/>
      <c r="AP857" s="58"/>
      <c r="AQ857" s="58"/>
      <c r="AR857" s="58"/>
      <c r="AS857" s="58"/>
      <c r="AT857" s="58"/>
    </row>
    <row r="858" spans="7:46">
      <c r="G858" s="112"/>
      <c r="O858" s="53"/>
      <c r="P858" s="53"/>
      <c r="Q858" s="53"/>
      <c r="S858" s="53"/>
      <c r="T858" s="53"/>
      <c r="U858" s="53"/>
      <c r="V858" s="53"/>
      <c r="AM858" s="58"/>
      <c r="AN858" s="58"/>
      <c r="AO858" s="58"/>
      <c r="AP858" s="58"/>
      <c r="AQ858" s="58"/>
      <c r="AR858" s="58"/>
      <c r="AS858" s="58"/>
      <c r="AT858" s="58"/>
    </row>
    <row r="859" spans="7:46">
      <c r="G859" s="112"/>
      <c r="O859" s="53"/>
      <c r="P859" s="53"/>
      <c r="Q859" s="53"/>
      <c r="S859" s="53"/>
      <c r="T859" s="53"/>
      <c r="U859" s="53"/>
      <c r="V859" s="53"/>
      <c r="AM859" s="58"/>
      <c r="AN859" s="58"/>
      <c r="AO859" s="58"/>
      <c r="AP859" s="58"/>
      <c r="AQ859" s="58"/>
      <c r="AR859" s="58"/>
      <c r="AS859" s="58"/>
      <c r="AT859" s="58"/>
    </row>
    <row r="860" spans="7:46">
      <c r="G860" s="112"/>
      <c r="O860" s="53"/>
      <c r="P860" s="53"/>
      <c r="Q860" s="53"/>
      <c r="S860" s="53"/>
      <c r="T860" s="53"/>
      <c r="U860" s="53"/>
      <c r="V860" s="53"/>
      <c r="AM860" s="58"/>
      <c r="AN860" s="58"/>
      <c r="AO860" s="58"/>
      <c r="AP860" s="58"/>
      <c r="AQ860" s="58"/>
      <c r="AR860" s="58"/>
      <c r="AS860" s="58"/>
      <c r="AT860" s="58"/>
    </row>
    <row r="861" spans="7:46">
      <c r="G861" s="112"/>
      <c r="O861" s="53"/>
      <c r="P861" s="53"/>
      <c r="Q861" s="53"/>
      <c r="S861" s="53"/>
      <c r="T861" s="53"/>
      <c r="U861" s="53"/>
      <c r="V861" s="53"/>
      <c r="AM861" s="58"/>
      <c r="AN861" s="58"/>
      <c r="AO861" s="58"/>
      <c r="AP861" s="58"/>
      <c r="AQ861" s="58"/>
      <c r="AR861" s="58"/>
      <c r="AS861" s="58"/>
      <c r="AT861" s="58"/>
    </row>
    <row r="862" spans="7:46">
      <c r="G862" s="112"/>
      <c r="O862" s="53"/>
      <c r="P862" s="53"/>
      <c r="Q862" s="53"/>
      <c r="S862" s="53"/>
      <c r="T862" s="53"/>
      <c r="U862" s="53"/>
      <c r="V862" s="53"/>
      <c r="AM862" s="58"/>
      <c r="AN862" s="58"/>
      <c r="AO862" s="58"/>
      <c r="AP862" s="58"/>
      <c r="AQ862" s="58"/>
      <c r="AR862" s="58"/>
      <c r="AS862" s="58"/>
      <c r="AT862" s="58"/>
    </row>
    <row r="863" spans="7:46">
      <c r="G863" s="112"/>
      <c r="O863" s="53"/>
      <c r="P863" s="53"/>
      <c r="Q863" s="53"/>
      <c r="S863" s="53"/>
      <c r="T863" s="53"/>
      <c r="U863" s="53"/>
      <c r="V863" s="53"/>
      <c r="AM863" s="58"/>
      <c r="AN863" s="58"/>
      <c r="AO863" s="58"/>
      <c r="AP863" s="58"/>
      <c r="AQ863" s="58"/>
      <c r="AR863" s="58"/>
      <c r="AS863" s="58"/>
      <c r="AT863" s="58"/>
    </row>
    <row r="864" spans="7:46">
      <c r="G864" s="112"/>
      <c r="O864" s="53"/>
      <c r="P864" s="53"/>
      <c r="Q864" s="53"/>
      <c r="S864" s="53"/>
      <c r="T864" s="53"/>
      <c r="U864" s="53"/>
      <c r="V864" s="53"/>
      <c r="AM864" s="58"/>
      <c r="AN864" s="58"/>
      <c r="AO864" s="58"/>
      <c r="AP864" s="58"/>
      <c r="AQ864" s="58"/>
      <c r="AR864" s="58"/>
      <c r="AS864" s="58"/>
      <c r="AT864" s="58"/>
    </row>
    <row r="865" spans="7:46">
      <c r="G865" s="112"/>
      <c r="O865" s="53"/>
      <c r="P865" s="53"/>
      <c r="Q865" s="53"/>
      <c r="S865" s="53"/>
      <c r="T865" s="53"/>
      <c r="U865" s="53"/>
      <c r="V865" s="53"/>
      <c r="AM865" s="58"/>
      <c r="AN865" s="58"/>
      <c r="AO865" s="58"/>
      <c r="AP865" s="58"/>
      <c r="AQ865" s="58"/>
      <c r="AR865" s="58"/>
      <c r="AS865" s="58"/>
      <c r="AT865" s="58"/>
    </row>
    <row r="866" spans="7:46">
      <c r="G866" s="112"/>
      <c r="O866" s="53"/>
      <c r="P866" s="53"/>
      <c r="Q866" s="53"/>
      <c r="S866" s="53"/>
      <c r="T866" s="53"/>
      <c r="U866" s="53"/>
      <c r="V866" s="53"/>
      <c r="AM866" s="58"/>
      <c r="AN866" s="58"/>
      <c r="AO866" s="58"/>
      <c r="AP866" s="58"/>
      <c r="AQ866" s="58"/>
      <c r="AR866" s="58"/>
      <c r="AS866" s="58"/>
      <c r="AT866" s="58"/>
    </row>
    <row r="867" spans="7:46">
      <c r="G867" s="112"/>
      <c r="O867" s="53"/>
      <c r="P867" s="53"/>
      <c r="Q867" s="53"/>
      <c r="S867" s="53"/>
      <c r="T867" s="53"/>
      <c r="U867" s="53"/>
      <c r="V867" s="53"/>
      <c r="AM867" s="58"/>
      <c r="AN867" s="58"/>
      <c r="AO867" s="58"/>
      <c r="AP867" s="58"/>
      <c r="AQ867" s="58"/>
      <c r="AR867" s="58"/>
      <c r="AS867" s="58"/>
      <c r="AT867" s="58"/>
    </row>
    <row r="868" spans="7:46">
      <c r="G868" s="112"/>
      <c r="O868" s="53"/>
      <c r="P868" s="53"/>
      <c r="Q868" s="53"/>
      <c r="S868" s="53"/>
      <c r="T868" s="53"/>
      <c r="U868" s="53"/>
      <c r="V868" s="53"/>
      <c r="AM868" s="58"/>
      <c r="AN868" s="58"/>
      <c r="AO868" s="58"/>
      <c r="AP868" s="58"/>
      <c r="AQ868" s="58"/>
      <c r="AR868" s="58"/>
      <c r="AS868" s="58"/>
      <c r="AT868" s="58"/>
    </row>
    <row r="869" spans="7:46">
      <c r="G869" s="112"/>
      <c r="O869" s="53"/>
      <c r="P869" s="53"/>
      <c r="Q869" s="53"/>
      <c r="S869" s="53"/>
      <c r="T869" s="53"/>
      <c r="U869" s="53"/>
      <c r="V869" s="53"/>
      <c r="AM869" s="58"/>
      <c r="AN869" s="58"/>
      <c r="AO869" s="58"/>
      <c r="AP869" s="58"/>
      <c r="AQ869" s="58"/>
      <c r="AR869" s="58"/>
      <c r="AS869" s="58"/>
      <c r="AT869" s="58"/>
    </row>
    <row r="870" spans="7:46">
      <c r="G870" s="112"/>
      <c r="O870" s="53"/>
      <c r="P870" s="53"/>
      <c r="Q870" s="53"/>
      <c r="S870" s="53"/>
      <c r="T870" s="53"/>
      <c r="U870" s="53"/>
      <c r="V870" s="53"/>
      <c r="AM870" s="58"/>
      <c r="AN870" s="58"/>
      <c r="AO870" s="58"/>
      <c r="AP870" s="58"/>
      <c r="AQ870" s="58"/>
      <c r="AR870" s="58"/>
      <c r="AS870" s="58"/>
      <c r="AT870" s="58"/>
    </row>
    <row r="871" spans="7:46">
      <c r="G871" s="112"/>
      <c r="O871" s="53"/>
      <c r="P871" s="53"/>
      <c r="Q871" s="53"/>
      <c r="S871" s="53"/>
      <c r="T871" s="53"/>
      <c r="U871" s="53"/>
      <c r="V871" s="53"/>
      <c r="AM871" s="58"/>
      <c r="AN871" s="58"/>
      <c r="AO871" s="58"/>
      <c r="AP871" s="58"/>
      <c r="AQ871" s="58"/>
      <c r="AR871" s="58"/>
      <c r="AS871" s="58"/>
      <c r="AT871" s="58"/>
    </row>
    <row r="872" spans="7:46">
      <c r="G872" s="112"/>
      <c r="O872" s="53"/>
      <c r="P872" s="53"/>
      <c r="Q872" s="53"/>
      <c r="S872" s="53"/>
      <c r="T872" s="53"/>
      <c r="U872" s="53"/>
      <c r="V872" s="53"/>
      <c r="AM872" s="58"/>
      <c r="AN872" s="58"/>
      <c r="AO872" s="58"/>
      <c r="AP872" s="58"/>
      <c r="AQ872" s="58"/>
      <c r="AR872" s="58"/>
      <c r="AS872" s="58"/>
      <c r="AT872" s="58"/>
    </row>
    <row r="873" spans="7:46">
      <c r="G873" s="112"/>
      <c r="O873" s="53"/>
      <c r="P873" s="53"/>
      <c r="Q873" s="53"/>
      <c r="S873" s="53"/>
      <c r="T873" s="53"/>
      <c r="U873" s="53"/>
      <c r="V873" s="53"/>
      <c r="AM873" s="58"/>
      <c r="AN873" s="58"/>
      <c r="AO873" s="58"/>
      <c r="AP873" s="58"/>
      <c r="AQ873" s="58"/>
      <c r="AR873" s="58"/>
      <c r="AS873" s="58"/>
      <c r="AT873" s="58"/>
    </row>
    <row r="874" spans="7:46">
      <c r="G874" s="112"/>
      <c r="O874" s="53"/>
      <c r="P874" s="53"/>
      <c r="Q874" s="53"/>
      <c r="S874" s="53"/>
      <c r="T874" s="53"/>
      <c r="U874" s="53"/>
      <c r="V874" s="53"/>
      <c r="AM874" s="58"/>
      <c r="AN874" s="58"/>
      <c r="AO874" s="58"/>
      <c r="AP874" s="58"/>
      <c r="AQ874" s="58"/>
      <c r="AR874" s="58"/>
      <c r="AS874" s="58"/>
      <c r="AT874" s="58"/>
    </row>
    <row r="875" spans="7:46">
      <c r="G875" s="112"/>
      <c r="O875" s="53"/>
      <c r="P875" s="53"/>
      <c r="Q875" s="53"/>
      <c r="S875" s="53"/>
      <c r="T875" s="53"/>
      <c r="U875" s="53"/>
      <c r="V875" s="53"/>
      <c r="AM875" s="58"/>
      <c r="AN875" s="58"/>
      <c r="AO875" s="58"/>
      <c r="AP875" s="58"/>
      <c r="AQ875" s="58"/>
      <c r="AR875" s="58"/>
      <c r="AS875" s="58"/>
      <c r="AT875" s="58"/>
    </row>
    <row r="876" spans="7:46">
      <c r="G876" s="112"/>
      <c r="O876" s="53"/>
      <c r="P876" s="53"/>
      <c r="Q876" s="53"/>
      <c r="S876" s="53"/>
      <c r="T876" s="53"/>
      <c r="U876" s="53"/>
      <c r="V876" s="53"/>
      <c r="AM876" s="58"/>
      <c r="AN876" s="58"/>
      <c r="AO876" s="58"/>
      <c r="AP876" s="58"/>
      <c r="AQ876" s="58"/>
      <c r="AR876" s="58"/>
      <c r="AS876" s="58"/>
      <c r="AT876" s="58"/>
    </row>
    <row r="877" spans="7:46">
      <c r="G877" s="112"/>
      <c r="O877" s="53"/>
      <c r="P877" s="53"/>
      <c r="Q877" s="53"/>
      <c r="S877" s="53"/>
      <c r="T877" s="53"/>
      <c r="U877" s="53"/>
      <c r="V877" s="53"/>
      <c r="AM877" s="58"/>
      <c r="AN877" s="58"/>
      <c r="AO877" s="58"/>
      <c r="AP877" s="58"/>
      <c r="AQ877" s="58"/>
      <c r="AR877" s="58"/>
      <c r="AS877" s="58"/>
      <c r="AT877" s="58"/>
    </row>
    <row r="878" spans="7:46">
      <c r="G878" s="112"/>
      <c r="O878" s="53"/>
      <c r="P878" s="53"/>
      <c r="Q878" s="53"/>
      <c r="S878" s="53"/>
      <c r="T878" s="53"/>
      <c r="U878" s="53"/>
      <c r="V878" s="53"/>
      <c r="AM878" s="58"/>
      <c r="AN878" s="58"/>
      <c r="AO878" s="58"/>
      <c r="AP878" s="58"/>
      <c r="AQ878" s="58"/>
      <c r="AR878" s="58"/>
      <c r="AS878" s="58"/>
      <c r="AT878" s="58"/>
    </row>
    <row r="879" spans="7:46">
      <c r="G879" s="112"/>
      <c r="O879" s="53"/>
      <c r="P879" s="53"/>
      <c r="Q879" s="53"/>
      <c r="S879" s="53"/>
      <c r="T879" s="53"/>
      <c r="U879" s="53"/>
      <c r="V879" s="53"/>
      <c r="AM879" s="58"/>
      <c r="AN879" s="58"/>
      <c r="AO879" s="58"/>
      <c r="AP879" s="58"/>
      <c r="AQ879" s="58"/>
      <c r="AR879" s="58"/>
      <c r="AS879" s="58"/>
      <c r="AT879" s="58"/>
    </row>
    <row r="880" spans="7:46">
      <c r="G880" s="112"/>
      <c r="O880" s="53"/>
      <c r="P880" s="53"/>
      <c r="Q880" s="53"/>
      <c r="S880" s="53"/>
      <c r="T880" s="53"/>
      <c r="U880" s="53"/>
      <c r="V880" s="53"/>
      <c r="AM880" s="58"/>
      <c r="AN880" s="58"/>
      <c r="AO880" s="58"/>
      <c r="AP880" s="58"/>
      <c r="AQ880" s="58"/>
      <c r="AR880" s="58"/>
      <c r="AS880" s="58"/>
      <c r="AT880" s="58"/>
    </row>
    <row r="881" spans="7:46">
      <c r="G881" s="112"/>
      <c r="O881" s="53"/>
      <c r="P881" s="53"/>
      <c r="Q881" s="53"/>
      <c r="S881" s="53"/>
      <c r="T881" s="53"/>
      <c r="U881" s="53"/>
      <c r="V881" s="53"/>
      <c r="AM881" s="58"/>
      <c r="AN881" s="58"/>
      <c r="AO881" s="58"/>
      <c r="AP881" s="58"/>
      <c r="AQ881" s="58"/>
      <c r="AR881" s="58"/>
      <c r="AS881" s="58"/>
      <c r="AT881" s="58"/>
    </row>
    <row r="882" spans="7:46">
      <c r="G882" s="112"/>
      <c r="O882" s="53"/>
      <c r="P882" s="53"/>
      <c r="Q882" s="53"/>
      <c r="S882" s="53"/>
      <c r="T882" s="53"/>
      <c r="U882" s="53"/>
      <c r="V882" s="53"/>
      <c r="AM882" s="58"/>
      <c r="AN882" s="58"/>
      <c r="AO882" s="58"/>
      <c r="AP882" s="58"/>
      <c r="AQ882" s="58"/>
      <c r="AR882" s="58"/>
      <c r="AS882" s="58"/>
      <c r="AT882" s="58"/>
    </row>
    <row r="883" spans="7:46">
      <c r="G883" s="112"/>
      <c r="O883" s="53"/>
      <c r="P883" s="53"/>
      <c r="Q883" s="53"/>
      <c r="S883" s="53"/>
      <c r="T883" s="53"/>
      <c r="U883" s="53"/>
      <c r="V883" s="53"/>
      <c r="AM883" s="58"/>
      <c r="AN883" s="58"/>
      <c r="AO883" s="58"/>
      <c r="AP883" s="58"/>
      <c r="AQ883" s="58"/>
      <c r="AR883" s="58"/>
      <c r="AS883" s="58"/>
      <c r="AT883" s="58"/>
    </row>
    <row r="884" spans="7:46">
      <c r="G884" s="112"/>
      <c r="O884" s="53"/>
      <c r="P884" s="53"/>
      <c r="Q884" s="53"/>
      <c r="S884" s="53"/>
      <c r="T884" s="53"/>
      <c r="U884" s="53"/>
      <c r="V884" s="53"/>
      <c r="AM884" s="58"/>
      <c r="AN884" s="58"/>
      <c r="AO884" s="58"/>
      <c r="AP884" s="58"/>
      <c r="AQ884" s="58"/>
      <c r="AR884" s="58"/>
      <c r="AS884" s="58"/>
      <c r="AT884" s="58"/>
    </row>
    <row r="885" spans="7:46">
      <c r="G885" s="112"/>
      <c r="O885" s="53"/>
      <c r="P885" s="53"/>
      <c r="Q885" s="53"/>
      <c r="S885" s="53"/>
      <c r="T885" s="53"/>
      <c r="U885" s="53"/>
      <c r="V885" s="53"/>
      <c r="AM885" s="58"/>
      <c r="AN885" s="58"/>
      <c r="AO885" s="58"/>
      <c r="AP885" s="58"/>
      <c r="AQ885" s="58"/>
      <c r="AR885" s="58"/>
      <c r="AS885" s="58"/>
      <c r="AT885" s="58"/>
    </row>
    <row r="886" spans="7:46">
      <c r="G886" s="112"/>
      <c r="O886" s="53"/>
      <c r="P886" s="53"/>
      <c r="Q886" s="53"/>
      <c r="S886" s="53"/>
      <c r="T886" s="53"/>
      <c r="U886" s="53"/>
      <c r="V886" s="53"/>
      <c r="AM886" s="58"/>
      <c r="AN886" s="58"/>
      <c r="AO886" s="58"/>
      <c r="AP886" s="58"/>
      <c r="AQ886" s="58"/>
      <c r="AR886" s="58"/>
      <c r="AS886" s="58"/>
      <c r="AT886" s="58"/>
    </row>
    <row r="887" spans="7:46">
      <c r="G887" s="112"/>
      <c r="O887" s="53"/>
      <c r="P887" s="53"/>
      <c r="Q887" s="53"/>
      <c r="S887" s="53"/>
      <c r="T887" s="53"/>
      <c r="U887" s="53"/>
      <c r="V887" s="53"/>
      <c r="AM887" s="58"/>
      <c r="AN887" s="58"/>
      <c r="AO887" s="58"/>
      <c r="AP887" s="58"/>
      <c r="AQ887" s="58"/>
      <c r="AR887" s="58"/>
      <c r="AS887" s="58"/>
      <c r="AT887" s="58"/>
    </row>
    <row r="888" spans="7:46">
      <c r="G888" s="112"/>
      <c r="O888" s="53"/>
      <c r="P888" s="53"/>
      <c r="Q888" s="53"/>
      <c r="S888" s="53"/>
      <c r="T888" s="53"/>
      <c r="U888" s="53"/>
      <c r="V888" s="53"/>
      <c r="AM888" s="58"/>
      <c r="AN888" s="58"/>
      <c r="AO888" s="58"/>
      <c r="AP888" s="58"/>
      <c r="AQ888" s="58"/>
      <c r="AR888" s="58"/>
      <c r="AS888" s="58"/>
      <c r="AT888" s="58"/>
    </row>
    <row r="889" spans="7:46">
      <c r="G889" s="112"/>
      <c r="O889" s="53"/>
      <c r="P889" s="53"/>
      <c r="Q889" s="53"/>
      <c r="S889" s="53"/>
      <c r="T889" s="53"/>
      <c r="U889" s="53"/>
      <c r="V889" s="53"/>
      <c r="AM889" s="58"/>
      <c r="AN889" s="58"/>
      <c r="AO889" s="58"/>
      <c r="AP889" s="58"/>
      <c r="AQ889" s="58"/>
      <c r="AR889" s="58"/>
      <c r="AS889" s="58"/>
      <c r="AT889" s="58"/>
    </row>
    <row r="890" spans="7:46">
      <c r="G890" s="112"/>
      <c r="O890" s="53"/>
      <c r="P890" s="53"/>
      <c r="Q890" s="53"/>
      <c r="S890" s="53"/>
      <c r="T890" s="53"/>
      <c r="U890" s="53"/>
      <c r="V890" s="53"/>
      <c r="AM890" s="58"/>
      <c r="AN890" s="58"/>
      <c r="AO890" s="58"/>
      <c r="AP890" s="58"/>
      <c r="AQ890" s="58"/>
      <c r="AR890" s="58"/>
      <c r="AS890" s="58"/>
      <c r="AT890" s="58"/>
    </row>
    <row r="891" spans="7:46">
      <c r="G891" s="112"/>
      <c r="O891" s="53"/>
      <c r="P891" s="53"/>
      <c r="Q891" s="53"/>
      <c r="S891" s="53"/>
      <c r="T891" s="53"/>
      <c r="U891" s="53"/>
      <c r="V891" s="53"/>
      <c r="AM891" s="58"/>
      <c r="AN891" s="58"/>
      <c r="AO891" s="58"/>
      <c r="AP891" s="58"/>
      <c r="AQ891" s="58"/>
      <c r="AR891" s="58"/>
      <c r="AS891" s="58"/>
      <c r="AT891" s="58"/>
    </row>
    <row r="892" spans="7:46">
      <c r="G892" s="112"/>
      <c r="O892" s="53"/>
      <c r="P892" s="53"/>
      <c r="Q892" s="53"/>
      <c r="S892" s="53"/>
      <c r="T892" s="53"/>
      <c r="U892" s="53"/>
      <c r="V892" s="53"/>
      <c r="AM892" s="58"/>
      <c r="AN892" s="58"/>
      <c r="AO892" s="58"/>
      <c r="AP892" s="58"/>
      <c r="AQ892" s="58"/>
      <c r="AR892" s="58"/>
      <c r="AS892" s="58"/>
      <c r="AT892" s="58"/>
    </row>
    <row r="893" spans="7:46">
      <c r="G893" s="112"/>
      <c r="O893" s="53"/>
      <c r="P893" s="53"/>
      <c r="Q893" s="53"/>
      <c r="S893" s="53"/>
      <c r="T893" s="53"/>
      <c r="U893" s="53"/>
      <c r="V893" s="53"/>
      <c r="AM893" s="58"/>
      <c r="AN893" s="58"/>
      <c r="AO893" s="58"/>
      <c r="AP893" s="58"/>
      <c r="AQ893" s="58"/>
      <c r="AR893" s="58"/>
      <c r="AS893" s="58"/>
      <c r="AT893" s="58"/>
    </row>
    <row r="894" spans="7:46">
      <c r="G894" s="112"/>
      <c r="O894" s="53"/>
      <c r="P894" s="53"/>
      <c r="Q894" s="53"/>
      <c r="S894" s="53"/>
      <c r="T894" s="53"/>
      <c r="U894" s="53"/>
      <c r="V894" s="53"/>
      <c r="AM894" s="58"/>
      <c r="AN894" s="58"/>
      <c r="AO894" s="58"/>
      <c r="AP894" s="58"/>
      <c r="AQ894" s="58"/>
      <c r="AR894" s="58"/>
      <c r="AS894" s="58"/>
      <c r="AT894" s="58"/>
    </row>
    <row r="895" spans="7:46">
      <c r="G895" s="112"/>
      <c r="O895" s="53"/>
      <c r="P895" s="53"/>
      <c r="Q895" s="53"/>
      <c r="S895" s="53"/>
      <c r="T895" s="53"/>
      <c r="U895" s="53"/>
      <c r="V895" s="53"/>
      <c r="AM895" s="58"/>
      <c r="AN895" s="58"/>
      <c r="AO895" s="58"/>
      <c r="AP895" s="58"/>
      <c r="AQ895" s="58"/>
      <c r="AR895" s="58"/>
      <c r="AS895" s="58"/>
      <c r="AT895" s="58"/>
    </row>
    <row r="896" spans="7:46">
      <c r="G896" s="112"/>
      <c r="O896" s="53"/>
      <c r="P896" s="53"/>
      <c r="Q896" s="53"/>
      <c r="S896" s="53"/>
      <c r="T896" s="53"/>
      <c r="U896" s="53"/>
      <c r="V896" s="53"/>
      <c r="AM896" s="58"/>
      <c r="AN896" s="58"/>
      <c r="AO896" s="58"/>
      <c r="AP896" s="58"/>
      <c r="AQ896" s="58"/>
      <c r="AR896" s="58"/>
      <c r="AS896" s="58"/>
      <c r="AT896" s="58"/>
    </row>
    <row r="897" spans="7:46">
      <c r="G897" s="112"/>
      <c r="O897" s="53"/>
      <c r="P897" s="53"/>
      <c r="Q897" s="53"/>
      <c r="S897" s="53"/>
      <c r="T897" s="53"/>
      <c r="U897" s="53"/>
      <c r="V897" s="53"/>
      <c r="AM897" s="58"/>
      <c r="AN897" s="58"/>
      <c r="AO897" s="58"/>
      <c r="AP897" s="58"/>
      <c r="AQ897" s="58"/>
      <c r="AR897" s="58"/>
      <c r="AS897" s="58"/>
      <c r="AT897" s="58"/>
    </row>
    <row r="898" spans="7:46">
      <c r="G898" s="112"/>
      <c r="O898" s="53"/>
      <c r="P898" s="53"/>
      <c r="Q898" s="53"/>
      <c r="S898" s="53"/>
      <c r="T898" s="53"/>
      <c r="U898" s="53"/>
      <c r="V898" s="53"/>
      <c r="AM898" s="58"/>
      <c r="AN898" s="58"/>
      <c r="AO898" s="58"/>
      <c r="AP898" s="58"/>
      <c r="AQ898" s="58"/>
      <c r="AR898" s="58"/>
      <c r="AS898" s="58"/>
      <c r="AT898" s="58"/>
    </row>
    <row r="899" spans="7:46">
      <c r="G899" s="112"/>
      <c r="O899" s="53"/>
      <c r="P899" s="53"/>
      <c r="Q899" s="53"/>
      <c r="S899" s="53"/>
      <c r="T899" s="53"/>
      <c r="U899" s="53"/>
      <c r="V899" s="53"/>
      <c r="AM899" s="58"/>
      <c r="AN899" s="58"/>
      <c r="AO899" s="58"/>
      <c r="AP899" s="58"/>
      <c r="AQ899" s="58"/>
      <c r="AR899" s="58"/>
      <c r="AS899" s="58"/>
      <c r="AT899" s="58"/>
    </row>
    <row r="900" spans="7:46">
      <c r="G900" s="112"/>
      <c r="O900" s="53"/>
      <c r="P900" s="53"/>
      <c r="Q900" s="53"/>
      <c r="S900" s="53"/>
      <c r="T900" s="53"/>
      <c r="U900" s="53"/>
      <c r="V900" s="53"/>
      <c r="AM900" s="58"/>
      <c r="AN900" s="58"/>
      <c r="AO900" s="58"/>
      <c r="AP900" s="58"/>
      <c r="AQ900" s="58"/>
      <c r="AR900" s="58"/>
      <c r="AS900" s="58"/>
      <c r="AT900" s="58"/>
    </row>
    <row r="901" spans="7:46">
      <c r="G901" s="112"/>
      <c r="O901" s="53"/>
      <c r="P901" s="53"/>
      <c r="Q901" s="53"/>
      <c r="S901" s="53"/>
      <c r="T901" s="53"/>
      <c r="U901" s="53"/>
      <c r="V901" s="53"/>
      <c r="AM901" s="58"/>
      <c r="AN901" s="58"/>
      <c r="AO901" s="58"/>
      <c r="AP901" s="58"/>
      <c r="AQ901" s="58"/>
      <c r="AR901" s="58"/>
      <c r="AS901" s="58"/>
      <c r="AT901" s="58"/>
    </row>
    <row r="902" spans="7:46">
      <c r="G902" s="112"/>
      <c r="O902" s="53"/>
      <c r="P902" s="53"/>
      <c r="Q902" s="53"/>
      <c r="S902" s="53"/>
      <c r="T902" s="53"/>
      <c r="U902" s="53"/>
      <c r="V902" s="53"/>
      <c r="AM902" s="58"/>
      <c r="AN902" s="58"/>
      <c r="AO902" s="58"/>
      <c r="AP902" s="58"/>
      <c r="AQ902" s="58"/>
      <c r="AR902" s="58"/>
      <c r="AS902" s="58"/>
      <c r="AT902" s="58"/>
    </row>
    <row r="903" spans="7:46">
      <c r="G903" s="112"/>
      <c r="O903" s="53"/>
      <c r="P903" s="53"/>
      <c r="Q903" s="53"/>
      <c r="S903" s="53"/>
      <c r="T903" s="53"/>
      <c r="U903" s="53"/>
      <c r="V903" s="53"/>
      <c r="AM903" s="58"/>
      <c r="AN903" s="58"/>
      <c r="AO903" s="58"/>
      <c r="AP903" s="58"/>
      <c r="AQ903" s="58"/>
      <c r="AR903" s="58"/>
      <c r="AS903" s="58"/>
      <c r="AT903" s="58"/>
    </row>
    <row r="904" spans="7:46">
      <c r="G904" s="112"/>
      <c r="O904" s="53"/>
      <c r="P904" s="53"/>
      <c r="Q904" s="53"/>
      <c r="S904" s="53"/>
      <c r="T904" s="53"/>
      <c r="U904" s="53"/>
      <c r="V904" s="53"/>
      <c r="AM904" s="58"/>
      <c r="AN904" s="58"/>
      <c r="AO904" s="58"/>
      <c r="AP904" s="58"/>
      <c r="AQ904" s="58"/>
      <c r="AR904" s="58"/>
      <c r="AS904" s="58"/>
      <c r="AT904" s="58"/>
    </row>
    <row r="905" spans="7:46">
      <c r="G905" s="112"/>
      <c r="O905" s="53"/>
      <c r="P905" s="53"/>
      <c r="Q905" s="53"/>
      <c r="S905" s="53"/>
      <c r="T905" s="53"/>
      <c r="U905" s="53"/>
      <c r="V905" s="53"/>
      <c r="AM905" s="58"/>
      <c r="AN905" s="58"/>
      <c r="AO905" s="58"/>
      <c r="AP905" s="58"/>
      <c r="AQ905" s="58"/>
      <c r="AR905" s="58"/>
      <c r="AS905" s="58"/>
      <c r="AT905" s="58"/>
    </row>
    <row r="906" spans="7:46">
      <c r="G906" s="112"/>
      <c r="O906" s="53"/>
      <c r="P906" s="53"/>
      <c r="Q906" s="53"/>
      <c r="S906" s="53"/>
      <c r="T906" s="53"/>
      <c r="U906" s="53"/>
      <c r="V906" s="53"/>
      <c r="AM906" s="58"/>
      <c r="AN906" s="58"/>
      <c r="AO906" s="58"/>
      <c r="AP906" s="58"/>
      <c r="AQ906" s="58"/>
      <c r="AR906" s="58"/>
      <c r="AS906" s="58"/>
      <c r="AT906" s="58"/>
    </row>
    <row r="907" spans="7:46">
      <c r="G907" s="112"/>
      <c r="O907" s="53"/>
      <c r="P907" s="53"/>
      <c r="Q907" s="53"/>
      <c r="S907" s="53"/>
      <c r="T907" s="53"/>
      <c r="U907" s="53"/>
      <c r="V907" s="53"/>
      <c r="AM907" s="58"/>
      <c r="AN907" s="58"/>
      <c r="AO907" s="58"/>
      <c r="AP907" s="58"/>
      <c r="AQ907" s="58"/>
      <c r="AR907" s="58"/>
      <c r="AS907" s="58"/>
      <c r="AT907" s="58"/>
    </row>
    <row r="908" spans="7:46">
      <c r="G908" s="112"/>
      <c r="O908" s="53"/>
      <c r="P908" s="53"/>
      <c r="Q908" s="53"/>
      <c r="S908" s="53"/>
      <c r="T908" s="53"/>
      <c r="U908" s="53"/>
      <c r="V908" s="53"/>
      <c r="AM908" s="58"/>
      <c r="AN908" s="58"/>
      <c r="AO908" s="58"/>
      <c r="AP908" s="58"/>
      <c r="AQ908" s="58"/>
      <c r="AR908" s="58"/>
      <c r="AS908" s="58"/>
      <c r="AT908" s="58"/>
    </row>
    <row r="909" spans="7:46">
      <c r="G909" s="112"/>
      <c r="O909" s="53"/>
      <c r="P909" s="53"/>
      <c r="Q909" s="53"/>
      <c r="S909" s="53"/>
      <c r="T909" s="53"/>
      <c r="U909" s="53"/>
      <c r="V909" s="53"/>
      <c r="AM909" s="58"/>
      <c r="AN909" s="58"/>
      <c r="AO909" s="58"/>
      <c r="AP909" s="58"/>
      <c r="AQ909" s="58"/>
      <c r="AR909" s="58"/>
      <c r="AS909" s="58"/>
      <c r="AT909" s="58"/>
    </row>
    <row r="910" spans="7:46">
      <c r="G910" s="112"/>
      <c r="O910" s="53"/>
      <c r="P910" s="53"/>
      <c r="Q910" s="53"/>
      <c r="S910" s="53"/>
      <c r="T910" s="53"/>
      <c r="U910" s="53"/>
      <c r="V910" s="53"/>
      <c r="AM910" s="58"/>
      <c r="AN910" s="58"/>
      <c r="AO910" s="58"/>
      <c r="AP910" s="58"/>
      <c r="AQ910" s="58"/>
      <c r="AR910" s="58"/>
      <c r="AS910" s="58"/>
      <c r="AT910" s="58"/>
    </row>
    <row r="911" spans="7:46">
      <c r="G911" s="112"/>
      <c r="O911" s="53"/>
      <c r="P911" s="53"/>
      <c r="Q911" s="53"/>
      <c r="S911" s="53"/>
      <c r="T911" s="53"/>
      <c r="U911" s="53"/>
      <c r="V911" s="53"/>
      <c r="AM911" s="58"/>
      <c r="AN911" s="58"/>
      <c r="AO911" s="58"/>
      <c r="AP911" s="58"/>
      <c r="AQ911" s="58"/>
      <c r="AR911" s="58"/>
      <c r="AS911" s="58"/>
      <c r="AT911" s="58"/>
    </row>
    <row r="912" spans="7:46">
      <c r="G912" s="112"/>
      <c r="O912" s="53"/>
      <c r="P912" s="53"/>
      <c r="Q912" s="53"/>
      <c r="S912" s="53"/>
      <c r="T912" s="53"/>
      <c r="U912" s="53"/>
      <c r="V912" s="53"/>
      <c r="AM912" s="58"/>
      <c r="AN912" s="58"/>
      <c r="AO912" s="58"/>
      <c r="AP912" s="58"/>
      <c r="AQ912" s="58"/>
      <c r="AR912" s="58"/>
      <c r="AS912" s="58"/>
      <c r="AT912" s="58"/>
    </row>
    <row r="913" spans="7:46">
      <c r="G913" s="112"/>
      <c r="O913" s="53"/>
      <c r="P913" s="53"/>
      <c r="Q913" s="53"/>
      <c r="S913" s="53"/>
      <c r="T913" s="53"/>
      <c r="U913" s="53"/>
      <c r="V913" s="53"/>
      <c r="AM913" s="58"/>
      <c r="AN913" s="58"/>
      <c r="AO913" s="58"/>
      <c r="AP913" s="58"/>
      <c r="AQ913" s="58"/>
      <c r="AR913" s="58"/>
      <c r="AS913" s="58"/>
      <c r="AT913" s="58"/>
    </row>
    <row r="914" spans="7:46">
      <c r="G914" s="112"/>
      <c r="O914" s="53"/>
      <c r="P914" s="53"/>
      <c r="Q914" s="53"/>
      <c r="S914" s="53"/>
      <c r="T914" s="53"/>
      <c r="U914" s="53"/>
      <c r="V914" s="53"/>
      <c r="AM914" s="58"/>
      <c r="AN914" s="58"/>
      <c r="AO914" s="58"/>
      <c r="AP914" s="58"/>
      <c r="AQ914" s="58"/>
      <c r="AR914" s="58"/>
      <c r="AS914" s="58"/>
      <c r="AT914" s="58"/>
    </row>
    <row r="915" spans="7:46">
      <c r="G915" s="112"/>
      <c r="O915" s="53"/>
      <c r="P915" s="53"/>
      <c r="Q915" s="53"/>
      <c r="S915" s="53"/>
      <c r="T915" s="53"/>
      <c r="U915" s="53"/>
      <c r="V915" s="53"/>
      <c r="AM915" s="58"/>
      <c r="AN915" s="58"/>
      <c r="AO915" s="58"/>
      <c r="AP915" s="58"/>
      <c r="AQ915" s="58"/>
      <c r="AR915" s="58"/>
      <c r="AS915" s="58"/>
      <c r="AT915" s="58"/>
    </row>
    <row r="916" spans="7:46">
      <c r="G916" s="112"/>
      <c r="O916" s="53"/>
      <c r="P916" s="53"/>
      <c r="Q916" s="53"/>
      <c r="S916" s="53"/>
      <c r="T916" s="53"/>
      <c r="U916" s="53"/>
      <c r="V916" s="53"/>
      <c r="AM916" s="58"/>
      <c r="AN916" s="58"/>
      <c r="AO916" s="58"/>
      <c r="AP916" s="58"/>
      <c r="AQ916" s="58"/>
      <c r="AR916" s="58"/>
      <c r="AS916" s="58"/>
      <c r="AT916" s="58"/>
    </row>
    <row r="917" spans="7:46">
      <c r="G917" s="112"/>
      <c r="O917" s="53"/>
      <c r="P917" s="53"/>
      <c r="Q917" s="53"/>
      <c r="S917" s="53"/>
      <c r="T917" s="53"/>
      <c r="U917" s="53"/>
      <c r="V917" s="53"/>
      <c r="AM917" s="58"/>
      <c r="AN917" s="58"/>
      <c r="AO917" s="58"/>
      <c r="AP917" s="58"/>
      <c r="AQ917" s="58"/>
      <c r="AR917" s="58"/>
      <c r="AS917" s="58"/>
      <c r="AT917" s="58"/>
    </row>
    <row r="918" spans="7:46">
      <c r="G918" s="112"/>
      <c r="O918" s="53"/>
      <c r="P918" s="53"/>
      <c r="Q918" s="53"/>
      <c r="S918" s="53"/>
      <c r="T918" s="53"/>
      <c r="U918" s="53"/>
      <c r="V918" s="53"/>
      <c r="AM918" s="58"/>
      <c r="AN918" s="58"/>
      <c r="AO918" s="58"/>
      <c r="AP918" s="58"/>
      <c r="AQ918" s="58"/>
      <c r="AR918" s="58"/>
      <c r="AS918" s="58"/>
      <c r="AT918" s="58"/>
    </row>
    <row r="919" spans="7:46">
      <c r="G919" s="112"/>
      <c r="O919" s="53"/>
      <c r="P919" s="53"/>
      <c r="Q919" s="53"/>
      <c r="S919" s="53"/>
      <c r="T919" s="53"/>
      <c r="U919" s="53"/>
      <c r="V919" s="53"/>
      <c r="AM919" s="58"/>
      <c r="AN919" s="58"/>
      <c r="AO919" s="58"/>
      <c r="AP919" s="58"/>
      <c r="AQ919" s="58"/>
      <c r="AR919" s="58"/>
      <c r="AS919" s="58"/>
      <c r="AT919" s="58"/>
    </row>
    <row r="920" spans="7:46">
      <c r="G920" s="112"/>
      <c r="O920" s="53"/>
      <c r="P920" s="53"/>
      <c r="Q920" s="53"/>
      <c r="S920" s="53"/>
      <c r="T920" s="53"/>
      <c r="U920" s="53"/>
      <c r="V920" s="53"/>
      <c r="AM920" s="58"/>
      <c r="AN920" s="58"/>
      <c r="AO920" s="58"/>
      <c r="AP920" s="58"/>
      <c r="AQ920" s="58"/>
      <c r="AR920" s="58"/>
      <c r="AS920" s="58"/>
      <c r="AT920" s="58"/>
    </row>
    <row r="921" spans="7:46">
      <c r="G921" s="112"/>
      <c r="O921" s="53"/>
      <c r="P921" s="53"/>
      <c r="Q921" s="53"/>
      <c r="S921" s="53"/>
      <c r="T921" s="53"/>
      <c r="U921" s="53"/>
      <c r="V921" s="53"/>
      <c r="AM921" s="58"/>
      <c r="AN921" s="58"/>
      <c r="AO921" s="58"/>
      <c r="AP921" s="58"/>
      <c r="AQ921" s="58"/>
      <c r="AR921" s="58"/>
      <c r="AS921" s="58"/>
      <c r="AT921" s="58"/>
    </row>
    <row r="922" spans="7:46">
      <c r="G922" s="112"/>
      <c r="O922" s="53"/>
      <c r="P922" s="53"/>
      <c r="Q922" s="53"/>
      <c r="S922" s="53"/>
      <c r="T922" s="53"/>
      <c r="U922" s="53"/>
      <c r="V922" s="53"/>
      <c r="AM922" s="58"/>
      <c r="AN922" s="58"/>
      <c r="AO922" s="58"/>
      <c r="AP922" s="58"/>
      <c r="AQ922" s="58"/>
      <c r="AR922" s="58"/>
      <c r="AS922" s="58"/>
      <c r="AT922" s="58"/>
    </row>
    <row r="923" spans="7:46">
      <c r="G923" s="112"/>
      <c r="O923" s="53"/>
      <c r="P923" s="53"/>
      <c r="Q923" s="53"/>
      <c r="S923" s="53"/>
      <c r="T923" s="53"/>
      <c r="U923" s="53"/>
      <c r="V923" s="53"/>
      <c r="AM923" s="58"/>
      <c r="AN923" s="58"/>
      <c r="AO923" s="58"/>
      <c r="AP923" s="58"/>
      <c r="AQ923" s="58"/>
      <c r="AR923" s="58"/>
      <c r="AS923" s="58"/>
      <c r="AT923" s="58"/>
    </row>
    <row r="924" spans="7:46">
      <c r="G924" s="112"/>
      <c r="O924" s="53"/>
      <c r="P924" s="53"/>
      <c r="Q924" s="53"/>
      <c r="S924" s="53"/>
      <c r="T924" s="53"/>
      <c r="U924" s="53"/>
      <c r="V924" s="53"/>
      <c r="AM924" s="58"/>
      <c r="AN924" s="58"/>
      <c r="AO924" s="58"/>
      <c r="AP924" s="58"/>
      <c r="AQ924" s="58"/>
      <c r="AR924" s="58"/>
      <c r="AS924" s="58"/>
      <c r="AT924" s="58"/>
    </row>
    <row r="925" spans="7:46">
      <c r="G925" s="112"/>
      <c r="O925" s="53"/>
      <c r="P925" s="53"/>
      <c r="Q925" s="53"/>
      <c r="S925" s="53"/>
      <c r="T925" s="53"/>
      <c r="U925" s="53"/>
      <c r="V925" s="53"/>
      <c r="AM925" s="58"/>
      <c r="AN925" s="58"/>
      <c r="AO925" s="58"/>
      <c r="AP925" s="58"/>
      <c r="AQ925" s="58"/>
      <c r="AR925" s="58"/>
      <c r="AS925" s="58"/>
      <c r="AT925" s="58"/>
    </row>
    <row r="926" spans="7:46">
      <c r="G926" s="112"/>
      <c r="O926" s="53"/>
      <c r="P926" s="53"/>
      <c r="Q926" s="53"/>
      <c r="S926" s="53"/>
      <c r="T926" s="53"/>
      <c r="U926" s="53"/>
      <c r="V926" s="53"/>
      <c r="AM926" s="58"/>
      <c r="AN926" s="58"/>
      <c r="AO926" s="58"/>
      <c r="AP926" s="58"/>
      <c r="AQ926" s="58"/>
      <c r="AR926" s="58"/>
      <c r="AS926" s="58"/>
      <c r="AT926" s="58"/>
    </row>
    <row r="927" spans="7:46">
      <c r="G927" s="112"/>
      <c r="O927" s="53"/>
      <c r="P927" s="53"/>
      <c r="Q927" s="53"/>
      <c r="S927" s="53"/>
      <c r="T927" s="53"/>
      <c r="U927" s="53"/>
      <c r="V927" s="53"/>
      <c r="AM927" s="58"/>
      <c r="AN927" s="58"/>
      <c r="AO927" s="58"/>
      <c r="AP927" s="58"/>
      <c r="AQ927" s="58"/>
      <c r="AR927" s="58"/>
      <c r="AS927" s="58"/>
      <c r="AT927" s="58"/>
    </row>
    <row r="928" spans="7:46">
      <c r="G928" s="112"/>
      <c r="O928" s="53"/>
      <c r="P928" s="53"/>
      <c r="Q928" s="53"/>
      <c r="S928" s="53"/>
      <c r="T928" s="53"/>
      <c r="U928" s="53"/>
      <c r="V928" s="53"/>
      <c r="AM928" s="58"/>
      <c r="AN928" s="58"/>
      <c r="AO928" s="58"/>
      <c r="AP928" s="58"/>
      <c r="AQ928" s="58"/>
      <c r="AR928" s="58"/>
      <c r="AS928" s="58"/>
      <c r="AT928" s="58"/>
    </row>
    <row r="929" spans="7:46">
      <c r="G929" s="112"/>
      <c r="O929" s="53"/>
      <c r="P929" s="53"/>
      <c r="Q929" s="53"/>
      <c r="S929" s="53"/>
      <c r="T929" s="53"/>
      <c r="U929" s="53"/>
      <c r="V929" s="53"/>
      <c r="AM929" s="58"/>
      <c r="AN929" s="58"/>
      <c r="AO929" s="58"/>
      <c r="AP929" s="58"/>
      <c r="AQ929" s="58"/>
      <c r="AR929" s="58"/>
      <c r="AS929" s="58"/>
      <c r="AT929" s="58"/>
    </row>
    <row r="930" spans="7:46">
      <c r="G930" s="112"/>
      <c r="O930" s="53"/>
      <c r="P930" s="53"/>
      <c r="Q930" s="53"/>
      <c r="S930" s="53"/>
      <c r="T930" s="53"/>
      <c r="U930" s="53"/>
      <c r="V930" s="53"/>
      <c r="AM930" s="58"/>
      <c r="AN930" s="58"/>
      <c r="AO930" s="58"/>
      <c r="AP930" s="58"/>
      <c r="AQ930" s="58"/>
      <c r="AR930" s="58"/>
      <c r="AS930" s="58"/>
      <c r="AT930" s="58"/>
    </row>
    <row r="931" spans="7:46">
      <c r="G931" s="112"/>
      <c r="O931" s="53"/>
      <c r="P931" s="53"/>
      <c r="Q931" s="53"/>
      <c r="S931" s="53"/>
      <c r="T931" s="53"/>
      <c r="U931" s="53"/>
      <c r="V931" s="53"/>
      <c r="AM931" s="58"/>
      <c r="AN931" s="58"/>
      <c r="AO931" s="58"/>
      <c r="AP931" s="58"/>
      <c r="AQ931" s="58"/>
      <c r="AR931" s="58"/>
      <c r="AS931" s="58"/>
      <c r="AT931" s="58"/>
    </row>
    <row r="932" spans="7:46">
      <c r="G932" s="112"/>
      <c r="O932" s="53"/>
      <c r="P932" s="53"/>
      <c r="Q932" s="53"/>
      <c r="S932" s="53"/>
      <c r="T932" s="53"/>
      <c r="U932" s="53"/>
      <c r="V932" s="53"/>
      <c r="AM932" s="58"/>
      <c r="AN932" s="58"/>
      <c r="AO932" s="58"/>
      <c r="AP932" s="58"/>
      <c r="AQ932" s="58"/>
      <c r="AR932" s="58"/>
      <c r="AS932" s="58"/>
      <c r="AT932" s="58"/>
    </row>
    <row r="933" spans="7:46">
      <c r="G933" s="112"/>
      <c r="O933" s="53"/>
      <c r="P933" s="53"/>
      <c r="Q933" s="53"/>
      <c r="S933" s="53"/>
      <c r="T933" s="53"/>
      <c r="U933" s="53"/>
      <c r="V933" s="53"/>
      <c r="AM933" s="58"/>
      <c r="AN933" s="58"/>
      <c r="AO933" s="58"/>
      <c r="AP933" s="58"/>
      <c r="AQ933" s="58"/>
      <c r="AR933" s="58"/>
      <c r="AS933" s="58"/>
      <c r="AT933" s="58"/>
    </row>
    <row r="934" spans="7:46">
      <c r="G934" s="112"/>
      <c r="O934" s="53"/>
      <c r="P934" s="53"/>
      <c r="Q934" s="53"/>
      <c r="S934" s="53"/>
      <c r="T934" s="53"/>
      <c r="U934" s="53"/>
      <c r="V934" s="53"/>
      <c r="AM934" s="58"/>
      <c r="AN934" s="58"/>
      <c r="AO934" s="58"/>
      <c r="AP934" s="58"/>
      <c r="AQ934" s="58"/>
      <c r="AR934" s="58"/>
      <c r="AS934" s="58"/>
      <c r="AT934" s="58"/>
    </row>
    <row r="935" spans="7:46">
      <c r="G935" s="112"/>
      <c r="O935" s="53"/>
      <c r="P935" s="53"/>
      <c r="Q935" s="53"/>
      <c r="S935" s="53"/>
      <c r="T935" s="53"/>
      <c r="U935" s="53"/>
      <c r="V935" s="53"/>
      <c r="AM935" s="58"/>
      <c r="AN935" s="58"/>
      <c r="AO935" s="58"/>
      <c r="AP935" s="58"/>
      <c r="AQ935" s="58"/>
      <c r="AR935" s="58"/>
      <c r="AS935" s="58"/>
      <c r="AT935" s="58"/>
    </row>
    <row r="936" spans="7:46">
      <c r="G936" s="112"/>
      <c r="O936" s="53"/>
      <c r="P936" s="53"/>
      <c r="Q936" s="53"/>
      <c r="S936" s="53"/>
      <c r="T936" s="53"/>
      <c r="U936" s="53"/>
      <c r="V936" s="53"/>
      <c r="AM936" s="58"/>
      <c r="AN936" s="58"/>
      <c r="AO936" s="58"/>
      <c r="AP936" s="58"/>
      <c r="AQ936" s="58"/>
      <c r="AR936" s="58"/>
      <c r="AS936" s="58"/>
      <c r="AT936" s="58"/>
    </row>
    <row r="937" spans="7:46">
      <c r="G937" s="112"/>
      <c r="O937" s="53"/>
      <c r="P937" s="53"/>
      <c r="Q937" s="53"/>
      <c r="S937" s="53"/>
      <c r="T937" s="53"/>
      <c r="U937" s="53"/>
      <c r="V937" s="53"/>
      <c r="AM937" s="58"/>
      <c r="AN937" s="58"/>
      <c r="AO937" s="58"/>
      <c r="AP937" s="58"/>
      <c r="AQ937" s="58"/>
      <c r="AR937" s="58"/>
      <c r="AS937" s="58"/>
      <c r="AT937" s="58"/>
    </row>
    <row r="938" spans="7:46">
      <c r="G938" s="112"/>
      <c r="O938" s="53"/>
      <c r="P938" s="53"/>
      <c r="Q938" s="53"/>
      <c r="S938" s="53"/>
      <c r="T938" s="53"/>
      <c r="U938" s="53"/>
      <c r="V938" s="53"/>
      <c r="AM938" s="58"/>
      <c r="AN938" s="58"/>
      <c r="AO938" s="58"/>
      <c r="AP938" s="58"/>
      <c r="AQ938" s="58"/>
      <c r="AR938" s="58"/>
      <c r="AS938" s="58"/>
      <c r="AT938" s="58"/>
    </row>
    <row r="939" spans="7:46">
      <c r="G939" s="112"/>
      <c r="O939" s="53"/>
      <c r="P939" s="53"/>
      <c r="Q939" s="53"/>
      <c r="S939" s="53"/>
      <c r="T939" s="53"/>
      <c r="U939" s="53"/>
      <c r="V939" s="53"/>
      <c r="AM939" s="58"/>
      <c r="AN939" s="58"/>
      <c r="AO939" s="58"/>
      <c r="AP939" s="58"/>
      <c r="AQ939" s="58"/>
      <c r="AR939" s="58"/>
      <c r="AS939" s="58"/>
      <c r="AT939" s="58"/>
    </row>
    <row r="940" spans="7:46">
      <c r="G940" s="112"/>
      <c r="O940" s="53"/>
      <c r="P940" s="53"/>
      <c r="Q940" s="53"/>
      <c r="S940" s="53"/>
      <c r="T940" s="53"/>
      <c r="U940" s="53"/>
      <c r="V940" s="53"/>
      <c r="AM940" s="58"/>
      <c r="AN940" s="58"/>
      <c r="AO940" s="58"/>
      <c r="AP940" s="58"/>
      <c r="AQ940" s="58"/>
      <c r="AR940" s="58"/>
      <c r="AS940" s="58"/>
      <c r="AT940" s="58"/>
    </row>
    <row r="941" spans="7:46">
      <c r="G941" s="112"/>
      <c r="O941" s="53"/>
      <c r="P941" s="53"/>
      <c r="Q941" s="53"/>
      <c r="S941" s="53"/>
      <c r="T941" s="53"/>
      <c r="U941" s="53"/>
      <c r="V941" s="53"/>
      <c r="AM941" s="58"/>
      <c r="AN941" s="58"/>
      <c r="AO941" s="58"/>
      <c r="AP941" s="58"/>
      <c r="AQ941" s="58"/>
      <c r="AR941" s="58"/>
      <c r="AS941" s="58"/>
      <c r="AT941" s="58"/>
    </row>
    <row r="942" spans="7:46">
      <c r="G942" s="112"/>
      <c r="O942" s="53"/>
      <c r="P942" s="53"/>
      <c r="Q942" s="53"/>
      <c r="S942" s="53"/>
      <c r="T942" s="53"/>
      <c r="U942" s="53"/>
      <c r="V942" s="53"/>
      <c r="AM942" s="58"/>
      <c r="AN942" s="58"/>
      <c r="AO942" s="58"/>
      <c r="AP942" s="58"/>
      <c r="AQ942" s="58"/>
      <c r="AR942" s="58"/>
      <c r="AS942" s="58"/>
      <c r="AT942" s="58"/>
    </row>
    <row r="943" spans="7:46">
      <c r="G943" s="112"/>
      <c r="O943" s="53"/>
      <c r="P943" s="53"/>
      <c r="Q943" s="53"/>
      <c r="S943" s="53"/>
      <c r="T943" s="53"/>
      <c r="U943" s="53"/>
      <c r="V943" s="53"/>
      <c r="AM943" s="58"/>
      <c r="AN943" s="58"/>
      <c r="AO943" s="58"/>
      <c r="AP943" s="58"/>
      <c r="AQ943" s="58"/>
      <c r="AR943" s="58"/>
      <c r="AS943" s="58"/>
      <c r="AT943" s="58"/>
    </row>
    <row r="944" spans="7:46">
      <c r="G944" s="112"/>
      <c r="O944" s="53"/>
      <c r="P944" s="53"/>
      <c r="Q944" s="53"/>
      <c r="S944" s="53"/>
      <c r="T944" s="53"/>
      <c r="U944" s="53"/>
      <c r="V944" s="53"/>
      <c r="AM944" s="58"/>
      <c r="AN944" s="58"/>
      <c r="AO944" s="58"/>
      <c r="AP944" s="58"/>
      <c r="AQ944" s="58"/>
      <c r="AR944" s="58"/>
      <c r="AS944" s="58"/>
      <c r="AT944" s="58"/>
    </row>
    <row r="945" spans="7:46">
      <c r="G945" s="112"/>
      <c r="O945" s="53"/>
      <c r="P945" s="53"/>
      <c r="Q945" s="53"/>
      <c r="S945" s="53"/>
      <c r="T945" s="53"/>
      <c r="U945" s="53"/>
      <c r="V945" s="53"/>
      <c r="AM945" s="58"/>
      <c r="AN945" s="58"/>
      <c r="AO945" s="58"/>
      <c r="AP945" s="58"/>
      <c r="AQ945" s="58"/>
      <c r="AR945" s="58"/>
      <c r="AS945" s="58"/>
      <c r="AT945" s="58"/>
    </row>
    <row r="946" spans="7:46">
      <c r="G946" s="112"/>
      <c r="O946" s="53"/>
      <c r="P946" s="53"/>
      <c r="Q946" s="53"/>
      <c r="S946" s="53"/>
      <c r="T946" s="53"/>
      <c r="U946" s="53"/>
      <c r="V946" s="53"/>
      <c r="AM946" s="58"/>
      <c r="AN946" s="58"/>
      <c r="AO946" s="58"/>
      <c r="AP946" s="58"/>
      <c r="AQ946" s="58"/>
      <c r="AR946" s="58"/>
      <c r="AS946" s="58"/>
      <c r="AT946" s="58"/>
    </row>
    <row r="947" spans="7:46">
      <c r="G947" s="112"/>
      <c r="O947" s="53"/>
      <c r="P947" s="53"/>
      <c r="Q947" s="53"/>
      <c r="S947" s="53"/>
      <c r="T947" s="53"/>
      <c r="U947" s="53"/>
      <c r="V947" s="53"/>
      <c r="AM947" s="58"/>
      <c r="AN947" s="58"/>
      <c r="AO947" s="58"/>
      <c r="AP947" s="58"/>
      <c r="AQ947" s="58"/>
      <c r="AR947" s="58"/>
      <c r="AS947" s="58"/>
      <c r="AT947" s="58"/>
    </row>
    <row r="948" spans="7:46">
      <c r="G948" s="112"/>
      <c r="O948" s="53"/>
      <c r="P948" s="53"/>
      <c r="Q948" s="53"/>
      <c r="S948" s="53"/>
      <c r="T948" s="53"/>
      <c r="U948" s="53"/>
      <c r="V948" s="53"/>
      <c r="AM948" s="58"/>
      <c r="AN948" s="58"/>
      <c r="AO948" s="58"/>
      <c r="AP948" s="58"/>
      <c r="AQ948" s="58"/>
      <c r="AR948" s="58"/>
      <c r="AS948" s="58"/>
      <c r="AT948" s="58"/>
    </row>
    <row r="949" spans="7:46">
      <c r="G949" s="112"/>
      <c r="O949" s="53"/>
      <c r="P949" s="53"/>
      <c r="Q949" s="53"/>
      <c r="S949" s="53"/>
      <c r="T949" s="53"/>
      <c r="U949" s="53"/>
      <c r="V949" s="53"/>
      <c r="AM949" s="58"/>
      <c r="AN949" s="58"/>
      <c r="AO949" s="58"/>
      <c r="AP949" s="58"/>
      <c r="AQ949" s="58"/>
      <c r="AR949" s="58"/>
      <c r="AS949" s="58"/>
      <c r="AT949" s="58"/>
    </row>
    <row r="950" spans="7:46">
      <c r="G950" s="112"/>
      <c r="O950" s="53"/>
      <c r="P950" s="53"/>
      <c r="Q950" s="53"/>
      <c r="S950" s="53"/>
      <c r="T950" s="53"/>
      <c r="U950" s="53"/>
      <c r="V950" s="53"/>
      <c r="AM950" s="58"/>
      <c r="AN950" s="58"/>
      <c r="AO950" s="58"/>
      <c r="AP950" s="58"/>
      <c r="AQ950" s="58"/>
      <c r="AR950" s="58"/>
      <c r="AS950" s="58"/>
      <c r="AT950" s="58"/>
    </row>
    <row r="951" spans="7:46">
      <c r="G951" s="112"/>
      <c r="O951" s="53"/>
      <c r="P951" s="53"/>
      <c r="Q951" s="53"/>
      <c r="S951" s="53"/>
      <c r="T951" s="53"/>
      <c r="U951" s="53"/>
      <c r="V951" s="53"/>
      <c r="AM951" s="58"/>
      <c r="AN951" s="58"/>
      <c r="AO951" s="58"/>
      <c r="AP951" s="58"/>
      <c r="AQ951" s="58"/>
      <c r="AR951" s="58"/>
      <c r="AS951" s="58"/>
      <c r="AT951" s="58"/>
    </row>
    <row r="952" spans="7:46">
      <c r="G952" s="112"/>
      <c r="O952" s="53"/>
      <c r="P952" s="53"/>
      <c r="Q952" s="53"/>
      <c r="S952" s="53"/>
      <c r="T952" s="53"/>
      <c r="U952" s="53"/>
      <c r="V952" s="53"/>
      <c r="AM952" s="58"/>
      <c r="AN952" s="58"/>
      <c r="AO952" s="58"/>
      <c r="AP952" s="58"/>
      <c r="AQ952" s="58"/>
      <c r="AR952" s="58"/>
      <c r="AS952" s="58"/>
      <c r="AT952" s="58"/>
    </row>
    <row r="953" spans="7:46">
      <c r="G953" s="112"/>
      <c r="O953" s="53"/>
      <c r="P953" s="53"/>
      <c r="Q953" s="53"/>
      <c r="S953" s="53"/>
      <c r="T953" s="53"/>
      <c r="U953" s="53"/>
      <c r="V953" s="53"/>
      <c r="AM953" s="58"/>
      <c r="AN953" s="58"/>
      <c r="AO953" s="58"/>
      <c r="AP953" s="58"/>
      <c r="AQ953" s="58"/>
      <c r="AR953" s="58"/>
      <c r="AS953" s="58"/>
      <c r="AT953" s="58"/>
    </row>
    <row r="954" spans="7:46">
      <c r="G954" s="112"/>
      <c r="O954" s="53"/>
      <c r="P954" s="53"/>
      <c r="Q954" s="53"/>
      <c r="S954" s="53"/>
      <c r="T954" s="53"/>
      <c r="U954" s="53"/>
      <c r="V954" s="53"/>
      <c r="AM954" s="58"/>
      <c r="AN954" s="58"/>
      <c r="AO954" s="58"/>
      <c r="AP954" s="58"/>
      <c r="AQ954" s="58"/>
      <c r="AR954" s="58"/>
      <c r="AS954" s="58"/>
      <c r="AT954" s="58"/>
    </row>
    <row r="955" spans="7:46">
      <c r="G955" s="112"/>
      <c r="O955" s="53"/>
      <c r="P955" s="53"/>
      <c r="Q955" s="53"/>
      <c r="S955" s="53"/>
      <c r="T955" s="53"/>
      <c r="U955" s="53"/>
      <c r="V955" s="53"/>
      <c r="AM955" s="58"/>
      <c r="AN955" s="58"/>
      <c r="AO955" s="58"/>
      <c r="AP955" s="58"/>
      <c r="AQ955" s="58"/>
      <c r="AR955" s="58"/>
      <c r="AS955" s="58"/>
      <c r="AT955" s="58"/>
    </row>
    <row r="956" spans="7:46">
      <c r="G956" s="112"/>
      <c r="O956" s="53"/>
      <c r="P956" s="53"/>
      <c r="Q956" s="53"/>
      <c r="S956" s="53"/>
      <c r="T956" s="53"/>
      <c r="U956" s="53"/>
      <c r="V956" s="53"/>
      <c r="AM956" s="58"/>
      <c r="AN956" s="58"/>
      <c r="AO956" s="58"/>
      <c r="AP956" s="58"/>
      <c r="AQ956" s="58"/>
      <c r="AR956" s="58"/>
      <c r="AS956" s="58"/>
      <c r="AT956" s="58"/>
    </row>
    <row r="957" spans="7:46">
      <c r="G957" s="112"/>
      <c r="O957" s="53"/>
      <c r="P957" s="53"/>
      <c r="Q957" s="53"/>
      <c r="S957" s="53"/>
      <c r="T957" s="53"/>
      <c r="U957" s="53"/>
      <c r="V957" s="53"/>
      <c r="AM957" s="58"/>
      <c r="AN957" s="58"/>
      <c r="AO957" s="58"/>
      <c r="AP957" s="58"/>
      <c r="AQ957" s="58"/>
      <c r="AR957" s="58"/>
      <c r="AS957" s="58"/>
      <c r="AT957" s="58"/>
    </row>
    <row r="958" spans="7:46">
      <c r="G958" s="112"/>
      <c r="O958" s="53"/>
      <c r="P958" s="53"/>
      <c r="Q958" s="53"/>
      <c r="S958" s="53"/>
      <c r="T958" s="53"/>
      <c r="U958" s="53"/>
      <c r="V958" s="53"/>
      <c r="AM958" s="58"/>
      <c r="AN958" s="58"/>
      <c r="AO958" s="58"/>
      <c r="AP958" s="58"/>
      <c r="AQ958" s="58"/>
      <c r="AR958" s="58"/>
      <c r="AS958" s="58"/>
      <c r="AT958" s="58"/>
    </row>
    <row r="959" spans="7:46">
      <c r="G959" s="112"/>
      <c r="O959" s="53"/>
      <c r="P959" s="53"/>
      <c r="Q959" s="53"/>
      <c r="S959" s="53"/>
      <c r="T959" s="53"/>
      <c r="U959" s="53"/>
      <c r="V959" s="53"/>
      <c r="AM959" s="58"/>
      <c r="AN959" s="58"/>
      <c r="AO959" s="58"/>
      <c r="AP959" s="58"/>
      <c r="AQ959" s="58"/>
      <c r="AR959" s="58"/>
      <c r="AS959" s="58"/>
      <c r="AT959" s="58"/>
    </row>
    <row r="960" spans="7:46">
      <c r="G960" s="112"/>
      <c r="O960" s="53"/>
      <c r="P960" s="53"/>
      <c r="Q960" s="53"/>
      <c r="S960" s="53"/>
      <c r="T960" s="53"/>
      <c r="U960" s="53"/>
      <c r="V960" s="53"/>
      <c r="AM960" s="58"/>
      <c r="AN960" s="58"/>
      <c r="AO960" s="58"/>
      <c r="AP960" s="58"/>
      <c r="AQ960" s="58"/>
      <c r="AR960" s="58"/>
      <c r="AS960" s="58"/>
      <c r="AT960" s="58"/>
    </row>
    <row r="961" spans="7:46">
      <c r="G961" s="112"/>
      <c r="O961" s="53"/>
      <c r="P961" s="53"/>
      <c r="Q961" s="53"/>
      <c r="S961" s="53"/>
      <c r="T961" s="53"/>
      <c r="U961" s="53"/>
      <c r="V961" s="53"/>
      <c r="AM961" s="58"/>
      <c r="AN961" s="58"/>
      <c r="AO961" s="58"/>
      <c r="AP961" s="58"/>
      <c r="AQ961" s="58"/>
      <c r="AR961" s="58"/>
      <c r="AS961" s="58"/>
      <c r="AT961" s="58"/>
    </row>
    <row r="962" spans="7:46">
      <c r="G962" s="112"/>
      <c r="O962" s="53"/>
      <c r="P962" s="53"/>
      <c r="Q962" s="53"/>
      <c r="S962" s="53"/>
      <c r="T962" s="53"/>
      <c r="U962" s="53"/>
      <c r="V962" s="53"/>
      <c r="AM962" s="58"/>
      <c r="AN962" s="58"/>
      <c r="AO962" s="58"/>
      <c r="AP962" s="58"/>
      <c r="AQ962" s="58"/>
      <c r="AR962" s="58"/>
      <c r="AS962" s="58"/>
      <c r="AT962" s="58"/>
    </row>
    <row r="963" spans="7:46">
      <c r="G963" s="112"/>
      <c r="O963" s="53"/>
      <c r="P963" s="53"/>
      <c r="Q963" s="53"/>
      <c r="S963" s="53"/>
      <c r="T963" s="53"/>
      <c r="U963" s="53"/>
      <c r="V963" s="53"/>
      <c r="AM963" s="58"/>
      <c r="AN963" s="58"/>
      <c r="AO963" s="58"/>
      <c r="AP963" s="58"/>
      <c r="AQ963" s="58"/>
      <c r="AR963" s="58"/>
      <c r="AS963" s="58"/>
      <c r="AT963" s="58"/>
    </row>
    <row r="964" spans="7:46">
      <c r="G964" s="112"/>
      <c r="O964" s="53"/>
      <c r="P964" s="53"/>
      <c r="Q964" s="53"/>
      <c r="S964" s="53"/>
      <c r="T964" s="53"/>
      <c r="U964" s="53"/>
      <c r="V964" s="53"/>
      <c r="AM964" s="58"/>
      <c r="AN964" s="58"/>
      <c r="AO964" s="58"/>
      <c r="AP964" s="58"/>
      <c r="AQ964" s="58"/>
      <c r="AR964" s="58"/>
      <c r="AS964" s="58"/>
      <c r="AT964" s="58"/>
    </row>
    <row r="965" spans="7:46">
      <c r="G965" s="112"/>
      <c r="O965" s="53"/>
      <c r="P965" s="53"/>
      <c r="Q965" s="53"/>
      <c r="S965" s="53"/>
      <c r="T965" s="53"/>
      <c r="U965" s="53"/>
      <c r="V965" s="53"/>
      <c r="AM965" s="58"/>
      <c r="AN965" s="58"/>
      <c r="AO965" s="58"/>
      <c r="AP965" s="58"/>
      <c r="AQ965" s="58"/>
      <c r="AR965" s="58"/>
      <c r="AS965" s="58"/>
      <c r="AT965" s="58"/>
    </row>
    <row r="966" spans="7:46">
      <c r="G966" s="112"/>
      <c r="O966" s="53"/>
      <c r="P966" s="53"/>
      <c r="Q966" s="53"/>
      <c r="S966" s="53"/>
      <c r="T966" s="53"/>
      <c r="U966" s="53"/>
      <c r="V966" s="53"/>
      <c r="AM966" s="58"/>
      <c r="AN966" s="58"/>
      <c r="AO966" s="58"/>
      <c r="AP966" s="58"/>
      <c r="AQ966" s="58"/>
      <c r="AR966" s="58"/>
      <c r="AS966" s="58"/>
      <c r="AT966" s="58"/>
    </row>
    <row r="967" spans="7:46">
      <c r="G967" s="112"/>
      <c r="O967" s="53"/>
      <c r="P967" s="53"/>
      <c r="Q967" s="53"/>
      <c r="S967" s="53"/>
      <c r="T967" s="53"/>
      <c r="U967" s="53"/>
      <c r="V967" s="53"/>
      <c r="AM967" s="58"/>
      <c r="AN967" s="58"/>
      <c r="AO967" s="58"/>
      <c r="AP967" s="58"/>
      <c r="AQ967" s="58"/>
      <c r="AR967" s="58"/>
      <c r="AS967" s="58"/>
      <c r="AT967" s="58"/>
    </row>
    <row r="968" spans="7:46">
      <c r="G968" s="112"/>
      <c r="O968" s="53"/>
      <c r="P968" s="53"/>
      <c r="Q968" s="53"/>
      <c r="S968" s="53"/>
      <c r="T968" s="53"/>
      <c r="U968" s="53"/>
      <c r="V968" s="53"/>
      <c r="AM968" s="58"/>
      <c r="AN968" s="58"/>
      <c r="AO968" s="58"/>
      <c r="AP968" s="58"/>
      <c r="AQ968" s="58"/>
      <c r="AR968" s="58"/>
      <c r="AS968" s="58"/>
      <c r="AT968" s="58"/>
    </row>
    <row r="969" spans="7:46">
      <c r="G969" s="112"/>
      <c r="O969" s="53"/>
      <c r="P969" s="53"/>
      <c r="Q969" s="53"/>
      <c r="S969" s="53"/>
      <c r="T969" s="53"/>
      <c r="U969" s="53"/>
      <c r="V969" s="53"/>
      <c r="AM969" s="58"/>
      <c r="AN969" s="58"/>
      <c r="AO969" s="58"/>
      <c r="AP969" s="58"/>
      <c r="AQ969" s="58"/>
      <c r="AR969" s="58"/>
      <c r="AS969" s="58"/>
      <c r="AT969" s="58"/>
    </row>
    <row r="970" spans="7:46">
      <c r="G970" s="112"/>
      <c r="O970" s="53"/>
      <c r="P970" s="53"/>
      <c r="Q970" s="53"/>
      <c r="S970" s="53"/>
      <c r="T970" s="53"/>
      <c r="U970" s="53"/>
      <c r="V970" s="53"/>
      <c r="AM970" s="58"/>
      <c r="AN970" s="58"/>
      <c r="AO970" s="58"/>
      <c r="AP970" s="58"/>
      <c r="AQ970" s="58"/>
      <c r="AR970" s="58"/>
      <c r="AS970" s="58"/>
      <c r="AT970" s="58"/>
    </row>
    <row r="971" spans="7:46">
      <c r="G971" s="112"/>
      <c r="O971" s="53"/>
      <c r="P971" s="53"/>
      <c r="Q971" s="53"/>
      <c r="S971" s="53"/>
      <c r="T971" s="53"/>
      <c r="U971" s="53"/>
      <c r="V971" s="53"/>
      <c r="AM971" s="58"/>
      <c r="AN971" s="58"/>
      <c r="AO971" s="58"/>
      <c r="AP971" s="58"/>
      <c r="AQ971" s="58"/>
      <c r="AR971" s="58"/>
      <c r="AS971" s="58"/>
      <c r="AT971" s="58"/>
    </row>
    <row r="972" spans="7:46">
      <c r="G972" s="112"/>
      <c r="O972" s="53"/>
      <c r="P972" s="53"/>
      <c r="Q972" s="53"/>
      <c r="S972" s="53"/>
      <c r="T972" s="53"/>
      <c r="U972" s="53"/>
      <c r="V972" s="53"/>
      <c r="AM972" s="58"/>
      <c r="AN972" s="58"/>
      <c r="AO972" s="58"/>
      <c r="AP972" s="58"/>
      <c r="AQ972" s="58"/>
      <c r="AR972" s="58"/>
      <c r="AS972" s="58"/>
      <c r="AT972" s="58"/>
    </row>
    <row r="973" spans="7:46">
      <c r="G973" s="112"/>
      <c r="O973" s="53"/>
      <c r="P973" s="53"/>
      <c r="Q973" s="53"/>
      <c r="S973" s="53"/>
      <c r="T973" s="53"/>
      <c r="U973" s="53"/>
      <c r="V973" s="53"/>
      <c r="AM973" s="58"/>
      <c r="AN973" s="58"/>
      <c r="AO973" s="58"/>
      <c r="AP973" s="58"/>
      <c r="AQ973" s="58"/>
      <c r="AR973" s="58"/>
      <c r="AS973" s="58"/>
      <c r="AT973" s="58"/>
    </row>
    <row r="974" spans="7:46">
      <c r="G974" s="112"/>
      <c r="O974" s="53"/>
      <c r="P974" s="53"/>
      <c r="Q974" s="53"/>
      <c r="S974" s="53"/>
      <c r="T974" s="53"/>
      <c r="U974" s="53"/>
      <c r="V974" s="53"/>
      <c r="AM974" s="58"/>
      <c r="AN974" s="58"/>
      <c r="AO974" s="58"/>
      <c r="AP974" s="58"/>
      <c r="AQ974" s="58"/>
      <c r="AR974" s="58"/>
      <c r="AS974" s="58"/>
      <c r="AT974" s="58"/>
    </row>
    <row r="975" spans="7:46">
      <c r="G975" s="112"/>
      <c r="O975" s="53"/>
      <c r="P975" s="53"/>
      <c r="Q975" s="53"/>
      <c r="S975" s="53"/>
      <c r="T975" s="53"/>
      <c r="U975" s="53"/>
      <c r="V975" s="53"/>
      <c r="AM975" s="58"/>
      <c r="AN975" s="58"/>
      <c r="AO975" s="58"/>
      <c r="AP975" s="58"/>
      <c r="AQ975" s="58"/>
      <c r="AR975" s="58"/>
      <c r="AS975" s="58"/>
      <c r="AT975" s="58"/>
    </row>
    <row r="976" spans="7:46">
      <c r="G976" s="112"/>
      <c r="O976" s="53"/>
      <c r="P976" s="53"/>
      <c r="Q976" s="53"/>
      <c r="S976" s="53"/>
      <c r="T976" s="53"/>
      <c r="U976" s="53"/>
      <c r="V976" s="53"/>
      <c r="AM976" s="58"/>
      <c r="AN976" s="58"/>
      <c r="AO976" s="58"/>
      <c r="AP976" s="58"/>
      <c r="AQ976" s="58"/>
      <c r="AR976" s="58"/>
      <c r="AS976" s="58"/>
      <c r="AT976" s="58"/>
    </row>
    <row r="977" spans="7:46">
      <c r="G977" s="112"/>
      <c r="O977" s="53"/>
      <c r="P977" s="53"/>
      <c r="Q977" s="53"/>
      <c r="S977" s="53"/>
      <c r="T977" s="53"/>
      <c r="U977" s="53"/>
      <c r="V977" s="53"/>
      <c r="AM977" s="58"/>
      <c r="AN977" s="58"/>
      <c r="AO977" s="58"/>
      <c r="AP977" s="58"/>
      <c r="AQ977" s="58"/>
      <c r="AR977" s="58"/>
      <c r="AS977" s="58"/>
      <c r="AT977" s="58"/>
    </row>
    <row r="978" spans="7:46">
      <c r="G978" s="112"/>
      <c r="O978" s="53"/>
      <c r="P978" s="53"/>
      <c r="Q978" s="53"/>
      <c r="S978" s="53"/>
      <c r="T978" s="53"/>
      <c r="U978" s="53"/>
      <c r="V978" s="53"/>
      <c r="AM978" s="58"/>
      <c r="AN978" s="58"/>
      <c r="AO978" s="58"/>
      <c r="AP978" s="58"/>
      <c r="AQ978" s="58"/>
      <c r="AR978" s="58"/>
      <c r="AS978" s="58"/>
      <c r="AT978" s="58"/>
    </row>
    <row r="979" spans="7:46">
      <c r="G979" s="112"/>
      <c r="O979" s="53"/>
      <c r="P979" s="53"/>
      <c r="Q979" s="53"/>
      <c r="S979" s="53"/>
      <c r="T979" s="53"/>
      <c r="U979" s="53"/>
      <c r="V979" s="53"/>
      <c r="AM979" s="58"/>
      <c r="AN979" s="58"/>
      <c r="AO979" s="58"/>
      <c r="AP979" s="58"/>
      <c r="AQ979" s="58"/>
      <c r="AR979" s="58"/>
      <c r="AS979" s="58"/>
      <c r="AT979" s="58"/>
    </row>
    <row r="980" spans="7:46">
      <c r="G980" s="112"/>
      <c r="O980" s="53"/>
      <c r="P980" s="53"/>
      <c r="Q980" s="53"/>
      <c r="S980" s="53"/>
      <c r="T980" s="53"/>
      <c r="U980" s="53"/>
      <c r="V980" s="53"/>
      <c r="AM980" s="58"/>
      <c r="AN980" s="58"/>
      <c r="AO980" s="58"/>
      <c r="AP980" s="58"/>
      <c r="AQ980" s="58"/>
      <c r="AR980" s="58"/>
      <c r="AS980" s="58"/>
      <c r="AT980" s="58"/>
    </row>
    <row r="981" spans="7:46">
      <c r="G981" s="112"/>
      <c r="O981" s="53"/>
      <c r="P981" s="53"/>
      <c r="Q981" s="53"/>
      <c r="S981" s="53"/>
      <c r="T981" s="53"/>
      <c r="U981" s="53"/>
      <c r="V981" s="53"/>
      <c r="AM981" s="58"/>
      <c r="AN981" s="58"/>
      <c r="AO981" s="58"/>
      <c r="AP981" s="58"/>
      <c r="AQ981" s="58"/>
      <c r="AR981" s="58"/>
      <c r="AS981" s="58"/>
      <c r="AT981" s="58"/>
    </row>
    <row r="982" spans="7:46">
      <c r="G982" s="112"/>
      <c r="O982" s="53"/>
      <c r="P982" s="53"/>
      <c r="Q982" s="53"/>
      <c r="S982" s="53"/>
      <c r="T982" s="53"/>
      <c r="U982" s="53"/>
      <c r="V982" s="53"/>
      <c r="AM982" s="58"/>
      <c r="AN982" s="58"/>
      <c r="AO982" s="58"/>
      <c r="AP982" s="58"/>
      <c r="AQ982" s="58"/>
      <c r="AR982" s="58"/>
      <c r="AS982" s="58"/>
      <c r="AT982" s="58"/>
    </row>
    <row r="983" spans="7:46">
      <c r="G983" s="112"/>
      <c r="O983" s="53"/>
      <c r="P983" s="53"/>
      <c r="Q983" s="53"/>
      <c r="S983" s="53"/>
      <c r="T983" s="53"/>
      <c r="U983" s="53"/>
      <c r="V983" s="53"/>
      <c r="AM983" s="58"/>
      <c r="AN983" s="58"/>
      <c r="AO983" s="58"/>
      <c r="AP983" s="58"/>
      <c r="AQ983" s="58"/>
      <c r="AR983" s="58"/>
      <c r="AS983" s="58"/>
      <c r="AT983" s="58"/>
    </row>
    <row r="984" spans="7:46">
      <c r="G984" s="112"/>
      <c r="O984" s="53"/>
      <c r="P984" s="53"/>
      <c r="Q984" s="53"/>
      <c r="S984" s="53"/>
      <c r="T984" s="53"/>
      <c r="U984" s="53"/>
      <c r="V984" s="53"/>
      <c r="AM984" s="58"/>
      <c r="AN984" s="58"/>
      <c r="AO984" s="58"/>
      <c r="AP984" s="58"/>
      <c r="AQ984" s="58"/>
      <c r="AR984" s="58"/>
      <c r="AS984" s="58"/>
      <c r="AT984" s="58"/>
    </row>
    <row r="985" spans="7:46">
      <c r="G985" s="112"/>
      <c r="O985" s="53"/>
      <c r="P985" s="53"/>
      <c r="Q985" s="53"/>
      <c r="S985" s="53"/>
      <c r="T985" s="53"/>
      <c r="U985" s="53"/>
      <c r="V985" s="53"/>
      <c r="AM985" s="58"/>
      <c r="AN985" s="58"/>
      <c r="AO985" s="58"/>
      <c r="AP985" s="58"/>
      <c r="AQ985" s="58"/>
      <c r="AR985" s="58"/>
      <c r="AS985" s="58"/>
      <c r="AT985" s="58"/>
    </row>
    <row r="986" spans="7:46">
      <c r="G986" s="112"/>
      <c r="O986" s="53"/>
      <c r="P986" s="53"/>
      <c r="Q986" s="53"/>
      <c r="S986" s="53"/>
      <c r="T986" s="53"/>
      <c r="U986" s="53"/>
      <c r="V986" s="53"/>
      <c r="AM986" s="58"/>
      <c r="AN986" s="58"/>
      <c r="AO986" s="58"/>
      <c r="AP986" s="58"/>
      <c r="AQ986" s="58"/>
      <c r="AR986" s="58"/>
      <c r="AS986" s="58"/>
      <c r="AT986" s="58"/>
    </row>
    <row r="987" spans="7:46">
      <c r="G987" s="112"/>
      <c r="O987" s="53"/>
      <c r="P987" s="53"/>
      <c r="Q987" s="53"/>
      <c r="S987" s="53"/>
      <c r="T987" s="53"/>
      <c r="U987" s="53"/>
      <c r="V987" s="53"/>
      <c r="AM987" s="58"/>
      <c r="AN987" s="58"/>
      <c r="AO987" s="58"/>
      <c r="AP987" s="58"/>
      <c r="AQ987" s="58"/>
      <c r="AR987" s="58"/>
      <c r="AS987" s="58"/>
      <c r="AT987" s="58"/>
    </row>
    <row r="988" spans="7:46">
      <c r="G988" s="112"/>
      <c r="O988" s="53"/>
      <c r="P988" s="53"/>
      <c r="Q988" s="53"/>
      <c r="S988" s="53"/>
      <c r="T988" s="53"/>
      <c r="U988" s="53"/>
      <c r="V988" s="53"/>
      <c r="AM988" s="58"/>
      <c r="AN988" s="58"/>
      <c r="AO988" s="58"/>
      <c r="AP988" s="58"/>
      <c r="AQ988" s="58"/>
      <c r="AR988" s="58"/>
      <c r="AS988" s="58"/>
      <c r="AT988" s="58"/>
    </row>
    <row r="989" spans="7:46">
      <c r="G989" s="112"/>
      <c r="O989" s="53"/>
      <c r="P989" s="53"/>
      <c r="Q989" s="53"/>
      <c r="S989" s="53"/>
      <c r="T989" s="53"/>
      <c r="U989" s="53"/>
      <c r="V989" s="53"/>
      <c r="AM989" s="58"/>
      <c r="AN989" s="58"/>
      <c r="AO989" s="58"/>
      <c r="AP989" s="58"/>
      <c r="AQ989" s="58"/>
      <c r="AR989" s="58"/>
      <c r="AS989" s="58"/>
      <c r="AT989" s="58"/>
    </row>
    <row r="990" spans="7:46">
      <c r="G990" s="112"/>
      <c r="O990" s="53"/>
      <c r="P990" s="53"/>
      <c r="Q990" s="53"/>
      <c r="S990" s="53"/>
      <c r="T990" s="53"/>
      <c r="U990" s="53"/>
      <c r="V990" s="53"/>
      <c r="AM990" s="58"/>
      <c r="AN990" s="58"/>
      <c r="AO990" s="58"/>
      <c r="AP990" s="58"/>
      <c r="AQ990" s="58"/>
      <c r="AR990" s="58"/>
      <c r="AS990" s="58"/>
      <c r="AT990" s="58"/>
    </row>
    <row r="991" spans="7:46">
      <c r="G991" s="112"/>
      <c r="O991" s="53"/>
      <c r="P991" s="53"/>
      <c r="Q991" s="53"/>
      <c r="S991" s="53"/>
      <c r="T991" s="53"/>
      <c r="U991" s="53"/>
      <c r="V991" s="53"/>
      <c r="AM991" s="58"/>
      <c r="AN991" s="58"/>
      <c r="AO991" s="58"/>
      <c r="AP991" s="58"/>
      <c r="AQ991" s="58"/>
      <c r="AR991" s="58"/>
      <c r="AS991" s="58"/>
      <c r="AT991" s="58"/>
    </row>
    <row r="992" spans="7:46">
      <c r="G992" s="112"/>
      <c r="O992" s="53"/>
      <c r="P992" s="53"/>
      <c r="Q992" s="53"/>
      <c r="S992" s="53"/>
      <c r="T992" s="53"/>
      <c r="U992" s="53"/>
      <c r="V992" s="53"/>
      <c r="AM992" s="58"/>
      <c r="AN992" s="58"/>
      <c r="AO992" s="58"/>
      <c r="AP992" s="58"/>
      <c r="AQ992" s="58"/>
      <c r="AR992" s="58"/>
      <c r="AS992" s="58"/>
      <c r="AT992" s="58"/>
    </row>
    <row r="993" spans="7:46">
      <c r="G993" s="112"/>
      <c r="O993" s="53"/>
      <c r="P993" s="53"/>
      <c r="Q993" s="53"/>
      <c r="S993" s="53"/>
      <c r="T993" s="53"/>
      <c r="U993" s="53"/>
      <c r="V993" s="53"/>
      <c r="AM993" s="58"/>
      <c r="AN993" s="58"/>
      <c r="AO993" s="58"/>
      <c r="AP993" s="58"/>
      <c r="AQ993" s="58"/>
      <c r="AR993" s="58"/>
      <c r="AS993" s="58"/>
      <c r="AT993" s="58"/>
    </row>
    <row r="994" spans="7:46">
      <c r="G994" s="112"/>
      <c r="O994" s="53"/>
      <c r="P994" s="53"/>
      <c r="Q994" s="53"/>
      <c r="S994" s="53"/>
      <c r="T994" s="53"/>
      <c r="U994" s="53"/>
      <c r="V994" s="53"/>
      <c r="AM994" s="58"/>
      <c r="AN994" s="58"/>
      <c r="AO994" s="58"/>
      <c r="AP994" s="58"/>
      <c r="AQ994" s="58"/>
      <c r="AR994" s="58"/>
      <c r="AS994" s="58"/>
      <c r="AT994" s="58"/>
    </row>
    <row r="995" spans="7:46">
      <c r="G995" s="112"/>
      <c r="O995" s="53"/>
      <c r="P995" s="53"/>
      <c r="Q995" s="53"/>
      <c r="S995" s="53"/>
      <c r="T995" s="53"/>
      <c r="U995" s="53"/>
      <c r="V995" s="53"/>
      <c r="AM995" s="58"/>
      <c r="AN995" s="58"/>
      <c r="AO995" s="58"/>
      <c r="AP995" s="58"/>
      <c r="AQ995" s="58"/>
      <c r="AR995" s="58"/>
      <c r="AS995" s="58"/>
      <c r="AT995" s="58"/>
    </row>
    <row r="996" spans="7:46">
      <c r="G996" s="112"/>
      <c r="O996" s="53"/>
      <c r="P996" s="53"/>
      <c r="Q996" s="53"/>
      <c r="S996" s="53"/>
      <c r="T996" s="53"/>
      <c r="U996" s="53"/>
      <c r="V996" s="53"/>
      <c r="AM996" s="58"/>
      <c r="AN996" s="58"/>
      <c r="AO996" s="58"/>
      <c r="AP996" s="58"/>
      <c r="AQ996" s="58"/>
      <c r="AR996" s="58"/>
      <c r="AS996" s="58"/>
      <c r="AT996" s="58"/>
    </row>
    <row r="997" spans="7:46">
      <c r="G997" s="112"/>
      <c r="O997" s="53"/>
      <c r="P997" s="53"/>
      <c r="Q997" s="53"/>
      <c r="S997" s="53"/>
      <c r="T997" s="53"/>
      <c r="U997" s="53"/>
      <c r="V997" s="53"/>
      <c r="AM997" s="58"/>
      <c r="AN997" s="58"/>
      <c r="AO997" s="58"/>
      <c r="AP997" s="58"/>
      <c r="AQ997" s="58"/>
      <c r="AR997" s="58"/>
      <c r="AS997" s="58"/>
      <c r="AT997" s="58"/>
    </row>
    <row r="998" spans="7:46">
      <c r="G998" s="112"/>
      <c r="O998" s="53"/>
      <c r="P998" s="53"/>
      <c r="Q998" s="53"/>
      <c r="S998" s="53"/>
      <c r="T998" s="53"/>
      <c r="U998" s="53"/>
      <c r="V998" s="53"/>
      <c r="AM998" s="58"/>
      <c r="AN998" s="58"/>
      <c r="AO998" s="58"/>
      <c r="AP998" s="58"/>
      <c r="AQ998" s="58"/>
      <c r="AR998" s="58"/>
      <c r="AS998" s="58"/>
      <c r="AT998" s="58"/>
    </row>
  </sheetData>
  <mergeCells count="34">
    <mergeCell ref="CQ2:CX2"/>
    <mergeCell ref="G2:N2"/>
    <mergeCell ref="O2:V2"/>
    <mergeCell ref="W2:AD2"/>
    <mergeCell ref="AE2:AL2"/>
    <mergeCell ref="AM2:AT2"/>
    <mergeCell ref="AU2:BB2"/>
    <mergeCell ref="BC2:BJ2"/>
    <mergeCell ref="BK2:BR2"/>
    <mergeCell ref="BS2:BZ2"/>
    <mergeCell ref="CA2:CH2"/>
    <mergeCell ref="CI2:CP2"/>
    <mergeCell ref="G107:N107"/>
    <mergeCell ref="O107:V107"/>
    <mergeCell ref="W107:AD107"/>
    <mergeCell ref="AE107:AL107"/>
    <mergeCell ref="AM107:AT107"/>
    <mergeCell ref="CY2:DF2"/>
    <mergeCell ref="DG2:DN2"/>
    <mergeCell ref="DO2:DV2"/>
    <mergeCell ref="DW2:ED2"/>
    <mergeCell ref="EE2:EL2"/>
    <mergeCell ref="EE107:EL107"/>
    <mergeCell ref="AU107:BB107"/>
    <mergeCell ref="BC107:BJ107"/>
    <mergeCell ref="BK107:BR107"/>
    <mergeCell ref="BS107:BZ107"/>
    <mergeCell ref="CA107:CH107"/>
    <mergeCell ref="CI107:CP107"/>
    <mergeCell ref="CQ107:CX107"/>
    <mergeCell ref="CY107:DF107"/>
    <mergeCell ref="DG107:DN107"/>
    <mergeCell ref="DO107:DV107"/>
    <mergeCell ref="DW107:ED107"/>
  </mergeCells>
  <pageMargins left="0.75" right="0.75" top="1" bottom="1" header="0.5" footer="0.5"/>
  <pageSetup paperSize="9" orientation="portrait" horizontalDpi="4294967292" verticalDpi="429496729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H1000"/>
  <sheetViews>
    <sheetView topLeftCell="A63" workbookViewId="0">
      <selection activeCell="AD103" sqref="AB4:AD103"/>
    </sheetView>
  </sheetViews>
  <sheetFormatPr baseColWidth="10" defaultColWidth="12.6640625" defaultRowHeight="15.75" customHeight="1"/>
  <cols>
    <col min="1" max="1" width="3.33203125" customWidth="1"/>
    <col min="2" max="2" width="24.6640625" customWidth="1"/>
    <col min="3" max="4" width="22.33203125" customWidth="1"/>
    <col min="5" max="6" width="12.6640625" customWidth="1"/>
    <col min="25" max="30" width="12.6640625" customWidth="1"/>
  </cols>
  <sheetData>
    <row r="1" spans="1:34" ht="15.75" customHeight="1">
      <c r="A1" s="1"/>
      <c r="B1" s="1"/>
      <c r="C1" s="2"/>
      <c r="D1" s="2"/>
      <c r="E1" s="2"/>
      <c r="F1" s="2"/>
      <c r="G1" s="154"/>
      <c r="H1" s="155"/>
      <c r="I1" s="155"/>
      <c r="J1" s="155"/>
      <c r="K1" s="155"/>
      <c r="L1" s="155"/>
      <c r="M1" s="155"/>
      <c r="N1" s="155"/>
      <c r="O1" s="155"/>
      <c r="P1" s="155"/>
      <c r="Q1" s="155"/>
      <c r="R1" s="155"/>
      <c r="S1" s="155"/>
      <c r="T1" s="155"/>
      <c r="U1" s="155"/>
      <c r="V1" s="155"/>
      <c r="W1" s="155"/>
      <c r="X1" s="155"/>
      <c r="Y1" s="155"/>
      <c r="Z1" s="155"/>
      <c r="AA1" s="155"/>
      <c r="AB1" s="155"/>
      <c r="AC1" s="155"/>
      <c r="AD1" s="155"/>
    </row>
    <row r="2" spans="1:34" ht="15.75" customHeight="1">
      <c r="A2" s="1"/>
      <c r="B2" s="1"/>
      <c r="C2" s="2"/>
      <c r="D2" s="2"/>
      <c r="E2" s="2"/>
      <c r="F2" s="2"/>
      <c r="G2" s="156" t="s">
        <v>0</v>
      </c>
      <c r="H2" s="157"/>
      <c r="I2" s="157"/>
      <c r="J2" s="157"/>
      <c r="K2" s="157"/>
      <c r="L2" s="158"/>
      <c r="M2" s="156" t="s">
        <v>1</v>
      </c>
      <c r="N2" s="157"/>
      <c r="O2" s="157"/>
      <c r="P2" s="157"/>
      <c r="Q2" s="157"/>
      <c r="R2" s="158"/>
      <c r="S2" s="156" t="s">
        <v>2</v>
      </c>
      <c r="T2" s="157"/>
      <c r="U2" s="157"/>
      <c r="V2" s="157"/>
      <c r="W2" s="157"/>
      <c r="X2" s="158"/>
      <c r="Y2" s="156" t="s">
        <v>3</v>
      </c>
      <c r="Z2" s="157"/>
      <c r="AA2" s="157"/>
      <c r="AB2" s="157"/>
      <c r="AC2" s="157"/>
      <c r="AD2" s="158"/>
    </row>
    <row r="3" spans="1:34" ht="56">
      <c r="A3" s="6" t="s">
        <v>4</v>
      </c>
      <c r="B3" s="43" t="s">
        <v>5</v>
      </c>
      <c r="C3" s="5" t="s">
        <v>6</v>
      </c>
      <c r="D3" s="5" t="s">
        <v>7</v>
      </c>
      <c r="E3" s="5" t="s">
        <v>8</v>
      </c>
      <c r="F3" s="9" t="s">
        <v>9</v>
      </c>
      <c r="G3" s="10" t="s">
        <v>10</v>
      </c>
      <c r="H3" s="10" t="s">
        <v>11</v>
      </c>
      <c r="I3" s="10" t="s">
        <v>12</v>
      </c>
      <c r="J3" s="14" t="s">
        <v>13</v>
      </c>
      <c r="K3" s="14" t="s">
        <v>14</v>
      </c>
      <c r="L3" s="14" t="s">
        <v>15</v>
      </c>
      <c r="M3" s="10" t="s">
        <v>10</v>
      </c>
      <c r="N3" s="10" t="s">
        <v>11</v>
      </c>
      <c r="O3" s="10" t="s">
        <v>12</v>
      </c>
      <c r="P3" s="14" t="s">
        <v>13</v>
      </c>
      <c r="Q3" s="14" t="s">
        <v>14</v>
      </c>
      <c r="R3" s="14" t="s">
        <v>15</v>
      </c>
      <c r="S3" s="10" t="s">
        <v>10</v>
      </c>
      <c r="T3" s="10" t="s">
        <v>11</v>
      </c>
      <c r="U3" s="10" t="s">
        <v>12</v>
      </c>
      <c r="V3" s="14" t="s">
        <v>13</v>
      </c>
      <c r="W3" s="14" t="s">
        <v>14</v>
      </c>
      <c r="X3" s="14" t="s">
        <v>15</v>
      </c>
      <c r="Y3" s="10" t="s">
        <v>10</v>
      </c>
      <c r="Z3" s="10" t="s">
        <v>11</v>
      </c>
      <c r="AA3" s="10" t="s">
        <v>12</v>
      </c>
      <c r="AB3" s="14" t="s">
        <v>13</v>
      </c>
      <c r="AC3" s="14" t="s">
        <v>14</v>
      </c>
      <c r="AD3" s="14" t="s">
        <v>15</v>
      </c>
    </row>
    <row r="4" spans="1:34" ht="15.75" customHeight="1">
      <c r="A4" s="6">
        <v>1</v>
      </c>
      <c r="B4" s="44" t="s">
        <v>16</v>
      </c>
      <c r="C4" s="6" t="s">
        <v>17</v>
      </c>
      <c r="D4" s="6">
        <v>8</v>
      </c>
      <c r="E4" s="16">
        <v>45000</v>
      </c>
      <c r="F4" s="6">
        <v>2</v>
      </c>
      <c r="G4" s="13">
        <v>40</v>
      </c>
      <c r="H4" s="13"/>
      <c r="I4" s="13">
        <v>20</v>
      </c>
      <c r="J4" s="16"/>
      <c r="K4" s="16">
        <f t="shared" ref="K4:K103" si="0">G4*100</f>
        <v>4000</v>
      </c>
      <c r="L4" s="20">
        <f t="shared" ref="L4:L103" si="1">I4*300</f>
        <v>6000</v>
      </c>
      <c r="M4" s="6">
        <v>20</v>
      </c>
      <c r="N4" s="6"/>
      <c r="O4" s="6">
        <v>22</v>
      </c>
      <c r="P4" s="17"/>
      <c r="Q4" s="17">
        <f t="shared" ref="Q4:Q103" si="2">M4*100</f>
        <v>2000</v>
      </c>
      <c r="R4" s="17">
        <f t="shared" ref="R4:R103" si="3">O4*300</f>
        <v>6600</v>
      </c>
      <c r="S4" s="6">
        <v>40</v>
      </c>
      <c r="T4" s="6"/>
      <c r="U4" s="6">
        <v>15</v>
      </c>
      <c r="V4" s="17">
        <f t="shared" ref="V4:V103" si="4">S4*100</f>
        <v>4000</v>
      </c>
      <c r="W4" s="17"/>
      <c r="X4" s="17">
        <f t="shared" ref="X4:X103" si="5">U4*300</f>
        <v>4500</v>
      </c>
      <c r="Y4" s="6">
        <v>20</v>
      </c>
      <c r="Z4" s="6"/>
      <c r="AA4" s="6">
        <v>22</v>
      </c>
      <c r="AB4" s="17"/>
      <c r="AC4" s="17">
        <f t="shared" ref="AC4:AC103" si="6">Y4*100</f>
        <v>2000</v>
      </c>
      <c r="AD4" s="17">
        <f t="shared" ref="AD4:AD103" si="7">AA4*300</f>
        <v>6600</v>
      </c>
    </row>
    <row r="5" spans="1:34" ht="15.75" customHeight="1">
      <c r="A5" s="6">
        <v>2</v>
      </c>
      <c r="B5" s="44" t="s">
        <v>18</v>
      </c>
      <c r="C5" s="6" t="s">
        <v>19</v>
      </c>
      <c r="D5" s="6">
        <v>7</v>
      </c>
      <c r="E5" s="16">
        <v>50000</v>
      </c>
      <c r="F5" s="6">
        <v>3</v>
      </c>
      <c r="G5" s="13">
        <v>20</v>
      </c>
      <c r="H5" s="13"/>
      <c r="I5" s="13">
        <v>40</v>
      </c>
      <c r="J5" s="16"/>
      <c r="K5" s="16">
        <f t="shared" si="0"/>
        <v>2000</v>
      </c>
      <c r="L5" s="16">
        <f t="shared" si="1"/>
        <v>12000</v>
      </c>
      <c r="M5" s="6">
        <v>0</v>
      </c>
      <c r="N5" s="6"/>
      <c r="O5" s="6">
        <v>35</v>
      </c>
      <c r="P5" s="17"/>
      <c r="Q5" s="17">
        <f t="shared" si="2"/>
        <v>0</v>
      </c>
      <c r="R5" s="17">
        <f t="shared" si="3"/>
        <v>10500</v>
      </c>
      <c r="S5" s="6">
        <v>20</v>
      </c>
      <c r="T5" s="6"/>
      <c r="U5" s="6">
        <v>25</v>
      </c>
      <c r="V5" s="17">
        <f t="shared" si="4"/>
        <v>2000</v>
      </c>
      <c r="W5" s="17"/>
      <c r="X5" s="17">
        <f t="shared" si="5"/>
        <v>7500</v>
      </c>
      <c r="Y5" s="6">
        <v>32</v>
      </c>
      <c r="Z5" s="6"/>
      <c r="AA5" s="6">
        <v>30</v>
      </c>
      <c r="AB5" s="17"/>
      <c r="AC5" s="17">
        <f t="shared" si="6"/>
        <v>3200</v>
      </c>
      <c r="AD5" s="17">
        <f t="shared" si="7"/>
        <v>9000</v>
      </c>
    </row>
    <row r="6" spans="1:34" ht="15.75" customHeight="1">
      <c r="A6" s="6">
        <v>3</v>
      </c>
      <c r="B6" s="44" t="s">
        <v>20</v>
      </c>
      <c r="C6" s="6" t="s">
        <v>21</v>
      </c>
      <c r="D6" s="6">
        <v>10</v>
      </c>
      <c r="E6" s="16">
        <v>50000</v>
      </c>
      <c r="F6" s="6">
        <v>3</v>
      </c>
      <c r="G6" s="13">
        <v>60</v>
      </c>
      <c r="H6" s="13"/>
      <c r="I6" s="13">
        <v>30</v>
      </c>
      <c r="J6" s="16"/>
      <c r="K6" s="16">
        <f t="shared" si="0"/>
        <v>6000</v>
      </c>
      <c r="L6" s="20">
        <f t="shared" si="1"/>
        <v>9000</v>
      </c>
      <c r="M6" s="6">
        <v>30</v>
      </c>
      <c r="N6" s="6"/>
      <c r="O6" s="6">
        <v>28</v>
      </c>
      <c r="P6" s="17"/>
      <c r="Q6" s="17">
        <f t="shared" si="2"/>
        <v>3000</v>
      </c>
      <c r="R6" s="17">
        <f t="shared" si="3"/>
        <v>8400</v>
      </c>
      <c r="S6" s="6">
        <v>35</v>
      </c>
      <c r="T6" s="6"/>
      <c r="U6" s="6">
        <v>22</v>
      </c>
      <c r="V6" s="17">
        <f t="shared" si="4"/>
        <v>3500</v>
      </c>
      <c r="W6" s="17"/>
      <c r="X6" s="17">
        <f t="shared" si="5"/>
        <v>6600</v>
      </c>
      <c r="Y6" s="6">
        <v>38</v>
      </c>
      <c r="Z6" s="6"/>
      <c r="AA6" s="6">
        <v>25</v>
      </c>
      <c r="AB6" s="17"/>
      <c r="AC6" s="17">
        <f t="shared" si="6"/>
        <v>3800</v>
      </c>
      <c r="AD6" s="17">
        <f t="shared" si="7"/>
        <v>7500</v>
      </c>
    </row>
    <row r="7" spans="1:34" ht="14">
      <c r="A7" s="6">
        <v>4</v>
      </c>
      <c r="B7" s="44" t="s">
        <v>22</v>
      </c>
      <c r="C7" s="6" t="s">
        <v>19</v>
      </c>
      <c r="D7" s="6">
        <v>7</v>
      </c>
      <c r="E7" s="16">
        <v>25000</v>
      </c>
      <c r="F7" s="45">
        <v>2</v>
      </c>
      <c r="G7" s="13">
        <v>20</v>
      </c>
      <c r="H7" s="13"/>
      <c r="I7" s="13">
        <v>0</v>
      </c>
      <c r="J7" s="16"/>
      <c r="K7" s="16">
        <f t="shared" si="0"/>
        <v>2000</v>
      </c>
      <c r="L7" s="16">
        <f t="shared" si="1"/>
        <v>0</v>
      </c>
      <c r="M7" s="6">
        <v>20</v>
      </c>
      <c r="N7" s="6"/>
      <c r="O7" s="6">
        <v>10</v>
      </c>
      <c r="P7" s="17"/>
      <c r="Q7" s="17">
        <f t="shared" si="2"/>
        <v>2000</v>
      </c>
      <c r="R7" s="17">
        <f t="shared" si="3"/>
        <v>3000</v>
      </c>
      <c r="S7" s="6">
        <v>25</v>
      </c>
      <c r="T7" s="6"/>
      <c r="U7" s="6">
        <v>10</v>
      </c>
      <c r="V7" s="17">
        <f t="shared" si="4"/>
        <v>2500</v>
      </c>
      <c r="W7" s="17"/>
      <c r="X7" s="17">
        <f t="shared" si="5"/>
        <v>3000</v>
      </c>
      <c r="Y7" s="6">
        <v>25</v>
      </c>
      <c r="Z7" s="6"/>
      <c r="AA7" s="6">
        <v>14</v>
      </c>
      <c r="AB7" s="17"/>
      <c r="AC7" s="17">
        <f t="shared" si="6"/>
        <v>2500</v>
      </c>
      <c r="AD7" s="17">
        <f t="shared" si="7"/>
        <v>4200</v>
      </c>
      <c r="AE7" s="18"/>
      <c r="AF7" s="18"/>
      <c r="AG7" s="18"/>
      <c r="AH7" s="18"/>
    </row>
    <row r="8" spans="1:34" ht="15.75" customHeight="1">
      <c r="A8" s="6">
        <v>5</v>
      </c>
      <c r="B8" s="44" t="s">
        <v>23</v>
      </c>
      <c r="C8" s="6" t="s">
        <v>24</v>
      </c>
      <c r="D8" s="6">
        <v>4</v>
      </c>
      <c r="E8" s="16">
        <v>45000</v>
      </c>
      <c r="F8" s="6">
        <v>2</v>
      </c>
      <c r="G8" s="13">
        <v>40</v>
      </c>
      <c r="H8" s="13"/>
      <c r="I8" s="13">
        <v>0</v>
      </c>
      <c r="J8" s="16"/>
      <c r="K8" s="16">
        <f t="shared" si="0"/>
        <v>4000</v>
      </c>
      <c r="L8" s="13">
        <f t="shared" si="1"/>
        <v>0</v>
      </c>
      <c r="M8" s="6">
        <v>10</v>
      </c>
      <c r="N8" s="6"/>
      <c r="O8" s="6">
        <v>15</v>
      </c>
      <c r="P8" s="17"/>
      <c r="Q8" s="17">
        <f t="shared" si="2"/>
        <v>1000</v>
      </c>
      <c r="R8" s="6">
        <f t="shared" si="3"/>
        <v>4500</v>
      </c>
      <c r="S8" s="6">
        <v>20</v>
      </c>
      <c r="T8" s="6"/>
      <c r="U8" s="6">
        <v>10</v>
      </c>
      <c r="V8" s="17">
        <f t="shared" si="4"/>
        <v>2000</v>
      </c>
      <c r="W8" s="6"/>
      <c r="X8" s="6">
        <f t="shared" si="5"/>
        <v>3000</v>
      </c>
      <c r="Y8" s="6">
        <v>30</v>
      </c>
      <c r="Z8" s="6"/>
      <c r="AA8" s="6">
        <v>15</v>
      </c>
      <c r="AB8" s="17"/>
      <c r="AC8" s="17">
        <f>Y8*100</f>
        <v>3000</v>
      </c>
      <c r="AD8" s="6">
        <f>AA8*300</f>
        <v>4500</v>
      </c>
    </row>
    <row r="9" spans="1:34" ht="15.75" customHeight="1">
      <c r="A9" s="6">
        <v>6</v>
      </c>
      <c r="B9" s="44" t="s">
        <v>25</v>
      </c>
      <c r="C9" s="6" t="s">
        <v>26</v>
      </c>
      <c r="D9" s="6">
        <v>3</v>
      </c>
      <c r="E9" s="16">
        <v>30000</v>
      </c>
      <c r="F9" s="6">
        <v>2</v>
      </c>
      <c r="G9" s="13">
        <v>20</v>
      </c>
      <c r="H9" s="13"/>
      <c r="I9" s="13">
        <v>20</v>
      </c>
      <c r="J9" s="16"/>
      <c r="K9" s="16">
        <f t="shared" si="0"/>
        <v>2000</v>
      </c>
      <c r="L9" s="16">
        <f t="shared" si="1"/>
        <v>6000</v>
      </c>
      <c r="M9" s="6">
        <v>20</v>
      </c>
      <c r="N9" s="6"/>
      <c r="O9" s="6">
        <v>10</v>
      </c>
      <c r="P9" s="17"/>
      <c r="Q9" s="17">
        <f t="shared" si="2"/>
        <v>2000</v>
      </c>
      <c r="R9" s="17">
        <f t="shared" si="3"/>
        <v>3000</v>
      </c>
      <c r="S9" s="6">
        <v>40</v>
      </c>
      <c r="T9" s="6"/>
      <c r="U9" s="6">
        <v>5</v>
      </c>
      <c r="V9" s="17">
        <f t="shared" si="4"/>
        <v>4000</v>
      </c>
      <c r="W9" s="17"/>
      <c r="X9" s="17">
        <f t="shared" si="5"/>
        <v>1500</v>
      </c>
      <c r="Y9" s="6">
        <v>32</v>
      </c>
      <c r="Z9" s="6"/>
      <c r="AA9" s="6">
        <v>10</v>
      </c>
      <c r="AB9" s="17"/>
      <c r="AC9" s="17">
        <f t="shared" si="6"/>
        <v>3200</v>
      </c>
      <c r="AD9" s="17">
        <f t="shared" si="7"/>
        <v>3000</v>
      </c>
    </row>
    <row r="10" spans="1:34" ht="15.75" customHeight="1">
      <c r="A10" s="6">
        <v>7</v>
      </c>
      <c r="B10" s="44" t="s">
        <v>27</v>
      </c>
      <c r="C10" s="6" t="s">
        <v>21</v>
      </c>
      <c r="D10" s="6">
        <v>6</v>
      </c>
      <c r="E10" s="16">
        <v>55000</v>
      </c>
      <c r="F10" s="6">
        <v>3</v>
      </c>
      <c r="G10" s="13">
        <v>60</v>
      </c>
      <c r="H10" s="13"/>
      <c r="I10" s="13">
        <v>40</v>
      </c>
      <c r="J10" s="16"/>
      <c r="K10" s="16">
        <f t="shared" si="0"/>
        <v>6000</v>
      </c>
      <c r="L10" s="16">
        <f t="shared" si="1"/>
        <v>12000</v>
      </c>
      <c r="M10" s="6">
        <v>40</v>
      </c>
      <c r="N10" s="6"/>
      <c r="O10" s="6">
        <v>40</v>
      </c>
      <c r="P10" s="17"/>
      <c r="Q10" s="17">
        <f t="shared" si="2"/>
        <v>4000</v>
      </c>
      <c r="R10" s="17">
        <f t="shared" si="3"/>
        <v>12000</v>
      </c>
      <c r="S10" s="6">
        <v>40</v>
      </c>
      <c r="T10" s="6"/>
      <c r="U10" s="6">
        <v>34</v>
      </c>
      <c r="V10" s="17">
        <f t="shared" si="4"/>
        <v>4000</v>
      </c>
      <c r="W10" s="17"/>
      <c r="X10" s="17">
        <f t="shared" si="5"/>
        <v>10200</v>
      </c>
      <c r="Y10" s="6">
        <v>25</v>
      </c>
      <c r="Z10" s="6"/>
      <c r="AA10" s="6">
        <v>30</v>
      </c>
      <c r="AB10" s="17"/>
      <c r="AC10" s="17">
        <f t="shared" si="6"/>
        <v>2500</v>
      </c>
      <c r="AD10" s="17">
        <f t="shared" si="7"/>
        <v>9000</v>
      </c>
    </row>
    <row r="11" spans="1:34" ht="15.75" customHeight="1">
      <c r="A11" s="6">
        <v>8</v>
      </c>
      <c r="B11" s="44" t="s">
        <v>28</v>
      </c>
      <c r="C11" s="6" t="s">
        <v>19</v>
      </c>
      <c r="D11" s="6">
        <v>9</v>
      </c>
      <c r="E11" s="16">
        <v>60000</v>
      </c>
      <c r="F11" s="6">
        <v>3</v>
      </c>
      <c r="G11" s="13">
        <v>40</v>
      </c>
      <c r="H11" s="13"/>
      <c r="I11" s="13">
        <v>40</v>
      </c>
      <c r="J11" s="16"/>
      <c r="K11" s="16">
        <f t="shared" si="0"/>
        <v>4000</v>
      </c>
      <c r="L11" s="16">
        <f t="shared" si="1"/>
        <v>12000</v>
      </c>
      <c r="M11" s="6">
        <v>20</v>
      </c>
      <c r="N11" s="6"/>
      <c r="O11" s="6">
        <v>40</v>
      </c>
      <c r="P11" s="17"/>
      <c r="Q11" s="17">
        <f t="shared" si="2"/>
        <v>2000</v>
      </c>
      <c r="R11" s="17">
        <f t="shared" si="3"/>
        <v>12000</v>
      </c>
      <c r="S11" s="6">
        <v>40</v>
      </c>
      <c r="T11" s="6"/>
      <c r="U11" s="6">
        <v>35</v>
      </c>
      <c r="V11" s="17">
        <f t="shared" si="4"/>
        <v>4000</v>
      </c>
      <c r="W11" s="17"/>
      <c r="X11" s="17">
        <f t="shared" si="5"/>
        <v>10500</v>
      </c>
      <c r="Y11" s="6">
        <v>45</v>
      </c>
      <c r="Z11" s="6"/>
      <c r="AA11" s="6">
        <v>30</v>
      </c>
      <c r="AB11" s="17"/>
      <c r="AC11" s="17">
        <f t="shared" si="6"/>
        <v>4500</v>
      </c>
      <c r="AD11" s="17">
        <f t="shared" si="7"/>
        <v>9000</v>
      </c>
    </row>
    <row r="12" spans="1:34" ht="15.75" customHeight="1">
      <c r="A12" s="6">
        <v>9</v>
      </c>
      <c r="B12" s="44" t="s">
        <v>29</v>
      </c>
      <c r="C12" s="6" t="s">
        <v>24</v>
      </c>
      <c r="D12" s="6">
        <v>4</v>
      </c>
      <c r="E12" s="16">
        <v>30000</v>
      </c>
      <c r="F12" s="6">
        <v>2</v>
      </c>
      <c r="G12" s="13">
        <v>0</v>
      </c>
      <c r="H12" s="13"/>
      <c r="I12" s="13">
        <v>60</v>
      </c>
      <c r="J12" s="16"/>
      <c r="K12" s="16">
        <f t="shared" si="0"/>
        <v>0</v>
      </c>
      <c r="L12" s="16">
        <f t="shared" si="1"/>
        <v>18000</v>
      </c>
      <c r="M12" s="6">
        <v>10</v>
      </c>
      <c r="N12" s="6"/>
      <c r="O12" s="6">
        <v>40</v>
      </c>
      <c r="P12" s="17"/>
      <c r="Q12" s="17">
        <f t="shared" si="2"/>
        <v>1000</v>
      </c>
      <c r="R12" s="17">
        <f t="shared" si="3"/>
        <v>12000</v>
      </c>
      <c r="S12" s="6">
        <v>0</v>
      </c>
      <c r="T12" s="6"/>
      <c r="U12" s="6">
        <v>40</v>
      </c>
      <c r="V12" s="17">
        <f t="shared" si="4"/>
        <v>0</v>
      </c>
      <c r="W12" s="17"/>
      <c r="X12" s="17">
        <f t="shared" si="5"/>
        <v>12000</v>
      </c>
      <c r="Y12" s="6">
        <v>15</v>
      </c>
      <c r="Z12" s="6"/>
      <c r="AA12" s="6">
        <v>37</v>
      </c>
      <c r="AB12" s="17"/>
      <c r="AC12" s="17">
        <f t="shared" si="6"/>
        <v>1500</v>
      </c>
      <c r="AD12" s="17">
        <f t="shared" si="7"/>
        <v>11100</v>
      </c>
    </row>
    <row r="13" spans="1:34" ht="15.75" customHeight="1">
      <c r="A13" s="6">
        <v>10</v>
      </c>
      <c r="B13" s="44" t="s">
        <v>30</v>
      </c>
      <c r="C13" s="6" t="s">
        <v>21</v>
      </c>
      <c r="D13" s="6">
        <v>6</v>
      </c>
      <c r="E13" s="16">
        <v>60000</v>
      </c>
      <c r="F13" s="6">
        <v>3</v>
      </c>
      <c r="G13" s="13">
        <v>20</v>
      </c>
      <c r="H13" s="13"/>
      <c r="I13" s="13">
        <v>50</v>
      </c>
      <c r="J13" s="16"/>
      <c r="K13" s="16">
        <f t="shared" si="0"/>
        <v>2000</v>
      </c>
      <c r="L13" s="16">
        <f t="shared" si="1"/>
        <v>15000</v>
      </c>
      <c r="M13" s="6">
        <v>20</v>
      </c>
      <c r="N13" s="6"/>
      <c r="O13" s="6">
        <v>38</v>
      </c>
      <c r="P13" s="17"/>
      <c r="Q13" s="17">
        <f t="shared" si="2"/>
        <v>2000</v>
      </c>
      <c r="R13" s="17">
        <f t="shared" si="3"/>
        <v>11400</v>
      </c>
      <c r="S13" s="6">
        <v>26</v>
      </c>
      <c r="T13" s="6"/>
      <c r="U13" s="6">
        <v>35</v>
      </c>
      <c r="V13" s="17">
        <f t="shared" si="4"/>
        <v>2600</v>
      </c>
      <c r="W13" s="17"/>
      <c r="X13" s="17">
        <f t="shared" si="5"/>
        <v>10500</v>
      </c>
      <c r="Y13" s="6">
        <v>15</v>
      </c>
      <c r="Z13" s="6"/>
      <c r="AA13" s="6">
        <v>38</v>
      </c>
      <c r="AB13" s="17"/>
      <c r="AC13" s="17">
        <f t="shared" si="6"/>
        <v>1500</v>
      </c>
      <c r="AD13" s="17">
        <f t="shared" si="7"/>
        <v>11400</v>
      </c>
    </row>
    <row r="14" spans="1:34" ht="15.75" customHeight="1">
      <c r="A14" s="6">
        <v>11</v>
      </c>
      <c r="B14" s="44" t="s">
        <v>31</v>
      </c>
      <c r="C14" s="6" t="s">
        <v>32</v>
      </c>
      <c r="D14" s="6">
        <v>4</v>
      </c>
      <c r="E14" s="16">
        <v>30000</v>
      </c>
      <c r="F14" s="6">
        <v>2</v>
      </c>
      <c r="G14" s="13">
        <v>80</v>
      </c>
      <c r="H14" s="13"/>
      <c r="I14" s="13">
        <v>0</v>
      </c>
      <c r="J14" s="16"/>
      <c r="K14" s="16">
        <f t="shared" si="0"/>
        <v>8000</v>
      </c>
      <c r="L14" s="16">
        <f t="shared" si="1"/>
        <v>0</v>
      </c>
      <c r="M14" s="6">
        <v>55</v>
      </c>
      <c r="N14" s="6"/>
      <c r="O14" s="6">
        <v>10</v>
      </c>
      <c r="P14" s="17"/>
      <c r="Q14" s="17">
        <f t="shared" si="2"/>
        <v>5500</v>
      </c>
      <c r="R14" s="17">
        <f t="shared" si="3"/>
        <v>3000</v>
      </c>
      <c r="S14" s="6">
        <v>35</v>
      </c>
      <c r="T14" s="6"/>
      <c r="U14" s="6">
        <v>15</v>
      </c>
      <c r="V14" s="17">
        <f t="shared" si="4"/>
        <v>3500</v>
      </c>
      <c r="W14" s="17"/>
      <c r="X14" s="17">
        <f t="shared" si="5"/>
        <v>4500</v>
      </c>
      <c r="Y14" s="6">
        <v>25</v>
      </c>
      <c r="Z14" s="6"/>
      <c r="AA14" s="6">
        <v>22</v>
      </c>
      <c r="AB14" s="17"/>
      <c r="AC14" s="17">
        <f t="shared" si="6"/>
        <v>2500</v>
      </c>
      <c r="AD14" s="17">
        <f t="shared" si="7"/>
        <v>6600</v>
      </c>
    </row>
    <row r="15" spans="1:34" ht="15.75" customHeight="1">
      <c r="A15" s="6">
        <v>12</v>
      </c>
      <c r="B15" s="44" t="s">
        <v>33</v>
      </c>
      <c r="C15" s="6" t="s">
        <v>32</v>
      </c>
      <c r="D15" s="6">
        <v>6</v>
      </c>
      <c r="E15" s="16">
        <v>55000</v>
      </c>
      <c r="F15" s="6">
        <v>3</v>
      </c>
      <c r="G15" s="13">
        <v>20</v>
      </c>
      <c r="H15" s="13"/>
      <c r="I15" s="13">
        <v>40</v>
      </c>
      <c r="J15" s="16"/>
      <c r="K15" s="16">
        <f t="shared" si="0"/>
        <v>2000</v>
      </c>
      <c r="L15" s="16">
        <f t="shared" si="1"/>
        <v>12000</v>
      </c>
      <c r="M15" s="6">
        <v>20</v>
      </c>
      <c r="N15" s="6"/>
      <c r="O15" s="6">
        <v>35</v>
      </c>
      <c r="P15" s="17"/>
      <c r="Q15" s="17">
        <f t="shared" si="2"/>
        <v>2000</v>
      </c>
      <c r="R15" s="17">
        <f t="shared" si="3"/>
        <v>10500</v>
      </c>
      <c r="S15" s="6">
        <v>10</v>
      </c>
      <c r="T15" s="6"/>
      <c r="U15" s="6">
        <v>30</v>
      </c>
      <c r="V15" s="17">
        <f t="shared" si="4"/>
        <v>1000</v>
      </c>
      <c r="W15" s="17"/>
      <c r="X15" s="17">
        <f t="shared" si="5"/>
        <v>9000</v>
      </c>
      <c r="Y15" s="6">
        <v>10</v>
      </c>
      <c r="Z15" s="6"/>
      <c r="AA15" s="6">
        <v>25</v>
      </c>
      <c r="AB15" s="17"/>
      <c r="AC15" s="17">
        <f t="shared" si="6"/>
        <v>1000</v>
      </c>
      <c r="AD15" s="17">
        <f t="shared" si="7"/>
        <v>7500</v>
      </c>
    </row>
    <row r="16" spans="1:34" ht="15.75" customHeight="1">
      <c r="A16" s="6">
        <v>13</v>
      </c>
      <c r="B16" s="44" t="s">
        <v>34</v>
      </c>
      <c r="C16" s="6" t="s">
        <v>21</v>
      </c>
      <c r="D16" s="6">
        <v>9</v>
      </c>
      <c r="E16" s="16">
        <v>45000</v>
      </c>
      <c r="F16" s="6">
        <v>2</v>
      </c>
      <c r="G16" s="13">
        <v>40</v>
      </c>
      <c r="H16" s="13"/>
      <c r="I16" s="13">
        <v>0</v>
      </c>
      <c r="J16" s="16"/>
      <c r="K16" s="16">
        <f t="shared" si="0"/>
        <v>4000</v>
      </c>
      <c r="L16" s="16">
        <f t="shared" si="1"/>
        <v>0</v>
      </c>
      <c r="M16" s="6">
        <v>35</v>
      </c>
      <c r="N16" s="6"/>
      <c r="O16" s="6">
        <v>0</v>
      </c>
      <c r="P16" s="17"/>
      <c r="Q16" s="17">
        <f t="shared" si="2"/>
        <v>3500</v>
      </c>
      <c r="R16" s="17">
        <f t="shared" si="3"/>
        <v>0</v>
      </c>
      <c r="S16" s="6">
        <v>20</v>
      </c>
      <c r="T16" s="6"/>
      <c r="U16" s="6">
        <v>25</v>
      </c>
      <c r="V16" s="17">
        <f t="shared" si="4"/>
        <v>2000</v>
      </c>
      <c r="W16" s="17"/>
      <c r="X16" s="17">
        <f t="shared" si="5"/>
        <v>7500</v>
      </c>
      <c r="Y16" s="6">
        <v>35</v>
      </c>
      <c r="Z16" s="6"/>
      <c r="AA16" s="6">
        <v>25</v>
      </c>
      <c r="AB16" s="17"/>
      <c r="AC16" s="17">
        <f t="shared" si="6"/>
        <v>3500</v>
      </c>
      <c r="AD16" s="17">
        <f t="shared" si="7"/>
        <v>7500</v>
      </c>
    </row>
    <row r="17" spans="1:34" ht="15.75" customHeight="1">
      <c r="A17" s="6">
        <v>14</v>
      </c>
      <c r="B17" s="44" t="s">
        <v>35</v>
      </c>
      <c r="C17" s="6" t="s">
        <v>21</v>
      </c>
      <c r="D17" s="6">
        <v>6</v>
      </c>
      <c r="E17" s="16">
        <v>45000</v>
      </c>
      <c r="F17" s="6">
        <v>2</v>
      </c>
      <c r="G17" s="13">
        <v>0</v>
      </c>
      <c r="H17" s="13"/>
      <c r="I17" s="13">
        <v>40</v>
      </c>
      <c r="J17" s="16"/>
      <c r="K17" s="16">
        <f t="shared" si="0"/>
        <v>0</v>
      </c>
      <c r="L17" s="16">
        <f t="shared" si="1"/>
        <v>12000</v>
      </c>
      <c r="M17" s="6">
        <v>20</v>
      </c>
      <c r="N17" s="6"/>
      <c r="O17" s="6">
        <v>20</v>
      </c>
      <c r="P17" s="17"/>
      <c r="Q17" s="17">
        <f t="shared" si="2"/>
        <v>2000</v>
      </c>
      <c r="R17" s="17">
        <f t="shared" si="3"/>
        <v>6000</v>
      </c>
      <c r="S17" s="6">
        <v>25</v>
      </c>
      <c r="T17" s="6"/>
      <c r="U17" s="6">
        <v>20</v>
      </c>
      <c r="V17" s="17">
        <f t="shared" si="4"/>
        <v>2500</v>
      </c>
      <c r="W17" s="17"/>
      <c r="X17" s="17">
        <f t="shared" si="5"/>
        <v>6000</v>
      </c>
      <c r="Y17" s="6">
        <v>30</v>
      </c>
      <c r="Z17" s="6"/>
      <c r="AA17" s="6">
        <v>22</v>
      </c>
      <c r="AB17" s="17"/>
      <c r="AC17" s="17">
        <f t="shared" si="6"/>
        <v>3000</v>
      </c>
      <c r="AD17" s="17">
        <f t="shared" si="7"/>
        <v>6600</v>
      </c>
    </row>
    <row r="18" spans="1:34" ht="15.75" customHeight="1">
      <c r="A18" s="6">
        <v>15</v>
      </c>
      <c r="B18" s="44" t="s">
        <v>36</v>
      </c>
      <c r="C18" s="6" t="s">
        <v>21</v>
      </c>
      <c r="D18" s="6">
        <v>12</v>
      </c>
      <c r="E18" s="16">
        <v>50000</v>
      </c>
      <c r="F18" s="6">
        <v>3</v>
      </c>
      <c r="G18" s="13">
        <v>10</v>
      </c>
      <c r="H18" s="13"/>
      <c r="I18" s="13">
        <v>40</v>
      </c>
      <c r="J18" s="16"/>
      <c r="K18" s="16">
        <f t="shared" si="0"/>
        <v>1000</v>
      </c>
      <c r="L18" s="16">
        <f t="shared" si="1"/>
        <v>12000</v>
      </c>
      <c r="M18" s="6">
        <v>0</v>
      </c>
      <c r="N18" s="6"/>
      <c r="O18" s="6">
        <v>30</v>
      </c>
      <c r="P18" s="17"/>
      <c r="Q18" s="17">
        <f t="shared" si="2"/>
        <v>0</v>
      </c>
      <c r="R18" s="17">
        <f t="shared" si="3"/>
        <v>9000</v>
      </c>
      <c r="S18" s="6">
        <v>0</v>
      </c>
      <c r="T18" s="6"/>
      <c r="U18" s="6">
        <v>40</v>
      </c>
      <c r="V18" s="17">
        <f t="shared" si="4"/>
        <v>0</v>
      </c>
      <c r="W18" s="17"/>
      <c r="X18" s="17">
        <f t="shared" si="5"/>
        <v>12000</v>
      </c>
      <c r="Y18" s="6">
        <v>0</v>
      </c>
      <c r="Z18" s="6"/>
      <c r="AA18" s="6">
        <v>42</v>
      </c>
      <c r="AB18" s="17"/>
      <c r="AC18" s="17">
        <f t="shared" si="6"/>
        <v>0</v>
      </c>
      <c r="AD18" s="17">
        <f t="shared" si="7"/>
        <v>12600</v>
      </c>
    </row>
    <row r="19" spans="1:34" ht="15.75" customHeight="1">
      <c r="A19" s="6">
        <v>16</v>
      </c>
      <c r="B19" s="44" t="s">
        <v>37</v>
      </c>
      <c r="C19" s="6" t="s">
        <v>38</v>
      </c>
      <c r="D19" s="6">
        <v>7</v>
      </c>
      <c r="E19" s="16">
        <v>45000</v>
      </c>
      <c r="F19" s="6">
        <v>3</v>
      </c>
      <c r="G19" s="13">
        <v>40</v>
      </c>
      <c r="H19" s="13"/>
      <c r="I19" s="13">
        <v>40</v>
      </c>
      <c r="J19" s="16"/>
      <c r="K19" s="16">
        <f t="shared" si="0"/>
        <v>4000</v>
      </c>
      <c r="L19" s="16">
        <f t="shared" si="1"/>
        <v>12000</v>
      </c>
      <c r="M19" s="6">
        <v>40</v>
      </c>
      <c r="N19" s="6"/>
      <c r="O19" s="6">
        <v>40</v>
      </c>
      <c r="P19" s="17"/>
      <c r="Q19" s="17">
        <f t="shared" si="2"/>
        <v>4000</v>
      </c>
      <c r="R19" s="17">
        <f t="shared" si="3"/>
        <v>12000</v>
      </c>
      <c r="S19" s="6">
        <v>45</v>
      </c>
      <c r="T19" s="6"/>
      <c r="U19" s="6">
        <v>35</v>
      </c>
      <c r="V19" s="17">
        <f t="shared" si="4"/>
        <v>4500</v>
      </c>
      <c r="W19" s="17"/>
      <c r="X19" s="17">
        <f t="shared" si="5"/>
        <v>10500</v>
      </c>
      <c r="Y19" s="6">
        <v>40</v>
      </c>
      <c r="Z19" s="6"/>
      <c r="AA19" s="6">
        <v>38</v>
      </c>
      <c r="AB19" s="17"/>
      <c r="AC19" s="17">
        <f t="shared" si="6"/>
        <v>4000</v>
      </c>
      <c r="AD19" s="17">
        <f t="shared" si="7"/>
        <v>11400</v>
      </c>
    </row>
    <row r="20" spans="1:34" ht="15.75" customHeight="1">
      <c r="A20" s="6">
        <v>17</v>
      </c>
      <c r="B20" s="44" t="s">
        <v>39</v>
      </c>
      <c r="C20" s="6" t="s">
        <v>40</v>
      </c>
      <c r="D20" s="6">
        <v>6</v>
      </c>
      <c r="E20" s="16">
        <v>60000</v>
      </c>
      <c r="F20" s="6">
        <v>2</v>
      </c>
      <c r="G20" s="13">
        <v>20</v>
      </c>
      <c r="H20" s="13"/>
      <c r="I20" s="13">
        <v>40</v>
      </c>
      <c r="J20" s="16"/>
      <c r="K20" s="16">
        <f t="shared" si="0"/>
        <v>2000</v>
      </c>
      <c r="L20" s="16">
        <f t="shared" si="1"/>
        <v>12000</v>
      </c>
      <c r="M20" s="6">
        <v>20</v>
      </c>
      <c r="N20" s="6"/>
      <c r="O20" s="6">
        <v>40</v>
      </c>
      <c r="P20" s="17"/>
      <c r="Q20" s="17">
        <f t="shared" si="2"/>
        <v>2000</v>
      </c>
      <c r="R20" s="17">
        <f t="shared" si="3"/>
        <v>12000</v>
      </c>
      <c r="S20" s="6">
        <v>26</v>
      </c>
      <c r="T20" s="6"/>
      <c r="U20" s="6">
        <v>15</v>
      </c>
      <c r="V20" s="17">
        <f t="shared" si="4"/>
        <v>2600</v>
      </c>
      <c r="W20" s="17"/>
      <c r="X20" s="17">
        <f t="shared" si="5"/>
        <v>4500</v>
      </c>
      <c r="Y20" s="6">
        <v>20</v>
      </c>
      <c r="Z20" s="6"/>
      <c r="AA20" s="6">
        <v>20</v>
      </c>
      <c r="AB20" s="17"/>
      <c r="AC20" s="17">
        <f t="shared" si="6"/>
        <v>2000</v>
      </c>
      <c r="AD20" s="17">
        <f t="shared" si="7"/>
        <v>6000</v>
      </c>
    </row>
    <row r="21" spans="1:34" ht="15.75" customHeight="1">
      <c r="A21" s="6">
        <v>18</v>
      </c>
      <c r="B21" s="44" t="s">
        <v>41</v>
      </c>
      <c r="C21" s="6" t="s">
        <v>26</v>
      </c>
      <c r="D21" s="6">
        <v>5</v>
      </c>
      <c r="E21" s="16">
        <v>45000</v>
      </c>
      <c r="F21" s="6">
        <v>2</v>
      </c>
      <c r="G21" s="13">
        <v>60</v>
      </c>
      <c r="H21" s="13"/>
      <c r="I21" s="13">
        <v>0</v>
      </c>
      <c r="J21" s="16"/>
      <c r="K21" s="16">
        <f t="shared" si="0"/>
        <v>6000</v>
      </c>
      <c r="L21" s="16">
        <f t="shared" si="1"/>
        <v>0</v>
      </c>
      <c r="M21" s="6">
        <v>60</v>
      </c>
      <c r="N21" s="6"/>
      <c r="O21" s="6">
        <v>0</v>
      </c>
      <c r="P21" s="17"/>
      <c r="Q21" s="17">
        <f t="shared" si="2"/>
        <v>6000</v>
      </c>
      <c r="R21" s="17">
        <f t="shared" si="3"/>
        <v>0</v>
      </c>
      <c r="S21" s="6">
        <v>45</v>
      </c>
      <c r="T21" s="6"/>
      <c r="U21" s="6">
        <v>0</v>
      </c>
      <c r="V21" s="17">
        <f t="shared" si="4"/>
        <v>4500</v>
      </c>
      <c r="W21" s="17"/>
      <c r="X21" s="17">
        <f t="shared" si="5"/>
        <v>0</v>
      </c>
      <c r="Y21" s="6">
        <v>40</v>
      </c>
      <c r="Z21" s="6"/>
      <c r="AA21" s="6">
        <v>10</v>
      </c>
      <c r="AB21" s="17"/>
      <c r="AC21" s="17">
        <f t="shared" si="6"/>
        <v>4000</v>
      </c>
      <c r="AD21" s="17">
        <f t="shared" si="7"/>
        <v>3000</v>
      </c>
    </row>
    <row r="22" spans="1:34" ht="14">
      <c r="A22" s="6">
        <v>19</v>
      </c>
      <c r="B22" s="44" t="s">
        <v>42</v>
      </c>
      <c r="C22" s="6" t="s">
        <v>24</v>
      </c>
      <c r="D22" s="6">
        <v>5</v>
      </c>
      <c r="E22" s="17">
        <v>45000</v>
      </c>
      <c r="F22" s="6">
        <v>2</v>
      </c>
      <c r="G22" s="13">
        <v>40</v>
      </c>
      <c r="H22" s="13"/>
      <c r="I22" s="13">
        <v>0</v>
      </c>
      <c r="J22" s="17"/>
      <c r="K22" s="17">
        <f t="shared" si="0"/>
        <v>4000</v>
      </c>
      <c r="L22" s="6">
        <f t="shared" si="1"/>
        <v>0</v>
      </c>
      <c r="M22" s="6">
        <v>40</v>
      </c>
      <c r="N22" s="6"/>
      <c r="O22" s="6">
        <v>0</v>
      </c>
      <c r="P22" s="17"/>
      <c r="Q22" s="17">
        <f t="shared" si="2"/>
        <v>4000</v>
      </c>
      <c r="R22" s="6">
        <f t="shared" si="3"/>
        <v>0</v>
      </c>
      <c r="S22" s="6">
        <v>35</v>
      </c>
      <c r="T22" s="6"/>
      <c r="U22" s="6">
        <v>5</v>
      </c>
      <c r="V22" s="17">
        <f t="shared" si="4"/>
        <v>3500</v>
      </c>
      <c r="W22" s="6"/>
      <c r="X22" s="6">
        <f t="shared" si="5"/>
        <v>1500</v>
      </c>
      <c r="Y22" s="6">
        <v>40</v>
      </c>
      <c r="Z22" s="6"/>
      <c r="AA22" s="6">
        <v>10</v>
      </c>
      <c r="AB22" s="17"/>
      <c r="AC22" s="17">
        <f t="shared" si="6"/>
        <v>4000</v>
      </c>
      <c r="AD22" s="6">
        <f t="shared" si="7"/>
        <v>3000</v>
      </c>
      <c r="AE22" s="18"/>
      <c r="AF22" s="18"/>
      <c r="AG22" s="18"/>
      <c r="AH22" s="18"/>
    </row>
    <row r="23" spans="1:34" ht="15.75" customHeight="1">
      <c r="A23" s="6">
        <v>20</v>
      </c>
      <c r="B23" s="44" t="s">
        <v>43</v>
      </c>
      <c r="C23" s="6" t="s">
        <v>19</v>
      </c>
      <c r="D23" s="6">
        <v>8</v>
      </c>
      <c r="E23" s="16">
        <v>60000</v>
      </c>
      <c r="F23" s="6">
        <v>3</v>
      </c>
      <c r="G23" s="13">
        <v>40</v>
      </c>
      <c r="H23" s="13"/>
      <c r="I23" s="13">
        <v>10</v>
      </c>
      <c r="J23" s="16"/>
      <c r="K23" s="16">
        <f t="shared" si="0"/>
        <v>4000</v>
      </c>
      <c r="L23" s="16">
        <f t="shared" si="1"/>
        <v>3000</v>
      </c>
      <c r="M23" s="6">
        <v>20</v>
      </c>
      <c r="N23" s="6"/>
      <c r="O23" s="6">
        <v>10</v>
      </c>
      <c r="P23" s="17"/>
      <c r="Q23" s="17">
        <f t="shared" si="2"/>
        <v>2000</v>
      </c>
      <c r="R23" s="17">
        <f t="shared" si="3"/>
        <v>3000</v>
      </c>
      <c r="S23" s="6">
        <v>25</v>
      </c>
      <c r="T23" s="6"/>
      <c r="U23" s="6">
        <v>10</v>
      </c>
      <c r="V23" s="17">
        <f t="shared" si="4"/>
        <v>2500</v>
      </c>
      <c r="W23" s="17"/>
      <c r="X23" s="17">
        <f t="shared" si="5"/>
        <v>3000</v>
      </c>
      <c r="Y23" s="6">
        <v>20</v>
      </c>
      <c r="Z23" s="6"/>
      <c r="AA23" s="6">
        <v>10</v>
      </c>
      <c r="AB23" s="17"/>
      <c r="AC23" s="17">
        <f t="shared" si="6"/>
        <v>2000</v>
      </c>
      <c r="AD23" s="17">
        <f t="shared" si="7"/>
        <v>3000</v>
      </c>
    </row>
    <row r="24" spans="1:34" ht="15.75" customHeight="1">
      <c r="A24" s="6">
        <v>21</v>
      </c>
      <c r="B24" s="44" t="s">
        <v>44</v>
      </c>
      <c r="C24" s="6" t="s">
        <v>40</v>
      </c>
      <c r="D24" s="6">
        <v>10</v>
      </c>
      <c r="E24" s="16">
        <v>50000</v>
      </c>
      <c r="F24" s="6">
        <v>3</v>
      </c>
      <c r="G24" s="13">
        <v>40</v>
      </c>
      <c r="H24" s="13"/>
      <c r="I24" s="13">
        <v>40</v>
      </c>
      <c r="J24" s="16"/>
      <c r="K24" s="16">
        <f t="shared" si="0"/>
        <v>4000</v>
      </c>
      <c r="L24" s="16">
        <f t="shared" si="1"/>
        <v>12000</v>
      </c>
      <c r="M24" s="6">
        <v>25</v>
      </c>
      <c r="N24" s="6"/>
      <c r="O24" s="6">
        <v>15</v>
      </c>
      <c r="P24" s="17"/>
      <c r="Q24" s="17">
        <f t="shared" si="2"/>
        <v>2500</v>
      </c>
      <c r="R24" s="17">
        <f t="shared" si="3"/>
        <v>4500</v>
      </c>
      <c r="S24" s="6">
        <v>45</v>
      </c>
      <c r="T24" s="6"/>
      <c r="U24" s="6">
        <v>25</v>
      </c>
      <c r="V24" s="17">
        <f t="shared" si="4"/>
        <v>4500</v>
      </c>
      <c r="W24" s="17"/>
      <c r="X24" s="17">
        <f t="shared" si="5"/>
        <v>7500</v>
      </c>
      <c r="Y24" s="6">
        <v>40</v>
      </c>
      <c r="Z24" s="6"/>
      <c r="AA24" s="6">
        <v>27</v>
      </c>
      <c r="AB24" s="17"/>
      <c r="AC24" s="17">
        <f t="shared" si="6"/>
        <v>4000</v>
      </c>
      <c r="AD24" s="17">
        <f t="shared" si="7"/>
        <v>8100</v>
      </c>
    </row>
    <row r="25" spans="1:34" ht="15.75" customHeight="1">
      <c r="A25" s="6">
        <v>22</v>
      </c>
      <c r="B25" s="44" t="s">
        <v>45</v>
      </c>
      <c r="C25" s="6" t="s">
        <v>24</v>
      </c>
      <c r="D25" s="6">
        <v>8</v>
      </c>
      <c r="E25" s="16">
        <v>60000</v>
      </c>
      <c r="F25" s="6">
        <v>3</v>
      </c>
      <c r="G25" s="13">
        <v>20</v>
      </c>
      <c r="H25" s="13"/>
      <c r="I25" s="13">
        <v>30</v>
      </c>
      <c r="J25" s="16"/>
      <c r="K25" s="16">
        <f t="shared" si="0"/>
        <v>2000</v>
      </c>
      <c r="L25" s="16">
        <f t="shared" si="1"/>
        <v>9000</v>
      </c>
      <c r="M25" s="6">
        <v>10</v>
      </c>
      <c r="N25" s="6"/>
      <c r="O25" s="6">
        <v>20</v>
      </c>
      <c r="P25" s="17"/>
      <c r="Q25" s="17">
        <f t="shared" si="2"/>
        <v>1000</v>
      </c>
      <c r="R25" s="17">
        <f t="shared" si="3"/>
        <v>6000</v>
      </c>
      <c r="S25" s="6">
        <v>50</v>
      </c>
      <c r="T25" s="6"/>
      <c r="U25" s="6">
        <v>18</v>
      </c>
      <c r="V25" s="17">
        <f t="shared" si="4"/>
        <v>5000</v>
      </c>
      <c r="W25" s="17"/>
      <c r="X25" s="17">
        <f t="shared" si="5"/>
        <v>5400</v>
      </c>
      <c r="Y25" s="6">
        <v>40</v>
      </c>
      <c r="Z25" s="6"/>
      <c r="AA25" s="6">
        <v>30</v>
      </c>
      <c r="AB25" s="17"/>
      <c r="AC25" s="17">
        <f t="shared" si="6"/>
        <v>4000</v>
      </c>
      <c r="AD25" s="17">
        <f t="shared" si="7"/>
        <v>9000</v>
      </c>
    </row>
    <row r="26" spans="1:34" ht="15.75" customHeight="1">
      <c r="A26" s="6">
        <v>23</v>
      </c>
      <c r="B26" s="44" t="s">
        <v>46</v>
      </c>
      <c r="C26" s="6" t="s">
        <v>24</v>
      </c>
      <c r="D26" s="6">
        <v>4</v>
      </c>
      <c r="E26" s="16">
        <v>30000</v>
      </c>
      <c r="F26" s="6">
        <v>2</v>
      </c>
      <c r="G26" s="13">
        <v>40</v>
      </c>
      <c r="H26" s="13"/>
      <c r="I26" s="13">
        <v>0</v>
      </c>
      <c r="J26" s="16"/>
      <c r="K26" s="16">
        <f t="shared" si="0"/>
        <v>4000</v>
      </c>
      <c r="L26" s="16">
        <f t="shared" si="1"/>
        <v>0</v>
      </c>
      <c r="M26" s="6">
        <v>20</v>
      </c>
      <c r="N26" s="6"/>
      <c r="O26" s="6">
        <v>10</v>
      </c>
      <c r="P26" s="17"/>
      <c r="Q26" s="17">
        <f t="shared" si="2"/>
        <v>2000</v>
      </c>
      <c r="R26" s="17">
        <f t="shared" si="3"/>
        <v>3000</v>
      </c>
      <c r="S26" s="6">
        <v>45</v>
      </c>
      <c r="T26" s="6"/>
      <c r="U26" s="6">
        <v>0</v>
      </c>
      <c r="V26" s="17">
        <f t="shared" si="4"/>
        <v>4500</v>
      </c>
      <c r="W26" s="17"/>
      <c r="X26" s="17">
        <f t="shared" si="5"/>
        <v>0</v>
      </c>
      <c r="Y26" s="6">
        <v>25</v>
      </c>
      <c r="Z26" s="6"/>
      <c r="AA26" s="6">
        <v>10</v>
      </c>
      <c r="AB26" s="17"/>
      <c r="AC26" s="17">
        <f t="shared" si="6"/>
        <v>2500</v>
      </c>
      <c r="AD26" s="17">
        <f t="shared" si="7"/>
        <v>3000</v>
      </c>
    </row>
    <row r="27" spans="1:34" ht="15.75" customHeight="1">
      <c r="A27" s="6">
        <v>24</v>
      </c>
      <c r="B27" s="44" t="s">
        <v>47</v>
      </c>
      <c r="C27" s="6" t="s">
        <v>19</v>
      </c>
      <c r="D27" s="6">
        <v>6</v>
      </c>
      <c r="E27" s="16">
        <v>45000</v>
      </c>
      <c r="F27" s="6">
        <v>2</v>
      </c>
      <c r="G27" s="13">
        <v>0</v>
      </c>
      <c r="H27" s="13"/>
      <c r="I27" s="13">
        <v>40</v>
      </c>
      <c r="J27" s="16"/>
      <c r="K27" s="16">
        <f t="shared" si="0"/>
        <v>0</v>
      </c>
      <c r="L27" s="16">
        <f t="shared" si="1"/>
        <v>12000</v>
      </c>
      <c r="M27" s="6">
        <v>0</v>
      </c>
      <c r="N27" s="6"/>
      <c r="O27" s="6">
        <v>35</v>
      </c>
      <c r="P27" s="17"/>
      <c r="Q27" s="17">
        <f t="shared" si="2"/>
        <v>0</v>
      </c>
      <c r="R27" s="17">
        <f t="shared" si="3"/>
        <v>10500</v>
      </c>
      <c r="S27" s="6">
        <v>40</v>
      </c>
      <c r="T27" s="6"/>
      <c r="U27" s="6">
        <v>15</v>
      </c>
      <c r="V27" s="17">
        <f t="shared" si="4"/>
        <v>4000</v>
      </c>
      <c r="W27" s="17"/>
      <c r="X27" s="17">
        <f t="shared" si="5"/>
        <v>4500</v>
      </c>
      <c r="Y27" s="6">
        <v>36</v>
      </c>
      <c r="Z27" s="6"/>
      <c r="AA27" s="6">
        <v>15</v>
      </c>
      <c r="AB27" s="17"/>
      <c r="AC27" s="17">
        <f t="shared" si="6"/>
        <v>3600</v>
      </c>
      <c r="AD27" s="17">
        <f t="shared" si="7"/>
        <v>4500</v>
      </c>
    </row>
    <row r="28" spans="1:34" ht="15.75" customHeight="1">
      <c r="A28" s="6">
        <v>25</v>
      </c>
      <c r="B28" s="44" t="s">
        <v>48</v>
      </c>
      <c r="C28" s="6" t="s">
        <v>24</v>
      </c>
      <c r="D28" s="6">
        <v>4</v>
      </c>
      <c r="E28" s="16">
        <v>30000</v>
      </c>
      <c r="F28" s="6">
        <v>2</v>
      </c>
      <c r="G28" s="13">
        <v>80</v>
      </c>
      <c r="H28" s="13"/>
      <c r="I28" s="13">
        <v>0</v>
      </c>
      <c r="J28" s="16"/>
      <c r="K28" s="16">
        <f t="shared" si="0"/>
        <v>8000</v>
      </c>
      <c r="L28" s="16">
        <f t="shared" si="1"/>
        <v>0</v>
      </c>
      <c r="M28" s="6">
        <v>40</v>
      </c>
      <c r="N28" s="6"/>
      <c r="O28" s="6">
        <v>10</v>
      </c>
      <c r="P28" s="17"/>
      <c r="Q28" s="17">
        <f t="shared" si="2"/>
        <v>4000</v>
      </c>
      <c r="R28" s="17">
        <f t="shared" si="3"/>
        <v>3000</v>
      </c>
      <c r="S28" s="6">
        <v>55</v>
      </c>
      <c r="T28" s="6"/>
      <c r="U28" s="6">
        <v>0</v>
      </c>
      <c r="V28" s="17">
        <f t="shared" si="4"/>
        <v>5500</v>
      </c>
      <c r="W28" s="17"/>
      <c r="X28" s="17">
        <f t="shared" si="5"/>
        <v>0</v>
      </c>
      <c r="Y28" s="6">
        <v>30</v>
      </c>
      <c r="Z28" s="6"/>
      <c r="AA28" s="6">
        <v>10</v>
      </c>
      <c r="AB28" s="17"/>
      <c r="AC28" s="17">
        <f t="shared" si="6"/>
        <v>3000</v>
      </c>
      <c r="AD28" s="17">
        <f t="shared" si="7"/>
        <v>3000</v>
      </c>
    </row>
    <row r="29" spans="1:34" ht="15.75" customHeight="1">
      <c r="A29" s="6">
        <v>26</v>
      </c>
      <c r="B29" s="44" t="s">
        <v>49</v>
      </c>
      <c r="C29" s="6" t="s">
        <v>38</v>
      </c>
      <c r="D29" s="6">
        <v>2</v>
      </c>
      <c r="E29" s="16">
        <v>45000</v>
      </c>
      <c r="F29" s="6">
        <v>2</v>
      </c>
      <c r="G29" s="13">
        <v>60</v>
      </c>
      <c r="H29" s="13"/>
      <c r="I29" s="13">
        <v>0</v>
      </c>
      <c r="J29" s="16"/>
      <c r="K29" s="16">
        <f t="shared" si="0"/>
        <v>6000</v>
      </c>
      <c r="L29" s="16">
        <f t="shared" si="1"/>
        <v>0</v>
      </c>
      <c r="M29" s="6">
        <v>45</v>
      </c>
      <c r="N29" s="6"/>
      <c r="O29" s="6">
        <v>0</v>
      </c>
      <c r="P29" s="17"/>
      <c r="Q29" s="17">
        <f t="shared" si="2"/>
        <v>4500</v>
      </c>
      <c r="R29" s="17">
        <f t="shared" si="3"/>
        <v>0</v>
      </c>
      <c r="S29" s="6">
        <v>55</v>
      </c>
      <c r="T29" s="6"/>
      <c r="U29" s="6">
        <v>0</v>
      </c>
      <c r="V29" s="17">
        <f t="shared" si="4"/>
        <v>5500</v>
      </c>
      <c r="W29" s="17"/>
      <c r="X29" s="17">
        <f t="shared" si="5"/>
        <v>0</v>
      </c>
      <c r="Y29" s="6">
        <v>30</v>
      </c>
      <c r="Z29" s="6"/>
      <c r="AA29" s="6">
        <v>10</v>
      </c>
      <c r="AB29" s="17"/>
      <c r="AC29" s="17">
        <f t="shared" si="6"/>
        <v>3000</v>
      </c>
      <c r="AD29" s="17">
        <f t="shared" si="7"/>
        <v>3000</v>
      </c>
    </row>
    <row r="30" spans="1:34" ht="15.75" customHeight="1">
      <c r="A30" s="6">
        <v>27</v>
      </c>
      <c r="B30" s="44" t="s">
        <v>50</v>
      </c>
      <c r="C30" s="6" t="s">
        <v>19</v>
      </c>
      <c r="D30" s="6">
        <v>8</v>
      </c>
      <c r="E30" s="16">
        <v>60000</v>
      </c>
      <c r="F30" s="6">
        <v>3</v>
      </c>
      <c r="G30" s="13">
        <v>20</v>
      </c>
      <c r="H30" s="13"/>
      <c r="I30" s="13">
        <v>20</v>
      </c>
      <c r="J30" s="16"/>
      <c r="K30" s="16">
        <f t="shared" si="0"/>
        <v>2000</v>
      </c>
      <c r="L30" s="16">
        <f t="shared" si="1"/>
        <v>6000</v>
      </c>
      <c r="M30" s="6">
        <v>20</v>
      </c>
      <c r="N30" s="6"/>
      <c r="O30" s="6">
        <v>10</v>
      </c>
      <c r="P30" s="17"/>
      <c r="Q30" s="17">
        <f t="shared" si="2"/>
        <v>2000</v>
      </c>
      <c r="R30" s="17">
        <f t="shared" si="3"/>
        <v>3000</v>
      </c>
      <c r="S30" s="6">
        <v>30</v>
      </c>
      <c r="T30" s="6"/>
      <c r="U30" s="6">
        <v>5</v>
      </c>
      <c r="V30" s="17">
        <f t="shared" si="4"/>
        <v>3000</v>
      </c>
      <c r="W30" s="17"/>
      <c r="X30" s="17">
        <f t="shared" si="5"/>
        <v>1500</v>
      </c>
      <c r="Y30" s="6">
        <v>10</v>
      </c>
      <c r="Z30" s="6"/>
      <c r="AA30" s="6">
        <v>10</v>
      </c>
      <c r="AB30" s="17"/>
      <c r="AC30" s="17">
        <f t="shared" si="6"/>
        <v>1000</v>
      </c>
      <c r="AD30" s="17">
        <f t="shared" si="7"/>
        <v>3000</v>
      </c>
    </row>
    <row r="31" spans="1:34" ht="15.75" customHeight="1">
      <c r="A31" s="6">
        <v>28</v>
      </c>
      <c r="B31" s="44" t="s">
        <v>51</v>
      </c>
      <c r="C31" s="6" t="s">
        <v>19</v>
      </c>
      <c r="D31" s="6">
        <v>6</v>
      </c>
      <c r="E31" s="16">
        <v>50000</v>
      </c>
      <c r="F31" s="6">
        <v>3</v>
      </c>
      <c r="G31" s="13">
        <v>20</v>
      </c>
      <c r="H31" s="13"/>
      <c r="I31" s="13">
        <v>40</v>
      </c>
      <c r="J31" s="16"/>
      <c r="K31" s="16">
        <f t="shared" si="0"/>
        <v>2000</v>
      </c>
      <c r="L31" s="16">
        <f t="shared" si="1"/>
        <v>12000</v>
      </c>
      <c r="M31" s="6">
        <v>20</v>
      </c>
      <c r="N31" s="6"/>
      <c r="O31" s="6">
        <v>15</v>
      </c>
      <c r="P31" s="17"/>
      <c r="Q31" s="17">
        <f t="shared" si="2"/>
        <v>2000</v>
      </c>
      <c r="R31" s="17">
        <f t="shared" si="3"/>
        <v>4500</v>
      </c>
      <c r="S31" s="6">
        <v>20</v>
      </c>
      <c r="T31" s="6"/>
      <c r="U31" s="6">
        <v>10</v>
      </c>
      <c r="V31" s="17">
        <f t="shared" si="4"/>
        <v>2000</v>
      </c>
      <c r="W31" s="17"/>
      <c r="X31" s="17">
        <f t="shared" si="5"/>
        <v>3000</v>
      </c>
      <c r="Y31" s="6">
        <v>35</v>
      </c>
      <c r="Z31" s="6"/>
      <c r="AA31" s="6">
        <v>5</v>
      </c>
      <c r="AB31" s="17"/>
      <c r="AC31" s="17">
        <f t="shared" si="6"/>
        <v>3500</v>
      </c>
      <c r="AD31" s="17">
        <f t="shared" si="7"/>
        <v>1500</v>
      </c>
    </row>
    <row r="32" spans="1:34" ht="15.75" customHeight="1">
      <c r="A32" s="6">
        <v>29</v>
      </c>
      <c r="B32" s="44" t="s">
        <v>52</v>
      </c>
      <c r="C32" s="6" t="s">
        <v>38</v>
      </c>
      <c r="D32" s="6">
        <v>12</v>
      </c>
      <c r="E32" s="16">
        <v>60000</v>
      </c>
      <c r="F32" s="6">
        <v>3</v>
      </c>
      <c r="G32" s="13">
        <v>40</v>
      </c>
      <c r="H32" s="13"/>
      <c r="I32" s="13">
        <v>40</v>
      </c>
      <c r="J32" s="16"/>
      <c r="K32" s="16">
        <f t="shared" si="0"/>
        <v>4000</v>
      </c>
      <c r="L32" s="16">
        <f t="shared" si="1"/>
        <v>12000</v>
      </c>
      <c r="M32" s="6">
        <v>40</v>
      </c>
      <c r="N32" s="6"/>
      <c r="O32" s="6">
        <v>10</v>
      </c>
      <c r="P32" s="17"/>
      <c r="Q32" s="17">
        <f t="shared" si="2"/>
        <v>4000</v>
      </c>
      <c r="R32" s="17">
        <f t="shared" si="3"/>
        <v>3000</v>
      </c>
      <c r="S32" s="6">
        <v>40</v>
      </c>
      <c r="T32" s="6"/>
      <c r="U32" s="6">
        <v>15</v>
      </c>
      <c r="V32" s="17">
        <f t="shared" si="4"/>
        <v>4000</v>
      </c>
      <c r="W32" s="17"/>
      <c r="X32" s="17">
        <f t="shared" si="5"/>
        <v>4500</v>
      </c>
      <c r="Y32" s="6">
        <v>35</v>
      </c>
      <c r="Z32" s="6"/>
      <c r="AA32" s="6">
        <v>20</v>
      </c>
      <c r="AB32" s="17"/>
      <c r="AC32" s="17">
        <f t="shared" si="6"/>
        <v>3500</v>
      </c>
      <c r="AD32" s="17">
        <f t="shared" si="7"/>
        <v>6000</v>
      </c>
    </row>
    <row r="33" spans="1:34" ht="15.75" customHeight="1">
      <c r="A33" s="6">
        <v>30</v>
      </c>
      <c r="B33" s="44" t="s">
        <v>53</v>
      </c>
      <c r="C33" s="6" t="s">
        <v>40</v>
      </c>
      <c r="D33" s="6">
        <v>8</v>
      </c>
      <c r="E33" s="16">
        <v>45000</v>
      </c>
      <c r="F33" s="6">
        <v>2</v>
      </c>
      <c r="G33" s="13">
        <v>80</v>
      </c>
      <c r="H33" s="13"/>
      <c r="I33" s="13">
        <v>0</v>
      </c>
      <c r="J33" s="16"/>
      <c r="K33" s="16">
        <f t="shared" si="0"/>
        <v>8000</v>
      </c>
      <c r="L33" s="16">
        <f t="shared" si="1"/>
        <v>0</v>
      </c>
      <c r="M33" s="6">
        <v>60</v>
      </c>
      <c r="N33" s="6"/>
      <c r="O33" s="6">
        <v>0</v>
      </c>
      <c r="P33" s="17"/>
      <c r="Q33" s="17">
        <f t="shared" si="2"/>
        <v>6000</v>
      </c>
      <c r="R33" s="17">
        <f t="shared" si="3"/>
        <v>0</v>
      </c>
      <c r="S33" s="6">
        <v>45</v>
      </c>
      <c r="T33" s="6"/>
      <c r="U33" s="6">
        <v>8</v>
      </c>
      <c r="V33" s="17">
        <f t="shared" si="4"/>
        <v>4500</v>
      </c>
      <c r="W33" s="17"/>
      <c r="X33" s="17">
        <f t="shared" si="5"/>
        <v>2400</v>
      </c>
      <c r="Y33" s="6">
        <v>38</v>
      </c>
      <c r="Z33" s="6"/>
      <c r="AA33" s="6">
        <v>15</v>
      </c>
      <c r="AB33" s="17"/>
      <c r="AC33" s="17">
        <f t="shared" si="6"/>
        <v>3800</v>
      </c>
      <c r="AD33" s="17">
        <f t="shared" si="7"/>
        <v>4500</v>
      </c>
    </row>
    <row r="34" spans="1:34" ht="15.75" customHeight="1">
      <c r="A34" s="6">
        <v>31</v>
      </c>
      <c r="B34" s="44" t="s">
        <v>54</v>
      </c>
      <c r="C34" s="6" t="s">
        <v>40</v>
      </c>
      <c r="D34" s="6">
        <v>6</v>
      </c>
      <c r="E34" s="16">
        <v>30000</v>
      </c>
      <c r="F34" s="6">
        <v>2</v>
      </c>
      <c r="G34" s="13">
        <v>40</v>
      </c>
      <c r="H34" s="13"/>
      <c r="I34" s="13">
        <v>0</v>
      </c>
      <c r="J34" s="16"/>
      <c r="K34" s="16">
        <f t="shared" si="0"/>
        <v>4000</v>
      </c>
      <c r="L34" s="16">
        <f t="shared" si="1"/>
        <v>0</v>
      </c>
      <c r="M34" s="6">
        <v>40</v>
      </c>
      <c r="N34" s="6"/>
      <c r="O34" s="6">
        <v>0</v>
      </c>
      <c r="P34" s="17"/>
      <c r="Q34" s="17">
        <f t="shared" si="2"/>
        <v>4000</v>
      </c>
      <c r="R34" s="17">
        <f t="shared" si="3"/>
        <v>0</v>
      </c>
      <c r="S34" s="6">
        <v>35</v>
      </c>
      <c r="T34" s="6"/>
      <c r="U34" s="6">
        <v>0</v>
      </c>
      <c r="V34" s="17">
        <f t="shared" si="4"/>
        <v>3500</v>
      </c>
      <c r="W34" s="17"/>
      <c r="X34" s="17">
        <f t="shared" si="5"/>
        <v>0</v>
      </c>
      <c r="Y34" s="6">
        <v>30</v>
      </c>
      <c r="Z34" s="6"/>
      <c r="AA34" s="6">
        <v>5</v>
      </c>
      <c r="AB34" s="17"/>
      <c r="AC34" s="17">
        <f t="shared" si="6"/>
        <v>3000</v>
      </c>
      <c r="AD34" s="17">
        <f t="shared" si="7"/>
        <v>1500</v>
      </c>
    </row>
    <row r="35" spans="1:34" ht="15.75" customHeight="1">
      <c r="A35" s="6">
        <v>32</v>
      </c>
      <c r="B35" s="44" t="s">
        <v>55</v>
      </c>
      <c r="C35" s="6" t="s">
        <v>56</v>
      </c>
      <c r="D35" s="6">
        <v>4</v>
      </c>
      <c r="E35" s="16">
        <v>30000</v>
      </c>
      <c r="F35" s="6">
        <v>2</v>
      </c>
      <c r="G35" s="13">
        <v>0</v>
      </c>
      <c r="H35" s="13"/>
      <c r="I35" s="13">
        <v>20</v>
      </c>
      <c r="J35" s="16"/>
      <c r="K35" s="16">
        <f t="shared" si="0"/>
        <v>0</v>
      </c>
      <c r="L35" s="16">
        <f t="shared" si="1"/>
        <v>6000</v>
      </c>
      <c r="M35" s="6">
        <v>40</v>
      </c>
      <c r="N35" s="6"/>
      <c r="O35" s="6">
        <v>10</v>
      </c>
      <c r="P35" s="17"/>
      <c r="Q35" s="17">
        <f t="shared" si="2"/>
        <v>4000</v>
      </c>
      <c r="R35" s="17">
        <f t="shared" si="3"/>
        <v>3000</v>
      </c>
      <c r="S35" s="6">
        <v>45</v>
      </c>
      <c r="T35" s="6"/>
      <c r="U35" s="6">
        <v>5</v>
      </c>
      <c r="V35" s="17">
        <f t="shared" si="4"/>
        <v>4500</v>
      </c>
      <c r="W35" s="17"/>
      <c r="X35" s="17">
        <f t="shared" si="5"/>
        <v>1500</v>
      </c>
      <c r="Y35" s="6">
        <v>45</v>
      </c>
      <c r="Z35" s="6"/>
      <c r="AA35" s="6">
        <v>10</v>
      </c>
      <c r="AB35" s="17"/>
      <c r="AC35" s="17">
        <f t="shared" si="6"/>
        <v>4500</v>
      </c>
      <c r="AD35" s="17">
        <f t="shared" si="7"/>
        <v>3000</v>
      </c>
    </row>
    <row r="36" spans="1:34" ht="15.75" customHeight="1">
      <c r="A36" s="6">
        <v>33</v>
      </c>
      <c r="B36" s="44" t="s">
        <v>57</v>
      </c>
      <c r="C36" s="6" t="s">
        <v>40</v>
      </c>
      <c r="D36" s="6">
        <v>4</v>
      </c>
      <c r="E36" s="16">
        <v>30000</v>
      </c>
      <c r="F36" s="6">
        <v>2</v>
      </c>
      <c r="G36" s="13">
        <v>40</v>
      </c>
      <c r="H36" s="13"/>
      <c r="I36" s="13">
        <v>0</v>
      </c>
      <c r="J36" s="16"/>
      <c r="K36" s="16">
        <f t="shared" si="0"/>
        <v>4000</v>
      </c>
      <c r="L36" s="16">
        <f t="shared" si="1"/>
        <v>0</v>
      </c>
      <c r="M36" s="6">
        <v>40</v>
      </c>
      <c r="N36" s="6"/>
      <c r="O36" s="6">
        <v>0</v>
      </c>
      <c r="P36" s="17"/>
      <c r="Q36" s="17">
        <f t="shared" si="2"/>
        <v>4000</v>
      </c>
      <c r="R36" s="17">
        <f t="shared" si="3"/>
        <v>0</v>
      </c>
      <c r="S36" s="6">
        <v>40</v>
      </c>
      <c r="T36" s="6"/>
      <c r="U36" s="6">
        <v>5</v>
      </c>
      <c r="V36" s="17">
        <f t="shared" si="4"/>
        <v>4000</v>
      </c>
      <c r="W36" s="17"/>
      <c r="X36" s="17">
        <f t="shared" si="5"/>
        <v>1500</v>
      </c>
      <c r="Y36" s="6">
        <v>20</v>
      </c>
      <c r="Z36" s="6"/>
      <c r="AA36" s="6">
        <v>15</v>
      </c>
      <c r="AB36" s="17"/>
      <c r="AC36" s="17">
        <f t="shared" si="6"/>
        <v>2000</v>
      </c>
      <c r="AD36" s="17">
        <f t="shared" si="7"/>
        <v>4500</v>
      </c>
    </row>
    <row r="37" spans="1:34" ht="15.75" customHeight="1">
      <c r="A37" s="6">
        <v>34</v>
      </c>
      <c r="B37" s="44" t="s">
        <v>58</v>
      </c>
      <c r="C37" s="6" t="s">
        <v>26</v>
      </c>
      <c r="D37" s="6">
        <v>6</v>
      </c>
      <c r="E37" s="16">
        <v>30000</v>
      </c>
      <c r="F37" s="6">
        <v>2</v>
      </c>
      <c r="G37" s="13">
        <v>40</v>
      </c>
      <c r="H37" s="13"/>
      <c r="I37" s="13">
        <v>0</v>
      </c>
      <c r="J37" s="16"/>
      <c r="K37" s="16">
        <f t="shared" si="0"/>
        <v>4000</v>
      </c>
      <c r="L37" s="16">
        <f t="shared" si="1"/>
        <v>0</v>
      </c>
      <c r="M37" s="6">
        <v>40</v>
      </c>
      <c r="N37" s="6"/>
      <c r="O37" s="6">
        <v>10</v>
      </c>
      <c r="P37" s="17"/>
      <c r="Q37" s="17">
        <f t="shared" si="2"/>
        <v>4000</v>
      </c>
      <c r="R37" s="17">
        <f t="shared" si="3"/>
        <v>3000</v>
      </c>
      <c r="S37" s="6">
        <v>50</v>
      </c>
      <c r="T37" s="6"/>
      <c r="U37" s="6">
        <v>5</v>
      </c>
      <c r="V37" s="17">
        <f t="shared" si="4"/>
        <v>5000</v>
      </c>
      <c r="W37" s="17"/>
      <c r="X37" s="17">
        <f t="shared" si="5"/>
        <v>1500</v>
      </c>
      <c r="Y37" s="6">
        <v>30</v>
      </c>
      <c r="Z37" s="6"/>
      <c r="AA37" s="6">
        <v>20</v>
      </c>
      <c r="AB37" s="17"/>
      <c r="AC37" s="17">
        <f t="shared" si="6"/>
        <v>3000</v>
      </c>
      <c r="AD37" s="17">
        <f t="shared" si="7"/>
        <v>6000</v>
      </c>
    </row>
    <row r="38" spans="1:34" ht="15.75" customHeight="1">
      <c r="A38" s="6">
        <v>35</v>
      </c>
      <c r="B38" s="44" t="s">
        <v>59</v>
      </c>
      <c r="C38" s="6" t="s">
        <v>26</v>
      </c>
      <c r="D38" s="6">
        <v>7</v>
      </c>
      <c r="E38" s="16">
        <v>30000</v>
      </c>
      <c r="F38" s="6">
        <v>2</v>
      </c>
      <c r="G38" s="13">
        <v>40</v>
      </c>
      <c r="H38" s="13"/>
      <c r="I38" s="13">
        <v>0</v>
      </c>
      <c r="J38" s="16"/>
      <c r="K38" s="16">
        <f t="shared" si="0"/>
        <v>4000</v>
      </c>
      <c r="L38" s="16">
        <f t="shared" si="1"/>
        <v>0</v>
      </c>
      <c r="M38" s="6">
        <v>35</v>
      </c>
      <c r="N38" s="6"/>
      <c r="O38" s="6">
        <v>0</v>
      </c>
      <c r="P38" s="17"/>
      <c r="Q38" s="17">
        <f t="shared" si="2"/>
        <v>3500</v>
      </c>
      <c r="R38" s="17">
        <f t="shared" si="3"/>
        <v>0</v>
      </c>
      <c r="S38" s="6">
        <v>45</v>
      </c>
      <c r="T38" s="6"/>
      <c r="U38" s="6">
        <v>0</v>
      </c>
      <c r="V38" s="17">
        <f t="shared" si="4"/>
        <v>4500</v>
      </c>
      <c r="W38" s="17"/>
      <c r="X38" s="17">
        <f t="shared" si="5"/>
        <v>0</v>
      </c>
      <c r="Y38" s="6">
        <v>50</v>
      </c>
      <c r="Z38" s="6"/>
      <c r="AA38" s="6">
        <v>0</v>
      </c>
      <c r="AB38" s="17"/>
      <c r="AC38" s="17">
        <f t="shared" si="6"/>
        <v>5000</v>
      </c>
      <c r="AD38" s="17">
        <f t="shared" si="7"/>
        <v>0</v>
      </c>
    </row>
    <row r="39" spans="1:34" ht="15.75" customHeight="1">
      <c r="A39" s="6">
        <v>36</v>
      </c>
      <c r="B39" s="44" t="s">
        <v>60</v>
      </c>
      <c r="C39" s="6" t="s">
        <v>26</v>
      </c>
      <c r="D39" s="6">
        <v>8</v>
      </c>
      <c r="E39" s="16">
        <v>50000</v>
      </c>
      <c r="F39" s="6">
        <v>3</v>
      </c>
      <c r="G39" s="13">
        <v>10</v>
      </c>
      <c r="H39" s="13"/>
      <c r="I39" s="13">
        <v>40</v>
      </c>
      <c r="J39" s="16"/>
      <c r="K39" s="16">
        <f t="shared" si="0"/>
        <v>1000</v>
      </c>
      <c r="L39" s="16">
        <f t="shared" si="1"/>
        <v>12000</v>
      </c>
      <c r="M39" s="6">
        <v>20</v>
      </c>
      <c r="N39" s="6"/>
      <c r="O39" s="6">
        <v>10</v>
      </c>
      <c r="P39" s="17"/>
      <c r="Q39" s="17">
        <f t="shared" si="2"/>
        <v>2000</v>
      </c>
      <c r="R39" s="17">
        <f t="shared" si="3"/>
        <v>3000</v>
      </c>
      <c r="S39" s="6">
        <v>42</v>
      </c>
      <c r="T39" s="6"/>
      <c r="U39" s="6">
        <v>0</v>
      </c>
      <c r="V39" s="17">
        <f t="shared" si="4"/>
        <v>4200</v>
      </c>
      <c r="W39" s="17"/>
      <c r="X39" s="17">
        <f t="shared" si="5"/>
        <v>0</v>
      </c>
      <c r="Y39" s="6">
        <v>40</v>
      </c>
      <c r="Z39" s="6"/>
      <c r="AA39" s="6">
        <v>0</v>
      </c>
      <c r="AB39" s="17"/>
      <c r="AC39" s="17">
        <f t="shared" si="6"/>
        <v>4000</v>
      </c>
      <c r="AD39" s="17">
        <f t="shared" si="7"/>
        <v>0</v>
      </c>
    </row>
    <row r="40" spans="1:34" ht="15.75" customHeight="1">
      <c r="A40" s="6">
        <v>37</v>
      </c>
      <c r="B40" s="44" t="s">
        <v>61</v>
      </c>
      <c r="C40" s="6" t="s">
        <v>56</v>
      </c>
      <c r="D40" s="6">
        <v>5</v>
      </c>
      <c r="E40" s="16">
        <v>45000</v>
      </c>
      <c r="F40" s="6">
        <v>2</v>
      </c>
      <c r="G40" s="13">
        <v>20</v>
      </c>
      <c r="H40" s="13"/>
      <c r="I40" s="13">
        <v>10</v>
      </c>
      <c r="J40" s="16"/>
      <c r="K40" s="16">
        <f t="shared" si="0"/>
        <v>2000</v>
      </c>
      <c r="L40" s="16">
        <f t="shared" si="1"/>
        <v>3000</v>
      </c>
      <c r="M40" s="6">
        <v>20</v>
      </c>
      <c r="N40" s="6"/>
      <c r="O40" s="6">
        <v>5</v>
      </c>
      <c r="P40" s="17"/>
      <c r="Q40" s="17">
        <f t="shared" si="2"/>
        <v>2000</v>
      </c>
      <c r="R40" s="17">
        <f t="shared" si="3"/>
        <v>1500</v>
      </c>
      <c r="S40" s="6">
        <v>39</v>
      </c>
      <c r="T40" s="6"/>
      <c r="U40" s="6">
        <v>0</v>
      </c>
      <c r="V40" s="17">
        <f t="shared" si="4"/>
        <v>3900</v>
      </c>
      <c r="W40" s="17"/>
      <c r="X40" s="17">
        <f t="shared" si="5"/>
        <v>0</v>
      </c>
      <c r="Y40" s="6">
        <v>35</v>
      </c>
      <c r="Z40" s="6"/>
      <c r="AA40" s="6">
        <v>0</v>
      </c>
      <c r="AB40" s="17"/>
      <c r="AC40" s="17">
        <f t="shared" si="6"/>
        <v>3500</v>
      </c>
      <c r="AD40" s="17">
        <f t="shared" si="7"/>
        <v>0</v>
      </c>
    </row>
    <row r="41" spans="1:34" ht="15.75" customHeight="1">
      <c r="A41" s="6">
        <v>38</v>
      </c>
      <c r="B41" s="44" t="s">
        <v>62</v>
      </c>
      <c r="C41" s="6" t="s">
        <v>21</v>
      </c>
      <c r="D41" s="6">
        <v>6</v>
      </c>
      <c r="E41" s="16">
        <v>30000</v>
      </c>
      <c r="F41" s="6">
        <v>2</v>
      </c>
      <c r="G41" s="13">
        <v>80</v>
      </c>
      <c r="H41" s="13"/>
      <c r="I41" s="13">
        <v>0</v>
      </c>
      <c r="J41" s="16"/>
      <c r="K41" s="16">
        <f t="shared" si="0"/>
        <v>8000</v>
      </c>
      <c r="L41" s="16">
        <f t="shared" si="1"/>
        <v>0</v>
      </c>
      <c r="M41" s="6">
        <v>65</v>
      </c>
      <c r="N41" s="6"/>
      <c r="O41" s="6">
        <v>0</v>
      </c>
      <c r="P41" s="17"/>
      <c r="Q41" s="17">
        <f t="shared" si="2"/>
        <v>6500</v>
      </c>
      <c r="R41" s="17">
        <f t="shared" si="3"/>
        <v>0</v>
      </c>
      <c r="S41" s="6">
        <v>40</v>
      </c>
      <c r="T41" s="6"/>
      <c r="U41" s="6">
        <v>10</v>
      </c>
      <c r="V41" s="17">
        <f t="shared" si="4"/>
        <v>4000</v>
      </c>
      <c r="W41" s="17"/>
      <c r="X41" s="17">
        <f t="shared" si="5"/>
        <v>3000</v>
      </c>
      <c r="Y41" s="6">
        <v>45</v>
      </c>
      <c r="Z41" s="6"/>
      <c r="AA41" s="6">
        <v>15</v>
      </c>
      <c r="AB41" s="17"/>
      <c r="AC41" s="17">
        <f t="shared" si="6"/>
        <v>4500</v>
      </c>
      <c r="AD41" s="17">
        <f t="shared" si="7"/>
        <v>4500</v>
      </c>
    </row>
    <row r="42" spans="1:34" ht="15.75" customHeight="1">
      <c r="A42" s="6">
        <v>39</v>
      </c>
      <c r="B42" s="44" t="s">
        <v>63</v>
      </c>
      <c r="C42" s="6" t="s">
        <v>21</v>
      </c>
      <c r="D42" s="6">
        <v>9</v>
      </c>
      <c r="E42" s="16">
        <v>60000</v>
      </c>
      <c r="F42" s="6">
        <v>3</v>
      </c>
      <c r="G42" s="13">
        <v>40</v>
      </c>
      <c r="H42" s="13"/>
      <c r="I42" s="13">
        <v>40</v>
      </c>
      <c r="J42" s="16"/>
      <c r="K42" s="16">
        <f t="shared" si="0"/>
        <v>4000</v>
      </c>
      <c r="L42" s="16">
        <f t="shared" si="1"/>
        <v>12000</v>
      </c>
      <c r="M42" s="6">
        <v>40</v>
      </c>
      <c r="N42" s="6"/>
      <c r="O42" s="6">
        <v>22</v>
      </c>
      <c r="P42" s="17"/>
      <c r="Q42" s="17">
        <f t="shared" si="2"/>
        <v>4000</v>
      </c>
      <c r="R42" s="17">
        <f t="shared" si="3"/>
        <v>6600</v>
      </c>
      <c r="S42" s="6">
        <v>36</v>
      </c>
      <c r="T42" s="6"/>
      <c r="U42" s="6">
        <v>20</v>
      </c>
      <c r="V42" s="17">
        <f t="shared" si="4"/>
        <v>3600</v>
      </c>
      <c r="W42" s="17"/>
      <c r="X42" s="17">
        <f t="shared" si="5"/>
        <v>6000</v>
      </c>
      <c r="Y42" s="6">
        <v>35</v>
      </c>
      <c r="Z42" s="6"/>
      <c r="AA42" s="6">
        <v>22</v>
      </c>
      <c r="AB42" s="17"/>
      <c r="AC42" s="17">
        <f t="shared" si="6"/>
        <v>3500</v>
      </c>
      <c r="AD42" s="17">
        <f t="shared" si="7"/>
        <v>6600</v>
      </c>
    </row>
    <row r="43" spans="1:34" ht="15.75" customHeight="1">
      <c r="A43" s="6">
        <v>40</v>
      </c>
      <c r="B43" s="44" t="s">
        <v>64</v>
      </c>
      <c r="C43" s="6" t="s">
        <v>65</v>
      </c>
      <c r="D43" s="6">
        <v>3</v>
      </c>
      <c r="E43" s="16">
        <v>30000</v>
      </c>
      <c r="F43" s="6">
        <v>2</v>
      </c>
      <c r="G43" s="13">
        <v>0</v>
      </c>
      <c r="H43" s="13"/>
      <c r="I43" s="13">
        <v>20</v>
      </c>
      <c r="J43" s="16"/>
      <c r="K43" s="16">
        <f t="shared" si="0"/>
        <v>0</v>
      </c>
      <c r="L43" s="16">
        <f t="shared" si="1"/>
        <v>6000</v>
      </c>
      <c r="M43" s="6">
        <v>25</v>
      </c>
      <c r="N43" s="6"/>
      <c r="O43" s="6">
        <v>10</v>
      </c>
      <c r="P43" s="17"/>
      <c r="Q43" s="17">
        <f t="shared" si="2"/>
        <v>2500</v>
      </c>
      <c r="R43" s="17">
        <f t="shared" si="3"/>
        <v>3000</v>
      </c>
      <c r="S43" s="6">
        <v>30</v>
      </c>
      <c r="T43" s="6"/>
      <c r="U43" s="6">
        <v>10</v>
      </c>
      <c r="V43" s="17">
        <f t="shared" si="4"/>
        <v>3000</v>
      </c>
      <c r="W43" s="17"/>
      <c r="X43" s="17">
        <f t="shared" si="5"/>
        <v>3000</v>
      </c>
      <c r="Y43" s="6">
        <v>38</v>
      </c>
      <c r="Z43" s="6"/>
      <c r="AA43" s="6">
        <v>13</v>
      </c>
      <c r="AB43" s="17"/>
      <c r="AC43" s="17">
        <f t="shared" si="6"/>
        <v>3800</v>
      </c>
      <c r="AD43" s="17">
        <f t="shared" si="7"/>
        <v>3900</v>
      </c>
    </row>
    <row r="44" spans="1:34" ht="14">
      <c r="A44" s="6">
        <v>41</v>
      </c>
      <c r="B44" s="44" t="s">
        <v>66</v>
      </c>
      <c r="C44" s="6" t="s">
        <v>24</v>
      </c>
      <c r="D44" s="6">
        <v>4</v>
      </c>
      <c r="E44" s="16">
        <v>45000</v>
      </c>
      <c r="F44" s="6">
        <v>2</v>
      </c>
      <c r="G44" s="13">
        <v>40</v>
      </c>
      <c r="H44" s="13"/>
      <c r="I44" s="13">
        <v>0</v>
      </c>
      <c r="J44" s="16"/>
      <c r="K44" s="16">
        <f t="shared" si="0"/>
        <v>4000</v>
      </c>
      <c r="L44" s="16">
        <f t="shared" si="1"/>
        <v>0</v>
      </c>
      <c r="M44" s="6">
        <v>10</v>
      </c>
      <c r="N44" s="6"/>
      <c r="O44" s="6">
        <v>10</v>
      </c>
      <c r="P44" s="17"/>
      <c r="Q44" s="17">
        <f t="shared" si="2"/>
        <v>1000</v>
      </c>
      <c r="R44" s="17">
        <f t="shared" si="3"/>
        <v>3000</v>
      </c>
      <c r="S44" s="6">
        <v>32</v>
      </c>
      <c r="T44" s="6"/>
      <c r="U44" s="6">
        <v>0</v>
      </c>
      <c r="V44" s="17">
        <f t="shared" si="4"/>
        <v>3200</v>
      </c>
      <c r="W44" s="17"/>
      <c r="X44" s="17">
        <f t="shared" si="5"/>
        <v>0</v>
      </c>
      <c r="Y44" s="6">
        <v>35</v>
      </c>
      <c r="Z44" s="6"/>
      <c r="AA44" s="6">
        <v>0</v>
      </c>
      <c r="AB44" s="17"/>
      <c r="AC44" s="17">
        <f t="shared" si="6"/>
        <v>3500</v>
      </c>
      <c r="AD44" s="17">
        <f t="shared" si="7"/>
        <v>0</v>
      </c>
    </row>
    <row r="45" spans="1:34" ht="14">
      <c r="A45" s="6">
        <v>42</v>
      </c>
      <c r="B45" s="44" t="s">
        <v>67</v>
      </c>
      <c r="C45" s="6" t="s">
        <v>56</v>
      </c>
      <c r="D45" s="6">
        <v>6</v>
      </c>
      <c r="E45" s="16">
        <v>45000</v>
      </c>
      <c r="F45" s="6">
        <v>3</v>
      </c>
      <c r="G45" s="13">
        <v>60</v>
      </c>
      <c r="H45" s="13"/>
      <c r="I45" s="13">
        <v>0</v>
      </c>
      <c r="J45" s="16"/>
      <c r="K45" s="16">
        <f t="shared" si="0"/>
        <v>6000</v>
      </c>
      <c r="L45" s="16">
        <f t="shared" si="1"/>
        <v>0</v>
      </c>
      <c r="M45" s="6">
        <v>25</v>
      </c>
      <c r="N45" s="6"/>
      <c r="O45" s="6">
        <v>0</v>
      </c>
      <c r="P45" s="17"/>
      <c r="Q45" s="17">
        <f t="shared" si="2"/>
        <v>2500</v>
      </c>
      <c r="R45" s="17">
        <f t="shared" si="3"/>
        <v>0</v>
      </c>
      <c r="S45" s="6">
        <v>40</v>
      </c>
      <c r="T45" s="6"/>
      <c r="U45" s="6">
        <v>0</v>
      </c>
      <c r="V45" s="17">
        <f t="shared" si="4"/>
        <v>4000</v>
      </c>
      <c r="W45" s="17"/>
      <c r="X45" s="17">
        <f t="shared" si="5"/>
        <v>0</v>
      </c>
      <c r="Y45" s="6">
        <v>35</v>
      </c>
      <c r="Z45" s="6"/>
      <c r="AA45" s="6">
        <v>5</v>
      </c>
      <c r="AB45" s="17"/>
      <c r="AC45" s="17">
        <f t="shared" si="6"/>
        <v>3500</v>
      </c>
      <c r="AD45" s="17">
        <f t="shared" si="7"/>
        <v>1500</v>
      </c>
    </row>
    <row r="46" spans="1:34" ht="14">
      <c r="A46" s="6">
        <v>43</v>
      </c>
      <c r="B46" s="44" t="s">
        <v>68</v>
      </c>
      <c r="C46" s="6" t="s">
        <v>21</v>
      </c>
      <c r="D46" s="6">
        <v>4</v>
      </c>
      <c r="E46" s="16">
        <v>30000</v>
      </c>
      <c r="F46" s="6">
        <v>2</v>
      </c>
      <c r="G46" s="13">
        <v>40</v>
      </c>
      <c r="H46" s="13"/>
      <c r="I46" s="13">
        <v>0</v>
      </c>
      <c r="J46" s="16"/>
      <c r="K46" s="16">
        <f t="shared" si="0"/>
        <v>4000</v>
      </c>
      <c r="L46" s="16">
        <f t="shared" si="1"/>
        <v>0</v>
      </c>
      <c r="M46" s="6">
        <v>35</v>
      </c>
      <c r="N46" s="6"/>
      <c r="O46" s="6">
        <v>0</v>
      </c>
      <c r="P46" s="17"/>
      <c r="Q46" s="17">
        <f t="shared" si="2"/>
        <v>3500</v>
      </c>
      <c r="R46" s="17">
        <f t="shared" si="3"/>
        <v>0</v>
      </c>
      <c r="S46" s="6">
        <v>40</v>
      </c>
      <c r="T46" s="6"/>
      <c r="U46" s="6">
        <v>0</v>
      </c>
      <c r="V46" s="17">
        <f t="shared" si="4"/>
        <v>4000</v>
      </c>
      <c r="W46" s="17"/>
      <c r="X46" s="17">
        <f t="shared" si="5"/>
        <v>0</v>
      </c>
      <c r="Y46" s="6">
        <v>45</v>
      </c>
      <c r="Z46" s="6"/>
      <c r="AA46" s="6">
        <v>10</v>
      </c>
      <c r="AB46" s="17"/>
      <c r="AC46" s="17">
        <f t="shared" si="6"/>
        <v>4500</v>
      </c>
      <c r="AD46" s="17">
        <f t="shared" si="7"/>
        <v>3000</v>
      </c>
    </row>
    <row r="47" spans="1:34" ht="14">
      <c r="A47" s="6">
        <v>44</v>
      </c>
      <c r="B47" s="44" t="s">
        <v>69</v>
      </c>
      <c r="C47" s="6" t="s">
        <v>24</v>
      </c>
      <c r="D47" s="6">
        <v>6</v>
      </c>
      <c r="E47" s="16">
        <v>30000</v>
      </c>
      <c r="F47" s="6">
        <v>2</v>
      </c>
      <c r="G47" s="13">
        <v>30</v>
      </c>
      <c r="H47" s="13"/>
      <c r="I47" s="13">
        <v>5</v>
      </c>
      <c r="J47" s="16"/>
      <c r="K47" s="16">
        <f t="shared" si="0"/>
        <v>3000</v>
      </c>
      <c r="L47" s="16">
        <f t="shared" si="1"/>
        <v>1500</v>
      </c>
      <c r="M47" s="6">
        <v>20</v>
      </c>
      <c r="N47" s="6"/>
      <c r="O47" s="6">
        <v>10</v>
      </c>
      <c r="P47" s="17"/>
      <c r="Q47" s="17">
        <f t="shared" si="2"/>
        <v>2000</v>
      </c>
      <c r="R47" s="17">
        <f t="shared" si="3"/>
        <v>3000</v>
      </c>
      <c r="S47" s="6">
        <v>40</v>
      </c>
      <c r="T47" s="6"/>
      <c r="U47" s="6">
        <v>0</v>
      </c>
      <c r="V47" s="17">
        <f t="shared" si="4"/>
        <v>4000</v>
      </c>
      <c r="W47" s="17"/>
      <c r="X47" s="17">
        <f t="shared" si="5"/>
        <v>0</v>
      </c>
      <c r="Y47" s="6">
        <v>42</v>
      </c>
      <c r="Z47" s="6"/>
      <c r="AA47" s="6">
        <v>0</v>
      </c>
      <c r="AB47" s="17"/>
      <c r="AC47" s="17">
        <f t="shared" si="6"/>
        <v>4200</v>
      </c>
      <c r="AD47" s="17">
        <f t="shared" si="7"/>
        <v>0</v>
      </c>
      <c r="AE47" s="18"/>
      <c r="AF47" s="18"/>
      <c r="AG47" s="18"/>
      <c r="AH47" s="18"/>
    </row>
    <row r="48" spans="1:34" ht="14">
      <c r="A48" s="6">
        <v>45</v>
      </c>
      <c r="B48" s="44" t="s">
        <v>70</v>
      </c>
      <c r="C48" s="6" t="s">
        <v>26</v>
      </c>
      <c r="D48" s="6">
        <v>6</v>
      </c>
      <c r="E48" s="16">
        <v>30000</v>
      </c>
      <c r="F48" s="6">
        <v>2</v>
      </c>
      <c r="G48" s="13">
        <v>40</v>
      </c>
      <c r="H48" s="13"/>
      <c r="I48" s="13">
        <v>0</v>
      </c>
      <c r="J48" s="16"/>
      <c r="K48" s="16">
        <f t="shared" si="0"/>
        <v>4000</v>
      </c>
      <c r="L48" s="16">
        <f t="shared" si="1"/>
        <v>0</v>
      </c>
      <c r="M48" s="6">
        <v>40</v>
      </c>
      <c r="N48" s="6"/>
      <c r="O48" s="6">
        <v>0</v>
      </c>
      <c r="P48" s="17"/>
      <c r="Q48" s="17">
        <f t="shared" si="2"/>
        <v>4000</v>
      </c>
      <c r="R48" s="17">
        <f t="shared" si="3"/>
        <v>0</v>
      </c>
      <c r="S48" s="6">
        <v>33</v>
      </c>
      <c r="T48" s="6"/>
      <c r="U48" s="6">
        <v>0</v>
      </c>
      <c r="V48" s="17">
        <f t="shared" si="4"/>
        <v>3300</v>
      </c>
      <c r="W48" s="17"/>
      <c r="X48" s="17">
        <f t="shared" si="5"/>
        <v>0</v>
      </c>
      <c r="Y48" s="6">
        <v>30</v>
      </c>
      <c r="Z48" s="6"/>
      <c r="AA48" s="6">
        <v>10</v>
      </c>
      <c r="AB48" s="17"/>
      <c r="AC48" s="17">
        <f t="shared" si="6"/>
        <v>3000</v>
      </c>
      <c r="AD48" s="17">
        <f t="shared" si="7"/>
        <v>3000</v>
      </c>
    </row>
    <row r="49" spans="1:30" ht="14">
      <c r="A49" s="6">
        <v>46</v>
      </c>
      <c r="B49" s="44" t="s">
        <v>71</v>
      </c>
      <c r="C49" s="6" t="s">
        <v>26</v>
      </c>
      <c r="D49" s="6">
        <v>5</v>
      </c>
      <c r="E49" s="16">
        <v>30000</v>
      </c>
      <c r="F49" s="6">
        <v>2</v>
      </c>
      <c r="G49" s="13">
        <v>40</v>
      </c>
      <c r="H49" s="13"/>
      <c r="I49" s="13">
        <v>0</v>
      </c>
      <c r="J49" s="16"/>
      <c r="K49" s="16">
        <f t="shared" si="0"/>
        <v>4000</v>
      </c>
      <c r="L49" s="16">
        <f t="shared" si="1"/>
        <v>0</v>
      </c>
      <c r="M49" s="6">
        <v>60</v>
      </c>
      <c r="N49" s="6"/>
      <c r="O49" s="6">
        <v>0</v>
      </c>
      <c r="P49" s="17"/>
      <c r="Q49" s="17">
        <f t="shared" si="2"/>
        <v>6000</v>
      </c>
      <c r="R49" s="17">
        <f t="shared" si="3"/>
        <v>0</v>
      </c>
      <c r="S49" s="6">
        <v>45</v>
      </c>
      <c r="T49" s="6"/>
      <c r="U49" s="6">
        <v>0</v>
      </c>
      <c r="V49" s="17">
        <f t="shared" si="4"/>
        <v>4500</v>
      </c>
      <c r="W49" s="17"/>
      <c r="X49" s="17">
        <f t="shared" si="5"/>
        <v>0</v>
      </c>
      <c r="Y49" s="6">
        <v>25</v>
      </c>
      <c r="Z49" s="6"/>
      <c r="AA49" s="6">
        <v>15</v>
      </c>
      <c r="AB49" s="17"/>
      <c r="AC49" s="17">
        <f t="shared" si="6"/>
        <v>2500</v>
      </c>
      <c r="AD49" s="17">
        <f t="shared" si="7"/>
        <v>4500</v>
      </c>
    </row>
    <row r="50" spans="1:30" ht="14">
      <c r="A50" s="6">
        <v>47</v>
      </c>
      <c r="B50" s="44" t="s">
        <v>72</v>
      </c>
      <c r="C50" s="6" t="s">
        <v>26</v>
      </c>
      <c r="D50" s="6">
        <v>8</v>
      </c>
      <c r="E50" s="16">
        <v>45000</v>
      </c>
      <c r="F50" s="6">
        <v>2</v>
      </c>
      <c r="G50" s="13">
        <v>80</v>
      </c>
      <c r="H50" s="13"/>
      <c r="I50" s="13">
        <v>0</v>
      </c>
      <c r="J50" s="16"/>
      <c r="K50" s="16">
        <f t="shared" si="0"/>
        <v>8000</v>
      </c>
      <c r="L50" s="16">
        <f t="shared" si="1"/>
        <v>0</v>
      </c>
      <c r="M50" s="6">
        <v>40</v>
      </c>
      <c r="N50" s="6"/>
      <c r="O50" s="6">
        <v>10</v>
      </c>
      <c r="P50" s="17"/>
      <c r="Q50" s="17">
        <f t="shared" si="2"/>
        <v>4000</v>
      </c>
      <c r="R50" s="17">
        <f t="shared" si="3"/>
        <v>3000</v>
      </c>
      <c r="S50" s="6">
        <v>0</v>
      </c>
      <c r="T50" s="6"/>
      <c r="U50" s="6">
        <v>20</v>
      </c>
      <c r="V50" s="17">
        <f t="shared" si="4"/>
        <v>0</v>
      </c>
      <c r="W50" s="17"/>
      <c r="X50" s="17">
        <f t="shared" si="5"/>
        <v>6000</v>
      </c>
      <c r="Y50" s="6">
        <v>20</v>
      </c>
      <c r="Z50" s="6"/>
      <c r="AA50" s="6">
        <v>10</v>
      </c>
      <c r="AB50" s="17"/>
      <c r="AC50" s="17">
        <f t="shared" si="6"/>
        <v>2000</v>
      </c>
      <c r="AD50" s="17">
        <f t="shared" si="7"/>
        <v>3000</v>
      </c>
    </row>
    <row r="51" spans="1:30" ht="14">
      <c r="A51" s="6">
        <v>48</v>
      </c>
      <c r="B51" s="44" t="s">
        <v>73</v>
      </c>
      <c r="C51" s="6" t="s">
        <v>17</v>
      </c>
      <c r="D51" s="6">
        <v>4</v>
      </c>
      <c r="E51" s="16">
        <v>30000</v>
      </c>
      <c r="F51" s="6">
        <v>2</v>
      </c>
      <c r="G51" s="13">
        <v>20</v>
      </c>
      <c r="H51" s="13"/>
      <c r="I51" s="13">
        <v>5</v>
      </c>
      <c r="J51" s="16"/>
      <c r="K51" s="16">
        <f t="shared" si="0"/>
        <v>2000</v>
      </c>
      <c r="L51" s="16">
        <f t="shared" si="1"/>
        <v>1500</v>
      </c>
      <c r="M51" s="6">
        <v>10</v>
      </c>
      <c r="N51" s="6"/>
      <c r="O51" s="6">
        <v>10</v>
      </c>
      <c r="P51" s="17"/>
      <c r="Q51" s="17">
        <f t="shared" si="2"/>
        <v>1000</v>
      </c>
      <c r="R51" s="17">
        <f t="shared" si="3"/>
        <v>3000</v>
      </c>
      <c r="S51" s="6">
        <v>30</v>
      </c>
      <c r="T51" s="6"/>
      <c r="U51" s="6">
        <v>5</v>
      </c>
      <c r="V51" s="17">
        <f t="shared" si="4"/>
        <v>3000</v>
      </c>
      <c r="W51" s="17"/>
      <c r="X51" s="17">
        <f t="shared" si="5"/>
        <v>1500</v>
      </c>
      <c r="Y51" s="6">
        <v>18</v>
      </c>
      <c r="Z51" s="6"/>
      <c r="AA51" s="6">
        <v>11</v>
      </c>
      <c r="AB51" s="17"/>
      <c r="AC51" s="17">
        <f t="shared" si="6"/>
        <v>1800</v>
      </c>
      <c r="AD51" s="17">
        <f t="shared" si="7"/>
        <v>3300</v>
      </c>
    </row>
    <row r="52" spans="1:30" ht="14">
      <c r="A52" s="6">
        <v>49</v>
      </c>
      <c r="B52" s="44" t="s">
        <v>74</v>
      </c>
      <c r="C52" s="6" t="s">
        <v>65</v>
      </c>
      <c r="D52" s="6">
        <v>8</v>
      </c>
      <c r="E52" s="16">
        <v>45000</v>
      </c>
      <c r="F52" s="6">
        <v>2</v>
      </c>
      <c r="G52" s="13">
        <v>0</v>
      </c>
      <c r="H52" s="13"/>
      <c r="I52" s="13">
        <v>20</v>
      </c>
      <c r="J52" s="16"/>
      <c r="K52" s="16">
        <f t="shared" si="0"/>
        <v>0</v>
      </c>
      <c r="L52" s="16">
        <f t="shared" si="1"/>
        <v>6000</v>
      </c>
      <c r="M52" s="6">
        <v>0</v>
      </c>
      <c r="N52" s="6"/>
      <c r="O52" s="6">
        <v>20</v>
      </c>
      <c r="P52" s="17"/>
      <c r="Q52" s="17">
        <f t="shared" si="2"/>
        <v>0</v>
      </c>
      <c r="R52" s="17">
        <f t="shared" si="3"/>
        <v>6000</v>
      </c>
      <c r="S52" s="6">
        <v>15</v>
      </c>
      <c r="T52" s="6"/>
      <c r="U52" s="6">
        <v>15</v>
      </c>
      <c r="V52" s="17">
        <f t="shared" si="4"/>
        <v>1500</v>
      </c>
      <c r="W52" s="17"/>
      <c r="X52" s="17">
        <f t="shared" si="5"/>
        <v>4500</v>
      </c>
      <c r="Y52" s="6">
        <v>25</v>
      </c>
      <c r="Z52" s="6"/>
      <c r="AA52" s="6">
        <v>10</v>
      </c>
      <c r="AB52" s="17"/>
      <c r="AC52" s="17">
        <f t="shared" si="6"/>
        <v>2500</v>
      </c>
      <c r="AD52" s="17">
        <f t="shared" si="7"/>
        <v>3000</v>
      </c>
    </row>
    <row r="53" spans="1:30" ht="14">
      <c r="A53" s="6">
        <v>50</v>
      </c>
      <c r="B53" s="44" t="s">
        <v>75</v>
      </c>
      <c r="C53" s="6" t="s">
        <v>24</v>
      </c>
      <c r="D53" s="6">
        <v>4</v>
      </c>
      <c r="E53" s="16">
        <v>30000</v>
      </c>
      <c r="F53" s="6">
        <v>2</v>
      </c>
      <c r="G53" s="13">
        <v>40</v>
      </c>
      <c r="H53" s="13"/>
      <c r="I53" s="13">
        <v>0</v>
      </c>
      <c r="J53" s="16"/>
      <c r="K53" s="16">
        <f t="shared" si="0"/>
        <v>4000</v>
      </c>
      <c r="L53" s="16">
        <f t="shared" si="1"/>
        <v>0</v>
      </c>
      <c r="M53" s="6">
        <v>20</v>
      </c>
      <c r="N53" s="6"/>
      <c r="O53" s="6">
        <v>10</v>
      </c>
      <c r="P53" s="17"/>
      <c r="Q53" s="17">
        <f t="shared" si="2"/>
        <v>2000</v>
      </c>
      <c r="R53" s="17">
        <f t="shared" si="3"/>
        <v>3000</v>
      </c>
      <c r="S53" s="6">
        <v>37</v>
      </c>
      <c r="T53" s="6"/>
      <c r="U53" s="6">
        <v>10</v>
      </c>
      <c r="V53" s="17">
        <f t="shared" si="4"/>
        <v>3700</v>
      </c>
      <c r="W53" s="17"/>
      <c r="X53" s="17">
        <f t="shared" si="5"/>
        <v>3000</v>
      </c>
      <c r="Y53" s="6">
        <v>40</v>
      </c>
      <c r="Z53" s="6"/>
      <c r="AA53" s="6">
        <v>10</v>
      </c>
      <c r="AB53" s="17"/>
      <c r="AC53" s="17">
        <f t="shared" si="6"/>
        <v>4000</v>
      </c>
      <c r="AD53" s="17">
        <f t="shared" si="7"/>
        <v>3000</v>
      </c>
    </row>
    <row r="54" spans="1:30" ht="14">
      <c r="A54" s="6">
        <v>51</v>
      </c>
      <c r="B54" s="44" t="s">
        <v>76</v>
      </c>
      <c r="C54" s="6" t="s">
        <v>56</v>
      </c>
      <c r="D54" s="6">
        <v>4</v>
      </c>
      <c r="E54" s="16">
        <v>25000</v>
      </c>
      <c r="F54" s="6">
        <v>2</v>
      </c>
      <c r="G54" s="13">
        <v>40</v>
      </c>
      <c r="H54" s="13"/>
      <c r="I54" s="13">
        <v>0</v>
      </c>
      <c r="J54" s="16"/>
      <c r="K54" s="16">
        <f t="shared" si="0"/>
        <v>4000</v>
      </c>
      <c r="L54" s="16">
        <f t="shared" si="1"/>
        <v>0</v>
      </c>
      <c r="M54" s="6">
        <v>20</v>
      </c>
      <c r="N54" s="6"/>
      <c r="O54" s="6">
        <v>5</v>
      </c>
      <c r="P54" s="17"/>
      <c r="Q54" s="17">
        <f t="shared" si="2"/>
        <v>2000</v>
      </c>
      <c r="R54" s="17">
        <f t="shared" si="3"/>
        <v>1500</v>
      </c>
      <c r="S54" s="6">
        <v>47</v>
      </c>
      <c r="T54" s="6"/>
      <c r="U54" s="6">
        <v>0</v>
      </c>
      <c r="V54" s="17">
        <f t="shared" si="4"/>
        <v>4700</v>
      </c>
      <c r="W54" s="17"/>
      <c r="X54" s="17">
        <f t="shared" si="5"/>
        <v>0</v>
      </c>
      <c r="Y54" s="6">
        <v>42</v>
      </c>
      <c r="Z54" s="6"/>
      <c r="AA54" s="6">
        <v>0</v>
      </c>
      <c r="AB54" s="17"/>
      <c r="AC54" s="17">
        <f t="shared" si="6"/>
        <v>4200</v>
      </c>
      <c r="AD54" s="17">
        <f t="shared" si="7"/>
        <v>0</v>
      </c>
    </row>
    <row r="55" spans="1:30" ht="14">
      <c r="A55" s="6">
        <v>52</v>
      </c>
      <c r="B55" s="44" t="s">
        <v>77</v>
      </c>
      <c r="C55" s="6" t="s">
        <v>40</v>
      </c>
      <c r="D55" s="6">
        <v>12</v>
      </c>
      <c r="E55" s="16">
        <v>45000</v>
      </c>
      <c r="F55" s="6">
        <v>2</v>
      </c>
      <c r="G55" s="13">
        <v>20</v>
      </c>
      <c r="H55" s="13"/>
      <c r="I55" s="13">
        <v>20</v>
      </c>
      <c r="J55" s="16"/>
      <c r="K55" s="16">
        <f t="shared" si="0"/>
        <v>2000</v>
      </c>
      <c r="L55" s="16">
        <f t="shared" si="1"/>
        <v>6000</v>
      </c>
      <c r="M55" s="6">
        <v>40</v>
      </c>
      <c r="N55" s="6"/>
      <c r="O55" s="6">
        <v>0</v>
      </c>
      <c r="P55" s="17"/>
      <c r="Q55" s="17">
        <f t="shared" si="2"/>
        <v>4000</v>
      </c>
      <c r="R55" s="17">
        <f t="shared" si="3"/>
        <v>0</v>
      </c>
      <c r="S55" s="6">
        <v>25</v>
      </c>
      <c r="T55" s="6"/>
      <c r="U55" s="6">
        <v>5</v>
      </c>
      <c r="V55" s="17">
        <f t="shared" si="4"/>
        <v>2500</v>
      </c>
      <c r="W55" s="17"/>
      <c r="X55" s="17">
        <f t="shared" si="5"/>
        <v>1500</v>
      </c>
      <c r="Y55" s="6">
        <v>30</v>
      </c>
      <c r="Z55" s="6"/>
      <c r="AA55" s="6">
        <v>10</v>
      </c>
      <c r="AB55" s="17"/>
      <c r="AC55" s="17">
        <f t="shared" si="6"/>
        <v>3000</v>
      </c>
      <c r="AD55" s="17">
        <f t="shared" si="7"/>
        <v>3000</v>
      </c>
    </row>
    <row r="56" spans="1:30" ht="14">
      <c r="A56" s="6">
        <v>53</v>
      </c>
      <c r="B56" s="44" t="s">
        <v>78</v>
      </c>
      <c r="C56" s="6" t="s">
        <v>32</v>
      </c>
      <c r="D56" s="6">
        <v>6</v>
      </c>
      <c r="E56" s="16">
        <v>30000</v>
      </c>
      <c r="F56" s="6">
        <v>2</v>
      </c>
      <c r="G56" s="13">
        <v>40</v>
      </c>
      <c r="H56" s="13"/>
      <c r="I56" s="13">
        <v>0</v>
      </c>
      <c r="J56" s="16"/>
      <c r="K56" s="16">
        <f t="shared" si="0"/>
        <v>4000</v>
      </c>
      <c r="L56" s="16">
        <f t="shared" si="1"/>
        <v>0</v>
      </c>
      <c r="M56" s="6">
        <v>20</v>
      </c>
      <c r="N56" s="6"/>
      <c r="O56" s="6">
        <v>0</v>
      </c>
      <c r="P56" s="17"/>
      <c r="Q56" s="17">
        <f t="shared" si="2"/>
        <v>2000</v>
      </c>
      <c r="R56" s="17">
        <f t="shared" si="3"/>
        <v>0</v>
      </c>
      <c r="S56" s="6">
        <v>35</v>
      </c>
      <c r="T56" s="6"/>
      <c r="U56" s="6">
        <v>0</v>
      </c>
      <c r="V56" s="17">
        <f t="shared" si="4"/>
        <v>3500</v>
      </c>
      <c r="W56" s="17"/>
      <c r="X56" s="17">
        <f t="shared" si="5"/>
        <v>0</v>
      </c>
      <c r="Y56" s="6">
        <v>30</v>
      </c>
      <c r="Z56" s="6"/>
      <c r="AA56" s="6">
        <v>7</v>
      </c>
      <c r="AB56" s="17"/>
      <c r="AC56" s="17">
        <f t="shared" si="6"/>
        <v>3000</v>
      </c>
      <c r="AD56" s="17">
        <f t="shared" si="7"/>
        <v>2100</v>
      </c>
    </row>
    <row r="57" spans="1:30" ht="14">
      <c r="A57" s="6">
        <v>54</v>
      </c>
      <c r="B57" s="44" t="s">
        <v>79</v>
      </c>
      <c r="C57" s="6" t="s">
        <v>40</v>
      </c>
      <c r="D57" s="6">
        <v>4</v>
      </c>
      <c r="E57" s="16">
        <v>35000</v>
      </c>
      <c r="F57" s="6">
        <v>2</v>
      </c>
      <c r="G57" s="13">
        <v>40</v>
      </c>
      <c r="H57" s="13"/>
      <c r="I57" s="13">
        <v>0</v>
      </c>
      <c r="J57" s="16"/>
      <c r="K57" s="16">
        <f t="shared" si="0"/>
        <v>4000</v>
      </c>
      <c r="L57" s="16">
        <f t="shared" si="1"/>
        <v>0</v>
      </c>
      <c r="M57" s="6">
        <v>40</v>
      </c>
      <c r="N57" s="6"/>
      <c r="O57" s="6">
        <v>0</v>
      </c>
      <c r="P57" s="17"/>
      <c r="Q57" s="17">
        <f t="shared" si="2"/>
        <v>4000</v>
      </c>
      <c r="R57" s="17">
        <f t="shared" si="3"/>
        <v>0</v>
      </c>
      <c r="S57" s="6">
        <v>45</v>
      </c>
      <c r="T57" s="6"/>
      <c r="U57" s="6">
        <v>0</v>
      </c>
      <c r="V57" s="17">
        <f t="shared" si="4"/>
        <v>4500</v>
      </c>
      <c r="W57" s="17"/>
      <c r="X57" s="17">
        <f t="shared" si="5"/>
        <v>0</v>
      </c>
      <c r="Y57" s="6">
        <v>50</v>
      </c>
      <c r="Z57" s="6"/>
      <c r="AA57" s="6">
        <v>0</v>
      </c>
      <c r="AB57" s="17"/>
      <c r="AC57" s="17">
        <f t="shared" si="6"/>
        <v>5000</v>
      </c>
      <c r="AD57" s="17">
        <f t="shared" si="7"/>
        <v>0</v>
      </c>
    </row>
    <row r="58" spans="1:30" ht="14">
      <c r="A58" s="6">
        <v>55</v>
      </c>
      <c r="B58" s="44" t="s">
        <v>80</v>
      </c>
      <c r="C58" s="6" t="s">
        <v>26</v>
      </c>
      <c r="D58" s="6">
        <v>7</v>
      </c>
      <c r="E58" s="16">
        <v>45000</v>
      </c>
      <c r="F58" s="6">
        <v>2</v>
      </c>
      <c r="G58" s="13">
        <v>40</v>
      </c>
      <c r="H58" s="13"/>
      <c r="I58" s="13">
        <v>0</v>
      </c>
      <c r="J58" s="16"/>
      <c r="K58" s="16">
        <f t="shared" si="0"/>
        <v>4000</v>
      </c>
      <c r="L58" s="16">
        <f t="shared" si="1"/>
        <v>0</v>
      </c>
      <c r="M58" s="6">
        <v>35</v>
      </c>
      <c r="N58" s="6"/>
      <c r="O58" s="6">
        <v>0</v>
      </c>
      <c r="P58" s="17"/>
      <c r="Q58" s="17">
        <f t="shared" si="2"/>
        <v>3500</v>
      </c>
      <c r="R58" s="17">
        <f t="shared" si="3"/>
        <v>0</v>
      </c>
      <c r="S58" s="6">
        <v>45</v>
      </c>
      <c r="T58" s="6"/>
      <c r="U58" s="6">
        <v>0</v>
      </c>
      <c r="V58" s="17">
        <f t="shared" si="4"/>
        <v>4500</v>
      </c>
      <c r="W58" s="17"/>
      <c r="X58" s="17">
        <f t="shared" si="5"/>
        <v>0</v>
      </c>
      <c r="Y58" s="6">
        <v>38</v>
      </c>
      <c r="Z58" s="6"/>
      <c r="AA58" s="6">
        <v>12</v>
      </c>
      <c r="AB58" s="17"/>
      <c r="AC58" s="17">
        <f t="shared" si="6"/>
        <v>3800</v>
      </c>
      <c r="AD58" s="17">
        <f t="shared" si="7"/>
        <v>3600</v>
      </c>
    </row>
    <row r="59" spans="1:30" ht="14">
      <c r="A59" s="6">
        <v>56</v>
      </c>
      <c r="B59" s="44" t="s">
        <v>81</v>
      </c>
      <c r="C59" s="6" t="s">
        <v>24</v>
      </c>
      <c r="D59" s="6">
        <v>6</v>
      </c>
      <c r="E59" s="16">
        <v>40000</v>
      </c>
      <c r="F59" s="6">
        <v>2</v>
      </c>
      <c r="G59" s="13">
        <v>80</v>
      </c>
      <c r="H59" s="13"/>
      <c r="I59" s="13">
        <v>0</v>
      </c>
      <c r="J59" s="16"/>
      <c r="K59" s="16">
        <f t="shared" si="0"/>
        <v>8000</v>
      </c>
      <c r="L59" s="16">
        <f t="shared" si="1"/>
        <v>0</v>
      </c>
      <c r="M59" s="6">
        <v>65</v>
      </c>
      <c r="N59" s="6"/>
      <c r="O59" s="6">
        <v>0</v>
      </c>
      <c r="P59" s="17"/>
      <c r="Q59" s="17">
        <f t="shared" si="2"/>
        <v>6500</v>
      </c>
      <c r="R59" s="17">
        <f t="shared" si="3"/>
        <v>0</v>
      </c>
      <c r="S59" s="6">
        <v>58</v>
      </c>
      <c r="T59" s="6"/>
      <c r="U59" s="6">
        <v>0</v>
      </c>
      <c r="V59" s="17">
        <f t="shared" si="4"/>
        <v>5800</v>
      </c>
      <c r="W59" s="17"/>
      <c r="X59" s="17">
        <f t="shared" si="5"/>
        <v>0</v>
      </c>
      <c r="Y59" s="6">
        <v>60</v>
      </c>
      <c r="Z59" s="6"/>
      <c r="AA59" s="6">
        <v>5</v>
      </c>
      <c r="AB59" s="17"/>
      <c r="AC59" s="17">
        <f t="shared" si="6"/>
        <v>6000</v>
      </c>
      <c r="AD59" s="17">
        <f t="shared" si="7"/>
        <v>1500</v>
      </c>
    </row>
    <row r="60" spans="1:30" ht="14">
      <c r="A60" s="6">
        <v>57</v>
      </c>
      <c r="B60" s="44" t="s">
        <v>82</v>
      </c>
      <c r="C60" s="6" t="s">
        <v>83</v>
      </c>
      <c r="D60" s="6">
        <v>4</v>
      </c>
      <c r="E60" s="16">
        <v>30000</v>
      </c>
      <c r="F60" s="6">
        <v>2</v>
      </c>
      <c r="G60" s="13">
        <v>40</v>
      </c>
      <c r="H60" s="13"/>
      <c r="I60" s="13">
        <v>0</v>
      </c>
      <c r="J60" s="16"/>
      <c r="K60" s="16">
        <f t="shared" si="0"/>
        <v>4000</v>
      </c>
      <c r="L60" s="16">
        <f t="shared" si="1"/>
        <v>0</v>
      </c>
      <c r="M60" s="6">
        <v>60</v>
      </c>
      <c r="N60" s="6"/>
      <c r="O60" s="6">
        <v>0</v>
      </c>
      <c r="P60" s="17"/>
      <c r="Q60" s="17">
        <f t="shared" si="2"/>
        <v>6000</v>
      </c>
      <c r="R60" s="17">
        <f t="shared" si="3"/>
        <v>0</v>
      </c>
      <c r="S60" s="6">
        <v>50</v>
      </c>
      <c r="T60" s="6"/>
      <c r="U60" s="6">
        <v>0</v>
      </c>
      <c r="V60" s="17">
        <f t="shared" si="4"/>
        <v>5000</v>
      </c>
      <c r="W60" s="17"/>
      <c r="X60" s="17">
        <f t="shared" si="5"/>
        <v>0</v>
      </c>
      <c r="Y60" s="6">
        <v>40</v>
      </c>
      <c r="Z60" s="6"/>
      <c r="AA60" s="6">
        <v>10</v>
      </c>
      <c r="AB60" s="17"/>
      <c r="AC60" s="17">
        <f t="shared" si="6"/>
        <v>4000</v>
      </c>
      <c r="AD60" s="17">
        <f t="shared" si="7"/>
        <v>3000</v>
      </c>
    </row>
    <row r="61" spans="1:30" ht="14">
      <c r="A61" s="6">
        <v>58</v>
      </c>
      <c r="B61" s="44" t="s">
        <v>84</v>
      </c>
      <c r="C61" s="6" t="s">
        <v>26</v>
      </c>
      <c r="D61" s="6">
        <v>7</v>
      </c>
      <c r="E61" s="16">
        <v>45000</v>
      </c>
      <c r="F61" s="6">
        <v>2</v>
      </c>
      <c r="G61" s="13">
        <v>100</v>
      </c>
      <c r="H61" s="13"/>
      <c r="I61" s="13">
        <v>0</v>
      </c>
      <c r="J61" s="16"/>
      <c r="K61" s="16">
        <f t="shared" si="0"/>
        <v>10000</v>
      </c>
      <c r="L61" s="16">
        <f t="shared" si="1"/>
        <v>0</v>
      </c>
      <c r="M61" s="6">
        <v>75</v>
      </c>
      <c r="N61" s="6"/>
      <c r="O61" s="6">
        <v>0</v>
      </c>
      <c r="P61" s="17"/>
      <c r="Q61" s="17">
        <f t="shared" si="2"/>
        <v>7500</v>
      </c>
      <c r="R61" s="17">
        <f t="shared" si="3"/>
        <v>0</v>
      </c>
      <c r="S61" s="6">
        <v>85</v>
      </c>
      <c r="T61" s="6"/>
      <c r="U61" s="6">
        <v>0</v>
      </c>
      <c r="V61" s="17">
        <f t="shared" si="4"/>
        <v>8500</v>
      </c>
      <c r="W61" s="17"/>
      <c r="X61" s="17">
        <f t="shared" si="5"/>
        <v>0</v>
      </c>
      <c r="Y61" s="6">
        <v>62</v>
      </c>
      <c r="Z61" s="6"/>
      <c r="AA61" s="6">
        <v>10</v>
      </c>
      <c r="AB61" s="17"/>
      <c r="AC61" s="17">
        <f t="shared" si="6"/>
        <v>6200</v>
      </c>
      <c r="AD61" s="17">
        <f t="shared" si="7"/>
        <v>3000</v>
      </c>
    </row>
    <row r="62" spans="1:30" ht="14">
      <c r="A62" s="6">
        <v>59</v>
      </c>
      <c r="B62" s="44" t="s">
        <v>85</v>
      </c>
      <c r="C62" s="6" t="s">
        <v>24</v>
      </c>
      <c r="D62" s="6">
        <v>6</v>
      </c>
      <c r="E62" s="16">
        <v>40000</v>
      </c>
      <c r="F62" s="6">
        <v>2</v>
      </c>
      <c r="G62" s="13">
        <v>80</v>
      </c>
      <c r="H62" s="13"/>
      <c r="I62" s="13">
        <v>0</v>
      </c>
      <c r="J62" s="16"/>
      <c r="K62" s="16">
        <f t="shared" si="0"/>
        <v>8000</v>
      </c>
      <c r="L62" s="16">
        <f t="shared" si="1"/>
        <v>0</v>
      </c>
      <c r="M62" s="6">
        <v>48</v>
      </c>
      <c r="N62" s="6"/>
      <c r="O62" s="6">
        <v>0</v>
      </c>
      <c r="P62" s="17"/>
      <c r="Q62" s="17">
        <f t="shared" si="2"/>
        <v>4800</v>
      </c>
      <c r="R62" s="17">
        <f t="shared" si="3"/>
        <v>0</v>
      </c>
      <c r="S62" s="6">
        <v>55</v>
      </c>
      <c r="T62" s="6"/>
      <c r="U62" s="6">
        <v>0</v>
      </c>
      <c r="V62" s="17">
        <f t="shared" si="4"/>
        <v>5500</v>
      </c>
      <c r="W62" s="17"/>
      <c r="X62" s="17">
        <f t="shared" si="5"/>
        <v>0</v>
      </c>
      <c r="Y62" s="6">
        <v>40</v>
      </c>
      <c r="Z62" s="6"/>
      <c r="AA62" s="6">
        <v>15</v>
      </c>
      <c r="AB62" s="17"/>
      <c r="AC62" s="17">
        <f t="shared" si="6"/>
        <v>4000</v>
      </c>
      <c r="AD62" s="17">
        <f t="shared" si="7"/>
        <v>4500</v>
      </c>
    </row>
    <row r="63" spans="1:30" ht="14">
      <c r="A63" s="6">
        <v>60</v>
      </c>
      <c r="B63" s="44" t="s">
        <v>86</v>
      </c>
      <c r="C63" s="6" t="s">
        <v>32</v>
      </c>
      <c r="D63" s="6">
        <v>4</v>
      </c>
      <c r="E63" s="16">
        <v>30000</v>
      </c>
      <c r="F63" s="6">
        <v>2</v>
      </c>
      <c r="G63" s="13">
        <v>20</v>
      </c>
      <c r="H63" s="13"/>
      <c r="I63" s="13">
        <v>0</v>
      </c>
      <c r="J63" s="16"/>
      <c r="K63" s="16">
        <f t="shared" si="0"/>
        <v>2000</v>
      </c>
      <c r="L63" s="16">
        <f t="shared" si="1"/>
        <v>0</v>
      </c>
      <c r="M63" s="6">
        <v>20</v>
      </c>
      <c r="N63" s="6"/>
      <c r="O63" s="6">
        <v>10</v>
      </c>
      <c r="P63" s="17"/>
      <c r="Q63" s="17">
        <f t="shared" si="2"/>
        <v>2000</v>
      </c>
      <c r="R63" s="17">
        <f t="shared" si="3"/>
        <v>3000</v>
      </c>
      <c r="S63" s="6">
        <v>35</v>
      </c>
      <c r="T63" s="6"/>
      <c r="U63" s="6">
        <v>5</v>
      </c>
      <c r="V63" s="17">
        <f t="shared" si="4"/>
        <v>3500</v>
      </c>
      <c r="W63" s="17"/>
      <c r="X63" s="17">
        <f t="shared" si="5"/>
        <v>1500</v>
      </c>
      <c r="Y63" s="6">
        <v>30</v>
      </c>
      <c r="Z63" s="6"/>
      <c r="AA63" s="6">
        <v>10</v>
      </c>
      <c r="AB63" s="17"/>
      <c r="AC63" s="17">
        <f t="shared" si="6"/>
        <v>3000</v>
      </c>
      <c r="AD63" s="17">
        <f t="shared" si="7"/>
        <v>3000</v>
      </c>
    </row>
    <row r="64" spans="1:30" ht="14">
      <c r="A64" s="6">
        <v>61</v>
      </c>
      <c r="B64" s="44" t="s">
        <v>87</v>
      </c>
      <c r="C64" s="6" t="s">
        <v>32</v>
      </c>
      <c r="D64" s="6">
        <v>8</v>
      </c>
      <c r="E64" s="16">
        <v>25000</v>
      </c>
      <c r="F64" s="6">
        <v>2</v>
      </c>
      <c r="G64" s="13">
        <v>30</v>
      </c>
      <c r="H64" s="13"/>
      <c r="I64" s="13">
        <v>0</v>
      </c>
      <c r="J64" s="16"/>
      <c r="K64" s="16">
        <f t="shared" si="0"/>
        <v>3000</v>
      </c>
      <c r="L64" s="16">
        <f t="shared" si="1"/>
        <v>0</v>
      </c>
      <c r="M64" s="6">
        <v>15</v>
      </c>
      <c r="N64" s="6"/>
      <c r="O64" s="6">
        <v>5</v>
      </c>
      <c r="P64" s="17"/>
      <c r="Q64" s="17">
        <f t="shared" si="2"/>
        <v>1500</v>
      </c>
      <c r="R64" s="17">
        <f t="shared" si="3"/>
        <v>1500</v>
      </c>
      <c r="S64" s="6">
        <v>40</v>
      </c>
      <c r="T64" s="6"/>
      <c r="U64" s="6">
        <v>0</v>
      </c>
      <c r="V64" s="17">
        <f t="shared" si="4"/>
        <v>4000</v>
      </c>
      <c r="W64" s="17"/>
      <c r="X64" s="17">
        <f t="shared" si="5"/>
        <v>0</v>
      </c>
      <c r="Y64" s="6">
        <v>25</v>
      </c>
      <c r="Z64" s="6"/>
      <c r="AA64" s="6">
        <v>15</v>
      </c>
      <c r="AB64" s="17"/>
      <c r="AC64" s="17">
        <f t="shared" si="6"/>
        <v>2500</v>
      </c>
      <c r="AD64" s="17">
        <f t="shared" si="7"/>
        <v>4500</v>
      </c>
    </row>
    <row r="65" spans="1:30" ht="14">
      <c r="A65" s="6">
        <v>62</v>
      </c>
      <c r="B65" s="44" t="s">
        <v>88</v>
      </c>
      <c r="C65" s="6" t="s">
        <v>32</v>
      </c>
      <c r="D65" s="6">
        <v>7</v>
      </c>
      <c r="E65" s="16">
        <v>50000</v>
      </c>
      <c r="F65" s="6">
        <v>3</v>
      </c>
      <c r="G65" s="13">
        <v>20</v>
      </c>
      <c r="H65" s="13"/>
      <c r="I65" s="13">
        <v>40</v>
      </c>
      <c r="J65" s="16"/>
      <c r="K65" s="16">
        <f t="shared" si="0"/>
        <v>2000</v>
      </c>
      <c r="L65" s="16">
        <f t="shared" si="1"/>
        <v>12000</v>
      </c>
      <c r="M65" s="6">
        <v>20</v>
      </c>
      <c r="N65" s="6"/>
      <c r="O65" s="6">
        <v>25</v>
      </c>
      <c r="P65" s="17"/>
      <c r="Q65" s="17">
        <f t="shared" si="2"/>
        <v>2000</v>
      </c>
      <c r="R65" s="17">
        <f t="shared" si="3"/>
        <v>7500</v>
      </c>
      <c r="S65" s="6">
        <v>25</v>
      </c>
      <c r="T65" s="6"/>
      <c r="U65" s="6">
        <v>20</v>
      </c>
      <c r="V65" s="17">
        <f t="shared" si="4"/>
        <v>2500</v>
      </c>
      <c r="W65" s="17"/>
      <c r="X65" s="17">
        <f t="shared" si="5"/>
        <v>6000</v>
      </c>
      <c r="Y65" s="6">
        <v>40</v>
      </c>
      <c r="Z65" s="6"/>
      <c r="AA65" s="6">
        <v>15</v>
      </c>
      <c r="AB65" s="17"/>
      <c r="AC65" s="17">
        <f t="shared" si="6"/>
        <v>4000</v>
      </c>
      <c r="AD65" s="17">
        <f t="shared" si="7"/>
        <v>4500</v>
      </c>
    </row>
    <row r="66" spans="1:30" ht="14">
      <c r="A66" s="6">
        <v>63</v>
      </c>
      <c r="B66" s="44" t="s">
        <v>89</v>
      </c>
      <c r="C66" s="6" t="s">
        <v>65</v>
      </c>
      <c r="D66" s="6">
        <v>8</v>
      </c>
      <c r="E66" s="16">
        <v>45000</v>
      </c>
      <c r="F66" s="6">
        <v>3</v>
      </c>
      <c r="G66" s="20">
        <v>40</v>
      </c>
      <c r="H66" s="13"/>
      <c r="I66" s="13">
        <v>20</v>
      </c>
      <c r="J66" s="16"/>
      <c r="K66" s="16">
        <f t="shared" si="0"/>
        <v>4000</v>
      </c>
      <c r="L66" s="16">
        <f t="shared" si="1"/>
        <v>6000</v>
      </c>
      <c r="M66" s="17">
        <v>40</v>
      </c>
      <c r="N66" s="6"/>
      <c r="O66" s="6">
        <v>15</v>
      </c>
      <c r="P66" s="17"/>
      <c r="Q66" s="17">
        <f t="shared" si="2"/>
        <v>4000</v>
      </c>
      <c r="R66" s="17">
        <f t="shared" si="3"/>
        <v>4500</v>
      </c>
      <c r="S66" s="17">
        <v>40</v>
      </c>
      <c r="T66" s="6"/>
      <c r="U66" s="6">
        <v>10</v>
      </c>
      <c r="V66" s="17">
        <f t="shared" si="4"/>
        <v>4000</v>
      </c>
      <c r="W66" s="17"/>
      <c r="X66" s="17">
        <f t="shared" si="5"/>
        <v>3000</v>
      </c>
      <c r="Y66" s="17">
        <v>55</v>
      </c>
      <c r="Z66" s="6"/>
      <c r="AA66" s="6">
        <v>5</v>
      </c>
      <c r="AB66" s="17"/>
      <c r="AC66" s="17">
        <f t="shared" si="6"/>
        <v>5500</v>
      </c>
      <c r="AD66" s="17">
        <f t="shared" si="7"/>
        <v>1500</v>
      </c>
    </row>
    <row r="67" spans="1:30" ht="14">
      <c r="A67" s="6">
        <v>64</v>
      </c>
      <c r="B67" s="44" t="s">
        <v>90</v>
      </c>
      <c r="C67" s="6" t="s">
        <v>32</v>
      </c>
      <c r="D67" s="6">
        <v>6</v>
      </c>
      <c r="E67" s="16">
        <v>45000</v>
      </c>
      <c r="F67" s="6">
        <v>2</v>
      </c>
      <c r="G67" s="13">
        <v>80</v>
      </c>
      <c r="H67" s="13"/>
      <c r="I67" s="13">
        <v>0</v>
      </c>
      <c r="J67" s="16"/>
      <c r="K67" s="16">
        <f t="shared" si="0"/>
        <v>8000</v>
      </c>
      <c r="L67" s="16">
        <f t="shared" si="1"/>
        <v>0</v>
      </c>
      <c r="M67" s="6">
        <v>50</v>
      </c>
      <c r="N67" s="6"/>
      <c r="O67" s="6">
        <v>0</v>
      </c>
      <c r="P67" s="17"/>
      <c r="Q67" s="17">
        <f t="shared" si="2"/>
        <v>5000</v>
      </c>
      <c r="R67" s="17">
        <f t="shared" si="3"/>
        <v>0</v>
      </c>
      <c r="S67" s="6">
        <v>65</v>
      </c>
      <c r="T67" s="6"/>
      <c r="U67" s="6">
        <v>0</v>
      </c>
      <c r="V67" s="17">
        <f t="shared" si="4"/>
        <v>6500</v>
      </c>
      <c r="W67" s="17"/>
      <c r="X67" s="17">
        <f t="shared" si="5"/>
        <v>0</v>
      </c>
      <c r="Y67" s="6">
        <v>45</v>
      </c>
      <c r="Z67" s="6"/>
      <c r="AA67" s="6">
        <v>15</v>
      </c>
      <c r="AB67" s="17"/>
      <c r="AC67" s="17">
        <f t="shared" si="6"/>
        <v>4500</v>
      </c>
      <c r="AD67" s="17">
        <f t="shared" si="7"/>
        <v>4500</v>
      </c>
    </row>
    <row r="68" spans="1:30" ht="14">
      <c r="A68" s="6">
        <v>65</v>
      </c>
      <c r="B68" s="44" t="s">
        <v>91</v>
      </c>
      <c r="C68" s="6" t="s">
        <v>24</v>
      </c>
      <c r="D68" s="6">
        <v>6</v>
      </c>
      <c r="E68" s="16">
        <v>30000</v>
      </c>
      <c r="F68" s="6">
        <v>2</v>
      </c>
      <c r="G68" s="13">
        <v>40</v>
      </c>
      <c r="H68" s="13"/>
      <c r="I68" s="13">
        <v>0</v>
      </c>
      <c r="J68" s="16"/>
      <c r="K68" s="16">
        <f t="shared" si="0"/>
        <v>4000</v>
      </c>
      <c r="L68" s="16">
        <f t="shared" si="1"/>
        <v>0</v>
      </c>
      <c r="M68" s="6">
        <v>35</v>
      </c>
      <c r="N68" s="6"/>
      <c r="O68" s="6">
        <v>0</v>
      </c>
      <c r="P68" s="17"/>
      <c r="Q68" s="17">
        <f t="shared" si="2"/>
        <v>3500</v>
      </c>
      <c r="R68" s="17">
        <f t="shared" si="3"/>
        <v>0</v>
      </c>
      <c r="S68" s="6">
        <v>55</v>
      </c>
      <c r="T68" s="6"/>
      <c r="U68" s="6">
        <v>0</v>
      </c>
      <c r="V68" s="17">
        <f t="shared" si="4"/>
        <v>5500</v>
      </c>
      <c r="W68" s="17"/>
      <c r="X68" s="17">
        <f t="shared" si="5"/>
        <v>0</v>
      </c>
      <c r="Y68" s="6">
        <v>15</v>
      </c>
      <c r="Z68" s="6"/>
      <c r="AA68" s="6">
        <v>20</v>
      </c>
      <c r="AB68" s="17"/>
      <c r="AC68" s="17">
        <f t="shared" si="6"/>
        <v>1500</v>
      </c>
      <c r="AD68" s="17">
        <f t="shared" si="7"/>
        <v>6000</v>
      </c>
    </row>
    <row r="69" spans="1:30" ht="14">
      <c r="A69" s="6">
        <v>66</v>
      </c>
      <c r="B69" s="44" t="s">
        <v>92</v>
      </c>
      <c r="C69" s="6" t="s">
        <v>17</v>
      </c>
      <c r="D69" s="6">
        <v>4</v>
      </c>
      <c r="E69" s="16">
        <v>45000</v>
      </c>
      <c r="F69" s="6">
        <v>2</v>
      </c>
      <c r="G69" s="13">
        <v>0</v>
      </c>
      <c r="H69" s="13"/>
      <c r="I69" s="13">
        <v>20</v>
      </c>
      <c r="J69" s="16"/>
      <c r="K69" s="16">
        <f t="shared" si="0"/>
        <v>0</v>
      </c>
      <c r="L69" s="16">
        <f t="shared" si="1"/>
        <v>6000</v>
      </c>
      <c r="M69" s="6">
        <v>20</v>
      </c>
      <c r="N69" s="6"/>
      <c r="O69" s="6">
        <v>10</v>
      </c>
      <c r="P69" s="17"/>
      <c r="Q69" s="17">
        <f t="shared" si="2"/>
        <v>2000</v>
      </c>
      <c r="R69" s="17">
        <f t="shared" si="3"/>
        <v>3000</v>
      </c>
      <c r="S69" s="6">
        <v>28</v>
      </c>
      <c r="T69" s="6"/>
      <c r="U69" s="6">
        <v>5</v>
      </c>
      <c r="V69" s="17">
        <f t="shared" si="4"/>
        <v>2800</v>
      </c>
      <c r="W69" s="17"/>
      <c r="X69" s="17">
        <f t="shared" si="5"/>
        <v>1500</v>
      </c>
      <c r="Y69" s="6">
        <v>20</v>
      </c>
      <c r="Z69" s="6"/>
      <c r="AA69" s="6">
        <v>15</v>
      </c>
      <c r="AB69" s="17"/>
      <c r="AC69" s="17">
        <f t="shared" si="6"/>
        <v>2000</v>
      </c>
      <c r="AD69" s="17">
        <f t="shared" si="7"/>
        <v>4500</v>
      </c>
    </row>
    <row r="70" spans="1:30" ht="14">
      <c r="A70" s="6">
        <v>67</v>
      </c>
      <c r="B70" s="44" t="s">
        <v>93</v>
      </c>
      <c r="C70" s="6" t="s">
        <v>19</v>
      </c>
      <c r="D70" s="6">
        <v>7</v>
      </c>
      <c r="E70" s="16">
        <v>30000</v>
      </c>
      <c r="F70" s="6">
        <v>2</v>
      </c>
      <c r="G70" s="13">
        <v>40</v>
      </c>
      <c r="H70" s="13"/>
      <c r="I70" s="13">
        <v>0</v>
      </c>
      <c r="J70" s="16"/>
      <c r="K70" s="16">
        <f t="shared" si="0"/>
        <v>4000</v>
      </c>
      <c r="L70" s="16">
        <f t="shared" si="1"/>
        <v>0</v>
      </c>
      <c r="M70" s="6">
        <v>40</v>
      </c>
      <c r="N70" s="6"/>
      <c r="O70" s="6">
        <v>0</v>
      </c>
      <c r="P70" s="17"/>
      <c r="Q70" s="17">
        <f t="shared" si="2"/>
        <v>4000</v>
      </c>
      <c r="R70" s="17">
        <f t="shared" si="3"/>
        <v>0</v>
      </c>
      <c r="S70" s="6">
        <v>55</v>
      </c>
      <c r="T70" s="6"/>
      <c r="U70" s="6">
        <v>0</v>
      </c>
      <c r="V70" s="17">
        <f t="shared" si="4"/>
        <v>5500</v>
      </c>
      <c r="W70" s="17"/>
      <c r="X70" s="17">
        <f t="shared" si="5"/>
        <v>0</v>
      </c>
      <c r="Y70" s="6">
        <v>25</v>
      </c>
      <c r="Z70" s="6"/>
      <c r="AA70" s="6">
        <v>20</v>
      </c>
      <c r="AB70" s="17"/>
      <c r="AC70" s="17">
        <f t="shared" si="6"/>
        <v>2500</v>
      </c>
      <c r="AD70" s="17">
        <f t="shared" si="7"/>
        <v>6000</v>
      </c>
    </row>
    <row r="71" spans="1:30" ht="14">
      <c r="A71" s="6">
        <v>68</v>
      </c>
      <c r="B71" s="44" t="s">
        <v>94</v>
      </c>
      <c r="C71" s="6" t="s">
        <v>19</v>
      </c>
      <c r="D71" s="6">
        <v>6</v>
      </c>
      <c r="E71" s="16">
        <v>30000</v>
      </c>
      <c r="F71" s="6">
        <v>2</v>
      </c>
      <c r="G71" s="13">
        <v>20</v>
      </c>
      <c r="H71" s="13"/>
      <c r="I71" s="13">
        <v>0</v>
      </c>
      <c r="J71" s="16"/>
      <c r="K71" s="16">
        <f t="shared" si="0"/>
        <v>2000</v>
      </c>
      <c r="L71" s="16">
        <f t="shared" si="1"/>
        <v>0</v>
      </c>
      <c r="M71" s="6">
        <v>40</v>
      </c>
      <c r="N71" s="6"/>
      <c r="O71" s="6">
        <v>0</v>
      </c>
      <c r="P71" s="17"/>
      <c r="Q71" s="17">
        <f t="shared" si="2"/>
        <v>4000</v>
      </c>
      <c r="R71" s="17">
        <f t="shared" si="3"/>
        <v>0</v>
      </c>
      <c r="S71" s="6">
        <v>36</v>
      </c>
      <c r="T71" s="6"/>
      <c r="U71" s="6">
        <v>0</v>
      </c>
      <c r="V71" s="17">
        <f t="shared" si="4"/>
        <v>3600</v>
      </c>
      <c r="W71" s="17"/>
      <c r="X71" s="17">
        <f t="shared" si="5"/>
        <v>0</v>
      </c>
      <c r="Y71" s="6">
        <v>40</v>
      </c>
      <c r="Z71" s="6"/>
      <c r="AA71" s="6">
        <v>0</v>
      </c>
      <c r="AB71" s="17"/>
      <c r="AC71" s="17">
        <f t="shared" si="6"/>
        <v>4000</v>
      </c>
      <c r="AD71" s="17">
        <f t="shared" si="7"/>
        <v>0</v>
      </c>
    </row>
    <row r="72" spans="1:30" ht="14">
      <c r="A72" s="6">
        <v>69</v>
      </c>
      <c r="B72" s="44" t="s">
        <v>95</v>
      </c>
      <c r="C72" s="6" t="s">
        <v>26</v>
      </c>
      <c r="D72" s="6">
        <v>8</v>
      </c>
      <c r="E72" s="16">
        <v>45000</v>
      </c>
      <c r="F72" s="6">
        <v>2</v>
      </c>
      <c r="G72" s="13">
        <v>80</v>
      </c>
      <c r="H72" s="13"/>
      <c r="I72" s="13">
        <v>0</v>
      </c>
      <c r="J72" s="16"/>
      <c r="K72" s="16">
        <f t="shared" si="0"/>
        <v>8000</v>
      </c>
      <c r="L72" s="16">
        <f t="shared" si="1"/>
        <v>0</v>
      </c>
      <c r="M72" s="6">
        <v>54</v>
      </c>
      <c r="N72" s="6"/>
      <c r="O72" s="6">
        <v>0</v>
      </c>
      <c r="P72" s="17"/>
      <c r="Q72" s="17">
        <f t="shared" si="2"/>
        <v>5400</v>
      </c>
      <c r="R72" s="17">
        <f t="shared" si="3"/>
        <v>0</v>
      </c>
      <c r="S72" s="6">
        <v>60</v>
      </c>
      <c r="T72" s="6"/>
      <c r="U72" s="6">
        <v>0</v>
      </c>
      <c r="V72" s="17">
        <f t="shared" si="4"/>
        <v>6000</v>
      </c>
      <c r="W72" s="17"/>
      <c r="X72" s="17">
        <f t="shared" si="5"/>
        <v>0</v>
      </c>
      <c r="Y72" s="6">
        <v>25</v>
      </c>
      <c r="Z72" s="6"/>
      <c r="AA72" s="6">
        <v>5</v>
      </c>
      <c r="AB72" s="17"/>
      <c r="AC72" s="17">
        <f t="shared" si="6"/>
        <v>2500</v>
      </c>
      <c r="AD72" s="17">
        <f t="shared" si="7"/>
        <v>1500</v>
      </c>
    </row>
    <row r="73" spans="1:30" ht="14">
      <c r="A73" s="6">
        <v>70</v>
      </c>
      <c r="B73" s="44" t="s">
        <v>96</v>
      </c>
      <c r="C73" s="6" t="s">
        <v>19</v>
      </c>
      <c r="D73" s="6">
        <v>8</v>
      </c>
      <c r="E73" s="16">
        <v>60000</v>
      </c>
      <c r="F73" s="6">
        <v>2</v>
      </c>
      <c r="G73" s="13">
        <v>0</v>
      </c>
      <c r="H73" s="13"/>
      <c r="I73" s="13">
        <v>40</v>
      </c>
      <c r="J73" s="16"/>
      <c r="K73" s="16">
        <f t="shared" si="0"/>
        <v>0</v>
      </c>
      <c r="L73" s="16">
        <f t="shared" si="1"/>
        <v>12000</v>
      </c>
      <c r="M73" s="6">
        <v>40</v>
      </c>
      <c r="N73" s="6"/>
      <c r="O73" s="6">
        <v>20</v>
      </c>
      <c r="P73" s="17"/>
      <c r="Q73" s="17">
        <f t="shared" si="2"/>
        <v>4000</v>
      </c>
      <c r="R73" s="17">
        <f t="shared" si="3"/>
        <v>6000</v>
      </c>
      <c r="S73" s="6">
        <v>30</v>
      </c>
      <c r="T73" s="6"/>
      <c r="U73" s="6">
        <v>15</v>
      </c>
      <c r="V73" s="17">
        <f t="shared" si="4"/>
        <v>3000</v>
      </c>
      <c r="W73" s="17"/>
      <c r="X73" s="17">
        <f t="shared" si="5"/>
        <v>4500</v>
      </c>
      <c r="Y73" s="6">
        <v>35</v>
      </c>
      <c r="Z73" s="6"/>
      <c r="AA73" s="6">
        <v>20</v>
      </c>
      <c r="AB73" s="17"/>
      <c r="AC73" s="17">
        <f t="shared" si="6"/>
        <v>3500</v>
      </c>
      <c r="AD73" s="17">
        <f t="shared" si="7"/>
        <v>6000</v>
      </c>
    </row>
    <row r="74" spans="1:30" ht="14">
      <c r="A74" s="6">
        <v>71</v>
      </c>
      <c r="B74" s="44" t="s">
        <v>97</v>
      </c>
      <c r="C74" s="6" t="s">
        <v>17</v>
      </c>
      <c r="D74" s="6">
        <v>4</v>
      </c>
      <c r="E74" s="16">
        <v>30000</v>
      </c>
      <c r="F74" s="6">
        <v>2</v>
      </c>
      <c r="G74" s="13">
        <v>40</v>
      </c>
      <c r="H74" s="13"/>
      <c r="I74" s="13">
        <v>0</v>
      </c>
      <c r="J74" s="16"/>
      <c r="K74" s="16">
        <f t="shared" si="0"/>
        <v>4000</v>
      </c>
      <c r="L74" s="16">
        <f t="shared" si="1"/>
        <v>0</v>
      </c>
      <c r="M74" s="6">
        <v>30</v>
      </c>
      <c r="N74" s="6"/>
      <c r="O74" s="6">
        <v>0</v>
      </c>
      <c r="P74" s="17"/>
      <c r="Q74" s="17">
        <f t="shared" si="2"/>
        <v>3000</v>
      </c>
      <c r="R74" s="17">
        <f t="shared" si="3"/>
        <v>0</v>
      </c>
      <c r="S74" s="6">
        <v>45</v>
      </c>
      <c r="T74" s="6"/>
      <c r="U74" s="6">
        <v>0</v>
      </c>
      <c r="V74" s="17">
        <f t="shared" si="4"/>
        <v>4500</v>
      </c>
      <c r="W74" s="17"/>
      <c r="X74" s="17">
        <f t="shared" si="5"/>
        <v>0</v>
      </c>
      <c r="Y74" s="6">
        <v>50</v>
      </c>
      <c r="Z74" s="6"/>
      <c r="AA74" s="6">
        <v>0</v>
      </c>
      <c r="AB74" s="17"/>
      <c r="AC74" s="17">
        <f t="shared" si="6"/>
        <v>5000</v>
      </c>
      <c r="AD74" s="17">
        <f t="shared" si="7"/>
        <v>0</v>
      </c>
    </row>
    <row r="75" spans="1:30" ht="14">
      <c r="A75" s="6">
        <v>72</v>
      </c>
      <c r="B75" s="44" t="s">
        <v>98</v>
      </c>
      <c r="C75" s="6" t="s">
        <v>65</v>
      </c>
      <c r="D75" s="6">
        <v>5</v>
      </c>
      <c r="E75" s="16">
        <v>45000</v>
      </c>
      <c r="F75" s="6">
        <v>2</v>
      </c>
      <c r="G75" s="13">
        <v>40</v>
      </c>
      <c r="H75" s="13"/>
      <c r="I75" s="13">
        <v>0</v>
      </c>
      <c r="J75" s="16"/>
      <c r="K75" s="16">
        <f t="shared" si="0"/>
        <v>4000</v>
      </c>
      <c r="L75" s="16">
        <f t="shared" si="1"/>
        <v>0</v>
      </c>
      <c r="M75" s="6">
        <v>25</v>
      </c>
      <c r="N75" s="6"/>
      <c r="O75" s="6">
        <v>0</v>
      </c>
      <c r="P75" s="17"/>
      <c r="Q75" s="17">
        <f t="shared" si="2"/>
        <v>2500</v>
      </c>
      <c r="R75" s="17">
        <f t="shared" si="3"/>
        <v>0</v>
      </c>
      <c r="S75" s="6">
        <v>34</v>
      </c>
      <c r="T75" s="6"/>
      <c r="U75" s="6">
        <v>0</v>
      </c>
      <c r="V75" s="17">
        <f t="shared" si="4"/>
        <v>3400</v>
      </c>
      <c r="W75" s="17"/>
      <c r="X75" s="17">
        <f t="shared" si="5"/>
        <v>0</v>
      </c>
      <c r="Y75" s="6">
        <v>40</v>
      </c>
      <c r="Z75" s="6"/>
      <c r="AA75" s="6">
        <v>5</v>
      </c>
      <c r="AB75" s="17"/>
      <c r="AC75" s="17">
        <f t="shared" si="6"/>
        <v>4000</v>
      </c>
      <c r="AD75" s="17">
        <f t="shared" si="7"/>
        <v>1500</v>
      </c>
    </row>
    <row r="76" spans="1:30" ht="14">
      <c r="A76" s="6">
        <v>73</v>
      </c>
      <c r="B76" s="44" t="s">
        <v>99</v>
      </c>
      <c r="C76" s="6" t="s">
        <v>32</v>
      </c>
      <c r="D76" s="6">
        <v>9</v>
      </c>
      <c r="E76" s="16">
        <v>40000</v>
      </c>
      <c r="F76" s="6">
        <v>3</v>
      </c>
      <c r="G76" s="13">
        <v>80</v>
      </c>
      <c r="H76" s="13"/>
      <c r="I76" s="13">
        <v>10</v>
      </c>
      <c r="J76" s="16"/>
      <c r="K76" s="16">
        <f t="shared" si="0"/>
        <v>8000</v>
      </c>
      <c r="L76" s="16">
        <f t="shared" si="1"/>
        <v>3000</v>
      </c>
      <c r="M76" s="6">
        <v>50</v>
      </c>
      <c r="N76" s="6"/>
      <c r="O76" s="6">
        <v>10</v>
      </c>
      <c r="P76" s="17"/>
      <c r="Q76" s="17">
        <f t="shared" si="2"/>
        <v>5000</v>
      </c>
      <c r="R76" s="17">
        <f t="shared" si="3"/>
        <v>3000</v>
      </c>
      <c r="S76" s="6">
        <v>46</v>
      </c>
      <c r="T76" s="6"/>
      <c r="U76" s="6">
        <v>10</v>
      </c>
      <c r="V76" s="17">
        <f t="shared" si="4"/>
        <v>4600</v>
      </c>
      <c r="W76" s="17"/>
      <c r="X76" s="17">
        <f t="shared" si="5"/>
        <v>3000</v>
      </c>
      <c r="Y76" s="6">
        <v>45</v>
      </c>
      <c r="Z76" s="6"/>
      <c r="AA76" s="6">
        <v>10</v>
      </c>
      <c r="AB76" s="17"/>
      <c r="AC76" s="17">
        <f t="shared" si="6"/>
        <v>4500</v>
      </c>
      <c r="AD76" s="17">
        <f t="shared" si="7"/>
        <v>3000</v>
      </c>
    </row>
    <row r="77" spans="1:30" ht="14">
      <c r="A77" s="6">
        <v>74</v>
      </c>
      <c r="B77" s="44" t="s">
        <v>100</v>
      </c>
      <c r="C77" s="6" t="s">
        <v>40</v>
      </c>
      <c r="D77" s="6">
        <v>8</v>
      </c>
      <c r="E77" s="16">
        <v>30000</v>
      </c>
      <c r="F77" s="6">
        <v>2</v>
      </c>
      <c r="G77" s="13">
        <v>40</v>
      </c>
      <c r="H77" s="13"/>
      <c r="I77" s="13">
        <v>0</v>
      </c>
      <c r="J77" s="16"/>
      <c r="K77" s="16">
        <f t="shared" si="0"/>
        <v>4000</v>
      </c>
      <c r="L77" s="16">
        <f t="shared" si="1"/>
        <v>0</v>
      </c>
      <c r="M77" s="6">
        <v>20</v>
      </c>
      <c r="N77" s="6"/>
      <c r="O77" s="6">
        <v>5</v>
      </c>
      <c r="P77" s="17"/>
      <c r="Q77" s="17">
        <f t="shared" si="2"/>
        <v>2000</v>
      </c>
      <c r="R77" s="17">
        <f t="shared" si="3"/>
        <v>1500</v>
      </c>
      <c r="S77" s="6">
        <v>27</v>
      </c>
      <c r="T77" s="6"/>
      <c r="U77" s="6">
        <v>0</v>
      </c>
      <c r="V77" s="17">
        <f t="shared" si="4"/>
        <v>2700</v>
      </c>
      <c r="W77" s="17"/>
      <c r="X77" s="17">
        <f t="shared" si="5"/>
        <v>0</v>
      </c>
      <c r="Y77" s="6">
        <v>25</v>
      </c>
      <c r="Z77" s="6"/>
      <c r="AA77" s="6">
        <v>5</v>
      </c>
      <c r="AB77" s="17"/>
      <c r="AC77" s="17">
        <f t="shared" si="6"/>
        <v>2500</v>
      </c>
      <c r="AD77" s="17">
        <f t="shared" si="7"/>
        <v>1500</v>
      </c>
    </row>
    <row r="78" spans="1:30" ht="14">
      <c r="A78" s="6">
        <v>75</v>
      </c>
      <c r="B78" s="44" t="s">
        <v>101</v>
      </c>
      <c r="C78" s="6" t="s">
        <v>38</v>
      </c>
      <c r="D78" s="6">
        <v>5</v>
      </c>
      <c r="E78" s="16">
        <v>25000</v>
      </c>
      <c r="F78" s="6">
        <v>2</v>
      </c>
      <c r="G78" s="13">
        <v>40</v>
      </c>
      <c r="H78" s="13"/>
      <c r="I78" s="13">
        <v>0</v>
      </c>
      <c r="J78" s="16"/>
      <c r="K78" s="16">
        <f t="shared" si="0"/>
        <v>4000</v>
      </c>
      <c r="L78" s="16">
        <f t="shared" si="1"/>
        <v>0</v>
      </c>
      <c r="M78" s="6">
        <v>40</v>
      </c>
      <c r="N78" s="6"/>
      <c r="O78" s="6">
        <v>0</v>
      </c>
      <c r="P78" s="17"/>
      <c r="Q78" s="17">
        <f t="shared" si="2"/>
        <v>4000</v>
      </c>
      <c r="R78" s="17">
        <f t="shared" si="3"/>
        <v>0</v>
      </c>
      <c r="S78" s="6">
        <v>38</v>
      </c>
      <c r="T78" s="6"/>
      <c r="U78" s="6">
        <v>0</v>
      </c>
      <c r="V78" s="17">
        <f t="shared" si="4"/>
        <v>3800</v>
      </c>
      <c r="W78" s="17"/>
      <c r="X78" s="17">
        <f t="shared" si="5"/>
        <v>0</v>
      </c>
      <c r="Y78" s="6">
        <v>40</v>
      </c>
      <c r="Z78" s="6"/>
      <c r="AA78" s="6">
        <v>0</v>
      </c>
      <c r="AB78" s="17"/>
      <c r="AC78" s="17">
        <f t="shared" si="6"/>
        <v>4000</v>
      </c>
      <c r="AD78" s="17">
        <f t="shared" si="7"/>
        <v>0</v>
      </c>
    </row>
    <row r="79" spans="1:30" ht="14">
      <c r="A79" s="6">
        <v>76</v>
      </c>
      <c r="B79" s="44" t="s">
        <v>102</v>
      </c>
      <c r="C79" s="6" t="s">
        <v>17</v>
      </c>
      <c r="D79" s="6">
        <v>4</v>
      </c>
      <c r="E79" s="16">
        <v>45000</v>
      </c>
      <c r="F79" s="6">
        <v>2</v>
      </c>
      <c r="G79" s="13">
        <v>20</v>
      </c>
      <c r="H79" s="13"/>
      <c r="I79" s="13">
        <v>20</v>
      </c>
      <c r="J79" s="16"/>
      <c r="K79" s="16">
        <f t="shared" si="0"/>
        <v>2000</v>
      </c>
      <c r="L79" s="16">
        <f t="shared" si="1"/>
        <v>6000</v>
      </c>
      <c r="M79" s="6">
        <v>0</v>
      </c>
      <c r="N79" s="6"/>
      <c r="O79" s="6">
        <v>20</v>
      </c>
      <c r="P79" s="17"/>
      <c r="Q79" s="17">
        <f t="shared" si="2"/>
        <v>0</v>
      </c>
      <c r="R79" s="17">
        <f t="shared" si="3"/>
        <v>6000</v>
      </c>
      <c r="S79" s="6">
        <v>0</v>
      </c>
      <c r="T79" s="6"/>
      <c r="U79" s="6">
        <v>35</v>
      </c>
      <c r="V79" s="17">
        <f t="shared" si="4"/>
        <v>0</v>
      </c>
      <c r="W79" s="17"/>
      <c r="X79" s="17">
        <f t="shared" si="5"/>
        <v>10500</v>
      </c>
      <c r="Y79" s="6">
        <v>20</v>
      </c>
      <c r="Z79" s="6"/>
      <c r="AA79" s="6">
        <v>25</v>
      </c>
      <c r="AB79" s="17"/>
      <c r="AC79" s="17">
        <f t="shared" si="6"/>
        <v>2000</v>
      </c>
      <c r="AD79" s="17">
        <f t="shared" si="7"/>
        <v>7500</v>
      </c>
    </row>
    <row r="80" spans="1:30" ht="14">
      <c r="A80" s="6">
        <v>77</v>
      </c>
      <c r="B80" s="44" t="s">
        <v>103</v>
      </c>
      <c r="C80" s="6" t="s">
        <v>26</v>
      </c>
      <c r="D80" s="6">
        <v>6</v>
      </c>
      <c r="E80" s="16">
        <v>30000</v>
      </c>
      <c r="F80" s="6">
        <v>2</v>
      </c>
      <c r="G80" s="13">
        <v>60</v>
      </c>
      <c r="H80" s="13"/>
      <c r="I80" s="13">
        <v>0</v>
      </c>
      <c r="J80" s="16"/>
      <c r="K80" s="16">
        <f t="shared" si="0"/>
        <v>6000</v>
      </c>
      <c r="L80" s="16">
        <f t="shared" si="1"/>
        <v>0</v>
      </c>
      <c r="M80" s="6">
        <v>60</v>
      </c>
      <c r="N80" s="6"/>
      <c r="O80" s="6">
        <v>0</v>
      </c>
      <c r="P80" s="17"/>
      <c r="Q80" s="17">
        <f t="shared" si="2"/>
        <v>6000</v>
      </c>
      <c r="R80" s="17">
        <f t="shared" si="3"/>
        <v>0</v>
      </c>
      <c r="S80" s="6">
        <v>55</v>
      </c>
      <c r="T80" s="6"/>
      <c r="U80" s="6">
        <v>0</v>
      </c>
      <c r="V80" s="17">
        <f t="shared" si="4"/>
        <v>5500</v>
      </c>
      <c r="W80" s="17"/>
      <c r="X80" s="17">
        <f t="shared" si="5"/>
        <v>0</v>
      </c>
      <c r="Y80" s="6">
        <v>40</v>
      </c>
      <c r="Z80" s="6"/>
      <c r="AA80" s="6">
        <v>5</v>
      </c>
      <c r="AB80" s="17"/>
      <c r="AC80" s="17">
        <f t="shared" si="6"/>
        <v>4000</v>
      </c>
      <c r="AD80" s="17">
        <f t="shared" si="7"/>
        <v>1500</v>
      </c>
    </row>
    <row r="81" spans="1:30" ht="14">
      <c r="A81" s="6">
        <v>78</v>
      </c>
      <c r="B81" s="44" t="s">
        <v>104</v>
      </c>
      <c r="C81" s="6" t="s">
        <v>26</v>
      </c>
      <c r="D81" s="6">
        <v>7</v>
      </c>
      <c r="E81" s="16">
        <v>45000</v>
      </c>
      <c r="F81" s="6">
        <v>2</v>
      </c>
      <c r="G81" s="13">
        <v>40</v>
      </c>
      <c r="H81" s="13"/>
      <c r="I81" s="13">
        <v>0</v>
      </c>
      <c r="J81" s="16"/>
      <c r="K81" s="16">
        <f t="shared" si="0"/>
        <v>4000</v>
      </c>
      <c r="L81" s="16">
        <f t="shared" si="1"/>
        <v>0</v>
      </c>
      <c r="M81" s="6">
        <v>50</v>
      </c>
      <c r="N81" s="6"/>
      <c r="O81" s="6">
        <v>0</v>
      </c>
      <c r="P81" s="17"/>
      <c r="Q81" s="17">
        <f t="shared" si="2"/>
        <v>5000</v>
      </c>
      <c r="R81" s="17">
        <f t="shared" si="3"/>
        <v>0</v>
      </c>
      <c r="S81" s="6">
        <v>40</v>
      </c>
      <c r="T81" s="6"/>
      <c r="U81" s="6">
        <v>0</v>
      </c>
      <c r="V81" s="17">
        <f t="shared" si="4"/>
        <v>4000</v>
      </c>
      <c r="W81" s="17"/>
      <c r="X81" s="17">
        <f t="shared" si="5"/>
        <v>0</v>
      </c>
      <c r="Y81" s="6">
        <v>25</v>
      </c>
      <c r="Z81" s="6"/>
      <c r="AA81" s="6">
        <v>8</v>
      </c>
      <c r="AB81" s="17"/>
      <c r="AC81" s="17">
        <f t="shared" si="6"/>
        <v>2500</v>
      </c>
      <c r="AD81" s="17">
        <f t="shared" si="7"/>
        <v>2400</v>
      </c>
    </row>
    <row r="82" spans="1:30" ht="14">
      <c r="A82" s="6">
        <v>79</v>
      </c>
      <c r="B82" s="44" t="s">
        <v>105</v>
      </c>
      <c r="C82" s="6" t="s">
        <v>21</v>
      </c>
      <c r="D82" s="6">
        <v>5</v>
      </c>
      <c r="E82" s="16">
        <v>30000</v>
      </c>
      <c r="F82" s="6">
        <v>2</v>
      </c>
      <c r="G82" s="13">
        <v>50</v>
      </c>
      <c r="H82" s="13"/>
      <c r="I82" s="13">
        <v>0</v>
      </c>
      <c r="J82" s="16"/>
      <c r="K82" s="16">
        <f t="shared" si="0"/>
        <v>5000</v>
      </c>
      <c r="L82" s="16">
        <f t="shared" si="1"/>
        <v>0</v>
      </c>
      <c r="M82" s="6">
        <v>35</v>
      </c>
      <c r="N82" s="6"/>
      <c r="O82" s="6">
        <v>0</v>
      </c>
      <c r="P82" s="17"/>
      <c r="Q82" s="17">
        <f t="shared" si="2"/>
        <v>3500</v>
      </c>
      <c r="R82" s="17">
        <f t="shared" si="3"/>
        <v>0</v>
      </c>
      <c r="S82" s="6">
        <v>30</v>
      </c>
      <c r="T82" s="6"/>
      <c r="U82" s="6">
        <v>0</v>
      </c>
      <c r="V82" s="17">
        <f t="shared" si="4"/>
        <v>3000</v>
      </c>
      <c r="W82" s="17"/>
      <c r="X82" s="17">
        <f t="shared" si="5"/>
        <v>0</v>
      </c>
      <c r="Y82" s="6">
        <v>30</v>
      </c>
      <c r="Z82" s="6"/>
      <c r="AA82" s="6">
        <v>15</v>
      </c>
      <c r="AB82" s="17"/>
      <c r="AC82" s="17">
        <f t="shared" si="6"/>
        <v>3000</v>
      </c>
      <c r="AD82" s="17">
        <f t="shared" si="7"/>
        <v>4500</v>
      </c>
    </row>
    <row r="83" spans="1:30" ht="14">
      <c r="A83" s="6">
        <v>80</v>
      </c>
      <c r="B83" s="44" t="s">
        <v>106</v>
      </c>
      <c r="C83" s="6" t="s">
        <v>24</v>
      </c>
      <c r="D83" s="6">
        <v>6</v>
      </c>
      <c r="E83" s="16">
        <v>30000</v>
      </c>
      <c r="F83" s="6">
        <v>2</v>
      </c>
      <c r="G83" s="13">
        <v>20</v>
      </c>
      <c r="H83" s="13"/>
      <c r="I83" s="13">
        <v>0</v>
      </c>
      <c r="J83" s="16"/>
      <c r="K83" s="16">
        <f t="shared" si="0"/>
        <v>2000</v>
      </c>
      <c r="L83" s="16">
        <f t="shared" si="1"/>
        <v>0</v>
      </c>
      <c r="M83" s="6">
        <v>40</v>
      </c>
      <c r="N83" s="6"/>
      <c r="O83" s="6">
        <v>0</v>
      </c>
      <c r="P83" s="17"/>
      <c r="Q83" s="17">
        <f t="shared" si="2"/>
        <v>4000</v>
      </c>
      <c r="R83" s="17">
        <f t="shared" si="3"/>
        <v>0</v>
      </c>
      <c r="S83" s="6">
        <v>40</v>
      </c>
      <c r="T83" s="6"/>
      <c r="U83" s="6">
        <v>0</v>
      </c>
      <c r="V83" s="17">
        <f t="shared" si="4"/>
        <v>4000</v>
      </c>
      <c r="W83" s="17"/>
      <c r="X83" s="17">
        <f t="shared" si="5"/>
        <v>0</v>
      </c>
      <c r="Y83" s="6">
        <v>45</v>
      </c>
      <c r="Z83" s="6"/>
      <c r="AA83" s="6">
        <v>0</v>
      </c>
      <c r="AB83" s="17"/>
      <c r="AC83" s="17">
        <f t="shared" si="6"/>
        <v>4500</v>
      </c>
      <c r="AD83" s="17">
        <f t="shared" si="7"/>
        <v>0</v>
      </c>
    </row>
    <row r="84" spans="1:30" ht="14">
      <c r="A84" s="6">
        <v>81</v>
      </c>
      <c r="B84" s="44" t="s">
        <v>107</v>
      </c>
      <c r="C84" s="6" t="s">
        <v>21</v>
      </c>
      <c r="D84" s="6">
        <v>4</v>
      </c>
      <c r="E84" s="16">
        <v>30000</v>
      </c>
      <c r="F84" s="6">
        <v>2</v>
      </c>
      <c r="G84" s="13">
        <v>40</v>
      </c>
      <c r="H84" s="13"/>
      <c r="I84" s="13">
        <v>0</v>
      </c>
      <c r="J84" s="16"/>
      <c r="K84" s="16">
        <f t="shared" si="0"/>
        <v>4000</v>
      </c>
      <c r="L84" s="16">
        <f t="shared" si="1"/>
        <v>0</v>
      </c>
      <c r="M84" s="6">
        <v>40</v>
      </c>
      <c r="N84" s="6"/>
      <c r="O84" s="6">
        <v>0</v>
      </c>
      <c r="P84" s="17"/>
      <c r="Q84" s="17">
        <f t="shared" si="2"/>
        <v>4000</v>
      </c>
      <c r="R84" s="17">
        <f t="shared" si="3"/>
        <v>0</v>
      </c>
      <c r="S84" s="6">
        <v>37</v>
      </c>
      <c r="T84" s="6"/>
      <c r="U84" s="6">
        <v>0</v>
      </c>
      <c r="V84" s="17">
        <f t="shared" si="4"/>
        <v>3700</v>
      </c>
      <c r="W84" s="17"/>
      <c r="X84" s="17">
        <f t="shared" si="5"/>
        <v>0</v>
      </c>
      <c r="Y84" s="6">
        <v>45</v>
      </c>
      <c r="Z84" s="6"/>
      <c r="AA84" s="6">
        <v>0</v>
      </c>
      <c r="AB84" s="17"/>
      <c r="AC84" s="17">
        <f t="shared" si="6"/>
        <v>4500</v>
      </c>
      <c r="AD84" s="17">
        <f t="shared" si="7"/>
        <v>0</v>
      </c>
    </row>
    <row r="85" spans="1:30" ht="14">
      <c r="A85" s="6">
        <v>82</v>
      </c>
      <c r="B85" s="44" t="s">
        <v>108</v>
      </c>
      <c r="C85" s="6" t="s">
        <v>24</v>
      </c>
      <c r="D85" s="6">
        <v>5</v>
      </c>
      <c r="E85" s="16">
        <v>45000</v>
      </c>
      <c r="F85" s="6">
        <v>2</v>
      </c>
      <c r="G85" s="13">
        <v>40</v>
      </c>
      <c r="H85" s="13"/>
      <c r="I85" s="13">
        <v>20</v>
      </c>
      <c r="J85" s="16"/>
      <c r="K85" s="16">
        <f t="shared" si="0"/>
        <v>4000</v>
      </c>
      <c r="L85" s="16">
        <f t="shared" si="1"/>
        <v>6000</v>
      </c>
      <c r="M85" s="6">
        <v>60</v>
      </c>
      <c r="N85" s="6"/>
      <c r="O85" s="6">
        <v>5</v>
      </c>
      <c r="P85" s="17"/>
      <c r="Q85" s="17">
        <f t="shared" si="2"/>
        <v>6000</v>
      </c>
      <c r="R85" s="17">
        <f t="shared" si="3"/>
        <v>1500</v>
      </c>
      <c r="S85" s="6">
        <v>60</v>
      </c>
      <c r="T85" s="6"/>
      <c r="U85" s="6">
        <v>5</v>
      </c>
      <c r="V85" s="17">
        <f t="shared" si="4"/>
        <v>6000</v>
      </c>
      <c r="W85" s="17"/>
      <c r="X85" s="17">
        <f t="shared" si="5"/>
        <v>1500</v>
      </c>
      <c r="Y85" s="6">
        <v>45</v>
      </c>
      <c r="Z85" s="6"/>
      <c r="AA85" s="6">
        <v>12</v>
      </c>
      <c r="AB85" s="17"/>
      <c r="AC85" s="17">
        <f t="shared" si="6"/>
        <v>4500</v>
      </c>
      <c r="AD85" s="17">
        <f t="shared" si="7"/>
        <v>3600</v>
      </c>
    </row>
    <row r="86" spans="1:30" ht="14">
      <c r="A86" s="6">
        <v>83</v>
      </c>
      <c r="B86" s="44" t="s">
        <v>109</v>
      </c>
      <c r="C86" s="6" t="s">
        <v>32</v>
      </c>
      <c r="D86" s="6">
        <v>6</v>
      </c>
      <c r="E86" s="16">
        <v>45000</v>
      </c>
      <c r="F86" s="6">
        <v>2</v>
      </c>
      <c r="G86" s="13">
        <v>20</v>
      </c>
      <c r="H86" s="13"/>
      <c r="I86" s="13">
        <v>20</v>
      </c>
      <c r="J86" s="16"/>
      <c r="K86" s="16">
        <f t="shared" si="0"/>
        <v>2000</v>
      </c>
      <c r="L86" s="16">
        <f t="shared" si="1"/>
        <v>6000</v>
      </c>
      <c r="M86" s="6">
        <v>40</v>
      </c>
      <c r="N86" s="6"/>
      <c r="O86" s="6">
        <v>5</v>
      </c>
      <c r="P86" s="17"/>
      <c r="Q86" s="17">
        <f t="shared" si="2"/>
        <v>4000</v>
      </c>
      <c r="R86" s="17">
        <f t="shared" si="3"/>
        <v>1500</v>
      </c>
      <c r="S86" s="6">
        <v>45</v>
      </c>
      <c r="T86" s="6"/>
      <c r="U86" s="6">
        <v>5</v>
      </c>
      <c r="V86" s="17">
        <f t="shared" si="4"/>
        <v>4500</v>
      </c>
      <c r="W86" s="17"/>
      <c r="X86" s="17">
        <f t="shared" si="5"/>
        <v>1500</v>
      </c>
      <c r="Y86" s="6">
        <v>35</v>
      </c>
      <c r="Z86" s="6"/>
      <c r="AA86" s="6">
        <v>10</v>
      </c>
      <c r="AB86" s="17"/>
      <c r="AC86" s="17">
        <f t="shared" si="6"/>
        <v>3500</v>
      </c>
      <c r="AD86" s="17">
        <f t="shared" si="7"/>
        <v>3000</v>
      </c>
    </row>
    <row r="87" spans="1:30" ht="14">
      <c r="A87" s="6">
        <v>84</v>
      </c>
      <c r="B87" s="44" t="s">
        <v>110</v>
      </c>
      <c r="C87" s="6" t="s">
        <v>21</v>
      </c>
      <c r="D87" s="6">
        <v>3</v>
      </c>
      <c r="E87" s="16">
        <v>20000</v>
      </c>
      <c r="F87" s="6">
        <v>2</v>
      </c>
      <c r="G87" s="13">
        <v>20</v>
      </c>
      <c r="H87" s="13"/>
      <c r="I87" s="13">
        <v>0</v>
      </c>
      <c r="J87" s="16"/>
      <c r="K87" s="16">
        <f t="shared" si="0"/>
        <v>2000</v>
      </c>
      <c r="L87" s="16">
        <f t="shared" si="1"/>
        <v>0</v>
      </c>
      <c r="M87" s="6">
        <v>35</v>
      </c>
      <c r="N87" s="6"/>
      <c r="O87" s="6">
        <v>0</v>
      </c>
      <c r="P87" s="17"/>
      <c r="Q87" s="17">
        <f t="shared" si="2"/>
        <v>3500</v>
      </c>
      <c r="R87" s="17">
        <f t="shared" si="3"/>
        <v>0</v>
      </c>
      <c r="S87" s="6">
        <v>32</v>
      </c>
      <c r="T87" s="6"/>
      <c r="U87" s="6">
        <v>0</v>
      </c>
      <c r="V87" s="17">
        <f t="shared" si="4"/>
        <v>3200</v>
      </c>
      <c r="W87" s="17"/>
      <c r="X87" s="17">
        <f t="shared" si="5"/>
        <v>0</v>
      </c>
      <c r="Y87" s="6">
        <v>30</v>
      </c>
      <c r="Z87" s="6"/>
      <c r="AA87" s="6">
        <v>5</v>
      </c>
      <c r="AB87" s="17"/>
      <c r="AC87" s="17">
        <f t="shared" si="6"/>
        <v>3000</v>
      </c>
      <c r="AD87" s="17">
        <f t="shared" si="7"/>
        <v>1500</v>
      </c>
    </row>
    <row r="88" spans="1:30" ht="14">
      <c r="A88" s="6">
        <v>85</v>
      </c>
      <c r="B88" s="44" t="s">
        <v>111</v>
      </c>
      <c r="C88" s="6" t="s">
        <v>26</v>
      </c>
      <c r="D88" s="6">
        <v>6</v>
      </c>
      <c r="E88" s="16">
        <v>45000</v>
      </c>
      <c r="F88" s="6">
        <v>2</v>
      </c>
      <c r="G88" s="13">
        <v>30</v>
      </c>
      <c r="H88" s="13"/>
      <c r="I88" s="13">
        <v>0</v>
      </c>
      <c r="J88" s="16"/>
      <c r="K88" s="16">
        <f t="shared" si="0"/>
        <v>3000</v>
      </c>
      <c r="L88" s="16">
        <f t="shared" si="1"/>
        <v>0</v>
      </c>
      <c r="M88" s="6">
        <v>20</v>
      </c>
      <c r="N88" s="6"/>
      <c r="O88" s="6">
        <v>5</v>
      </c>
      <c r="P88" s="17"/>
      <c r="Q88" s="17">
        <f t="shared" si="2"/>
        <v>2000</v>
      </c>
      <c r="R88" s="17">
        <f t="shared" si="3"/>
        <v>1500</v>
      </c>
      <c r="S88" s="6">
        <v>30</v>
      </c>
      <c r="T88" s="6"/>
      <c r="U88" s="6">
        <v>5</v>
      </c>
      <c r="V88" s="17">
        <f t="shared" si="4"/>
        <v>3000</v>
      </c>
      <c r="W88" s="17"/>
      <c r="X88" s="17">
        <f t="shared" si="5"/>
        <v>1500</v>
      </c>
      <c r="Y88" s="6">
        <v>40</v>
      </c>
      <c r="Z88" s="6"/>
      <c r="AA88" s="6">
        <v>10</v>
      </c>
      <c r="AB88" s="17"/>
      <c r="AC88" s="17">
        <f t="shared" si="6"/>
        <v>4000</v>
      </c>
      <c r="AD88" s="17">
        <f t="shared" si="7"/>
        <v>3000</v>
      </c>
    </row>
    <row r="89" spans="1:30" ht="14">
      <c r="A89" s="6">
        <v>86</v>
      </c>
      <c r="B89" s="44" t="s">
        <v>112</v>
      </c>
      <c r="C89" s="6" t="s">
        <v>19</v>
      </c>
      <c r="D89" s="6">
        <v>7</v>
      </c>
      <c r="E89" s="16">
        <v>45000</v>
      </c>
      <c r="F89" s="6">
        <v>3</v>
      </c>
      <c r="G89" s="13">
        <v>0</v>
      </c>
      <c r="H89" s="13"/>
      <c r="I89" s="13">
        <v>40</v>
      </c>
      <c r="J89" s="16"/>
      <c r="K89" s="16">
        <f t="shared" si="0"/>
        <v>0</v>
      </c>
      <c r="L89" s="16">
        <f t="shared" si="1"/>
        <v>12000</v>
      </c>
      <c r="M89" s="6">
        <v>35</v>
      </c>
      <c r="N89" s="6"/>
      <c r="O89" s="6">
        <v>20</v>
      </c>
      <c r="P89" s="17"/>
      <c r="Q89" s="17">
        <f t="shared" si="2"/>
        <v>3500</v>
      </c>
      <c r="R89" s="17">
        <f t="shared" si="3"/>
        <v>6000</v>
      </c>
      <c r="S89" s="6">
        <v>35</v>
      </c>
      <c r="T89" s="6"/>
      <c r="U89" s="6">
        <v>15</v>
      </c>
      <c r="V89" s="17">
        <f t="shared" si="4"/>
        <v>3500</v>
      </c>
      <c r="W89" s="17"/>
      <c r="X89" s="17">
        <f t="shared" si="5"/>
        <v>4500</v>
      </c>
      <c r="Y89" s="6">
        <v>30</v>
      </c>
      <c r="Z89" s="6"/>
      <c r="AA89" s="6">
        <v>15</v>
      </c>
      <c r="AB89" s="17"/>
      <c r="AC89" s="17">
        <f t="shared" si="6"/>
        <v>3000</v>
      </c>
      <c r="AD89" s="17">
        <f t="shared" si="7"/>
        <v>4500</v>
      </c>
    </row>
    <row r="90" spans="1:30" ht="14">
      <c r="A90" s="6">
        <v>87</v>
      </c>
      <c r="B90" s="44" t="s">
        <v>113</v>
      </c>
      <c r="C90" s="6" t="s">
        <v>26</v>
      </c>
      <c r="D90" s="6">
        <v>4</v>
      </c>
      <c r="E90" s="16">
        <v>30000</v>
      </c>
      <c r="F90" s="6">
        <v>2</v>
      </c>
      <c r="G90" s="13">
        <v>40</v>
      </c>
      <c r="H90" s="13"/>
      <c r="I90" s="13">
        <v>0</v>
      </c>
      <c r="J90" s="16"/>
      <c r="K90" s="16">
        <f t="shared" si="0"/>
        <v>4000</v>
      </c>
      <c r="L90" s="16">
        <f t="shared" si="1"/>
        <v>0</v>
      </c>
      <c r="M90" s="6">
        <v>40</v>
      </c>
      <c r="N90" s="6"/>
      <c r="O90" s="6">
        <v>0</v>
      </c>
      <c r="P90" s="17"/>
      <c r="Q90" s="17">
        <f t="shared" si="2"/>
        <v>4000</v>
      </c>
      <c r="R90" s="17">
        <f t="shared" si="3"/>
        <v>0</v>
      </c>
      <c r="S90" s="6">
        <v>40</v>
      </c>
      <c r="T90" s="6"/>
      <c r="U90" s="6">
        <v>0</v>
      </c>
      <c r="V90" s="17">
        <f t="shared" si="4"/>
        <v>4000</v>
      </c>
      <c r="W90" s="17"/>
      <c r="X90" s="17">
        <f t="shared" si="5"/>
        <v>0</v>
      </c>
      <c r="Y90" s="6">
        <v>40</v>
      </c>
      <c r="Z90" s="6"/>
      <c r="AA90" s="6">
        <v>5</v>
      </c>
      <c r="AB90" s="17"/>
      <c r="AC90" s="17">
        <f t="shared" si="6"/>
        <v>4000</v>
      </c>
      <c r="AD90" s="17">
        <f t="shared" si="7"/>
        <v>1500</v>
      </c>
    </row>
    <row r="91" spans="1:30" ht="14">
      <c r="A91" s="6">
        <v>88</v>
      </c>
      <c r="B91" s="44" t="s">
        <v>114</v>
      </c>
      <c r="C91" s="6" t="s">
        <v>65</v>
      </c>
      <c r="D91" s="6">
        <v>8</v>
      </c>
      <c r="E91" s="16">
        <v>55000</v>
      </c>
      <c r="F91" s="6">
        <v>2</v>
      </c>
      <c r="G91" s="13">
        <v>100</v>
      </c>
      <c r="H91" s="13"/>
      <c r="I91" s="13">
        <v>0</v>
      </c>
      <c r="J91" s="16"/>
      <c r="K91" s="16">
        <f t="shared" si="0"/>
        <v>10000</v>
      </c>
      <c r="L91" s="16">
        <f t="shared" si="1"/>
        <v>0</v>
      </c>
      <c r="M91" s="6">
        <v>60</v>
      </c>
      <c r="N91" s="6"/>
      <c r="O91" s="6">
        <v>10</v>
      </c>
      <c r="P91" s="17"/>
      <c r="Q91" s="17">
        <f t="shared" si="2"/>
        <v>6000</v>
      </c>
      <c r="R91" s="17">
        <f t="shared" si="3"/>
        <v>3000</v>
      </c>
      <c r="S91" s="6">
        <v>70</v>
      </c>
      <c r="T91" s="6"/>
      <c r="U91" s="6">
        <v>10</v>
      </c>
      <c r="V91" s="17">
        <f t="shared" si="4"/>
        <v>7000</v>
      </c>
      <c r="W91" s="17"/>
      <c r="X91" s="17">
        <f t="shared" si="5"/>
        <v>3000</v>
      </c>
      <c r="Y91" s="6">
        <v>45</v>
      </c>
      <c r="Z91" s="6"/>
      <c r="AA91" s="6">
        <v>23</v>
      </c>
      <c r="AB91" s="17"/>
      <c r="AC91" s="17">
        <f t="shared" si="6"/>
        <v>4500</v>
      </c>
      <c r="AD91" s="17">
        <f t="shared" si="7"/>
        <v>6900</v>
      </c>
    </row>
    <row r="92" spans="1:30" ht="14">
      <c r="A92" s="6">
        <v>89</v>
      </c>
      <c r="B92" s="44" t="s">
        <v>115</v>
      </c>
      <c r="C92" s="6" t="s">
        <v>19</v>
      </c>
      <c r="D92" s="6">
        <v>8</v>
      </c>
      <c r="E92" s="16">
        <v>60000</v>
      </c>
      <c r="F92" s="6">
        <v>3</v>
      </c>
      <c r="G92" s="13">
        <v>60</v>
      </c>
      <c r="H92" s="13"/>
      <c r="I92" s="13">
        <v>0</v>
      </c>
      <c r="J92" s="16"/>
      <c r="K92" s="16">
        <f t="shared" si="0"/>
        <v>6000</v>
      </c>
      <c r="L92" s="16">
        <f t="shared" si="1"/>
        <v>0</v>
      </c>
      <c r="M92" s="6">
        <v>55</v>
      </c>
      <c r="N92" s="6"/>
      <c r="O92" s="6">
        <v>0</v>
      </c>
      <c r="P92" s="17"/>
      <c r="Q92" s="17">
        <f t="shared" si="2"/>
        <v>5500</v>
      </c>
      <c r="R92" s="17">
        <f t="shared" si="3"/>
        <v>0</v>
      </c>
      <c r="S92" s="6">
        <v>50</v>
      </c>
      <c r="T92" s="6"/>
      <c r="U92" s="6">
        <v>0</v>
      </c>
      <c r="V92" s="17">
        <f t="shared" si="4"/>
        <v>5000</v>
      </c>
      <c r="W92" s="17"/>
      <c r="X92" s="17">
        <f t="shared" si="5"/>
        <v>0</v>
      </c>
      <c r="Y92" s="6">
        <v>35</v>
      </c>
      <c r="Z92" s="6"/>
      <c r="AA92" s="6">
        <v>5</v>
      </c>
      <c r="AB92" s="17"/>
      <c r="AC92" s="17">
        <f t="shared" si="6"/>
        <v>3500</v>
      </c>
      <c r="AD92" s="17">
        <f t="shared" si="7"/>
        <v>1500</v>
      </c>
    </row>
    <row r="93" spans="1:30" ht="14">
      <c r="A93" s="6">
        <v>90</v>
      </c>
      <c r="B93" s="44" t="s">
        <v>116</v>
      </c>
      <c r="C93" s="6" t="s">
        <v>21</v>
      </c>
      <c r="D93" s="6">
        <v>4</v>
      </c>
      <c r="E93" s="16">
        <v>30000</v>
      </c>
      <c r="F93" s="6">
        <v>2</v>
      </c>
      <c r="G93" s="13">
        <v>40</v>
      </c>
      <c r="H93" s="13"/>
      <c r="I93" s="13">
        <v>0</v>
      </c>
      <c r="J93" s="16"/>
      <c r="K93" s="16">
        <f t="shared" si="0"/>
        <v>4000</v>
      </c>
      <c r="L93" s="16">
        <f t="shared" si="1"/>
        <v>0</v>
      </c>
      <c r="M93" s="6">
        <v>20</v>
      </c>
      <c r="N93" s="6"/>
      <c r="O93" s="6">
        <v>5</v>
      </c>
      <c r="P93" s="17"/>
      <c r="Q93" s="17">
        <f t="shared" si="2"/>
        <v>2000</v>
      </c>
      <c r="R93" s="17">
        <f t="shared" si="3"/>
        <v>1500</v>
      </c>
      <c r="S93" s="6">
        <v>40</v>
      </c>
      <c r="T93" s="6"/>
      <c r="U93" s="6">
        <v>0</v>
      </c>
      <c r="V93" s="17">
        <f t="shared" si="4"/>
        <v>4000</v>
      </c>
      <c r="W93" s="17"/>
      <c r="X93" s="17">
        <f t="shared" si="5"/>
        <v>0</v>
      </c>
      <c r="Y93" s="6">
        <v>45</v>
      </c>
      <c r="Z93" s="6"/>
      <c r="AA93" s="6">
        <v>0</v>
      </c>
      <c r="AB93" s="17"/>
      <c r="AC93" s="17">
        <f t="shared" si="6"/>
        <v>4500</v>
      </c>
      <c r="AD93" s="17">
        <f t="shared" si="7"/>
        <v>0</v>
      </c>
    </row>
    <row r="94" spans="1:30" ht="14">
      <c r="A94" s="6">
        <v>91</v>
      </c>
      <c r="B94" s="44" t="s">
        <v>117</v>
      </c>
      <c r="C94" s="6" t="s">
        <v>17</v>
      </c>
      <c r="D94" s="6">
        <v>9</v>
      </c>
      <c r="E94" s="16">
        <v>60000</v>
      </c>
      <c r="F94" s="6">
        <v>3</v>
      </c>
      <c r="G94" s="13">
        <v>60</v>
      </c>
      <c r="H94" s="13"/>
      <c r="I94" s="13">
        <v>20</v>
      </c>
      <c r="J94" s="16"/>
      <c r="K94" s="16">
        <f t="shared" si="0"/>
        <v>6000</v>
      </c>
      <c r="L94" s="16">
        <f t="shared" si="1"/>
        <v>6000</v>
      </c>
      <c r="M94" s="6">
        <v>60</v>
      </c>
      <c r="N94" s="6"/>
      <c r="O94" s="6">
        <v>10</v>
      </c>
      <c r="P94" s="17"/>
      <c r="Q94" s="17">
        <f t="shared" si="2"/>
        <v>6000</v>
      </c>
      <c r="R94" s="17">
        <f t="shared" si="3"/>
        <v>3000</v>
      </c>
      <c r="S94" s="6">
        <v>45</v>
      </c>
      <c r="T94" s="6"/>
      <c r="U94" s="6">
        <v>5</v>
      </c>
      <c r="V94" s="17">
        <f t="shared" si="4"/>
        <v>4500</v>
      </c>
      <c r="W94" s="17"/>
      <c r="X94" s="17">
        <f t="shared" si="5"/>
        <v>1500</v>
      </c>
      <c r="Y94" s="6">
        <v>35</v>
      </c>
      <c r="Z94" s="6"/>
      <c r="AA94" s="6">
        <v>6</v>
      </c>
      <c r="AB94" s="17"/>
      <c r="AC94" s="17">
        <f t="shared" si="6"/>
        <v>3500</v>
      </c>
      <c r="AD94" s="17">
        <f t="shared" si="7"/>
        <v>1800</v>
      </c>
    </row>
    <row r="95" spans="1:30" ht="14">
      <c r="A95" s="6">
        <v>92</v>
      </c>
      <c r="B95" s="44" t="s">
        <v>118</v>
      </c>
      <c r="C95" s="6" t="s">
        <v>19</v>
      </c>
      <c r="D95" s="6">
        <v>4</v>
      </c>
      <c r="E95" s="16">
        <v>30000</v>
      </c>
      <c r="F95" s="6">
        <v>2</v>
      </c>
      <c r="G95" s="13">
        <v>40</v>
      </c>
      <c r="H95" s="13"/>
      <c r="I95" s="13">
        <v>0</v>
      </c>
      <c r="J95" s="16"/>
      <c r="K95" s="16">
        <f t="shared" si="0"/>
        <v>4000</v>
      </c>
      <c r="L95" s="16">
        <f t="shared" si="1"/>
        <v>0</v>
      </c>
      <c r="M95" s="6">
        <v>20</v>
      </c>
      <c r="N95" s="6"/>
      <c r="O95" s="6">
        <v>10</v>
      </c>
      <c r="P95" s="17"/>
      <c r="Q95" s="17">
        <f t="shared" si="2"/>
        <v>2000</v>
      </c>
      <c r="R95" s="17">
        <f t="shared" si="3"/>
        <v>3000</v>
      </c>
      <c r="S95" s="6">
        <v>35</v>
      </c>
      <c r="T95" s="6"/>
      <c r="U95" s="6">
        <v>5</v>
      </c>
      <c r="V95" s="17">
        <f t="shared" si="4"/>
        <v>3500</v>
      </c>
      <c r="W95" s="17"/>
      <c r="X95" s="17">
        <f t="shared" si="5"/>
        <v>1500</v>
      </c>
      <c r="Y95" s="6">
        <v>40</v>
      </c>
      <c r="Z95" s="6"/>
      <c r="AA95" s="6">
        <v>5</v>
      </c>
      <c r="AB95" s="17"/>
      <c r="AC95" s="17">
        <f t="shared" si="6"/>
        <v>4000</v>
      </c>
      <c r="AD95" s="17">
        <f t="shared" si="7"/>
        <v>1500</v>
      </c>
    </row>
    <row r="96" spans="1:30" ht="14">
      <c r="A96" s="6">
        <v>93</v>
      </c>
      <c r="B96" s="44" t="s">
        <v>119</v>
      </c>
      <c r="C96" s="6" t="s">
        <v>40</v>
      </c>
      <c r="D96" s="6">
        <v>6</v>
      </c>
      <c r="E96" s="16">
        <v>30000</v>
      </c>
      <c r="F96" s="6">
        <v>2</v>
      </c>
      <c r="G96" s="13">
        <v>0</v>
      </c>
      <c r="H96" s="13"/>
      <c r="I96" s="13">
        <v>10</v>
      </c>
      <c r="J96" s="16"/>
      <c r="K96" s="16">
        <f t="shared" si="0"/>
        <v>0</v>
      </c>
      <c r="L96" s="16">
        <f t="shared" si="1"/>
        <v>3000</v>
      </c>
      <c r="M96" s="6">
        <v>40</v>
      </c>
      <c r="N96" s="6"/>
      <c r="O96" s="6">
        <v>0</v>
      </c>
      <c r="P96" s="17"/>
      <c r="Q96" s="17">
        <f t="shared" si="2"/>
        <v>4000</v>
      </c>
      <c r="R96" s="17">
        <f t="shared" si="3"/>
        <v>0</v>
      </c>
      <c r="S96" s="6">
        <v>34</v>
      </c>
      <c r="T96" s="6"/>
      <c r="U96" s="6">
        <v>0</v>
      </c>
      <c r="V96" s="17">
        <f t="shared" si="4"/>
        <v>3400</v>
      </c>
      <c r="W96" s="17"/>
      <c r="X96" s="17">
        <f t="shared" si="5"/>
        <v>0</v>
      </c>
      <c r="Y96" s="6">
        <v>40</v>
      </c>
      <c r="Z96" s="6"/>
      <c r="AA96" s="6">
        <v>0</v>
      </c>
      <c r="AB96" s="17"/>
      <c r="AC96" s="17">
        <f t="shared" si="6"/>
        <v>4000</v>
      </c>
      <c r="AD96" s="17">
        <f t="shared" si="7"/>
        <v>0</v>
      </c>
    </row>
    <row r="97" spans="1:30" ht="14">
      <c r="A97" s="6">
        <v>94</v>
      </c>
      <c r="B97" s="44" t="s">
        <v>120</v>
      </c>
      <c r="C97" s="6" t="s">
        <v>32</v>
      </c>
      <c r="D97" s="6">
        <v>8</v>
      </c>
      <c r="E97" s="16">
        <v>45000</v>
      </c>
      <c r="F97" s="6">
        <v>2</v>
      </c>
      <c r="G97" s="13">
        <v>20</v>
      </c>
      <c r="H97" s="13"/>
      <c r="I97" s="13">
        <v>20</v>
      </c>
      <c r="J97" s="16"/>
      <c r="K97" s="16">
        <f t="shared" si="0"/>
        <v>2000</v>
      </c>
      <c r="L97" s="16">
        <f t="shared" si="1"/>
        <v>6000</v>
      </c>
      <c r="M97" s="6">
        <v>20</v>
      </c>
      <c r="N97" s="6"/>
      <c r="O97" s="6">
        <v>10</v>
      </c>
      <c r="P97" s="17"/>
      <c r="Q97" s="17">
        <f t="shared" si="2"/>
        <v>2000</v>
      </c>
      <c r="R97" s="17">
        <f t="shared" si="3"/>
        <v>3000</v>
      </c>
      <c r="S97" s="6">
        <v>40</v>
      </c>
      <c r="T97" s="6"/>
      <c r="U97" s="6">
        <v>5</v>
      </c>
      <c r="V97" s="17">
        <f t="shared" si="4"/>
        <v>4000</v>
      </c>
      <c r="W97" s="17"/>
      <c r="X97" s="17">
        <f t="shared" si="5"/>
        <v>1500</v>
      </c>
      <c r="Y97" s="6">
        <v>45</v>
      </c>
      <c r="Z97" s="6"/>
      <c r="AA97" s="6">
        <v>5</v>
      </c>
      <c r="AB97" s="17"/>
      <c r="AC97" s="17">
        <f t="shared" si="6"/>
        <v>4500</v>
      </c>
      <c r="AD97" s="17">
        <f t="shared" si="7"/>
        <v>1500</v>
      </c>
    </row>
    <row r="98" spans="1:30" ht="14">
      <c r="A98" s="6">
        <v>95</v>
      </c>
      <c r="B98" s="44" t="s">
        <v>121</v>
      </c>
      <c r="C98" s="6" t="s">
        <v>24</v>
      </c>
      <c r="D98" s="6">
        <v>5</v>
      </c>
      <c r="E98" s="16">
        <v>50000</v>
      </c>
      <c r="F98" s="6">
        <v>3</v>
      </c>
      <c r="G98" s="13">
        <v>40</v>
      </c>
      <c r="H98" s="13"/>
      <c r="I98" s="13">
        <v>20</v>
      </c>
      <c r="J98" s="16"/>
      <c r="K98" s="16">
        <f t="shared" si="0"/>
        <v>4000</v>
      </c>
      <c r="L98" s="16">
        <f t="shared" si="1"/>
        <v>6000</v>
      </c>
      <c r="M98" s="6">
        <v>30</v>
      </c>
      <c r="N98" s="6"/>
      <c r="O98" s="6">
        <v>10</v>
      </c>
      <c r="P98" s="17"/>
      <c r="Q98" s="17">
        <f t="shared" si="2"/>
        <v>3000</v>
      </c>
      <c r="R98" s="17">
        <f t="shared" si="3"/>
        <v>3000</v>
      </c>
      <c r="S98" s="6">
        <v>35</v>
      </c>
      <c r="T98" s="6"/>
      <c r="U98" s="6">
        <v>10</v>
      </c>
      <c r="V98" s="17">
        <f t="shared" si="4"/>
        <v>3500</v>
      </c>
      <c r="W98" s="17"/>
      <c r="X98" s="17">
        <f t="shared" si="5"/>
        <v>3000</v>
      </c>
      <c r="Y98" s="6">
        <v>35</v>
      </c>
      <c r="Z98" s="6"/>
      <c r="AA98" s="6">
        <v>5</v>
      </c>
      <c r="AB98" s="17"/>
      <c r="AC98" s="17">
        <f t="shared" si="6"/>
        <v>3500</v>
      </c>
      <c r="AD98" s="17">
        <f t="shared" si="7"/>
        <v>1500</v>
      </c>
    </row>
    <row r="99" spans="1:30" ht="14">
      <c r="A99" s="6">
        <v>96</v>
      </c>
      <c r="B99" s="44" t="s">
        <v>122</v>
      </c>
      <c r="C99" s="6" t="s">
        <v>26</v>
      </c>
      <c r="D99" s="6">
        <v>6</v>
      </c>
      <c r="E99" s="16">
        <v>30000</v>
      </c>
      <c r="F99" s="6">
        <v>2</v>
      </c>
      <c r="G99" s="13">
        <v>80</v>
      </c>
      <c r="H99" s="13"/>
      <c r="I99" s="13">
        <v>0</v>
      </c>
      <c r="J99" s="16"/>
      <c r="K99" s="16">
        <f t="shared" si="0"/>
        <v>8000</v>
      </c>
      <c r="L99" s="16">
        <f t="shared" si="1"/>
        <v>0</v>
      </c>
      <c r="M99" s="6">
        <v>70</v>
      </c>
      <c r="N99" s="6"/>
      <c r="O99" s="6">
        <v>0</v>
      </c>
      <c r="P99" s="17"/>
      <c r="Q99" s="17">
        <f t="shared" si="2"/>
        <v>7000</v>
      </c>
      <c r="R99" s="17">
        <f t="shared" si="3"/>
        <v>0</v>
      </c>
      <c r="S99" s="6">
        <v>60</v>
      </c>
      <c r="T99" s="6"/>
      <c r="U99" s="6">
        <v>0</v>
      </c>
      <c r="V99" s="17">
        <f t="shared" si="4"/>
        <v>6000</v>
      </c>
      <c r="W99" s="17"/>
      <c r="X99" s="17">
        <f t="shared" si="5"/>
        <v>0</v>
      </c>
      <c r="Y99" s="6">
        <v>20</v>
      </c>
      <c r="Z99" s="6"/>
      <c r="AA99" s="6">
        <v>10</v>
      </c>
      <c r="AB99" s="17"/>
      <c r="AC99" s="17">
        <f t="shared" si="6"/>
        <v>2000</v>
      </c>
      <c r="AD99" s="17">
        <f t="shared" si="7"/>
        <v>3000</v>
      </c>
    </row>
    <row r="100" spans="1:30" ht="14">
      <c r="A100" s="6">
        <v>97</v>
      </c>
      <c r="B100" s="44" t="s">
        <v>123</v>
      </c>
      <c r="C100" s="6" t="s">
        <v>19</v>
      </c>
      <c r="D100" s="6">
        <v>8</v>
      </c>
      <c r="E100" s="16">
        <v>40000</v>
      </c>
      <c r="F100" s="6">
        <v>2</v>
      </c>
      <c r="G100" s="13">
        <v>40</v>
      </c>
      <c r="H100" s="13"/>
      <c r="I100" s="13">
        <v>5</v>
      </c>
      <c r="J100" s="16"/>
      <c r="K100" s="16">
        <f t="shared" si="0"/>
        <v>4000</v>
      </c>
      <c r="L100" s="16">
        <f t="shared" si="1"/>
        <v>1500</v>
      </c>
      <c r="M100" s="6">
        <v>20</v>
      </c>
      <c r="N100" s="6"/>
      <c r="O100" s="6">
        <v>10</v>
      </c>
      <c r="P100" s="17"/>
      <c r="Q100" s="17">
        <f t="shared" si="2"/>
        <v>2000</v>
      </c>
      <c r="R100" s="17">
        <f t="shared" si="3"/>
        <v>3000</v>
      </c>
      <c r="S100" s="6">
        <v>40</v>
      </c>
      <c r="T100" s="6"/>
      <c r="U100" s="6">
        <v>5</v>
      </c>
      <c r="V100" s="17">
        <f t="shared" si="4"/>
        <v>4000</v>
      </c>
      <c r="W100" s="17"/>
      <c r="X100" s="17">
        <f t="shared" si="5"/>
        <v>1500</v>
      </c>
      <c r="Y100" s="6">
        <v>40</v>
      </c>
      <c r="Z100" s="6"/>
      <c r="AA100" s="6">
        <v>5</v>
      </c>
      <c r="AB100" s="17"/>
      <c r="AC100" s="17">
        <f t="shared" si="6"/>
        <v>4000</v>
      </c>
      <c r="AD100" s="17">
        <f t="shared" si="7"/>
        <v>1500</v>
      </c>
    </row>
    <row r="101" spans="1:30" ht="14">
      <c r="A101" s="6">
        <v>98</v>
      </c>
      <c r="B101" s="44" t="s">
        <v>124</v>
      </c>
      <c r="C101" s="6" t="s">
        <v>56</v>
      </c>
      <c r="D101" s="6">
        <v>9</v>
      </c>
      <c r="E101" s="16">
        <v>40000</v>
      </c>
      <c r="F101" s="6">
        <v>2</v>
      </c>
      <c r="G101" s="13">
        <v>60</v>
      </c>
      <c r="H101" s="13"/>
      <c r="I101" s="13">
        <v>40</v>
      </c>
      <c r="J101" s="16"/>
      <c r="K101" s="16">
        <f t="shared" si="0"/>
        <v>6000</v>
      </c>
      <c r="L101" s="16">
        <f t="shared" si="1"/>
        <v>12000</v>
      </c>
      <c r="M101" s="6">
        <v>50</v>
      </c>
      <c r="N101" s="6"/>
      <c r="O101" s="6">
        <v>30</v>
      </c>
      <c r="P101" s="17"/>
      <c r="Q101" s="17">
        <f t="shared" si="2"/>
        <v>5000</v>
      </c>
      <c r="R101" s="17">
        <f t="shared" si="3"/>
        <v>9000</v>
      </c>
      <c r="S101" s="6">
        <v>50</v>
      </c>
      <c r="T101" s="6"/>
      <c r="U101" s="6">
        <v>20</v>
      </c>
      <c r="V101" s="17">
        <f t="shared" si="4"/>
        <v>5000</v>
      </c>
      <c r="W101" s="17"/>
      <c r="X101" s="17">
        <f t="shared" si="5"/>
        <v>6000</v>
      </c>
      <c r="Y101" s="6">
        <v>45</v>
      </c>
      <c r="Z101" s="6"/>
      <c r="AA101" s="6">
        <v>15</v>
      </c>
      <c r="AB101" s="17"/>
      <c r="AC101" s="17">
        <f t="shared" si="6"/>
        <v>4500</v>
      </c>
      <c r="AD101" s="17">
        <f t="shared" si="7"/>
        <v>4500</v>
      </c>
    </row>
    <row r="102" spans="1:30" ht="14">
      <c r="A102" s="6">
        <v>99</v>
      </c>
      <c r="B102" s="44" t="s">
        <v>125</v>
      </c>
      <c r="C102" s="6" t="s">
        <v>65</v>
      </c>
      <c r="D102" s="6">
        <v>7</v>
      </c>
      <c r="E102" s="16">
        <v>50000</v>
      </c>
      <c r="F102" s="6">
        <v>3</v>
      </c>
      <c r="G102" s="13">
        <v>20</v>
      </c>
      <c r="H102" s="13"/>
      <c r="I102" s="13">
        <v>20</v>
      </c>
      <c r="J102" s="16"/>
      <c r="K102" s="16">
        <f t="shared" si="0"/>
        <v>2000</v>
      </c>
      <c r="L102" s="16">
        <f t="shared" si="1"/>
        <v>6000</v>
      </c>
      <c r="M102" s="6">
        <v>20</v>
      </c>
      <c r="N102" s="6"/>
      <c r="O102" s="6">
        <v>10</v>
      </c>
      <c r="P102" s="17"/>
      <c r="Q102" s="17">
        <f t="shared" si="2"/>
        <v>2000</v>
      </c>
      <c r="R102" s="17">
        <f t="shared" si="3"/>
        <v>3000</v>
      </c>
      <c r="S102" s="6">
        <v>15</v>
      </c>
      <c r="T102" s="6"/>
      <c r="U102" s="6">
        <v>15</v>
      </c>
      <c r="V102" s="17">
        <f t="shared" si="4"/>
        <v>1500</v>
      </c>
      <c r="W102" s="17"/>
      <c r="X102" s="17">
        <f t="shared" si="5"/>
        <v>4500</v>
      </c>
      <c r="Y102" s="6">
        <v>20</v>
      </c>
      <c r="Z102" s="6"/>
      <c r="AA102" s="6">
        <v>10</v>
      </c>
      <c r="AB102" s="17"/>
      <c r="AC102" s="17">
        <f t="shared" si="6"/>
        <v>2000</v>
      </c>
      <c r="AD102" s="17">
        <f t="shared" si="7"/>
        <v>3000</v>
      </c>
    </row>
    <row r="103" spans="1:30" ht="14">
      <c r="A103" s="6">
        <v>100</v>
      </c>
      <c r="B103" s="44" t="s">
        <v>126</v>
      </c>
      <c r="C103" s="6" t="s">
        <v>65</v>
      </c>
      <c r="D103" s="6">
        <v>6</v>
      </c>
      <c r="E103" s="16">
        <v>30000</v>
      </c>
      <c r="F103" s="6">
        <v>2</v>
      </c>
      <c r="G103" s="13">
        <v>40</v>
      </c>
      <c r="H103" s="13"/>
      <c r="I103" s="13">
        <v>0</v>
      </c>
      <c r="J103" s="16"/>
      <c r="K103" s="16">
        <f t="shared" si="0"/>
        <v>4000</v>
      </c>
      <c r="L103" s="16">
        <f t="shared" si="1"/>
        <v>0</v>
      </c>
      <c r="M103" s="6">
        <v>40</v>
      </c>
      <c r="N103" s="6"/>
      <c r="O103" s="6">
        <v>10</v>
      </c>
      <c r="P103" s="17"/>
      <c r="Q103" s="17">
        <f t="shared" si="2"/>
        <v>4000</v>
      </c>
      <c r="R103" s="17">
        <f t="shared" si="3"/>
        <v>3000</v>
      </c>
      <c r="S103" s="6">
        <v>38</v>
      </c>
      <c r="T103" s="6"/>
      <c r="U103" s="6">
        <v>10</v>
      </c>
      <c r="V103" s="17">
        <f t="shared" si="4"/>
        <v>3800</v>
      </c>
      <c r="W103" s="17"/>
      <c r="X103" s="17">
        <f t="shared" si="5"/>
        <v>3000</v>
      </c>
      <c r="Y103" s="6">
        <v>28</v>
      </c>
      <c r="Z103" s="6"/>
      <c r="AA103" s="6">
        <v>13</v>
      </c>
      <c r="AB103" s="17"/>
      <c r="AC103" s="17">
        <f t="shared" si="6"/>
        <v>2800</v>
      </c>
      <c r="AD103" s="17">
        <f t="shared" si="7"/>
        <v>3900</v>
      </c>
    </row>
    <row r="104" spans="1:30" ht="15.75" customHeight="1">
      <c r="A104" s="3"/>
      <c r="B104" s="46"/>
      <c r="C104" s="3"/>
      <c r="D104" s="6">
        <f t="shared" ref="D104:E104" si="8">SUM(D4:D103)</f>
        <v>623</v>
      </c>
      <c r="E104" s="16">
        <f t="shared" si="8"/>
        <v>4060000</v>
      </c>
      <c r="F104" s="3"/>
      <c r="G104" s="3">
        <f>SUM(G4:G103)</f>
        <v>3840</v>
      </c>
      <c r="H104" s="3"/>
      <c r="I104" s="3">
        <f>SUM(I4:I103)</f>
        <v>1265</v>
      </c>
      <c r="J104" s="16"/>
      <c r="K104" s="16">
        <f t="shared" ref="K104:M104" si="9">SUM(K4:K103)</f>
        <v>384000</v>
      </c>
      <c r="L104" s="16">
        <f t="shared" si="9"/>
        <v>379500</v>
      </c>
      <c r="M104" s="6">
        <f t="shared" si="9"/>
        <v>3307</v>
      </c>
      <c r="N104" s="6"/>
      <c r="O104" s="6">
        <f>SUM(O4:O103)</f>
        <v>1000</v>
      </c>
      <c r="P104" s="17"/>
      <c r="Q104" s="17">
        <f t="shared" ref="Q104:S104" si="10">SUM(Q4:Q103)</f>
        <v>330700</v>
      </c>
      <c r="R104" s="17">
        <f t="shared" si="10"/>
        <v>300000</v>
      </c>
      <c r="S104" s="6">
        <f t="shared" si="10"/>
        <v>3791</v>
      </c>
      <c r="T104" s="6"/>
      <c r="U104" s="6">
        <f t="shared" ref="U104:V104" si="11">SUM(U4:U103)</f>
        <v>847</v>
      </c>
      <c r="V104" s="17">
        <f t="shared" si="11"/>
        <v>379100</v>
      </c>
      <c r="W104" s="17"/>
      <c r="X104" s="17">
        <f t="shared" ref="X104:Y104" si="12">SUM(X4:X103)</f>
        <v>254100</v>
      </c>
      <c r="Y104" s="6">
        <f t="shared" si="12"/>
        <v>3384</v>
      </c>
      <c r="Z104" s="6"/>
      <c r="AA104" s="6">
        <f>SUM(AA4:AA103)</f>
        <v>1249</v>
      </c>
      <c r="AB104" s="17"/>
      <c r="AC104" s="17">
        <f t="shared" ref="AC104:AD104" si="13">SUM(AC4:AC103)</f>
        <v>338400</v>
      </c>
      <c r="AD104" s="17">
        <f t="shared" si="13"/>
        <v>374700</v>
      </c>
    </row>
    <row r="105" spans="1:30" ht="15.75" customHeight="1">
      <c r="B105" s="18"/>
      <c r="C105" s="18"/>
      <c r="D105" s="1"/>
      <c r="E105" s="18"/>
      <c r="F105" s="18"/>
      <c r="G105" s="18"/>
      <c r="H105" s="18"/>
      <c r="I105" s="18"/>
      <c r="J105" s="18"/>
      <c r="K105" s="18"/>
      <c r="L105" s="18"/>
      <c r="Y105" s="1"/>
      <c r="Z105" s="1"/>
      <c r="AA105" s="1"/>
      <c r="AB105" s="1"/>
      <c r="AC105" s="1"/>
      <c r="AD105" s="1"/>
    </row>
    <row r="106" spans="1:30" ht="15.75" customHeight="1">
      <c r="B106" s="18"/>
      <c r="C106" s="18"/>
      <c r="D106" s="1"/>
      <c r="E106" s="18"/>
      <c r="F106" s="18"/>
      <c r="G106" s="18"/>
      <c r="H106" s="18"/>
      <c r="I106" s="18"/>
      <c r="J106" s="18"/>
      <c r="K106" s="18"/>
      <c r="L106" s="18"/>
      <c r="Y106" s="1" t="s">
        <v>127</v>
      </c>
      <c r="Z106" s="1"/>
      <c r="AA106" s="1"/>
      <c r="AB106" s="1"/>
      <c r="AC106" s="1"/>
      <c r="AD106" s="1"/>
    </row>
    <row r="107" spans="1:30" ht="15.75" customHeight="1">
      <c r="B107" s="18" t="s">
        <v>128</v>
      </c>
      <c r="C107" s="18"/>
      <c r="D107" s="1"/>
      <c r="E107" s="18"/>
      <c r="F107" s="18"/>
      <c r="G107" s="18"/>
      <c r="H107" s="18"/>
      <c r="I107" s="18"/>
      <c r="J107" s="18"/>
      <c r="K107" s="18"/>
      <c r="L107" s="18"/>
      <c r="M107" s="47" t="s">
        <v>129</v>
      </c>
      <c r="Y107" s="1" t="s">
        <v>130</v>
      </c>
      <c r="Z107" s="1"/>
      <c r="AA107" s="1"/>
      <c r="AB107" s="1"/>
      <c r="AC107" s="1"/>
      <c r="AD107" s="1"/>
    </row>
    <row r="108" spans="1:30" ht="15.75" customHeight="1">
      <c r="B108" s="18" t="s">
        <v>131</v>
      </c>
      <c r="C108" s="18"/>
      <c r="D108" s="1"/>
      <c r="E108" s="18"/>
      <c r="F108" s="18"/>
      <c r="G108" s="18"/>
      <c r="H108" s="18"/>
      <c r="I108" s="18"/>
      <c r="J108" s="18"/>
      <c r="K108" s="18"/>
      <c r="L108" s="18"/>
      <c r="M108" s="47" t="s">
        <v>132</v>
      </c>
      <c r="Y108" s="1" t="s">
        <v>133</v>
      </c>
      <c r="Z108" s="1"/>
      <c r="AA108" s="1"/>
      <c r="AB108" s="1"/>
      <c r="AC108" s="1"/>
      <c r="AD108" s="1"/>
    </row>
    <row r="109" spans="1:30" ht="15.75" customHeight="1">
      <c r="B109" s="18" t="s">
        <v>134</v>
      </c>
      <c r="C109" s="18"/>
      <c r="D109" s="1"/>
      <c r="E109" s="18"/>
      <c r="F109" s="18"/>
      <c r="G109" s="18"/>
      <c r="H109" s="18"/>
      <c r="I109" s="18"/>
      <c r="J109" s="18"/>
      <c r="K109" s="18"/>
      <c r="L109" s="18"/>
      <c r="M109" s="47" t="s">
        <v>135</v>
      </c>
      <c r="Y109" s="1"/>
      <c r="Z109" s="1"/>
      <c r="AA109" s="1"/>
      <c r="AB109" s="1"/>
      <c r="AC109" s="1"/>
      <c r="AD109" s="1"/>
    </row>
    <row r="110" spans="1:30" ht="15.75" customHeight="1">
      <c r="B110" s="18" t="s">
        <v>136</v>
      </c>
      <c r="C110" s="18"/>
      <c r="D110" s="1"/>
      <c r="E110" s="18"/>
      <c r="F110" s="18"/>
      <c r="G110" s="18"/>
      <c r="H110" s="18"/>
      <c r="I110" s="18"/>
      <c r="J110" s="18"/>
      <c r="K110" s="18"/>
      <c r="L110" s="18"/>
      <c r="M110" s="47" t="s">
        <v>137</v>
      </c>
      <c r="Y110" s="1"/>
      <c r="Z110" s="1"/>
      <c r="AA110" s="1"/>
      <c r="AB110" s="1"/>
      <c r="AC110" s="1"/>
      <c r="AD110" s="1"/>
    </row>
    <row r="111" spans="1:30" ht="15.75" customHeight="1">
      <c r="B111" s="18" t="s">
        <v>138</v>
      </c>
      <c r="C111" s="18"/>
      <c r="D111" s="1"/>
      <c r="E111" s="18"/>
      <c r="F111" s="18"/>
      <c r="G111" s="18"/>
      <c r="H111" s="18"/>
      <c r="I111" s="18"/>
      <c r="J111" s="18"/>
      <c r="K111" s="18"/>
      <c r="L111" s="18"/>
      <c r="M111" s="47" t="s">
        <v>139</v>
      </c>
      <c r="Y111" s="1"/>
      <c r="Z111" s="1"/>
      <c r="AA111" s="1"/>
      <c r="AB111" s="1"/>
      <c r="AC111" s="1"/>
      <c r="AD111" s="1"/>
    </row>
    <row r="112" spans="1:30" ht="15.75" customHeight="1">
      <c r="B112" s="18" t="s">
        <v>140</v>
      </c>
      <c r="C112" s="18"/>
      <c r="D112" s="1"/>
      <c r="E112" s="18"/>
      <c r="F112" s="18"/>
      <c r="G112" s="18"/>
      <c r="H112" s="18"/>
      <c r="I112" s="18"/>
      <c r="J112" s="18"/>
      <c r="K112" s="18"/>
      <c r="L112" s="18"/>
      <c r="M112" s="47" t="s">
        <v>141</v>
      </c>
      <c r="Y112" s="1"/>
      <c r="Z112" s="1"/>
      <c r="AA112" s="1"/>
      <c r="AB112" s="1"/>
      <c r="AC112" s="1"/>
      <c r="AD112" s="1"/>
    </row>
    <row r="113" spans="13:30" ht="15.75" customHeight="1">
      <c r="M113" s="47" t="s">
        <v>142</v>
      </c>
      <c r="Y113" s="1"/>
      <c r="Z113" s="1"/>
      <c r="AA113" s="1"/>
      <c r="AB113" s="1"/>
      <c r="AC113" s="1"/>
      <c r="AD113" s="1"/>
    </row>
    <row r="114" spans="13:30" ht="15.75" customHeight="1">
      <c r="M114" s="47" t="s">
        <v>143</v>
      </c>
      <c r="Y114" s="1"/>
      <c r="Z114" s="1"/>
      <c r="AA114" s="1"/>
      <c r="AB114" s="1"/>
      <c r="AC114" s="1"/>
      <c r="AD114" s="1"/>
    </row>
    <row r="115" spans="13:30" ht="13">
      <c r="Y115" s="1"/>
      <c r="Z115" s="1"/>
      <c r="AA115" s="1"/>
      <c r="AB115" s="1"/>
      <c r="AC115" s="1"/>
      <c r="AD115" s="1"/>
    </row>
    <row r="116" spans="13:30" ht="13">
      <c r="Y116" s="1"/>
      <c r="Z116" s="1"/>
      <c r="AA116" s="1"/>
      <c r="AB116" s="1"/>
      <c r="AC116" s="1"/>
      <c r="AD116" s="1"/>
    </row>
    <row r="117" spans="13:30" ht="13">
      <c r="Y117" s="1"/>
      <c r="Z117" s="1"/>
      <c r="AA117" s="1"/>
      <c r="AB117" s="1"/>
      <c r="AC117" s="1"/>
      <c r="AD117" s="1"/>
    </row>
    <row r="118" spans="13:30" ht="13">
      <c r="Y118" s="1"/>
      <c r="Z118" s="1"/>
      <c r="AA118" s="1"/>
      <c r="AB118" s="1"/>
      <c r="AC118" s="1"/>
      <c r="AD118" s="1"/>
    </row>
    <row r="119" spans="13:30" ht="13">
      <c r="Y119" s="1"/>
      <c r="Z119" s="1"/>
      <c r="AA119" s="1"/>
      <c r="AB119" s="1"/>
      <c r="AC119" s="1"/>
      <c r="AD119" s="1"/>
    </row>
    <row r="120" spans="13:30" ht="13">
      <c r="Y120" s="1"/>
      <c r="Z120" s="1"/>
      <c r="AA120" s="1"/>
      <c r="AB120" s="1"/>
      <c r="AC120" s="1"/>
      <c r="AD120" s="1"/>
    </row>
    <row r="121" spans="13:30" ht="13">
      <c r="Y121" s="1"/>
      <c r="Z121" s="1"/>
      <c r="AA121" s="1"/>
      <c r="AB121" s="1"/>
      <c r="AC121" s="1"/>
      <c r="AD121" s="1"/>
    </row>
    <row r="122" spans="13:30" ht="13">
      <c r="Y122" s="1"/>
      <c r="Z122" s="1"/>
      <c r="AA122" s="1"/>
      <c r="AB122" s="1"/>
      <c r="AC122" s="1"/>
      <c r="AD122" s="1"/>
    </row>
    <row r="123" spans="13:30" ht="13">
      <c r="Y123" s="1"/>
      <c r="Z123" s="1"/>
      <c r="AA123" s="1"/>
      <c r="AB123" s="1"/>
      <c r="AC123" s="1"/>
      <c r="AD123" s="1"/>
    </row>
    <row r="124" spans="13:30" ht="13">
      <c r="Y124" s="1"/>
      <c r="Z124" s="1"/>
      <c r="AA124" s="1"/>
      <c r="AB124" s="1"/>
      <c r="AC124" s="1"/>
      <c r="AD124" s="1"/>
    </row>
    <row r="125" spans="13:30" ht="13">
      <c r="Y125" s="1"/>
      <c r="Z125" s="1"/>
      <c r="AA125" s="1"/>
      <c r="AB125" s="1"/>
      <c r="AC125" s="1"/>
      <c r="AD125" s="1"/>
    </row>
    <row r="126" spans="13:30" ht="13">
      <c r="Y126" s="1"/>
      <c r="Z126" s="1"/>
      <c r="AA126" s="1"/>
      <c r="AB126" s="1"/>
      <c r="AC126" s="1"/>
      <c r="AD126" s="1"/>
    </row>
    <row r="127" spans="13:30" ht="13">
      <c r="Y127" s="1"/>
      <c r="Z127" s="1"/>
      <c r="AA127" s="1"/>
      <c r="AB127" s="1"/>
      <c r="AC127" s="1"/>
      <c r="AD127" s="1"/>
    </row>
    <row r="128" spans="13:30" ht="13">
      <c r="Y128" s="1"/>
      <c r="Z128" s="1"/>
      <c r="AA128" s="1"/>
      <c r="AB128" s="1"/>
      <c r="AC128" s="1"/>
      <c r="AD128" s="1"/>
    </row>
    <row r="129" spans="25:30" ht="13">
      <c r="Y129" s="1"/>
      <c r="Z129" s="1"/>
      <c r="AA129" s="1"/>
      <c r="AB129" s="1"/>
      <c r="AC129" s="1"/>
      <c r="AD129" s="1"/>
    </row>
    <row r="130" spans="25:30" ht="13">
      <c r="Y130" s="1"/>
      <c r="Z130" s="1"/>
      <c r="AA130" s="1"/>
      <c r="AB130" s="1"/>
      <c r="AC130" s="1"/>
      <c r="AD130" s="1"/>
    </row>
    <row r="131" spans="25:30" ht="13">
      <c r="Y131" s="1"/>
      <c r="Z131" s="1"/>
      <c r="AA131" s="1"/>
      <c r="AB131" s="1"/>
      <c r="AC131" s="1"/>
      <c r="AD131" s="1"/>
    </row>
    <row r="132" spans="25:30" ht="13">
      <c r="Y132" s="1"/>
      <c r="Z132" s="1"/>
      <c r="AA132" s="1"/>
      <c r="AB132" s="1"/>
      <c r="AC132" s="1"/>
      <c r="AD132" s="1"/>
    </row>
    <row r="133" spans="25:30" ht="13">
      <c r="Y133" s="1"/>
      <c r="Z133" s="1"/>
      <c r="AA133" s="1"/>
      <c r="AB133" s="1"/>
      <c r="AC133" s="1"/>
      <c r="AD133" s="1"/>
    </row>
    <row r="134" spans="25:30" ht="13">
      <c r="Y134" s="1"/>
      <c r="Z134" s="1"/>
      <c r="AA134" s="1"/>
      <c r="AB134" s="1"/>
      <c r="AC134" s="1"/>
      <c r="AD134" s="1"/>
    </row>
    <row r="135" spans="25:30" ht="13">
      <c r="Y135" s="1"/>
      <c r="Z135" s="1"/>
      <c r="AA135" s="1"/>
      <c r="AB135" s="1"/>
      <c r="AC135" s="1"/>
      <c r="AD135" s="1"/>
    </row>
    <row r="136" spans="25:30" ht="13">
      <c r="Y136" s="1"/>
      <c r="Z136" s="1"/>
      <c r="AA136" s="1"/>
      <c r="AB136" s="1"/>
      <c r="AC136" s="1"/>
      <c r="AD136" s="1"/>
    </row>
    <row r="137" spans="25:30" ht="13">
      <c r="Y137" s="1"/>
      <c r="Z137" s="1"/>
      <c r="AA137" s="1"/>
      <c r="AB137" s="1"/>
      <c r="AC137" s="1"/>
      <c r="AD137" s="1"/>
    </row>
    <row r="138" spans="25:30" ht="13">
      <c r="Y138" s="1"/>
      <c r="Z138" s="1"/>
      <c r="AA138" s="1"/>
      <c r="AB138" s="1"/>
      <c r="AC138" s="1"/>
      <c r="AD138" s="1"/>
    </row>
    <row r="139" spans="25:30" ht="13">
      <c r="Y139" s="1"/>
      <c r="Z139" s="1"/>
      <c r="AA139" s="1"/>
      <c r="AB139" s="1"/>
      <c r="AC139" s="1"/>
      <c r="AD139" s="1"/>
    </row>
    <row r="140" spans="25:30" ht="13">
      <c r="Y140" s="1"/>
      <c r="Z140" s="1"/>
      <c r="AA140" s="1"/>
      <c r="AB140" s="1"/>
      <c r="AC140" s="1"/>
      <c r="AD140" s="1"/>
    </row>
    <row r="141" spans="25:30" ht="13">
      <c r="Y141" s="1"/>
      <c r="Z141" s="1"/>
      <c r="AA141" s="1"/>
      <c r="AB141" s="1"/>
      <c r="AC141" s="1"/>
      <c r="AD141" s="1"/>
    </row>
    <row r="142" spans="25:30" ht="13">
      <c r="Y142" s="1"/>
      <c r="Z142" s="1"/>
      <c r="AA142" s="1"/>
      <c r="AB142" s="1"/>
      <c r="AC142" s="1"/>
      <c r="AD142" s="1"/>
    </row>
    <row r="143" spans="25:30" ht="13">
      <c r="Y143" s="1"/>
      <c r="Z143" s="1"/>
      <c r="AA143" s="1"/>
      <c r="AB143" s="1"/>
      <c r="AC143" s="1"/>
      <c r="AD143" s="1"/>
    </row>
    <row r="144" spans="25:30" ht="13">
      <c r="Y144" s="1"/>
      <c r="Z144" s="1"/>
      <c r="AA144" s="1"/>
      <c r="AB144" s="1"/>
      <c r="AC144" s="1"/>
      <c r="AD144" s="1"/>
    </row>
    <row r="145" spans="25:30" ht="13">
      <c r="Y145" s="1"/>
      <c r="Z145" s="1"/>
      <c r="AA145" s="1"/>
      <c r="AB145" s="1"/>
      <c r="AC145" s="1"/>
      <c r="AD145" s="1"/>
    </row>
    <row r="146" spans="25:30" ht="13">
      <c r="Y146" s="1"/>
      <c r="Z146" s="1"/>
      <c r="AA146" s="1"/>
      <c r="AB146" s="1"/>
      <c r="AC146" s="1"/>
      <c r="AD146" s="1"/>
    </row>
    <row r="147" spans="25:30" ht="13">
      <c r="Y147" s="1"/>
      <c r="Z147" s="1"/>
      <c r="AA147" s="1"/>
      <c r="AB147" s="1"/>
      <c r="AC147" s="1"/>
      <c r="AD147" s="1"/>
    </row>
    <row r="148" spans="25:30" ht="13">
      <c r="Y148" s="1"/>
      <c r="Z148" s="1"/>
      <c r="AA148" s="1"/>
      <c r="AB148" s="1"/>
      <c r="AC148" s="1"/>
      <c r="AD148" s="1"/>
    </row>
    <row r="149" spans="25:30" ht="13">
      <c r="Y149" s="1"/>
      <c r="Z149" s="1"/>
      <c r="AA149" s="1"/>
      <c r="AB149" s="1"/>
      <c r="AC149" s="1"/>
      <c r="AD149" s="1"/>
    </row>
    <row r="150" spans="25:30" ht="13">
      <c r="Y150" s="1"/>
      <c r="Z150" s="1"/>
      <c r="AA150" s="1"/>
      <c r="AB150" s="1"/>
      <c r="AC150" s="1"/>
      <c r="AD150" s="1"/>
    </row>
    <row r="151" spans="25:30" ht="13">
      <c r="Y151" s="1"/>
      <c r="Z151" s="1"/>
      <c r="AA151" s="1"/>
      <c r="AB151" s="1"/>
      <c r="AC151" s="1"/>
      <c r="AD151" s="1"/>
    </row>
    <row r="152" spans="25:30" ht="13">
      <c r="Y152" s="1"/>
      <c r="Z152" s="1"/>
      <c r="AA152" s="1"/>
      <c r="AB152" s="1"/>
      <c r="AC152" s="1"/>
      <c r="AD152" s="1"/>
    </row>
    <row r="153" spans="25:30" ht="13">
      <c r="Y153" s="1"/>
      <c r="Z153" s="1"/>
      <c r="AA153" s="1"/>
      <c r="AB153" s="1"/>
      <c r="AC153" s="1"/>
      <c r="AD153" s="1"/>
    </row>
    <row r="154" spans="25:30" ht="13">
      <c r="Y154" s="1"/>
      <c r="Z154" s="1"/>
      <c r="AA154" s="1"/>
      <c r="AB154" s="1"/>
      <c r="AC154" s="1"/>
      <c r="AD154" s="1"/>
    </row>
    <row r="155" spans="25:30" ht="13">
      <c r="Y155" s="1"/>
      <c r="Z155" s="1"/>
      <c r="AA155" s="1"/>
      <c r="AB155" s="1"/>
      <c r="AC155" s="1"/>
      <c r="AD155" s="1"/>
    </row>
    <row r="156" spans="25:30" ht="13">
      <c r="Y156" s="1"/>
      <c r="Z156" s="1"/>
      <c r="AA156" s="1"/>
      <c r="AB156" s="1"/>
      <c r="AC156" s="1"/>
      <c r="AD156" s="1"/>
    </row>
    <row r="157" spans="25:30" ht="13">
      <c r="Y157" s="1"/>
      <c r="Z157" s="1"/>
      <c r="AA157" s="1"/>
      <c r="AB157" s="1"/>
      <c r="AC157" s="1"/>
      <c r="AD157" s="1"/>
    </row>
    <row r="158" spans="25:30" ht="13">
      <c r="Y158" s="1"/>
      <c r="Z158" s="1"/>
      <c r="AA158" s="1"/>
      <c r="AB158" s="1"/>
      <c r="AC158" s="1"/>
      <c r="AD158" s="1"/>
    </row>
    <row r="159" spans="25:30" ht="13">
      <c r="Y159" s="1"/>
      <c r="Z159" s="1"/>
      <c r="AA159" s="1"/>
      <c r="AB159" s="1"/>
      <c r="AC159" s="1"/>
      <c r="AD159" s="1"/>
    </row>
    <row r="160" spans="25:30" ht="13">
      <c r="Y160" s="1"/>
      <c r="Z160" s="1"/>
      <c r="AA160" s="1"/>
      <c r="AB160" s="1"/>
      <c r="AC160" s="1"/>
      <c r="AD160" s="1"/>
    </row>
    <row r="161" spans="25:30" ht="13">
      <c r="Y161" s="1"/>
      <c r="Z161" s="1"/>
      <c r="AA161" s="1"/>
      <c r="AB161" s="1"/>
      <c r="AC161" s="1"/>
      <c r="AD161" s="1"/>
    </row>
    <row r="162" spans="25:30" ht="13">
      <c r="Y162" s="1"/>
      <c r="Z162" s="1"/>
      <c r="AA162" s="1"/>
      <c r="AB162" s="1"/>
      <c r="AC162" s="1"/>
      <c r="AD162" s="1"/>
    </row>
    <row r="163" spans="25:30" ht="13">
      <c r="Y163" s="1"/>
      <c r="Z163" s="1"/>
      <c r="AA163" s="1"/>
      <c r="AB163" s="1"/>
      <c r="AC163" s="1"/>
      <c r="AD163" s="1"/>
    </row>
    <row r="164" spans="25:30" ht="13">
      <c r="Y164" s="1"/>
      <c r="Z164" s="1"/>
      <c r="AA164" s="1"/>
      <c r="AB164" s="1"/>
      <c r="AC164" s="1"/>
      <c r="AD164" s="1"/>
    </row>
    <row r="165" spans="25:30" ht="13">
      <c r="Y165" s="1"/>
      <c r="Z165" s="1"/>
      <c r="AA165" s="1"/>
      <c r="AB165" s="1"/>
      <c r="AC165" s="1"/>
      <c r="AD165" s="1"/>
    </row>
    <row r="166" spans="25:30" ht="13">
      <c r="Y166" s="1"/>
      <c r="Z166" s="1"/>
      <c r="AA166" s="1"/>
      <c r="AB166" s="1"/>
      <c r="AC166" s="1"/>
      <c r="AD166" s="1"/>
    </row>
    <row r="167" spans="25:30" ht="13">
      <c r="Y167" s="1"/>
      <c r="Z167" s="1"/>
      <c r="AA167" s="1"/>
      <c r="AB167" s="1"/>
      <c r="AC167" s="1"/>
      <c r="AD167" s="1"/>
    </row>
    <row r="168" spans="25:30" ht="13">
      <c r="Y168" s="1"/>
      <c r="Z168" s="1"/>
      <c r="AA168" s="1"/>
      <c r="AB168" s="1"/>
      <c r="AC168" s="1"/>
      <c r="AD168" s="1"/>
    </row>
    <row r="169" spans="25:30" ht="13">
      <c r="Y169" s="1"/>
      <c r="Z169" s="1"/>
      <c r="AA169" s="1"/>
      <c r="AB169" s="1"/>
      <c r="AC169" s="1"/>
      <c r="AD169" s="1"/>
    </row>
    <row r="170" spans="25:30" ht="13">
      <c r="Y170" s="1"/>
      <c r="Z170" s="1"/>
      <c r="AA170" s="1"/>
      <c r="AB170" s="1"/>
      <c r="AC170" s="1"/>
      <c r="AD170" s="1"/>
    </row>
    <row r="171" spans="25:30" ht="13">
      <c r="Y171" s="1"/>
      <c r="Z171" s="1"/>
      <c r="AA171" s="1"/>
      <c r="AB171" s="1"/>
      <c r="AC171" s="1"/>
      <c r="AD171" s="1"/>
    </row>
    <row r="172" spans="25:30" ht="13">
      <c r="Y172" s="1"/>
      <c r="Z172" s="1"/>
      <c r="AA172" s="1"/>
      <c r="AB172" s="1"/>
      <c r="AC172" s="1"/>
      <c r="AD172" s="1"/>
    </row>
    <row r="173" spans="25:30" ht="13">
      <c r="Y173" s="1"/>
      <c r="Z173" s="1"/>
      <c r="AA173" s="1"/>
      <c r="AB173" s="1"/>
      <c r="AC173" s="1"/>
      <c r="AD173" s="1"/>
    </row>
    <row r="174" spans="25:30" ht="13">
      <c r="Y174" s="1"/>
      <c r="Z174" s="1"/>
      <c r="AA174" s="1"/>
      <c r="AB174" s="1"/>
      <c r="AC174" s="1"/>
      <c r="AD174" s="1"/>
    </row>
    <row r="175" spans="25:30" ht="13">
      <c r="Y175" s="1"/>
      <c r="Z175" s="1"/>
      <c r="AA175" s="1"/>
      <c r="AB175" s="1"/>
      <c r="AC175" s="1"/>
      <c r="AD175" s="1"/>
    </row>
    <row r="176" spans="25:30" ht="13">
      <c r="Y176" s="1"/>
      <c r="Z176" s="1"/>
      <c r="AA176" s="1"/>
      <c r="AB176" s="1"/>
      <c r="AC176" s="1"/>
      <c r="AD176" s="1"/>
    </row>
    <row r="177" spans="25:30" ht="13">
      <c r="Y177" s="1"/>
      <c r="Z177" s="1"/>
      <c r="AA177" s="1"/>
      <c r="AB177" s="1"/>
      <c r="AC177" s="1"/>
      <c r="AD177" s="1"/>
    </row>
    <row r="178" spans="25:30" ht="13">
      <c r="Y178" s="1"/>
      <c r="Z178" s="1"/>
      <c r="AA178" s="1"/>
      <c r="AB178" s="1"/>
      <c r="AC178" s="1"/>
      <c r="AD178" s="1"/>
    </row>
    <row r="179" spans="25:30" ht="13">
      <c r="Y179" s="1"/>
      <c r="Z179" s="1"/>
      <c r="AA179" s="1"/>
      <c r="AB179" s="1"/>
      <c r="AC179" s="1"/>
      <c r="AD179" s="1"/>
    </row>
    <row r="180" spans="25:30" ht="13">
      <c r="Y180" s="1"/>
      <c r="Z180" s="1"/>
      <c r="AA180" s="1"/>
      <c r="AB180" s="1"/>
      <c r="AC180" s="1"/>
      <c r="AD180" s="1"/>
    </row>
    <row r="181" spans="25:30" ht="13">
      <c r="Y181" s="1"/>
      <c r="Z181" s="1"/>
      <c r="AA181" s="1"/>
      <c r="AB181" s="1"/>
      <c r="AC181" s="1"/>
      <c r="AD181" s="1"/>
    </row>
    <row r="182" spans="25:30" ht="13">
      <c r="Y182" s="1"/>
      <c r="Z182" s="1"/>
      <c r="AA182" s="1"/>
      <c r="AB182" s="1"/>
      <c r="AC182" s="1"/>
      <c r="AD182" s="1"/>
    </row>
    <row r="183" spans="25:30" ht="13">
      <c r="Y183" s="1"/>
      <c r="Z183" s="1"/>
      <c r="AA183" s="1"/>
      <c r="AB183" s="1"/>
      <c r="AC183" s="1"/>
      <c r="AD183" s="1"/>
    </row>
    <row r="184" spans="25:30" ht="13">
      <c r="Y184" s="1"/>
      <c r="Z184" s="1"/>
      <c r="AA184" s="1"/>
      <c r="AB184" s="1"/>
      <c r="AC184" s="1"/>
      <c r="AD184" s="1"/>
    </row>
    <row r="185" spans="25:30" ht="13">
      <c r="Y185" s="1"/>
      <c r="Z185" s="1"/>
      <c r="AA185" s="1"/>
      <c r="AB185" s="1"/>
      <c r="AC185" s="1"/>
      <c r="AD185" s="1"/>
    </row>
    <row r="186" spans="25:30" ht="13">
      <c r="Y186" s="1"/>
      <c r="Z186" s="1"/>
      <c r="AA186" s="1"/>
      <c r="AB186" s="1"/>
      <c r="AC186" s="1"/>
      <c r="AD186" s="1"/>
    </row>
    <row r="187" spans="25:30" ht="13">
      <c r="Y187" s="1"/>
      <c r="Z187" s="1"/>
      <c r="AA187" s="1"/>
      <c r="AB187" s="1"/>
      <c r="AC187" s="1"/>
      <c r="AD187" s="1"/>
    </row>
    <row r="188" spans="25:30" ht="13">
      <c r="Y188" s="1"/>
      <c r="Z188" s="1"/>
      <c r="AA188" s="1"/>
      <c r="AB188" s="1"/>
      <c r="AC188" s="1"/>
      <c r="AD188" s="1"/>
    </row>
    <row r="189" spans="25:30" ht="13">
      <c r="Y189" s="1"/>
      <c r="Z189" s="1"/>
      <c r="AA189" s="1"/>
      <c r="AB189" s="1"/>
      <c r="AC189" s="1"/>
      <c r="AD189" s="1"/>
    </row>
    <row r="190" spans="25:30" ht="13">
      <c r="Y190" s="1"/>
      <c r="Z190" s="1"/>
      <c r="AA190" s="1"/>
      <c r="AB190" s="1"/>
      <c r="AC190" s="1"/>
      <c r="AD190" s="1"/>
    </row>
    <row r="191" spans="25:30" ht="13">
      <c r="Y191" s="1"/>
      <c r="Z191" s="1"/>
      <c r="AA191" s="1"/>
      <c r="AB191" s="1"/>
      <c r="AC191" s="1"/>
      <c r="AD191" s="1"/>
    </row>
    <row r="192" spans="25:30" ht="13">
      <c r="Y192" s="1"/>
      <c r="Z192" s="1"/>
      <c r="AA192" s="1"/>
      <c r="AB192" s="1"/>
      <c r="AC192" s="1"/>
      <c r="AD192" s="1"/>
    </row>
    <row r="193" spans="25:30" ht="13">
      <c r="Y193" s="1"/>
      <c r="Z193" s="1"/>
      <c r="AA193" s="1"/>
      <c r="AB193" s="1"/>
      <c r="AC193" s="1"/>
      <c r="AD193" s="1"/>
    </row>
    <row r="194" spans="25:30" ht="13">
      <c r="Y194" s="1"/>
      <c r="Z194" s="1"/>
      <c r="AA194" s="1"/>
      <c r="AB194" s="1"/>
      <c r="AC194" s="1"/>
      <c r="AD194" s="1"/>
    </row>
    <row r="195" spans="25:30" ht="13">
      <c r="Y195" s="1"/>
      <c r="Z195" s="1"/>
      <c r="AA195" s="1"/>
      <c r="AB195" s="1"/>
      <c r="AC195" s="1"/>
      <c r="AD195" s="1"/>
    </row>
    <row r="196" spans="25:30" ht="13">
      <c r="Y196" s="1"/>
      <c r="Z196" s="1"/>
      <c r="AA196" s="1"/>
      <c r="AB196" s="1"/>
      <c r="AC196" s="1"/>
      <c r="AD196" s="1"/>
    </row>
    <row r="197" spans="25:30" ht="13">
      <c r="Y197" s="1"/>
      <c r="Z197" s="1"/>
      <c r="AA197" s="1"/>
      <c r="AB197" s="1"/>
      <c r="AC197" s="1"/>
      <c r="AD197" s="1"/>
    </row>
    <row r="198" spans="25:30" ht="13">
      <c r="Y198" s="1"/>
      <c r="Z198" s="1"/>
      <c r="AA198" s="1"/>
      <c r="AB198" s="1"/>
      <c r="AC198" s="1"/>
      <c r="AD198" s="1"/>
    </row>
    <row r="199" spans="25:30" ht="13">
      <c r="Y199" s="1"/>
      <c r="Z199" s="1"/>
      <c r="AA199" s="1"/>
      <c r="AB199" s="1"/>
      <c r="AC199" s="1"/>
      <c r="AD199" s="1"/>
    </row>
    <row r="200" spans="25:30" ht="13">
      <c r="Y200" s="1"/>
      <c r="Z200" s="1"/>
      <c r="AA200" s="1"/>
      <c r="AB200" s="1"/>
      <c r="AC200" s="1"/>
      <c r="AD200" s="1"/>
    </row>
    <row r="201" spans="25:30" ht="13">
      <c r="Y201" s="1"/>
      <c r="Z201" s="1"/>
      <c r="AA201" s="1"/>
      <c r="AB201" s="1"/>
      <c r="AC201" s="1"/>
      <c r="AD201" s="1"/>
    </row>
    <row r="202" spans="25:30" ht="13">
      <c r="Y202" s="1"/>
      <c r="Z202" s="1"/>
      <c r="AA202" s="1"/>
      <c r="AB202" s="1"/>
      <c r="AC202" s="1"/>
      <c r="AD202" s="1"/>
    </row>
    <row r="203" spans="25:30" ht="13">
      <c r="Y203" s="1"/>
      <c r="Z203" s="1"/>
      <c r="AA203" s="1"/>
      <c r="AB203" s="1"/>
      <c r="AC203" s="1"/>
      <c r="AD203" s="1"/>
    </row>
    <row r="204" spans="25:30" ht="13">
      <c r="Y204" s="1"/>
      <c r="Z204" s="1"/>
      <c r="AA204" s="1"/>
      <c r="AB204" s="1"/>
      <c r="AC204" s="1"/>
      <c r="AD204" s="1"/>
    </row>
    <row r="205" spans="25:30" ht="13">
      <c r="Y205" s="1"/>
      <c r="Z205" s="1"/>
      <c r="AA205" s="1"/>
      <c r="AB205" s="1"/>
      <c r="AC205" s="1"/>
      <c r="AD205" s="1"/>
    </row>
    <row r="206" spans="25:30" ht="13">
      <c r="Y206" s="1"/>
      <c r="Z206" s="1"/>
      <c r="AA206" s="1"/>
      <c r="AB206" s="1"/>
      <c r="AC206" s="1"/>
      <c r="AD206" s="1"/>
    </row>
    <row r="207" spans="25:30" ht="13">
      <c r="Y207" s="1"/>
      <c r="Z207" s="1"/>
      <c r="AA207" s="1"/>
      <c r="AB207" s="1"/>
      <c r="AC207" s="1"/>
      <c r="AD207" s="1"/>
    </row>
    <row r="208" spans="25:30" ht="13">
      <c r="Y208" s="1"/>
      <c r="Z208" s="1"/>
      <c r="AA208" s="1"/>
      <c r="AB208" s="1"/>
      <c r="AC208" s="1"/>
      <c r="AD208" s="1"/>
    </row>
    <row r="209" spans="25:30" ht="13">
      <c r="Y209" s="1"/>
      <c r="Z209" s="1"/>
      <c r="AA209" s="1"/>
      <c r="AB209" s="1"/>
      <c r="AC209" s="1"/>
      <c r="AD209" s="1"/>
    </row>
    <row r="210" spans="25:30" ht="13">
      <c r="Y210" s="1"/>
      <c r="Z210" s="1"/>
      <c r="AA210" s="1"/>
      <c r="AB210" s="1"/>
      <c r="AC210" s="1"/>
      <c r="AD210" s="1"/>
    </row>
    <row r="211" spans="25:30" ht="13">
      <c r="Y211" s="1"/>
      <c r="Z211" s="1"/>
      <c r="AA211" s="1"/>
      <c r="AB211" s="1"/>
      <c r="AC211" s="1"/>
      <c r="AD211" s="1"/>
    </row>
    <row r="212" spans="25:30" ht="13">
      <c r="Y212" s="1"/>
      <c r="Z212" s="1"/>
      <c r="AA212" s="1"/>
      <c r="AB212" s="1"/>
      <c r="AC212" s="1"/>
      <c r="AD212" s="1"/>
    </row>
    <row r="213" spans="25:30" ht="13">
      <c r="Y213" s="1"/>
      <c r="Z213" s="1"/>
      <c r="AA213" s="1"/>
      <c r="AB213" s="1"/>
      <c r="AC213" s="1"/>
      <c r="AD213" s="1"/>
    </row>
    <row r="214" spans="25:30" ht="13">
      <c r="Y214" s="1"/>
      <c r="Z214" s="1"/>
      <c r="AA214" s="1"/>
      <c r="AB214" s="1"/>
      <c r="AC214" s="1"/>
      <c r="AD214" s="1"/>
    </row>
    <row r="215" spans="25:30" ht="13">
      <c r="Y215" s="1"/>
      <c r="Z215" s="1"/>
      <c r="AA215" s="1"/>
      <c r="AB215" s="1"/>
      <c r="AC215" s="1"/>
      <c r="AD215" s="1"/>
    </row>
    <row r="216" spans="25:30" ht="13">
      <c r="Y216" s="1"/>
      <c r="Z216" s="1"/>
      <c r="AA216" s="1"/>
      <c r="AB216" s="1"/>
      <c r="AC216" s="1"/>
      <c r="AD216" s="1"/>
    </row>
    <row r="217" spans="25:30" ht="13">
      <c r="Y217" s="1"/>
      <c r="Z217" s="1"/>
      <c r="AA217" s="1"/>
      <c r="AB217" s="1"/>
      <c r="AC217" s="1"/>
      <c r="AD217" s="1"/>
    </row>
    <row r="218" spans="25:30" ht="13">
      <c r="Y218" s="1"/>
      <c r="Z218" s="1"/>
      <c r="AA218" s="1"/>
      <c r="AB218" s="1"/>
      <c r="AC218" s="1"/>
      <c r="AD218" s="1"/>
    </row>
    <row r="219" spans="25:30" ht="13">
      <c r="Y219" s="1"/>
      <c r="Z219" s="1"/>
      <c r="AA219" s="1"/>
      <c r="AB219" s="1"/>
      <c r="AC219" s="1"/>
      <c r="AD219" s="1"/>
    </row>
    <row r="220" spans="25:30" ht="13">
      <c r="Y220" s="1"/>
      <c r="Z220" s="1"/>
      <c r="AA220" s="1"/>
      <c r="AB220" s="1"/>
      <c r="AC220" s="1"/>
      <c r="AD220" s="1"/>
    </row>
    <row r="221" spans="25:30" ht="13">
      <c r="Y221" s="1"/>
      <c r="Z221" s="1"/>
      <c r="AA221" s="1"/>
      <c r="AB221" s="1"/>
      <c r="AC221" s="1"/>
      <c r="AD221" s="1"/>
    </row>
    <row r="222" spans="25:30" ht="13">
      <c r="Y222" s="1"/>
      <c r="Z222" s="1"/>
      <c r="AA222" s="1"/>
      <c r="AB222" s="1"/>
      <c r="AC222" s="1"/>
      <c r="AD222" s="1"/>
    </row>
    <row r="223" spans="25:30" ht="13">
      <c r="Y223" s="1"/>
      <c r="Z223" s="1"/>
      <c r="AA223" s="1"/>
      <c r="AB223" s="1"/>
      <c r="AC223" s="1"/>
      <c r="AD223" s="1"/>
    </row>
    <row r="224" spans="25:30" ht="13">
      <c r="Y224" s="1"/>
      <c r="Z224" s="1"/>
      <c r="AA224" s="1"/>
      <c r="AB224" s="1"/>
      <c r="AC224" s="1"/>
      <c r="AD224" s="1"/>
    </row>
    <row r="225" spans="25:30" ht="13">
      <c r="Y225" s="1"/>
      <c r="Z225" s="1"/>
      <c r="AA225" s="1"/>
      <c r="AB225" s="1"/>
      <c r="AC225" s="1"/>
      <c r="AD225" s="1"/>
    </row>
    <row r="226" spans="25:30" ht="13">
      <c r="Y226" s="1"/>
      <c r="Z226" s="1"/>
      <c r="AA226" s="1"/>
      <c r="AB226" s="1"/>
      <c r="AC226" s="1"/>
      <c r="AD226" s="1"/>
    </row>
    <row r="227" spans="25:30" ht="13">
      <c r="Y227" s="1"/>
      <c r="Z227" s="1"/>
      <c r="AA227" s="1"/>
      <c r="AB227" s="1"/>
      <c r="AC227" s="1"/>
      <c r="AD227" s="1"/>
    </row>
    <row r="228" spans="25:30" ht="13">
      <c r="Y228" s="1"/>
      <c r="Z228" s="1"/>
      <c r="AA228" s="1"/>
      <c r="AB228" s="1"/>
      <c r="AC228" s="1"/>
      <c r="AD228" s="1"/>
    </row>
    <row r="229" spans="25:30" ht="13">
      <c r="Y229" s="1"/>
      <c r="Z229" s="1"/>
      <c r="AA229" s="1"/>
      <c r="AB229" s="1"/>
      <c r="AC229" s="1"/>
      <c r="AD229" s="1"/>
    </row>
    <row r="230" spans="25:30" ht="13">
      <c r="Y230" s="1"/>
      <c r="Z230" s="1"/>
      <c r="AA230" s="1"/>
      <c r="AB230" s="1"/>
      <c r="AC230" s="1"/>
      <c r="AD230" s="1"/>
    </row>
    <row r="231" spans="25:30" ht="13">
      <c r="Y231" s="1"/>
      <c r="Z231" s="1"/>
      <c r="AA231" s="1"/>
      <c r="AB231" s="1"/>
      <c r="AC231" s="1"/>
      <c r="AD231" s="1"/>
    </row>
    <row r="232" spans="25:30" ht="13">
      <c r="Y232" s="1"/>
      <c r="Z232" s="1"/>
      <c r="AA232" s="1"/>
      <c r="AB232" s="1"/>
      <c r="AC232" s="1"/>
      <c r="AD232" s="1"/>
    </row>
    <row r="233" spans="25:30" ht="13">
      <c r="Y233" s="1"/>
      <c r="Z233" s="1"/>
      <c r="AA233" s="1"/>
      <c r="AB233" s="1"/>
      <c r="AC233" s="1"/>
      <c r="AD233" s="1"/>
    </row>
    <row r="234" spans="25:30" ht="13">
      <c r="Y234" s="1"/>
      <c r="Z234" s="1"/>
      <c r="AA234" s="1"/>
      <c r="AB234" s="1"/>
      <c r="AC234" s="1"/>
      <c r="AD234" s="1"/>
    </row>
    <row r="235" spans="25:30" ht="13">
      <c r="Y235" s="1"/>
      <c r="Z235" s="1"/>
      <c r="AA235" s="1"/>
      <c r="AB235" s="1"/>
      <c r="AC235" s="1"/>
      <c r="AD235" s="1"/>
    </row>
    <row r="236" spans="25:30" ht="13">
      <c r="Y236" s="1"/>
      <c r="Z236" s="1"/>
      <c r="AA236" s="1"/>
      <c r="AB236" s="1"/>
      <c r="AC236" s="1"/>
      <c r="AD236" s="1"/>
    </row>
    <row r="237" spans="25:30" ht="13">
      <c r="Y237" s="1"/>
      <c r="Z237" s="1"/>
      <c r="AA237" s="1"/>
      <c r="AB237" s="1"/>
      <c r="AC237" s="1"/>
      <c r="AD237" s="1"/>
    </row>
    <row r="238" spans="25:30" ht="13">
      <c r="Y238" s="1"/>
      <c r="Z238" s="1"/>
      <c r="AA238" s="1"/>
      <c r="AB238" s="1"/>
      <c r="AC238" s="1"/>
      <c r="AD238" s="1"/>
    </row>
    <row r="239" spans="25:30" ht="13">
      <c r="Y239" s="1"/>
      <c r="Z239" s="1"/>
      <c r="AA239" s="1"/>
      <c r="AB239" s="1"/>
      <c r="AC239" s="1"/>
      <c r="AD239" s="1"/>
    </row>
    <row r="240" spans="25:30" ht="13">
      <c r="Y240" s="1"/>
      <c r="Z240" s="1"/>
      <c r="AA240" s="1"/>
      <c r="AB240" s="1"/>
      <c r="AC240" s="1"/>
      <c r="AD240" s="1"/>
    </row>
    <row r="241" spans="25:30" ht="13">
      <c r="Y241" s="1"/>
      <c r="Z241" s="1"/>
      <c r="AA241" s="1"/>
      <c r="AB241" s="1"/>
      <c r="AC241" s="1"/>
      <c r="AD241" s="1"/>
    </row>
    <row r="242" spans="25:30" ht="13">
      <c r="Y242" s="1"/>
      <c r="Z242" s="1"/>
      <c r="AA242" s="1"/>
      <c r="AB242" s="1"/>
      <c r="AC242" s="1"/>
      <c r="AD242" s="1"/>
    </row>
    <row r="243" spans="25:30" ht="13">
      <c r="Y243" s="1"/>
      <c r="Z243" s="1"/>
      <c r="AA243" s="1"/>
      <c r="AB243" s="1"/>
      <c r="AC243" s="1"/>
      <c r="AD243" s="1"/>
    </row>
    <row r="244" spans="25:30" ht="13">
      <c r="Y244" s="1"/>
      <c r="Z244" s="1"/>
      <c r="AA244" s="1"/>
      <c r="AB244" s="1"/>
      <c r="AC244" s="1"/>
      <c r="AD244" s="1"/>
    </row>
    <row r="245" spans="25:30" ht="13">
      <c r="Y245" s="1"/>
      <c r="Z245" s="1"/>
      <c r="AA245" s="1"/>
      <c r="AB245" s="1"/>
      <c r="AC245" s="1"/>
      <c r="AD245" s="1"/>
    </row>
    <row r="246" spans="25:30" ht="13">
      <c r="Y246" s="1"/>
      <c r="Z246" s="1"/>
      <c r="AA246" s="1"/>
      <c r="AB246" s="1"/>
      <c r="AC246" s="1"/>
      <c r="AD246" s="1"/>
    </row>
    <row r="247" spans="25:30" ht="13">
      <c r="Y247" s="1"/>
      <c r="Z247" s="1"/>
      <c r="AA247" s="1"/>
      <c r="AB247" s="1"/>
      <c r="AC247" s="1"/>
      <c r="AD247" s="1"/>
    </row>
    <row r="248" spans="25:30" ht="13">
      <c r="Y248" s="1"/>
      <c r="Z248" s="1"/>
      <c r="AA248" s="1"/>
      <c r="AB248" s="1"/>
      <c r="AC248" s="1"/>
      <c r="AD248" s="1"/>
    </row>
    <row r="249" spans="25:30" ht="13">
      <c r="Y249" s="1"/>
      <c r="Z249" s="1"/>
      <c r="AA249" s="1"/>
      <c r="AB249" s="1"/>
      <c r="AC249" s="1"/>
      <c r="AD249" s="1"/>
    </row>
    <row r="250" spans="25:30" ht="13">
      <c r="Y250" s="1"/>
      <c r="Z250" s="1"/>
      <c r="AA250" s="1"/>
      <c r="AB250" s="1"/>
      <c r="AC250" s="1"/>
      <c r="AD250" s="1"/>
    </row>
    <row r="251" spans="25:30" ht="13">
      <c r="Y251" s="1"/>
      <c r="Z251" s="1"/>
      <c r="AA251" s="1"/>
      <c r="AB251" s="1"/>
      <c r="AC251" s="1"/>
      <c r="AD251" s="1"/>
    </row>
    <row r="252" spans="25:30" ht="13">
      <c r="Y252" s="1"/>
      <c r="Z252" s="1"/>
      <c r="AA252" s="1"/>
      <c r="AB252" s="1"/>
      <c r="AC252" s="1"/>
      <c r="AD252" s="1"/>
    </row>
    <row r="253" spans="25:30" ht="13">
      <c r="Y253" s="1"/>
      <c r="Z253" s="1"/>
      <c r="AA253" s="1"/>
      <c r="AB253" s="1"/>
      <c r="AC253" s="1"/>
      <c r="AD253" s="1"/>
    </row>
    <row r="254" spans="25:30" ht="13">
      <c r="Y254" s="1"/>
      <c r="Z254" s="1"/>
      <c r="AA254" s="1"/>
      <c r="AB254" s="1"/>
      <c r="AC254" s="1"/>
      <c r="AD254" s="1"/>
    </row>
    <row r="255" spans="25:30" ht="13">
      <c r="Y255" s="1"/>
      <c r="Z255" s="1"/>
      <c r="AA255" s="1"/>
      <c r="AB255" s="1"/>
      <c r="AC255" s="1"/>
      <c r="AD255" s="1"/>
    </row>
    <row r="256" spans="25:30" ht="13">
      <c r="Y256" s="1"/>
      <c r="Z256" s="1"/>
      <c r="AA256" s="1"/>
      <c r="AB256" s="1"/>
      <c r="AC256" s="1"/>
      <c r="AD256" s="1"/>
    </row>
    <row r="257" spans="25:30" ht="13">
      <c r="Y257" s="1"/>
      <c r="Z257" s="1"/>
      <c r="AA257" s="1"/>
      <c r="AB257" s="1"/>
      <c r="AC257" s="1"/>
      <c r="AD257" s="1"/>
    </row>
    <row r="258" spans="25:30" ht="13">
      <c r="Y258" s="1"/>
      <c r="Z258" s="1"/>
      <c r="AA258" s="1"/>
      <c r="AB258" s="1"/>
      <c r="AC258" s="1"/>
      <c r="AD258" s="1"/>
    </row>
    <row r="259" spans="25:30" ht="13">
      <c r="Y259" s="1"/>
      <c r="Z259" s="1"/>
      <c r="AA259" s="1"/>
      <c r="AB259" s="1"/>
      <c r="AC259" s="1"/>
      <c r="AD259" s="1"/>
    </row>
    <row r="260" spans="25:30" ht="13">
      <c r="Y260" s="1"/>
      <c r="Z260" s="1"/>
      <c r="AA260" s="1"/>
      <c r="AB260" s="1"/>
      <c r="AC260" s="1"/>
      <c r="AD260" s="1"/>
    </row>
    <row r="261" spans="25:30" ht="13">
      <c r="Y261" s="1"/>
      <c r="Z261" s="1"/>
      <c r="AA261" s="1"/>
      <c r="AB261" s="1"/>
      <c r="AC261" s="1"/>
      <c r="AD261" s="1"/>
    </row>
    <row r="262" spans="25:30" ht="13">
      <c r="Y262" s="1"/>
      <c r="Z262" s="1"/>
      <c r="AA262" s="1"/>
      <c r="AB262" s="1"/>
      <c r="AC262" s="1"/>
      <c r="AD262" s="1"/>
    </row>
    <row r="263" spans="25:30" ht="13">
      <c r="Y263" s="1"/>
      <c r="Z263" s="1"/>
      <c r="AA263" s="1"/>
      <c r="AB263" s="1"/>
      <c r="AC263" s="1"/>
      <c r="AD263" s="1"/>
    </row>
    <row r="264" spans="25:30" ht="13">
      <c r="Y264" s="1"/>
      <c r="Z264" s="1"/>
      <c r="AA264" s="1"/>
      <c r="AB264" s="1"/>
      <c r="AC264" s="1"/>
      <c r="AD264" s="1"/>
    </row>
    <row r="265" spans="25:30" ht="13">
      <c r="Y265" s="1"/>
      <c r="Z265" s="1"/>
      <c r="AA265" s="1"/>
      <c r="AB265" s="1"/>
      <c r="AC265" s="1"/>
      <c r="AD265" s="1"/>
    </row>
    <row r="266" spans="25:30" ht="13">
      <c r="Y266" s="1"/>
      <c r="Z266" s="1"/>
      <c r="AA266" s="1"/>
      <c r="AB266" s="1"/>
      <c r="AC266" s="1"/>
      <c r="AD266" s="1"/>
    </row>
    <row r="267" spans="25:30" ht="13">
      <c r="Y267" s="1"/>
      <c r="Z267" s="1"/>
      <c r="AA267" s="1"/>
      <c r="AB267" s="1"/>
      <c r="AC267" s="1"/>
      <c r="AD267" s="1"/>
    </row>
    <row r="268" spans="25:30" ht="13">
      <c r="Y268" s="1"/>
      <c r="Z268" s="1"/>
      <c r="AA268" s="1"/>
      <c r="AB268" s="1"/>
      <c r="AC268" s="1"/>
      <c r="AD268" s="1"/>
    </row>
    <row r="269" spans="25:30" ht="13">
      <c r="Y269" s="1"/>
      <c r="Z269" s="1"/>
      <c r="AA269" s="1"/>
      <c r="AB269" s="1"/>
      <c r="AC269" s="1"/>
      <c r="AD269" s="1"/>
    </row>
    <row r="270" spans="25:30" ht="13">
      <c r="Y270" s="1"/>
      <c r="Z270" s="1"/>
      <c r="AA270" s="1"/>
      <c r="AB270" s="1"/>
      <c r="AC270" s="1"/>
      <c r="AD270" s="1"/>
    </row>
    <row r="271" spans="25:30" ht="13">
      <c r="Y271" s="1"/>
      <c r="Z271" s="1"/>
      <c r="AA271" s="1"/>
      <c r="AB271" s="1"/>
      <c r="AC271" s="1"/>
      <c r="AD271" s="1"/>
    </row>
    <row r="272" spans="25:30" ht="13">
      <c r="Y272" s="1"/>
      <c r="Z272" s="1"/>
      <c r="AA272" s="1"/>
      <c r="AB272" s="1"/>
      <c r="AC272" s="1"/>
      <c r="AD272" s="1"/>
    </row>
    <row r="273" spans="25:30" ht="13">
      <c r="Y273" s="1"/>
      <c r="Z273" s="1"/>
      <c r="AA273" s="1"/>
      <c r="AB273" s="1"/>
      <c r="AC273" s="1"/>
      <c r="AD273" s="1"/>
    </row>
    <row r="274" spans="25:30" ht="13">
      <c r="Y274" s="1"/>
      <c r="Z274" s="1"/>
      <c r="AA274" s="1"/>
      <c r="AB274" s="1"/>
      <c r="AC274" s="1"/>
      <c r="AD274" s="1"/>
    </row>
    <row r="275" spans="25:30" ht="13">
      <c r="Y275" s="1"/>
      <c r="Z275" s="1"/>
      <c r="AA275" s="1"/>
      <c r="AB275" s="1"/>
      <c r="AC275" s="1"/>
      <c r="AD275" s="1"/>
    </row>
    <row r="276" spans="25:30" ht="13">
      <c r="Y276" s="1"/>
      <c r="Z276" s="1"/>
      <c r="AA276" s="1"/>
      <c r="AB276" s="1"/>
      <c r="AC276" s="1"/>
      <c r="AD276" s="1"/>
    </row>
    <row r="277" spans="25:30" ht="13">
      <c r="Y277" s="1"/>
      <c r="Z277" s="1"/>
      <c r="AA277" s="1"/>
      <c r="AB277" s="1"/>
      <c r="AC277" s="1"/>
      <c r="AD277" s="1"/>
    </row>
    <row r="278" spans="25:30" ht="13">
      <c r="Y278" s="1"/>
      <c r="Z278" s="1"/>
      <c r="AA278" s="1"/>
      <c r="AB278" s="1"/>
      <c r="AC278" s="1"/>
      <c r="AD278" s="1"/>
    </row>
    <row r="279" spans="25:30" ht="13">
      <c r="Y279" s="1"/>
      <c r="Z279" s="1"/>
      <c r="AA279" s="1"/>
      <c r="AB279" s="1"/>
      <c r="AC279" s="1"/>
      <c r="AD279" s="1"/>
    </row>
    <row r="280" spans="25:30" ht="13">
      <c r="Y280" s="1"/>
      <c r="Z280" s="1"/>
      <c r="AA280" s="1"/>
      <c r="AB280" s="1"/>
      <c r="AC280" s="1"/>
      <c r="AD280" s="1"/>
    </row>
    <row r="281" spans="25:30" ht="13">
      <c r="Y281" s="1"/>
      <c r="Z281" s="1"/>
      <c r="AA281" s="1"/>
      <c r="AB281" s="1"/>
      <c r="AC281" s="1"/>
      <c r="AD281" s="1"/>
    </row>
    <row r="282" spans="25:30" ht="13">
      <c r="Y282" s="1"/>
      <c r="Z282" s="1"/>
      <c r="AA282" s="1"/>
      <c r="AB282" s="1"/>
      <c r="AC282" s="1"/>
      <c r="AD282" s="1"/>
    </row>
    <row r="283" spans="25:30" ht="13">
      <c r="Y283" s="1"/>
      <c r="Z283" s="1"/>
      <c r="AA283" s="1"/>
      <c r="AB283" s="1"/>
      <c r="AC283" s="1"/>
      <c r="AD283" s="1"/>
    </row>
    <row r="284" spans="25:30" ht="13">
      <c r="Y284" s="1"/>
      <c r="Z284" s="1"/>
      <c r="AA284" s="1"/>
      <c r="AB284" s="1"/>
      <c r="AC284" s="1"/>
      <c r="AD284" s="1"/>
    </row>
    <row r="285" spans="25:30" ht="13">
      <c r="Y285" s="1"/>
      <c r="Z285" s="1"/>
      <c r="AA285" s="1"/>
      <c r="AB285" s="1"/>
      <c r="AC285" s="1"/>
      <c r="AD285" s="1"/>
    </row>
    <row r="286" spans="25:30" ht="13">
      <c r="Y286" s="1"/>
      <c r="Z286" s="1"/>
      <c r="AA286" s="1"/>
      <c r="AB286" s="1"/>
      <c r="AC286" s="1"/>
      <c r="AD286" s="1"/>
    </row>
    <row r="287" spans="25:30" ht="13">
      <c r="Y287" s="1"/>
      <c r="Z287" s="1"/>
      <c r="AA287" s="1"/>
      <c r="AB287" s="1"/>
      <c r="AC287" s="1"/>
      <c r="AD287" s="1"/>
    </row>
    <row r="288" spans="25:30" ht="13">
      <c r="Y288" s="1"/>
      <c r="Z288" s="1"/>
      <c r="AA288" s="1"/>
      <c r="AB288" s="1"/>
      <c r="AC288" s="1"/>
      <c r="AD288" s="1"/>
    </row>
    <row r="289" spans="25:30" ht="13">
      <c r="Y289" s="1"/>
      <c r="Z289" s="1"/>
      <c r="AA289" s="1"/>
      <c r="AB289" s="1"/>
      <c r="AC289" s="1"/>
      <c r="AD289" s="1"/>
    </row>
    <row r="290" spans="25:30" ht="13">
      <c r="Y290" s="1"/>
      <c r="Z290" s="1"/>
      <c r="AA290" s="1"/>
      <c r="AB290" s="1"/>
      <c r="AC290" s="1"/>
      <c r="AD290" s="1"/>
    </row>
    <row r="291" spans="25:30" ht="13">
      <c r="Y291" s="1"/>
      <c r="Z291" s="1"/>
      <c r="AA291" s="1"/>
      <c r="AB291" s="1"/>
      <c r="AC291" s="1"/>
      <c r="AD291" s="1"/>
    </row>
    <row r="292" spans="25:30" ht="13">
      <c r="Y292" s="1"/>
      <c r="Z292" s="1"/>
      <c r="AA292" s="1"/>
      <c r="AB292" s="1"/>
      <c r="AC292" s="1"/>
      <c r="AD292" s="1"/>
    </row>
    <row r="293" spans="25:30" ht="13">
      <c r="Y293" s="1"/>
      <c r="Z293" s="1"/>
      <c r="AA293" s="1"/>
      <c r="AB293" s="1"/>
      <c r="AC293" s="1"/>
      <c r="AD293" s="1"/>
    </row>
    <row r="294" spans="25:30" ht="13">
      <c r="Y294" s="1"/>
      <c r="Z294" s="1"/>
      <c r="AA294" s="1"/>
      <c r="AB294" s="1"/>
      <c r="AC294" s="1"/>
      <c r="AD294" s="1"/>
    </row>
    <row r="295" spans="25:30" ht="13">
      <c r="Y295" s="1"/>
      <c r="Z295" s="1"/>
      <c r="AA295" s="1"/>
      <c r="AB295" s="1"/>
      <c r="AC295" s="1"/>
      <c r="AD295" s="1"/>
    </row>
    <row r="296" spans="25:30" ht="13">
      <c r="Y296" s="1"/>
      <c r="Z296" s="1"/>
      <c r="AA296" s="1"/>
      <c r="AB296" s="1"/>
      <c r="AC296" s="1"/>
      <c r="AD296" s="1"/>
    </row>
    <row r="297" spans="25:30" ht="13">
      <c r="Y297" s="1"/>
      <c r="Z297" s="1"/>
      <c r="AA297" s="1"/>
      <c r="AB297" s="1"/>
      <c r="AC297" s="1"/>
      <c r="AD297" s="1"/>
    </row>
    <row r="298" spans="25:30" ht="13">
      <c r="Y298" s="1"/>
      <c r="Z298" s="1"/>
      <c r="AA298" s="1"/>
      <c r="AB298" s="1"/>
      <c r="AC298" s="1"/>
      <c r="AD298" s="1"/>
    </row>
    <row r="299" spans="25:30" ht="13">
      <c r="Y299" s="1"/>
      <c r="Z299" s="1"/>
      <c r="AA299" s="1"/>
      <c r="AB299" s="1"/>
      <c r="AC299" s="1"/>
      <c r="AD299" s="1"/>
    </row>
    <row r="300" spans="25:30" ht="13">
      <c r="Y300" s="1"/>
      <c r="Z300" s="1"/>
      <c r="AA300" s="1"/>
      <c r="AB300" s="1"/>
      <c r="AC300" s="1"/>
      <c r="AD300" s="1"/>
    </row>
    <row r="301" spans="25:30" ht="13">
      <c r="Y301" s="1"/>
      <c r="Z301" s="1"/>
      <c r="AA301" s="1"/>
      <c r="AB301" s="1"/>
      <c r="AC301" s="1"/>
      <c r="AD301" s="1"/>
    </row>
    <row r="302" spans="25:30" ht="13">
      <c r="Y302" s="1"/>
      <c r="Z302" s="1"/>
      <c r="AA302" s="1"/>
      <c r="AB302" s="1"/>
      <c r="AC302" s="1"/>
      <c r="AD302" s="1"/>
    </row>
    <row r="303" spans="25:30" ht="13">
      <c r="Y303" s="1"/>
      <c r="Z303" s="1"/>
      <c r="AA303" s="1"/>
      <c r="AB303" s="1"/>
      <c r="AC303" s="1"/>
      <c r="AD303" s="1"/>
    </row>
    <row r="304" spans="25:30" ht="13">
      <c r="Y304" s="1"/>
      <c r="Z304" s="1"/>
      <c r="AA304" s="1"/>
      <c r="AB304" s="1"/>
      <c r="AC304" s="1"/>
      <c r="AD304" s="1"/>
    </row>
    <row r="305" spans="25:30" ht="13">
      <c r="Y305" s="1"/>
      <c r="Z305" s="1"/>
      <c r="AA305" s="1"/>
      <c r="AB305" s="1"/>
      <c r="AC305" s="1"/>
      <c r="AD305" s="1"/>
    </row>
    <row r="306" spans="25:30" ht="13">
      <c r="Y306" s="1"/>
      <c r="Z306" s="1"/>
      <c r="AA306" s="1"/>
      <c r="AB306" s="1"/>
      <c r="AC306" s="1"/>
      <c r="AD306" s="1"/>
    </row>
    <row r="307" spans="25:30" ht="13">
      <c r="Y307" s="1"/>
      <c r="Z307" s="1"/>
      <c r="AA307" s="1"/>
      <c r="AB307" s="1"/>
      <c r="AC307" s="1"/>
      <c r="AD307" s="1"/>
    </row>
    <row r="308" spans="25:30" ht="13">
      <c r="Y308" s="1"/>
      <c r="Z308" s="1"/>
      <c r="AA308" s="1"/>
      <c r="AB308" s="1"/>
      <c r="AC308" s="1"/>
      <c r="AD308" s="1"/>
    </row>
    <row r="309" spans="25:30" ht="13">
      <c r="Y309" s="1"/>
      <c r="Z309" s="1"/>
      <c r="AA309" s="1"/>
      <c r="AB309" s="1"/>
      <c r="AC309" s="1"/>
      <c r="AD309" s="1"/>
    </row>
    <row r="310" spans="25:30" ht="13">
      <c r="Y310" s="1"/>
      <c r="Z310" s="1"/>
      <c r="AA310" s="1"/>
      <c r="AB310" s="1"/>
      <c r="AC310" s="1"/>
      <c r="AD310" s="1"/>
    </row>
    <row r="311" spans="25:30" ht="13">
      <c r="Y311" s="1"/>
      <c r="Z311" s="1"/>
      <c r="AA311" s="1"/>
      <c r="AB311" s="1"/>
      <c r="AC311" s="1"/>
      <c r="AD311" s="1"/>
    </row>
    <row r="312" spans="25:30" ht="13">
      <c r="Y312" s="1"/>
      <c r="Z312" s="1"/>
      <c r="AA312" s="1"/>
      <c r="AB312" s="1"/>
      <c r="AC312" s="1"/>
      <c r="AD312" s="1"/>
    </row>
    <row r="313" spans="25:30" ht="13">
      <c r="Y313" s="1"/>
      <c r="Z313" s="1"/>
      <c r="AA313" s="1"/>
      <c r="AB313" s="1"/>
      <c r="AC313" s="1"/>
      <c r="AD313" s="1"/>
    </row>
    <row r="314" spans="25:30" ht="13">
      <c r="Y314" s="1"/>
      <c r="Z314" s="1"/>
      <c r="AA314" s="1"/>
      <c r="AB314" s="1"/>
      <c r="AC314" s="1"/>
      <c r="AD314" s="1"/>
    </row>
    <row r="315" spans="25:30" ht="13">
      <c r="Y315" s="1"/>
      <c r="Z315" s="1"/>
      <c r="AA315" s="1"/>
      <c r="AB315" s="1"/>
      <c r="AC315" s="1"/>
      <c r="AD315" s="1"/>
    </row>
    <row r="316" spans="25:30" ht="13">
      <c r="Y316" s="1"/>
      <c r="Z316" s="1"/>
      <c r="AA316" s="1"/>
      <c r="AB316" s="1"/>
      <c r="AC316" s="1"/>
      <c r="AD316" s="1"/>
    </row>
    <row r="317" spans="25:30" ht="13">
      <c r="Y317" s="1"/>
      <c r="Z317" s="1"/>
      <c r="AA317" s="1"/>
      <c r="AB317" s="1"/>
      <c r="AC317" s="1"/>
      <c r="AD317" s="1"/>
    </row>
    <row r="318" spans="25:30" ht="13">
      <c r="Y318" s="1"/>
      <c r="Z318" s="1"/>
      <c r="AA318" s="1"/>
      <c r="AB318" s="1"/>
      <c r="AC318" s="1"/>
      <c r="AD318" s="1"/>
    </row>
    <row r="319" spans="25:30" ht="13">
      <c r="Y319" s="1"/>
      <c r="Z319" s="1"/>
      <c r="AA319" s="1"/>
      <c r="AB319" s="1"/>
      <c r="AC319" s="1"/>
      <c r="AD319" s="1"/>
    </row>
    <row r="320" spans="25:30" ht="13">
      <c r="Y320" s="1"/>
      <c r="Z320" s="1"/>
      <c r="AA320" s="1"/>
      <c r="AB320" s="1"/>
      <c r="AC320" s="1"/>
      <c r="AD320" s="1"/>
    </row>
    <row r="321" spans="25:30" ht="13">
      <c r="Y321" s="1"/>
      <c r="Z321" s="1"/>
      <c r="AA321" s="1"/>
      <c r="AB321" s="1"/>
      <c r="AC321" s="1"/>
      <c r="AD321" s="1"/>
    </row>
    <row r="322" spans="25:30" ht="13">
      <c r="Y322" s="1"/>
      <c r="Z322" s="1"/>
      <c r="AA322" s="1"/>
      <c r="AB322" s="1"/>
      <c r="AC322" s="1"/>
      <c r="AD322" s="1"/>
    </row>
    <row r="323" spans="25:30" ht="13">
      <c r="Y323" s="1"/>
      <c r="Z323" s="1"/>
      <c r="AA323" s="1"/>
      <c r="AB323" s="1"/>
      <c r="AC323" s="1"/>
      <c r="AD323" s="1"/>
    </row>
    <row r="324" spans="25:30" ht="13">
      <c r="Y324" s="1"/>
      <c r="Z324" s="1"/>
      <c r="AA324" s="1"/>
      <c r="AB324" s="1"/>
      <c r="AC324" s="1"/>
      <c r="AD324" s="1"/>
    </row>
    <row r="325" spans="25:30" ht="13">
      <c r="Y325" s="1"/>
      <c r="Z325" s="1"/>
      <c r="AA325" s="1"/>
      <c r="AB325" s="1"/>
      <c r="AC325" s="1"/>
      <c r="AD325" s="1"/>
    </row>
    <row r="326" spans="25:30" ht="13">
      <c r="Y326" s="1"/>
      <c r="Z326" s="1"/>
      <c r="AA326" s="1"/>
      <c r="AB326" s="1"/>
      <c r="AC326" s="1"/>
      <c r="AD326" s="1"/>
    </row>
    <row r="327" spans="25:30" ht="13">
      <c r="Y327" s="1"/>
      <c r="Z327" s="1"/>
      <c r="AA327" s="1"/>
      <c r="AB327" s="1"/>
      <c r="AC327" s="1"/>
      <c r="AD327" s="1"/>
    </row>
    <row r="328" spans="25:30" ht="13">
      <c r="Y328" s="1"/>
      <c r="Z328" s="1"/>
      <c r="AA328" s="1"/>
      <c r="AB328" s="1"/>
      <c r="AC328" s="1"/>
      <c r="AD328" s="1"/>
    </row>
    <row r="329" spans="25:30" ht="13">
      <c r="Y329" s="1"/>
      <c r="Z329" s="1"/>
      <c r="AA329" s="1"/>
      <c r="AB329" s="1"/>
      <c r="AC329" s="1"/>
      <c r="AD329" s="1"/>
    </row>
    <row r="330" spans="25:30" ht="13">
      <c r="Y330" s="1"/>
      <c r="Z330" s="1"/>
      <c r="AA330" s="1"/>
      <c r="AB330" s="1"/>
      <c r="AC330" s="1"/>
      <c r="AD330" s="1"/>
    </row>
    <row r="331" spans="25:30" ht="13">
      <c r="Y331" s="1"/>
      <c r="Z331" s="1"/>
      <c r="AA331" s="1"/>
      <c r="AB331" s="1"/>
      <c r="AC331" s="1"/>
      <c r="AD331" s="1"/>
    </row>
    <row r="332" spans="25:30" ht="13">
      <c r="Y332" s="1"/>
      <c r="Z332" s="1"/>
      <c r="AA332" s="1"/>
      <c r="AB332" s="1"/>
      <c r="AC332" s="1"/>
      <c r="AD332" s="1"/>
    </row>
    <row r="333" spans="25:30" ht="13">
      <c r="Y333" s="1"/>
      <c r="Z333" s="1"/>
      <c r="AA333" s="1"/>
      <c r="AB333" s="1"/>
      <c r="AC333" s="1"/>
      <c r="AD333" s="1"/>
    </row>
    <row r="334" spans="25:30" ht="13">
      <c r="Y334" s="1"/>
      <c r="Z334" s="1"/>
      <c r="AA334" s="1"/>
      <c r="AB334" s="1"/>
      <c r="AC334" s="1"/>
      <c r="AD334" s="1"/>
    </row>
    <row r="335" spans="25:30" ht="13">
      <c r="Y335" s="1"/>
      <c r="Z335" s="1"/>
      <c r="AA335" s="1"/>
      <c r="AB335" s="1"/>
      <c r="AC335" s="1"/>
      <c r="AD335" s="1"/>
    </row>
    <row r="336" spans="25:30" ht="13">
      <c r="Y336" s="1"/>
      <c r="Z336" s="1"/>
      <c r="AA336" s="1"/>
      <c r="AB336" s="1"/>
      <c r="AC336" s="1"/>
      <c r="AD336" s="1"/>
    </row>
    <row r="337" spans="25:30" ht="13">
      <c r="Y337" s="1"/>
      <c r="Z337" s="1"/>
      <c r="AA337" s="1"/>
      <c r="AB337" s="1"/>
      <c r="AC337" s="1"/>
      <c r="AD337" s="1"/>
    </row>
    <row r="338" spans="25:30" ht="13">
      <c r="Y338" s="1"/>
      <c r="Z338" s="1"/>
      <c r="AA338" s="1"/>
      <c r="AB338" s="1"/>
      <c r="AC338" s="1"/>
      <c r="AD338" s="1"/>
    </row>
    <row r="339" spans="25:30" ht="13">
      <c r="Y339" s="1"/>
      <c r="Z339" s="1"/>
      <c r="AA339" s="1"/>
      <c r="AB339" s="1"/>
      <c r="AC339" s="1"/>
      <c r="AD339" s="1"/>
    </row>
    <row r="340" spans="25:30" ht="13">
      <c r="Y340" s="1"/>
      <c r="Z340" s="1"/>
      <c r="AA340" s="1"/>
      <c r="AB340" s="1"/>
      <c r="AC340" s="1"/>
      <c r="AD340" s="1"/>
    </row>
    <row r="341" spans="25:30" ht="13">
      <c r="Y341" s="1"/>
      <c r="Z341" s="1"/>
      <c r="AA341" s="1"/>
      <c r="AB341" s="1"/>
      <c r="AC341" s="1"/>
      <c r="AD341" s="1"/>
    </row>
    <row r="342" spans="25:30" ht="13">
      <c r="Y342" s="1"/>
      <c r="Z342" s="1"/>
      <c r="AA342" s="1"/>
      <c r="AB342" s="1"/>
      <c r="AC342" s="1"/>
      <c r="AD342" s="1"/>
    </row>
    <row r="343" spans="25:30" ht="13">
      <c r="Y343" s="1"/>
      <c r="Z343" s="1"/>
      <c r="AA343" s="1"/>
      <c r="AB343" s="1"/>
      <c r="AC343" s="1"/>
      <c r="AD343" s="1"/>
    </row>
    <row r="344" spans="25:30" ht="13">
      <c r="Y344" s="1"/>
      <c r="Z344" s="1"/>
      <c r="AA344" s="1"/>
      <c r="AB344" s="1"/>
      <c r="AC344" s="1"/>
      <c r="AD344" s="1"/>
    </row>
    <row r="345" spans="25:30" ht="13">
      <c r="Y345" s="1"/>
      <c r="Z345" s="1"/>
      <c r="AA345" s="1"/>
      <c r="AB345" s="1"/>
      <c r="AC345" s="1"/>
      <c r="AD345" s="1"/>
    </row>
    <row r="346" spans="25:30" ht="13">
      <c r="Y346" s="1"/>
      <c r="Z346" s="1"/>
      <c r="AA346" s="1"/>
      <c r="AB346" s="1"/>
      <c r="AC346" s="1"/>
      <c r="AD346" s="1"/>
    </row>
    <row r="347" spans="25:30" ht="13">
      <c r="Y347" s="1"/>
      <c r="Z347" s="1"/>
      <c r="AA347" s="1"/>
      <c r="AB347" s="1"/>
      <c r="AC347" s="1"/>
      <c r="AD347" s="1"/>
    </row>
    <row r="348" spans="25:30" ht="13">
      <c r="Y348" s="1"/>
      <c r="Z348" s="1"/>
      <c r="AA348" s="1"/>
      <c r="AB348" s="1"/>
      <c r="AC348" s="1"/>
      <c r="AD348" s="1"/>
    </row>
    <row r="349" spans="25:30" ht="13">
      <c r="Y349" s="1"/>
      <c r="Z349" s="1"/>
      <c r="AA349" s="1"/>
      <c r="AB349" s="1"/>
      <c r="AC349" s="1"/>
      <c r="AD349" s="1"/>
    </row>
    <row r="350" spans="25:30" ht="13">
      <c r="Y350" s="1"/>
      <c r="Z350" s="1"/>
      <c r="AA350" s="1"/>
      <c r="AB350" s="1"/>
      <c r="AC350" s="1"/>
      <c r="AD350" s="1"/>
    </row>
    <row r="351" spans="25:30" ht="13">
      <c r="Y351" s="1"/>
      <c r="Z351" s="1"/>
      <c r="AA351" s="1"/>
      <c r="AB351" s="1"/>
      <c r="AC351" s="1"/>
      <c r="AD351" s="1"/>
    </row>
    <row r="352" spans="25:30" ht="13">
      <c r="Y352" s="1"/>
      <c r="Z352" s="1"/>
      <c r="AA352" s="1"/>
      <c r="AB352" s="1"/>
      <c r="AC352" s="1"/>
      <c r="AD352" s="1"/>
    </row>
    <row r="353" spans="25:30" ht="13">
      <c r="Y353" s="1"/>
      <c r="Z353" s="1"/>
      <c r="AA353" s="1"/>
      <c r="AB353" s="1"/>
      <c r="AC353" s="1"/>
      <c r="AD353" s="1"/>
    </row>
    <row r="354" spans="25:30" ht="13">
      <c r="Y354" s="1"/>
      <c r="Z354" s="1"/>
      <c r="AA354" s="1"/>
      <c r="AB354" s="1"/>
      <c r="AC354" s="1"/>
      <c r="AD354" s="1"/>
    </row>
    <row r="355" spans="25:30" ht="13">
      <c r="Y355" s="1"/>
      <c r="Z355" s="1"/>
      <c r="AA355" s="1"/>
      <c r="AB355" s="1"/>
      <c r="AC355" s="1"/>
      <c r="AD355" s="1"/>
    </row>
    <row r="356" spans="25:30" ht="13">
      <c r="Y356" s="1"/>
      <c r="Z356" s="1"/>
      <c r="AA356" s="1"/>
      <c r="AB356" s="1"/>
      <c r="AC356" s="1"/>
      <c r="AD356" s="1"/>
    </row>
    <row r="357" spans="25:30" ht="13">
      <c r="Y357" s="1"/>
      <c r="Z357" s="1"/>
      <c r="AA357" s="1"/>
      <c r="AB357" s="1"/>
      <c r="AC357" s="1"/>
      <c r="AD357" s="1"/>
    </row>
    <row r="358" spans="25:30" ht="13">
      <c r="Y358" s="1"/>
      <c r="Z358" s="1"/>
      <c r="AA358" s="1"/>
      <c r="AB358" s="1"/>
      <c r="AC358" s="1"/>
      <c r="AD358" s="1"/>
    </row>
    <row r="359" spans="25:30" ht="13">
      <c r="Y359" s="1"/>
      <c r="Z359" s="1"/>
      <c r="AA359" s="1"/>
      <c r="AB359" s="1"/>
      <c r="AC359" s="1"/>
      <c r="AD359" s="1"/>
    </row>
    <row r="360" spans="25:30" ht="13">
      <c r="Y360" s="1"/>
      <c r="Z360" s="1"/>
      <c r="AA360" s="1"/>
      <c r="AB360" s="1"/>
      <c r="AC360" s="1"/>
      <c r="AD360" s="1"/>
    </row>
    <row r="361" spans="25:30" ht="13">
      <c r="Y361" s="1"/>
      <c r="Z361" s="1"/>
      <c r="AA361" s="1"/>
      <c r="AB361" s="1"/>
      <c r="AC361" s="1"/>
      <c r="AD361" s="1"/>
    </row>
    <row r="362" spans="25:30" ht="13">
      <c r="Y362" s="1"/>
      <c r="Z362" s="1"/>
      <c r="AA362" s="1"/>
      <c r="AB362" s="1"/>
      <c r="AC362" s="1"/>
      <c r="AD362" s="1"/>
    </row>
    <row r="363" spans="25:30" ht="13">
      <c r="Y363" s="1"/>
      <c r="Z363" s="1"/>
      <c r="AA363" s="1"/>
      <c r="AB363" s="1"/>
      <c r="AC363" s="1"/>
      <c r="AD363" s="1"/>
    </row>
    <row r="364" spans="25:30" ht="13">
      <c r="Y364" s="1"/>
      <c r="Z364" s="1"/>
      <c r="AA364" s="1"/>
      <c r="AB364" s="1"/>
      <c r="AC364" s="1"/>
      <c r="AD364" s="1"/>
    </row>
    <row r="365" spans="25:30" ht="13">
      <c r="Y365" s="1"/>
      <c r="Z365" s="1"/>
      <c r="AA365" s="1"/>
      <c r="AB365" s="1"/>
      <c r="AC365" s="1"/>
      <c r="AD365" s="1"/>
    </row>
    <row r="366" spans="25:30" ht="13">
      <c r="Y366" s="1"/>
      <c r="Z366" s="1"/>
      <c r="AA366" s="1"/>
      <c r="AB366" s="1"/>
      <c r="AC366" s="1"/>
      <c r="AD366" s="1"/>
    </row>
    <row r="367" spans="25:30" ht="13">
      <c r="Y367" s="1"/>
      <c r="Z367" s="1"/>
      <c r="AA367" s="1"/>
      <c r="AB367" s="1"/>
      <c r="AC367" s="1"/>
      <c r="AD367" s="1"/>
    </row>
    <row r="368" spans="25:30" ht="13">
      <c r="Y368" s="1"/>
      <c r="Z368" s="1"/>
      <c r="AA368" s="1"/>
      <c r="AB368" s="1"/>
      <c r="AC368" s="1"/>
      <c r="AD368" s="1"/>
    </row>
    <row r="369" spans="25:30" ht="13">
      <c r="Y369" s="1"/>
      <c r="Z369" s="1"/>
      <c r="AA369" s="1"/>
      <c r="AB369" s="1"/>
      <c r="AC369" s="1"/>
      <c r="AD369" s="1"/>
    </row>
    <row r="370" spans="25:30" ht="13">
      <c r="Y370" s="1"/>
      <c r="Z370" s="1"/>
      <c r="AA370" s="1"/>
      <c r="AB370" s="1"/>
      <c r="AC370" s="1"/>
      <c r="AD370" s="1"/>
    </row>
    <row r="371" spans="25:30" ht="13">
      <c r="Y371" s="1"/>
      <c r="Z371" s="1"/>
      <c r="AA371" s="1"/>
      <c r="AB371" s="1"/>
      <c r="AC371" s="1"/>
      <c r="AD371" s="1"/>
    </row>
    <row r="372" spans="25:30" ht="13">
      <c r="Y372" s="1"/>
      <c r="Z372" s="1"/>
      <c r="AA372" s="1"/>
      <c r="AB372" s="1"/>
      <c r="AC372" s="1"/>
      <c r="AD372" s="1"/>
    </row>
    <row r="373" spans="25:30" ht="13">
      <c r="Y373" s="1"/>
      <c r="Z373" s="1"/>
      <c r="AA373" s="1"/>
      <c r="AB373" s="1"/>
      <c r="AC373" s="1"/>
      <c r="AD373" s="1"/>
    </row>
    <row r="374" spans="25:30" ht="13">
      <c r="Y374" s="1"/>
      <c r="Z374" s="1"/>
      <c r="AA374" s="1"/>
      <c r="AB374" s="1"/>
      <c r="AC374" s="1"/>
      <c r="AD374" s="1"/>
    </row>
    <row r="375" spans="25:30" ht="13">
      <c r="Y375" s="1"/>
      <c r="Z375" s="1"/>
      <c r="AA375" s="1"/>
      <c r="AB375" s="1"/>
      <c r="AC375" s="1"/>
      <c r="AD375" s="1"/>
    </row>
    <row r="376" spans="25:30" ht="13">
      <c r="Y376" s="1"/>
      <c r="Z376" s="1"/>
      <c r="AA376" s="1"/>
      <c r="AB376" s="1"/>
      <c r="AC376" s="1"/>
      <c r="AD376" s="1"/>
    </row>
    <row r="377" spans="25:30" ht="13">
      <c r="Y377" s="1"/>
      <c r="Z377" s="1"/>
      <c r="AA377" s="1"/>
      <c r="AB377" s="1"/>
      <c r="AC377" s="1"/>
      <c r="AD377" s="1"/>
    </row>
    <row r="378" spans="25:30" ht="13">
      <c r="Y378" s="1"/>
      <c r="Z378" s="1"/>
      <c r="AA378" s="1"/>
      <c r="AB378" s="1"/>
      <c r="AC378" s="1"/>
      <c r="AD378" s="1"/>
    </row>
    <row r="379" spans="25:30" ht="13">
      <c r="Y379" s="1"/>
      <c r="Z379" s="1"/>
      <c r="AA379" s="1"/>
      <c r="AB379" s="1"/>
      <c r="AC379" s="1"/>
      <c r="AD379" s="1"/>
    </row>
    <row r="380" spans="25:30" ht="13">
      <c r="Y380" s="1"/>
      <c r="Z380" s="1"/>
      <c r="AA380" s="1"/>
      <c r="AB380" s="1"/>
      <c r="AC380" s="1"/>
      <c r="AD380" s="1"/>
    </row>
    <row r="381" spans="25:30" ht="13">
      <c r="Y381" s="1"/>
      <c r="Z381" s="1"/>
      <c r="AA381" s="1"/>
      <c r="AB381" s="1"/>
      <c r="AC381" s="1"/>
      <c r="AD381" s="1"/>
    </row>
    <row r="382" spans="25:30" ht="13">
      <c r="Y382" s="1"/>
      <c r="Z382" s="1"/>
      <c r="AA382" s="1"/>
      <c r="AB382" s="1"/>
      <c r="AC382" s="1"/>
      <c r="AD382" s="1"/>
    </row>
    <row r="383" spans="25:30" ht="13">
      <c r="Y383" s="1"/>
      <c r="Z383" s="1"/>
      <c r="AA383" s="1"/>
      <c r="AB383" s="1"/>
      <c r="AC383" s="1"/>
      <c r="AD383" s="1"/>
    </row>
    <row r="384" spans="25:30" ht="13">
      <c r="Y384" s="1"/>
      <c r="Z384" s="1"/>
      <c r="AA384" s="1"/>
      <c r="AB384" s="1"/>
      <c r="AC384" s="1"/>
      <c r="AD384" s="1"/>
    </row>
    <row r="385" spans="25:30" ht="13">
      <c r="Y385" s="1"/>
      <c r="Z385" s="1"/>
      <c r="AA385" s="1"/>
      <c r="AB385" s="1"/>
      <c r="AC385" s="1"/>
      <c r="AD385" s="1"/>
    </row>
    <row r="386" spans="25:30" ht="13">
      <c r="Y386" s="1"/>
      <c r="Z386" s="1"/>
      <c r="AA386" s="1"/>
      <c r="AB386" s="1"/>
      <c r="AC386" s="1"/>
      <c r="AD386" s="1"/>
    </row>
    <row r="387" spans="25:30" ht="13">
      <c r="Y387" s="1"/>
      <c r="Z387" s="1"/>
      <c r="AA387" s="1"/>
      <c r="AB387" s="1"/>
      <c r="AC387" s="1"/>
      <c r="AD387" s="1"/>
    </row>
    <row r="388" spans="25:30" ht="13">
      <c r="Y388" s="1"/>
      <c r="Z388" s="1"/>
      <c r="AA388" s="1"/>
      <c r="AB388" s="1"/>
      <c r="AC388" s="1"/>
      <c r="AD388" s="1"/>
    </row>
    <row r="389" spans="25:30" ht="13">
      <c r="Y389" s="1"/>
      <c r="Z389" s="1"/>
      <c r="AA389" s="1"/>
      <c r="AB389" s="1"/>
      <c r="AC389" s="1"/>
      <c r="AD389" s="1"/>
    </row>
    <row r="390" spans="25:30" ht="13">
      <c r="Y390" s="1"/>
      <c r="Z390" s="1"/>
      <c r="AA390" s="1"/>
      <c r="AB390" s="1"/>
      <c r="AC390" s="1"/>
      <c r="AD390" s="1"/>
    </row>
    <row r="391" spans="25:30" ht="13">
      <c r="Y391" s="1"/>
      <c r="Z391" s="1"/>
      <c r="AA391" s="1"/>
      <c r="AB391" s="1"/>
      <c r="AC391" s="1"/>
      <c r="AD391" s="1"/>
    </row>
    <row r="392" spans="25:30" ht="13">
      <c r="Y392" s="1"/>
      <c r="Z392" s="1"/>
      <c r="AA392" s="1"/>
      <c r="AB392" s="1"/>
      <c r="AC392" s="1"/>
      <c r="AD392" s="1"/>
    </row>
    <row r="393" spans="25:30" ht="13">
      <c r="Y393" s="1"/>
      <c r="Z393" s="1"/>
      <c r="AA393" s="1"/>
      <c r="AB393" s="1"/>
      <c r="AC393" s="1"/>
      <c r="AD393" s="1"/>
    </row>
    <row r="394" spans="25:30" ht="13">
      <c r="Y394" s="1"/>
      <c r="Z394" s="1"/>
      <c r="AA394" s="1"/>
      <c r="AB394" s="1"/>
      <c r="AC394" s="1"/>
      <c r="AD394" s="1"/>
    </row>
    <row r="395" spans="25:30" ht="13">
      <c r="Y395" s="1"/>
      <c r="Z395" s="1"/>
      <c r="AA395" s="1"/>
      <c r="AB395" s="1"/>
      <c r="AC395" s="1"/>
      <c r="AD395" s="1"/>
    </row>
    <row r="396" spans="25:30" ht="13">
      <c r="Y396" s="1"/>
      <c r="Z396" s="1"/>
      <c r="AA396" s="1"/>
      <c r="AB396" s="1"/>
      <c r="AC396" s="1"/>
      <c r="AD396" s="1"/>
    </row>
    <row r="397" spans="25:30" ht="13">
      <c r="Y397" s="1"/>
      <c r="Z397" s="1"/>
      <c r="AA397" s="1"/>
      <c r="AB397" s="1"/>
      <c r="AC397" s="1"/>
      <c r="AD397" s="1"/>
    </row>
    <row r="398" spans="25:30" ht="13">
      <c r="Y398" s="1"/>
      <c r="Z398" s="1"/>
      <c r="AA398" s="1"/>
      <c r="AB398" s="1"/>
      <c r="AC398" s="1"/>
      <c r="AD398" s="1"/>
    </row>
    <row r="399" spans="25:30" ht="13">
      <c r="Y399" s="1"/>
      <c r="Z399" s="1"/>
      <c r="AA399" s="1"/>
      <c r="AB399" s="1"/>
      <c r="AC399" s="1"/>
      <c r="AD399" s="1"/>
    </row>
    <row r="400" spans="25:30" ht="13">
      <c r="Y400" s="1"/>
      <c r="Z400" s="1"/>
      <c r="AA400" s="1"/>
      <c r="AB400" s="1"/>
      <c r="AC400" s="1"/>
      <c r="AD400" s="1"/>
    </row>
    <row r="401" spans="25:30" ht="13">
      <c r="Y401" s="1"/>
      <c r="Z401" s="1"/>
      <c r="AA401" s="1"/>
      <c r="AB401" s="1"/>
      <c r="AC401" s="1"/>
      <c r="AD401" s="1"/>
    </row>
    <row r="402" spans="25:30" ht="13">
      <c r="Y402" s="1"/>
      <c r="Z402" s="1"/>
      <c r="AA402" s="1"/>
      <c r="AB402" s="1"/>
      <c r="AC402" s="1"/>
      <c r="AD402" s="1"/>
    </row>
    <row r="403" spans="25:30" ht="13">
      <c r="Y403" s="1"/>
      <c r="Z403" s="1"/>
      <c r="AA403" s="1"/>
      <c r="AB403" s="1"/>
      <c r="AC403" s="1"/>
      <c r="AD403" s="1"/>
    </row>
    <row r="404" spans="25:30" ht="13">
      <c r="Y404" s="1"/>
      <c r="Z404" s="1"/>
      <c r="AA404" s="1"/>
      <c r="AB404" s="1"/>
      <c r="AC404" s="1"/>
      <c r="AD404" s="1"/>
    </row>
    <row r="405" spans="25:30" ht="13">
      <c r="Y405" s="1"/>
      <c r="Z405" s="1"/>
      <c r="AA405" s="1"/>
      <c r="AB405" s="1"/>
      <c r="AC405" s="1"/>
      <c r="AD405" s="1"/>
    </row>
    <row r="406" spans="25:30" ht="13">
      <c r="Y406" s="1"/>
      <c r="Z406" s="1"/>
      <c r="AA406" s="1"/>
      <c r="AB406" s="1"/>
      <c r="AC406" s="1"/>
      <c r="AD406" s="1"/>
    </row>
    <row r="407" spans="25:30" ht="13">
      <c r="Y407" s="1"/>
      <c r="Z407" s="1"/>
      <c r="AA407" s="1"/>
      <c r="AB407" s="1"/>
      <c r="AC407" s="1"/>
      <c r="AD407" s="1"/>
    </row>
    <row r="408" spans="25:30" ht="13">
      <c r="Y408" s="1"/>
      <c r="Z408" s="1"/>
      <c r="AA408" s="1"/>
      <c r="AB408" s="1"/>
      <c r="AC408" s="1"/>
      <c r="AD408" s="1"/>
    </row>
    <row r="409" spans="25:30" ht="13">
      <c r="Y409" s="1"/>
      <c r="Z409" s="1"/>
      <c r="AA409" s="1"/>
      <c r="AB409" s="1"/>
      <c r="AC409" s="1"/>
      <c r="AD409" s="1"/>
    </row>
    <row r="410" spans="25:30" ht="13">
      <c r="Y410" s="1"/>
      <c r="Z410" s="1"/>
      <c r="AA410" s="1"/>
      <c r="AB410" s="1"/>
      <c r="AC410" s="1"/>
      <c r="AD410" s="1"/>
    </row>
    <row r="411" spans="25:30" ht="13">
      <c r="Y411" s="1"/>
      <c r="Z411" s="1"/>
      <c r="AA411" s="1"/>
      <c r="AB411" s="1"/>
      <c r="AC411" s="1"/>
      <c r="AD411" s="1"/>
    </row>
    <row r="412" spans="25:30" ht="13">
      <c r="Y412" s="1"/>
      <c r="Z412" s="1"/>
      <c r="AA412" s="1"/>
      <c r="AB412" s="1"/>
      <c r="AC412" s="1"/>
      <c r="AD412" s="1"/>
    </row>
    <row r="413" spans="25:30" ht="13">
      <c r="Y413" s="1"/>
      <c r="Z413" s="1"/>
      <c r="AA413" s="1"/>
      <c r="AB413" s="1"/>
      <c r="AC413" s="1"/>
      <c r="AD413" s="1"/>
    </row>
    <row r="414" spans="25:30" ht="13">
      <c r="Y414" s="1"/>
      <c r="Z414" s="1"/>
      <c r="AA414" s="1"/>
      <c r="AB414" s="1"/>
      <c r="AC414" s="1"/>
      <c r="AD414" s="1"/>
    </row>
    <row r="415" spans="25:30" ht="13">
      <c r="Y415" s="1"/>
      <c r="Z415" s="1"/>
      <c r="AA415" s="1"/>
      <c r="AB415" s="1"/>
      <c r="AC415" s="1"/>
      <c r="AD415" s="1"/>
    </row>
    <row r="416" spans="25:30" ht="13">
      <c r="Y416" s="1"/>
      <c r="Z416" s="1"/>
      <c r="AA416" s="1"/>
      <c r="AB416" s="1"/>
      <c r="AC416" s="1"/>
      <c r="AD416" s="1"/>
    </row>
    <row r="417" spans="25:30" ht="13">
      <c r="Y417" s="1"/>
      <c r="Z417" s="1"/>
      <c r="AA417" s="1"/>
      <c r="AB417" s="1"/>
      <c r="AC417" s="1"/>
      <c r="AD417" s="1"/>
    </row>
    <row r="418" spans="25:30" ht="13">
      <c r="Y418" s="1"/>
      <c r="Z418" s="1"/>
      <c r="AA418" s="1"/>
      <c r="AB418" s="1"/>
      <c r="AC418" s="1"/>
      <c r="AD418" s="1"/>
    </row>
    <row r="419" spans="25:30" ht="13">
      <c r="Y419" s="1"/>
      <c r="Z419" s="1"/>
      <c r="AA419" s="1"/>
      <c r="AB419" s="1"/>
      <c r="AC419" s="1"/>
      <c r="AD419" s="1"/>
    </row>
    <row r="420" spans="25:30" ht="13">
      <c r="Y420" s="1"/>
      <c r="Z420" s="1"/>
      <c r="AA420" s="1"/>
      <c r="AB420" s="1"/>
      <c r="AC420" s="1"/>
      <c r="AD420" s="1"/>
    </row>
    <row r="421" spans="25:30" ht="13">
      <c r="Y421" s="1"/>
      <c r="Z421" s="1"/>
      <c r="AA421" s="1"/>
      <c r="AB421" s="1"/>
      <c r="AC421" s="1"/>
      <c r="AD421" s="1"/>
    </row>
    <row r="422" spans="25:30" ht="13">
      <c r="Y422" s="1"/>
      <c r="Z422" s="1"/>
      <c r="AA422" s="1"/>
      <c r="AB422" s="1"/>
      <c r="AC422" s="1"/>
      <c r="AD422" s="1"/>
    </row>
    <row r="423" spans="25:30" ht="13">
      <c r="Y423" s="1"/>
      <c r="Z423" s="1"/>
      <c r="AA423" s="1"/>
      <c r="AB423" s="1"/>
      <c r="AC423" s="1"/>
      <c r="AD423" s="1"/>
    </row>
    <row r="424" spans="25:30" ht="13">
      <c r="Y424" s="1"/>
      <c r="Z424" s="1"/>
      <c r="AA424" s="1"/>
      <c r="AB424" s="1"/>
      <c r="AC424" s="1"/>
      <c r="AD424" s="1"/>
    </row>
    <row r="425" spans="25:30" ht="13">
      <c r="Y425" s="1"/>
      <c r="Z425" s="1"/>
      <c r="AA425" s="1"/>
      <c r="AB425" s="1"/>
      <c r="AC425" s="1"/>
      <c r="AD425" s="1"/>
    </row>
    <row r="426" spans="25:30" ht="13">
      <c r="Y426" s="1"/>
      <c r="Z426" s="1"/>
      <c r="AA426" s="1"/>
      <c r="AB426" s="1"/>
      <c r="AC426" s="1"/>
      <c r="AD426" s="1"/>
    </row>
    <row r="427" spans="25:30" ht="13">
      <c r="Y427" s="1"/>
      <c r="Z427" s="1"/>
      <c r="AA427" s="1"/>
      <c r="AB427" s="1"/>
      <c r="AC427" s="1"/>
      <c r="AD427" s="1"/>
    </row>
    <row r="428" spans="25:30" ht="13">
      <c r="Y428" s="1"/>
      <c r="Z428" s="1"/>
      <c r="AA428" s="1"/>
      <c r="AB428" s="1"/>
      <c r="AC428" s="1"/>
      <c r="AD428" s="1"/>
    </row>
    <row r="429" spans="25:30" ht="13">
      <c r="Y429" s="1"/>
      <c r="Z429" s="1"/>
      <c r="AA429" s="1"/>
      <c r="AB429" s="1"/>
      <c r="AC429" s="1"/>
      <c r="AD429" s="1"/>
    </row>
    <row r="430" spans="25:30" ht="13">
      <c r="Y430" s="1"/>
      <c r="Z430" s="1"/>
      <c r="AA430" s="1"/>
      <c r="AB430" s="1"/>
      <c r="AC430" s="1"/>
      <c r="AD430" s="1"/>
    </row>
    <row r="431" spans="25:30" ht="13">
      <c r="Y431" s="1"/>
      <c r="Z431" s="1"/>
      <c r="AA431" s="1"/>
      <c r="AB431" s="1"/>
      <c r="AC431" s="1"/>
      <c r="AD431" s="1"/>
    </row>
    <row r="432" spans="25:30" ht="13">
      <c r="Y432" s="1"/>
      <c r="Z432" s="1"/>
      <c r="AA432" s="1"/>
      <c r="AB432" s="1"/>
      <c r="AC432" s="1"/>
      <c r="AD432" s="1"/>
    </row>
    <row r="433" spans="25:30" ht="13">
      <c r="Y433" s="1"/>
      <c r="Z433" s="1"/>
      <c r="AA433" s="1"/>
      <c r="AB433" s="1"/>
      <c r="AC433" s="1"/>
      <c r="AD433" s="1"/>
    </row>
    <row r="434" spans="25:30" ht="13">
      <c r="Y434" s="1"/>
      <c r="Z434" s="1"/>
      <c r="AA434" s="1"/>
      <c r="AB434" s="1"/>
      <c r="AC434" s="1"/>
      <c r="AD434" s="1"/>
    </row>
    <row r="435" spans="25:30" ht="13">
      <c r="Y435" s="1"/>
      <c r="Z435" s="1"/>
      <c r="AA435" s="1"/>
      <c r="AB435" s="1"/>
      <c r="AC435" s="1"/>
      <c r="AD435" s="1"/>
    </row>
    <row r="436" spans="25:30" ht="13">
      <c r="Y436" s="1"/>
      <c r="Z436" s="1"/>
      <c r="AA436" s="1"/>
      <c r="AB436" s="1"/>
      <c r="AC436" s="1"/>
      <c r="AD436" s="1"/>
    </row>
    <row r="437" spans="25:30" ht="13">
      <c r="Y437" s="1"/>
      <c r="Z437" s="1"/>
      <c r="AA437" s="1"/>
      <c r="AB437" s="1"/>
      <c r="AC437" s="1"/>
      <c r="AD437" s="1"/>
    </row>
    <row r="438" spans="25:30" ht="13">
      <c r="Y438" s="1"/>
      <c r="Z438" s="1"/>
      <c r="AA438" s="1"/>
      <c r="AB438" s="1"/>
      <c r="AC438" s="1"/>
      <c r="AD438" s="1"/>
    </row>
    <row r="439" spans="25:30" ht="13">
      <c r="Y439" s="1"/>
      <c r="Z439" s="1"/>
      <c r="AA439" s="1"/>
      <c r="AB439" s="1"/>
      <c r="AC439" s="1"/>
      <c r="AD439" s="1"/>
    </row>
    <row r="440" spans="25:30" ht="13">
      <c r="Y440" s="1"/>
      <c r="Z440" s="1"/>
      <c r="AA440" s="1"/>
      <c r="AB440" s="1"/>
      <c r="AC440" s="1"/>
      <c r="AD440" s="1"/>
    </row>
    <row r="441" spans="25:30" ht="13">
      <c r="Y441" s="1"/>
      <c r="Z441" s="1"/>
      <c r="AA441" s="1"/>
      <c r="AB441" s="1"/>
      <c r="AC441" s="1"/>
      <c r="AD441" s="1"/>
    </row>
    <row r="442" spans="25:30" ht="13">
      <c r="Y442" s="1"/>
      <c r="Z442" s="1"/>
      <c r="AA442" s="1"/>
      <c r="AB442" s="1"/>
      <c r="AC442" s="1"/>
      <c r="AD442" s="1"/>
    </row>
    <row r="443" spans="25:30" ht="13">
      <c r="Y443" s="1"/>
      <c r="Z443" s="1"/>
      <c r="AA443" s="1"/>
      <c r="AB443" s="1"/>
      <c r="AC443" s="1"/>
      <c r="AD443" s="1"/>
    </row>
    <row r="444" spans="25:30" ht="13">
      <c r="Y444" s="1"/>
      <c r="Z444" s="1"/>
      <c r="AA444" s="1"/>
      <c r="AB444" s="1"/>
      <c r="AC444" s="1"/>
      <c r="AD444" s="1"/>
    </row>
    <row r="445" spans="25:30" ht="13">
      <c r="Y445" s="1"/>
      <c r="Z445" s="1"/>
      <c r="AA445" s="1"/>
      <c r="AB445" s="1"/>
      <c r="AC445" s="1"/>
      <c r="AD445" s="1"/>
    </row>
    <row r="446" spans="25:30" ht="13">
      <c r="Y446" s="1"/>
      <c r="Z446" s="1"/>
      <c r="AA446" s="1"/>
      <c r="AB446" s="1"/>
      <c r="AC446" s="1"/>
      <c r="AD446" s="1"/>
    </row>
    <row r="447" spans="25:30" ht="13">
      <c r="Y447" s="1"/>
      <c r="Z447" s="1"/>
      <c r="AA447" s="1"/>
      <c r="AB447" s="1"/>
      <c r="AC447" s="1"/>
      <c r="AD447" s="1"/>
    </row>
    <row r="448" spans="25:30" ht="13">
      <c r="Y448" s="1"/>
      <c r="Z448" s="1"/>
      <c r="AA448" s="1"/>
      <c r="AB448" s="1"/>
      <c r="AC448" s="1"/>
      <c r="AD448" s="1"/>
    </row>
    <row r="449" spans="25:30" ht="13">
      <c r="Y449" s="1"/>
      <c r="Z449" s="1"/>
      <c r="AA449" s="1"/>
      <c r="AB449" s="1"/>
      <c r="AC449" s="1"/>
      <c r="AD449" s="1"/>
    </row>
    <row r="450" spans="25:30" ht="13">
      <c r="Y450" s="1"/>
      <c r="Z450" s="1"/>
      <c r="AA450" s="1"/>
      <c r="AB450" s="1"/>
      <c r="AC450" s="1"/>
      <c r="AD450" s="1"/>
    </row>
    <row r="451" spans="25:30" ht="13">
      <c r="Y451" s="1"/>
      <c r="Z451" s="1"/>
      <c r="AA451" s="1"/>
      <c r="AB451" s="1"/>
      <c r="AC451" s="1"/>
      <c r="AD451" s="1"/>
    </row>
    <row r="452" spans="25:30" ht="13">
      <c r="Y452" s="1"/>
      <c r="Z452" s="1"/>
      <c r="AA452" s="1"/>
      <c r="AB452" s="1"/>
      <c r="AC452" s="1"/>
      <c r="AD452" s="1"/>
    </row>
    <row r="453" spans="25:30" ht="13">
      <c r="Y453" s="1"/>
      <c r="Z453" s="1"/>
      <c r="AA453" s="1"/>
      <c r="AB453" s="1"/>
      <c r="AC453" s="1"/>
      <c r="AD453" s="1"/>
    </row>
    <row r="454" spans="25:30" ht="13">
      <c r="Y454" s="1"/>
      <c r="Z454" s="1"/>
      <c r="AA454" s="1"/>
      <c r="AB454" s="1"/>
      <c r="AC454" s="1"/>
      <c r="AD454" s="1"/>
    </row>
    <row r="455" spans="25:30" ht="13">
      <c r="Y455" s="1"/>
      <c r="Z455" s="1"/>
      <c r="AA455" s="1"/>
      <c r="AB455" s="1"/>
      <c r="AC455" s="1"/>
      <c r="AD455" s="1"/>
    </row>
    <row r="456" spans="25:30" ht="13">
      <c r="Y456" s="1"/>
      <c r="Z456" s="1"/>
      <c r="AA456" s="1"/>
      <c r="AB456" s="1"/>
      <c r="AC456" s="1"/>
      <c r="AD456" s="1"/>
    </row>
    <row r="457" spans="25:30" ht="13">
      <c r="Y457" s="1"/>
      <c r="Z457" s="1"/>
      <c r="AA457" s="1"/>
      <c r="AB457" s="1"/>
      <c r="AC457" s="1"/>
      <c r="AD457" s="1"/>
    </row>
    <row r="458" spans="25:30" ht="13">
      <c r="Y458" s="1"/>
      <c r="Z458" s="1"/>
      <c r="AA458" s="1"/>
      <c r="AB458" s="1"/>
      <c r="AC458" s="1"/>
      <c r="AD458" s="1"/>
    </row>
    <row r="459" spans="25:30" ht="13">
      <c r="Y459" s="1"/>
      <c r="Z459" s="1"/>
      <c r="AA459" s="1"/>
      <c r="AB459" s="1"/>
      <c r="AC459" s="1"/>
      <c r="AD459" s="1"/>
    </row>
    <row r="460" spans="25:30" ht="13">
      <c r="Y460" s="1"/>
      <c r="Z460" s="1"/>
      <c r="AA460" s="1"/>
      <c r="AB460" s="1"/>
      <c r="AC460" s="1"/>
      <c r="AD460" s="1"/>
    </row>
    <row r="461" spans="25:30" ht="13">
      <c r="Y461" s="1"/>
      <c r="Z461" s="1"/>
      <c r="AA461" s="1"/>
      <c r="AB461" s="1"/>
      <c r="AC461" s="1"/>
      <c r="AD461" s="1"/>
    </row>
    <row r="462" spans="25:30" ht="13">
      <c r="Y462" s="1"/>
      <c r="Z462" s="1"/>
      <c r="AA462" s="1"/>
      <c r="AB462" s="1"/>
      <c r="AC462" s="1"/>
      <c r="AD462" s="1"/>
    </row>
    <row r="463" spans="25:30" ht="13">
      <c r="Y463" s="1"/>
      <c r="Z463" s="1"/>
      <c r="AA463" s="1"/>
      <c r="AB463" s="1"/>
      <c r="AC463" s="1"/>
      <c r="AD463" s="1"/>
    </row>
    <row r="464" spans="25:30" ht="13">
      <c r="Y464" s="1"/>
      <c r="Z464" s="1"/>
      <c r="AA464" s="1"/>
      <c r="AB464" s="1"/>
      <c r="AC464" s="1"/>
      <c r="AD464" s="1"/>
    </row>
    <row r="465" spans="25:30" ht="13">
      <c r="Y465" s="1"/>
      <c r="Z465" s="1"/>
      <c r="AA465" s="1"/>
      <c r="AB465" s="1"/>
      <c r="AC465" s="1"/>
      <c r="AD465" s="1"/>
    </row>
    <row r="466" spans="25:30" ht="13">
      <c r="Y466" s="1"/>
      <c r="Z466" s="1"/>
      <c r="AA466" s="1"/>
      <c r="AB466" s="1"/>
      <c r="AC466" s="1"/>
      <c r="AD466" s="1"/>
    </row>
    <row r="467" spans="25:30" ht="13">
      <c r="Y467" s="1"/>
      <c r="Z467" s="1"/>
      <c r="AA467" s="1"/>
      <c r="AB467" s="1"/>
      <c r="AC467" s="1"/>
      <c r="AD467" s="1"/>
    </row>
    <row r="468" spans="25:30" ht="13">
      <c r="Y468" s="1"/>
      <c r="Z468" s="1"/>
      <c r="AA468" s="1"/>
      <c r="AB468" s="1"/>
      <c r="AC468" s="1"/>
      <c r="AD468" s="1"/>
    </row>
    <row r="469" spans="25:30" ht="13">
      <c r="Y469" s="1"/>
      <c r="Z469" s="1"/>
      <c r="AA469" s="1"/>
      <c r="AB469" s="1"/>
      <c r="AC469" s="1"/>
      <c r="AD469" s="1"/>
    </row>
    <row r="470" spans="25:30" ht="13">
      <c r="Y470" s="1"/>
      <c r="Z470" s="1"/>
      <c r="AA470" s="1"/>
      <c r="AB470" s="1"/>
      <c r="AC470" s="1"/>
      <c r="AD470" s="1"/>
    </row>
    <row r="471" spans="25:30" ht="13">
      <c r="Y471" s="1"/>
      <c r="Z471" s="1"/>
      <c r="AA471" s="1"/>
      <c r="AB471" s="1"/>
      <c r="AC471" s="1"/>
      <c r="AD471" s="1"/>
    </row>
    <row r="472" spans="25:30" ht="13">
      <c r="Y472" s="1"/>
      <c r="Z472" s="1"/>
      <c r="AA472" s="1"/>
      <c r="AB472" s="1"/>
      <c r="AC472" s="1"/>
      <c r="AD472" s="1"/>
    </row>
    <row r="473" spans="25:30" ht="13">
      <c r="Y473" s="1"/>
      <c r="Z473" s="1"/>
      <c r="AA473" s="1"/>
      <c r="AB473" s="1"/>
      <c r="AC473" s="1"/>
      <c r="AD473" s="1"/>
    </row>
    <row r="474" spans="25:30" ht="13">
      <c r="Y474" s="1"/>
      <c r="Z474" s="1"/>
      <c r="AA474" s="1"/>
      <c r="AB474" s="1"/>
      <c r="AC474" s="1"/>
      <c r="AD474" s="1"/>
    </row>
    <row r="475" spans="25:30" ht="13">
      <c r="Y475" s="1"/>
      <c r="Z475" s="1"/>
      <c r="AA475" s="1"/>
      <c r="AB475" s="1"/>
      <c r="AC475" s="1"/>
      <c r="AD475" s="1"/>
    </row>
    <row r="476" spans="25:30" ht="13">
      <c r="Y476" s="1"/>
      <c r="Z476" s="1"/>
      <c r="AA476" s="1"/>
      <c r="AB476" s="1"/>
      <c r="AC476" s="1"/>
      <c r="AD476" s="1"/>
    </row>
    <row r="477" spans="25:30" ht="13">
      <c r="Y477" s="1"/>
      <c r="Z477" s="1"/>
      <c r="AA477" s="1"/>
      <c r="AB477" s="1"/>
      <c r="AC477" s="1"/>
      <c r="AD477" s="1"/>
    </row>
    <row r="478" spans="25:30" ht="13">
      <c r="Y478" s="1"/>
      <c r="Z478" s="1"/>
      <c r="AA478" s="1"/>
      <c r="AB478" s="1"/>
      <c r="AC478" s="1"/>
      <c r="AD478" s="1"/>
    </row>
    <row r="479" spans="25:30" ht="13">
      <c r="Y479" s="1"/>
      <c r="Z479" s="1"/>
      <c r="AA479" s="1"/>
      <c r="AB479" s="1"/>
      <c r="AC479" s="1"/>
      <c r="AD479" s="1"/>
    </row>
    <row r="480" spans="25:30" ht="13">
      <c r="Y480" s="1"/>
      <c r="Z480" s="1"/>
      <c r="AA480" s="1"/>
      <c r="AB480" s="1"/>
      <c r="AC480" s="1"/>
      <c r="AD480" s="1"/>
    </row>
    <row r="481" spans="25:30" ht="13">
      <c r="Y481" s="1"/>
      <c r="Z481" s="1"/>
      <c r="AA481" s="1"/>
      <c r="AB481" s="1"/>
      <c r="AC481" s="1"/>
      <c r="AD481" s="1"/>
    </row>
    <row r="482" spans="25:30" ht="13">
      <c r="Y482" s="1"/>
      <c r="Z482" s="1"/>
      <c r="AA482" s="1"/>
      <c r="AB482" s="1"/>
      <c r="AC482" s="1"/>
      <c r="AD482" s="1"/>
    </row>
    <row r="483" spans="25:30" ht="13">
      <c r="Y483" s="1"/>
      <c r="Z483" s="1"/>
      <c r="AA483" s="1"/>
      <c r="AB483" s="1"/>
      <c r="AC483" s="1"/>
      <c r="AD483" s="1"/>
    </row>
    <row r="484" spans="25:30" ht="13">
      <c r="Y484" s="1"/>
      <c r="Z484" s="1"/>
      <c r="AA484" s="1"/>
      <c r="AB484" s="1"/>
      <c r="AC484" s="1"/>
      <c r="AD484" s="1"/>
    </row>
    <row r="485" spans="25:30" ht="13">
      <c r="Y485" s="1"/>
      <c r="Z485" s="1"/>
      <c r="AA485" s="1"/>
      <c r="AB485" s="1"/>
      <c r="AC485" s="1"/>
      <c r="AD485" s="1"/>
    </row>
    <row r="486" spans="25:30" ht="13">
      <c r="Y486" s="1"/>
      <c r="Z486" s="1"/>
      <c r="AA486" s="1"/>
      <c r="AB486" s="1"/>
      <c r="AC486" s="1"/>
      <c r="AD486" s="1"/>
    </row>
    <row r="487" spans="25:30" ht="13">
      <c r="Y487" s="1"/>
      <c r="Z487" s="1"/>
      <c r="AA487" s="1"/>
      <c r="AB487" s="1"/>
      <c r="AC487" s="1"/>
      <c r="AD487" s="1"/>
    </row>
    <row r="488" spans="25:30" ht="13">
      <c r="Y488" s="1"/>
      <c r="Z488" s="1"/>
      <c r="AA488" s="1"/>
      <c r="AB488" s="1"/>
      <c r="AC488" s="1"/>
      <c r="AD488" s="1"/>
    </row>
    <row r="489" spans="25:30" ht="13">
      <c r="Y489" s="1"/>
      <c r="Z489" s="1"/>
      <c r="AA489" s="1"/>
      <c r="AB489" s="1"/>
      <c r="AC489" s="1"/>
      <c r="AD489" s="1"/>
    </row>
    <row r="490" spans="25:30" ht="13">
      <c r="Y490" s="1"/>
      <c r="Z490" s="1"/>
      <c r="AA490" s="1"/>
      <c r="AB490" s="1"/>
      <c r="AC490" s="1"/>
      <c r="AD490" s="1"/>
    </row>
    <row r="491" spans="25:30" ht="13">
      <c r="Y491" s="1"/>
      <c r="Z491" s="1"/>
      <c r="AA491" s="1"/>
      <c r="AB491" s="1"/>
      <c r="AC491" s="1"/>
      <c r="AD491" s="1"/>
    </row>
    <row r="492" spans="25:30" ht="13">
      <c r="Y492" s="1"/>
      <c r="Z492" s="1"/>
      <c r="AA492" s="1"/>
      <c r="AB492" s="1"/>
      <c r="AC492" s="1"/>
      <c r="AD492" s="1"/>
    </row>
    <row r="493" spans="25:30" ht="13">
      <c r="Y493" s="1"/>
      <c r="Z493" s="1"/>
      <c r="AA493" s="1"/>
      <c r="AB493" s="1"/>
      <c r="AC493" s="1"/>
      <c r="AD493" s="1"/>
    </row>
    <row r="494" spans="25:30" ht="13">
      <c r="Y494" s="1"/>
      <c r="Z494" s="1"/>
      <c r="AA494" s="1"/>
      <c r="AB494" s="1"/>
      <c r="AC494" s="1"/>
      <c r="AD494" s="1"/>
    </row>
    <row r="495" spans="25:30" ht="13">
      <c r="Y495" s="1"/>
      <c r="Z495" s="1"/>
      <c r="AA495" s="1"/>
      <c r="AB495" s="1"/>
      <c r="AC495" s="1"/>
      <c r="AD495" s="1"/>
    </row>
    <row r="496" spans="25:30" ht="13">
      <c r="Y496" s="1"/>
      <c r="Z496" s="1"/>
      <c r="AA496" s="1"/>
      <c r="AB496" s="1"/>
      <c r="AC496" s="1"/>
      <c r="AD496" s="1"/>
    </row>
    <row r="497" spans="25:30" ht="13">
      <c r="Y497" s="1"/>
      <c r="Z497" s="1"/>
      <c r="AA497" s="1"/>
      <c r="AB497" s="1"/>
      <c r="AC497" s="1"/>
      <c r="AD497" s="1"/>
    </row>
    <row r="498" spans="25:30" ht="13">
      <c r="Y498" s="1"/>
      <c r="Z498" s="1"/>
      <c r="AA498" s="1"/>
      <c r="AB498" s="1"/>
      <c r="AC498" s="1"/>
      <c r="AD498" s="1"/>
    </row>
    <row r="499" spans="25:30" ht="13">
      <c r="Y499" s="1"/>
      <c r="Z499" s="1"/>
      <c r="AA499" s="1"/>
      <c r="AB499" s="1"/>
      <c r="AC499" s="1"/>
      <c r="AD499" s="1"/>
    </row>
    <row r="500" spans="25:30" ht="13">
      <c r="Y500" s="1"/>
      <c r="Z500" s="1"/>
      <c r="AA500" s="1"/>
      <c r="AB500" s="1"/>
      <c r="AC500" s="1"/>
      <c r="AD500" s="1"/>
    </row>
    <row r="501" spans="25:30" ht="13">
      <c r="Y501" s="1"/>
      <c r="Z501" s="1"/>
      <c r="AA501" s="1"/>
      <c r="AB501" s="1"/>
      <c r="AC501" s="1"/>
      <c r="AD501" s="1"/>
    </row>
    <row r="502" spans="25:30" ht="13">
      <c r="Y502" s="1"/>
      <c r="Z502" s="1"/>
      <c r="AA502" s="1"/>
      <c r="AB502" s="1"/>
      <c r="AC502" s="1"/>
      <c r="AD502" s="1"/>
    </row>
    <row r="503" spans="25:30" ht="13">
      <c r="Y503" s="1"/>
      <c r="Z503" s="1"/>
      <c r="AA503" s="1"/>
      <c r="AB503" s="1"/>
      <c r="AC503" s="1"/>
      <c r="AD503" s="1"/>
    </row>
    <row r="504" spans="25:30" ht="13">
      <c r="Y504" s="1"/>
      <c r="Z504" s="1"/>
      <c r="AA504" s="1"/>
      <c r="AB504" s="1"/>
      <c r="AC504" s="1"/>
      <c r="AD504" s="1"/>
    </row>
    <row r="505" spans="25:30" ht="13">
      <c r="Y505" s="1"/>
      <c r="Z505" s="1"/>
      <c r="AA505" s="1"/>
      <c r="AB505" s="1"/>
      <c r="AC505" s="1"/>
      <c r="AD505" s="1"/>
    </row>
    <row r="506" spans="25:30" ht="13">
      <c r="Y506" s="1"/>
      <c r="Z506" s="1"/>
      <c r="AA506" s="1"/>
      <c r="AB506" s="1"/>
      <c r="AC506" s="1"/>
      <c r="AD506" s="1"/>
    </row>
    <row r="507" spans="25:30" ht="13">
      <c r="Y507" s="1"/>
      <c r="Z507" s="1"/>
      <c r="AA507" s="1"/>
      <c r="AB507" s="1"/>
      <c r="AC507" s="1"/>
      <c r="AD507" s="1"/>
    </row>
    <row r="508" spans="25:30" ht="13">
      <c r="Y508" s="1"/>
      <c r="Z508" s="1"/>
      <c r="AA508" s="1"/>
      <c r="AB508" s="1"/>
      <c r="AC508" s="1"/>
      <c r="AD508" s="1"/>
    </row>
    <row r="509" spans="25:30" ht="13">
      <c r="Y509" s="1"/>
      <c r="Z509" s="1"/>
      <c r="AA509" s="1"/>
      <c r="AB509" s="1"/>
      <c r="AC509" s="1"/>
      <c r="AD509" s="1"/>
    </row>
    <row r="510" spans="25:30" ht="13">
      <c r="Y510" s="1"/>
      <c r="Z510" s="1"/>
      <c r="AA510" s="1"/>
      <c r="AB510" s="1"/>
      <c r="AC510" s="1"/>
      <c r="AD510" s="1"/>
    </row>
    <row r="511" spans="25:30" ht="13">
      <c r="Y511" s="1"/>
      <c r="Z511" s="1"/>
      <c r="AA511" s="1"/>
      <c r="AB511" s="1"/>
      <c r="AC511" s="1"/>
      <c r="AD511" s="1"/>
    </row>
    <row r="512" spans="25:30" ht="13">
      <c r="Y512" s="1"/>
      <c r="Z512" s="1"/>
      <c r="AA512" s="1"/>
      <c r="AB512" s="1"/>
      <c r="AC512" s="1"/>
      <c r="AD512" s="1"/>
    </row>
    <row r="513" spans="25:30" ht="13">
      <c r="Y513" s="1"/>
      <c r="Z513" s="1"/>
      <c r="AA513" s="1"/>
      <c r="AB513" s="1"/>
      <c r="AC513" s="1"/>
      <c r="AD513" s="1"/>
    </row>
    <row r="514" spans="25:30" ht="13">
      <c r="Y514" s="1"/>
      <c r="Z514" s="1"/>
      <c r="AA514" s="1"/>
      <c r="AB514" s="1"/>
      <c r="AC514" s="1"/>
      <c r="AD514" s="1"/>
    </row>
    <row r="515" spans="25:30" ht="13">
      <c r="Y515" s="1"/>
      <c r="Z515" s="1"/>
      <c r="AA515" s="1"/>
      <c r="AB515" s="1"/>
      <c r="AC515" s="1"/>
      <c r="AD515" s="1"/>
    </row>
    <row r="516" spans="25:30" ht="13">
      <c r="Y516" s="1"/>
      <c r="Z516" s="1"/>
      <c r="AA516" s="1"/>
      <c r="AB516" s="1"/>
      <c r="AC516" s="1"/>
      <c r="AD516" s="1"/>
    </row>
    <row r="517" spans="25:30" ht="13">
      <c r="Y517" s="1"/>
      <c r="Z517" s="1"/>
      <c r="AA517" s="1"/>
      <c r="AB517" s="1"/>
      <c r="AC517" s="1"/>
      <c r="AD517" s="1"/>
    </row>
    <row r="518" spans="25:30" ht="13">
      <c r="Y518" s="1"/>
      <c r="Z518" s="1"/>
      <c r="AA518" s="1"/>
      <c r="AB518" s="1"/>
      <c r="AC518" s="1"/>
      <c r="AD518" s="1"/>
    </row>
    <row r="519" spans="25:30" ht="13">
      <c r="Y519" s="1"/>
      <c r="Z519" s="1"/>
      <c r="AA519" s="1"/>
      <c r="AB519" s="1"/>
      <c r="AC519" s="1"/>
      <c r="AD519" s="1"/>
    </row>
    <row r="520" spans="25:30" ht="13">
      <c r="Y520" s="1"/>
      <c r="Z520" s="1"/>
      <c r="AA520" s="1"/>
      <c r="AB520" s="1"/>
      <c r="AC520" s="1"/>
      <c r="AD520" s="1"/>
    </row>
    <row r="521" spans="25:30" ht="13">
      <c r="Y521" s="1"/>
      <c r="Z521" s="1"/>
      <c r="AA521" s="1"/>
      <c r="AB521" s="1"/>
      <c r="AC521" s="1"/>
      <c r="AD521" s="1"/>
    </row>
    <row r="522" spans="25:30" ht="13">
      <c r="Y522" s="1"/>
      <c r="Z522" s="1"/>
      <c r="AA522" s="1"/>
      <c r="AB522" s="1"/>
      <c r="AC522" s="1"/>
      <c r="AD522" s="1"/>
    </row>
    <row r="523" spans="25:30" ht="13">
      <c r="Y523" s="1"/>
      <c r="Z523" s="1"/>
      <c r="AA523" s="1"/>
      <c r="AB523" s="1"/>
      <c r="AC523" s="1"/>
      <c r="AD523" s="1"/>
    </row>
    <row r="524" spans="25:30" ht="13">
      <c r="Y524" s="1"/>
      <c r="Z524" s="1"/>
      <c r="AA524" s="1"/>
      <c r="AB524" s="1"/>
      <c r="AC524" s="1"/>
      <c r="AD524" s="1"/>
    </row>
    <row r="525" spans="25:30" ht="13">
      <c r="Y525" s="1"/>
      <c r="Z525" s="1"/>
      <c r="AA525" s="1"/>
      <c r="AB525" s="1"/>
      <c r="AC525" s="1"/>
      <c r="AD525" s="1"/>
    </row>
    <row r="526" spans="25:30" ht="13">
      <c r="Y526" s="1"/>
      <c r="Z526" s="1"/>
      <c r="AA526" s="1"/>
      <c r="AB526" s="1"/>
      <c r="AC526" s="1"/>
      <c r="AD526" s="1"/>
    </row>
    <row r="527" spans="25:30" ht="13">
      <c r="Y527" s="1"/>
      <c r="Z527" s="1"/>
      <c r="AA527" s="1"/>
      <c r="AB527" s="1"/>
      <c r="AC527" s="1"/>
      <c r="AD527" s="1"/>
    </row>
    <row r="528" spans="25:30" ht="13">
      <c r="Y528" s="1"/>
      <c r="Z528" s="1"/>
      <c r="AA528" s="1"/>
      <c r="AB528" s="1"/>
      <c r="AC528" s="1"/>
      <c r="AD528" s="1"/>
    </row>
    <row r="529" spans="25:30" ht="13">
      <c r="Y529" s="1"/>
      <c r="Z529" s="1"/>
      <c r="AA529" s="1"/>
      <c r="AB529" s="1"/>
      <c r="AC529" s="1"/>
      <c r="AD529" s="1"/>
    </row>
    <row r="530" spans="25:30" ht="13">
      <c r="Y530" s="1"/>
      <c r="Z530" s="1"/>
      <c r="AA530" s="1"/>
      <c r="AB530" s="1"/>
      <c r="AC530" s="1"/>
      <c r="AD530" s="1"/>
    </row>
    <row r="531" spans="25:30" ht="13">
      <c r="Y531" s="1"/>
      <c r="Z531" s="1"/>
      <c r="AA531" s="1"/>
      <c r="AB531" s="1"/>
      <c r="AC531" s="1"/>
      <c r="AD531" s="1"/>
    </row>
    <row r="532" spans="25:30" ht="13">
      <c r="Y532" s="1"/>
      <c r="Z532" s="1"/>
      <c r="AA532" s="1"/>
      <c r="AB532" s="1"/>
      <c r="AC532" s="1"/>
      <c r="AD532" s="1"/>
    </row>
    <row r="533" spans="25:30" ht="13">
      <c r="Y533" s="1"/>
      <c r="Z533" s="1"/>
      <c r="AA533" s="1"/>
      <c r="AB533" s="1"/>
      <c r="AC533" s="1"/>
      <c r="AD533" s="1"/>
    </row>
    <row r="534" spans="25:30" ht="13">
      <c r="Y534" s="1"/>
      <c r="Z534" s="1"/>
      <c r="AA534" s="1"/>
      <c r="AB534" s="1"/>
      <c r="AC534" s="1"/>
      <c r="AD534" s="1"/>
    </row>
    <row r="535" spans="25:30" ht="13">
      <c r="Y535" s="1"/>
      <c r="Z535" s="1"/>
      <c r="AA535" s="1"/>
      <c r="AB535" s="1"/>
      <c r="AC535" s="1"/>
      <c r="AD535" s="1"/>
    </row>
    <row r="536" spans="25:30" ht="13">
      <c r="Y536" s="1"/>
      <c r="Z536" s="1"/>
      <c r="AA536" s="1"/>
      <c r="AB536" s="1"/>
      <c r="AC536" s="1"/>
      <c r="AD536" s="1"/>
    </row>
    <row r="537" spans="25:30" ht="13">
      <c r="Y537" s="1"/>
      <c r="Z537" s="1"/>
      <c r="AA537" s="1"/>
      <c r="AB537" s="1"/>
      <c r="AC537" s="1"/>
      <c r="AD537" s="1"/>
    </row>
    <row r="538" spans="25:30" ht="13">
      <c r="Y538" s="1"/>
      <c r="Z538" s="1"/>
      <c r="AA538" s="1"/>
      <c r="AB538" s="1"/>
      <c r="AC538" s="1"/>
      <c r="AD538" s="1"/>
    </row>
    <row r="539" spans="25:30" ht="13">
      <c r="Y539" s="1"/>
      <c r="Z539" s="1"/>
      <c r="AA539" s="1"/>
      <c r="AB539" s="1"/>
      <c r="AC539" s="1"/>
      <c r="AD539" s="1"/>
    </row>
    <row r="540" spans="25:30" ht="13">
      <c r="Y540" s="1"/>
      <c r="Z540" s="1"/>
      <c r="AA540" s="1"/>
      <c r="AB540" s="1"/>
      <c r="AC540" s="1"/>
      <c r="AD540" s="1"/>
    </row>
    <row r="541" spans="25:30" ht="13">
      <c r="Y541" s="1"/>
      <c r="Z541" s="1"/>
      <c r="AA541" s="1"/>
      <c r="AB541" s="1"/>
      <c r="AC541" s="1"/>
      <c r="AD541" s="1"/>
    </row>
    <row r="542" spans="25:30" ht="13">
      <c r="Y542" s="1"/>
      <c r="Z542" s="1"/>
      <c r="AA542" s="1"/>
      <c r="AB542" s="1"/>
      <c r="AC542" s="1"/>
      <c r="AD542" s="1"/>
    </row>
    <row r="543" spans="25:30" ht="13">
      <c r="Y543" s="1"/>
      <c r="Z543" s="1"/>
      <c r="AA543" s="1"/>
      <c r="AB543" s="1"/>
      <c r="AC543" s="1"/>
      <c r="AD543" s="1"/>
    </row>
    <row r="544" spans="25:30" ht="13">
      <c r="Y544" s="1"/>
      <c r="Z544" s="1"/>
      <c r="AA544" s="1"/>
      <c r="AB544" s="1"/>
      <c r="AC544" s="1"/>
      <c r="AD544" s="1"/>
    </row>
    <row r="545" spans="25:30" ht="13">
      <c r="Y545" s="1"/>
      <c r="Z545" s="1"/>
      <c r="AA545" s="1"/>
      <c r="AB545" s="1"/>
      <c r="AC545" s="1"/>
      <c r="AD545" s="1"/>
    </row>
    <row r="546" spans="25:30" ht="13">
      <c r="Y546" s="1"/>
      <c r="Z546" s="1"/>
      <c r="AA546" s="1"/>
      <c r="AB546" s="1"/>
      <c r="AC546" s="1"/>
      <c r="AD546" s="1"/>
    </row>
    <row r="547" spans="25:30" ht="13">
      <c r="Y547" s="1"/>
      <c r="Z547" s="1"/>
      <c r="AA547" s="1"/>
      <c r="AB547" s="1"/>
      <c r="AC547" s="1"/>
      <c r="AD547" s="1"/>
    </row>
    <row r="548" spans="25:30" ht="13">
      <c r="Y548" s="1"/>
      <c r="Z548" s="1"/>
      <c r="AA548" s="1"/>
      <c r="AB548" s="1"/>
      <c r="AC548" s="1"/>
      <c r="AD548" s="1"/>
    </row>
    <row r="549" spans="25:30" ht="13">
      <c r="Y549" s="1"/>
      <c r="Z549" s="1"/>
      <c r="AA549" s="1"/>
      <c r="AB549" s="1"/>
      <c r="AC549" s="1"/>
      <c r="AD549" s="1"/>
    </row>
    <row r="550" spans="25:30" ht="13">
      <c r="Y550" s="1"/>
      <c r="Z550" s="1"/>
      <c r="AA550" s="1"/>
      <c r="AB550" s="1"/>
      <c r="AC550" s="1"/>
      <c r="AD550" s="1"/>
    </row>
    <row r="551" spans="25:30" ht="13">
      <c r="Y551" s="1"/>
      <c r="Z551" s="1"/>
      <c r="AA551" s="1"/>
      <c r="AB551" s="1"/>
      <c r="AC551" s="1"/>
      <c r="AD551" s="1"/>
    </row>
    <row r="552" spans="25:30" ht="13">
      <c r="Y552" s="1"/>
      <c r="Z552" s="1"/>
      <c r="AA552" s="1"/>
      <c r="AB552" s="1"/>
      <c r="AC552" s="1"/>
      <c r="AD552" s="1"/>
    </row>
    <row r="553" spans="25:30" ht="13">
      <c r="Y553" s="1"/>
      <c r="Z553" s="1"/>
      <c r="AA553" s="1"/>
      <c r="AB553" s="1"/>
      <c r="AC553" s="1"/>
      <c r="AD553" s="1"/>
    </row>
    <row r="554" spans="25:30" ht="13">
      <c r="Y554" s="1"/>
      <c r="Z554" s="1"/>
      <c r="AA554" s="1"/>
      <c r="AB554" s="1"/>
      <c r="AC554" s="1"/>
      <c r="AD554" s="1"/>
    </row>
    <row r="555" spans="25:30" ht="13">
      <c r="Y555" s="1"/>
      <c r="Z555" s="1"/>
      <c r="AA555" s="1"/>
      <c r="AB555" s="1"/>
      <c r="AC555" s="1"/>
      <c r="AD555" s="1"/>
    </row>
    <row r="556" spans="25:30" ht="13">
      <c r="Y556" s="1"/>
      <c r="Z556" s="1"/>
      <c r="AA556" s="1"/>
      <c r="AB556" s="1"/>
      <c r="AC556" s="1"/>
      <c r="AD556" s="1"/>
    </row>
    <row r="557" spans="25:30" ht="13">
      <c r="Y557" s="1"/>
      <c r="Z557" s="1"/>
      <c r="AA557" s="1"/>
      <c r="AB557" s="1"/>
      <c r="AC557" s="1"/>
      <c r="AD557" s="1"/>
    </row>
    <row r="558" spans="25:30" ht="13">
      <c r="Y558" s="1"/>
      <c r="Z558" s="1"/>
      <c r="AA558" s="1"/>
      <c r="AB558" s="1"/>
      <c r="AC558" s="1"/>
      <c r="AD558" s="1"/>
    </row>
    <row r="559" spans="25:30" ht="13">
      <c r="Y559" s="1"/>
      <c r="Z559" s="1"/>
      <c r="AA559" s="1"/>
      <c r="AB559" s="1"/>
      <c r="AC559" s="1"/>
      <c r="AD559" s="1"/>
    </row>
    <row r="560" spans="25:30" ht="13">
      <c r="Y560" s="1"/>
      <c r="Z560" s="1"/>
      <c r="AA560" s="1"/>
      <c r="AB560" s="1"/>
      <c r="AC560" s="1"/>
      <c r="AD560" s="1"/>
    </row>
    <row r="561" spans="25:30" ht="13">
      <c r="Y561" s="1"/>
      <c r="Z561" s="1"/>
      <c r="AA561" s="1"/>
      <c r="AB561" s="1"/>
      <c r="AC561" s="1"/>
      <c r="AD561" s="1"/>
    </row>
    <row r="562" spans="25:30" ht="13">
      <c r="Y562" s="1"/>
      <c r="Z562" s="1"/>
      <c r="AA562" s="1"/>
      <c r="AB562" s="1"/>
      <c r="AC562" s="1"/>
      <c r="AD562" s="1"/>
    </row>
    <row r="563" spans="25:30" ht="13">
      <c r="Y563" s="1"/>
      <c r="Z563" s="1"/>
      <c r="AA563" s="1"/>
      <c r="AB563" s="1"/>
      <c r="AC563" s="1"/>
      <c r="AD563" s="1"/>
    </row>
    <row r="564" spans="25:30" ht="13">
      <c r="Y564" s="1"/>
      <c r="Z564" s="1"/>
      <c r="AA564" s="1"/>
      <c r="AB564" s="1"/>
      <c r="AC564" s="1"/>
      <c r="AD564" s="1"/>
    </row>
    <row r="565" spans="25:30" ht="13">
      <c r="Y565" s="1"/>
      <c r="Z565" s="1"/>
      <c r="AA565" s="1"/>
      <c r="AB565" s="1"/>
      <c r="AC565" s="1"/>
      <c r="AD565" s="1"/>
    </row>
    <row r="566" spans="25:30" ht="13">
      <c r="Y566" s="1"/>
      <c r="Z566" s="1"/>
      <c r="AA566" s="1"/>
      <c r="AB566" s="1"/>
      <c r="AC566" s="1"/>
      <c r="AD566" s="1"/>
    </row>
    <row r="567" spans="25:30" ht="13">
      <c r="Y567" s="1"/>
      <c r="Z567" s="1"/>
      <c r="AA567" s="1"/>
      <c r="AB567" s="1"/>
      <c r="AC567" s="1"/>
      <c r="AD567" s="1"/>
    </row>
    <row r="568" spans="25:30" ht="13">
      <c r="Y568" s="1"/>
      <c r="Z568" s="1"/>
      <c r="AA568" s="1"/>
      <c r="AB568" s="1"/>
      <c r="AC568" s="1"/>
      <c r="AD568" s="1"/>
    </row>
    <row r="569" spans="25:30" ht="13">
      <c r="Y569" s="1"/>
      <c r="Z569" s="1"/>
      <c r="AA569" s="1"/>
      <c r="AB569" s="1"/>
      <c r="AC569" s="1"/>
      <c r="AD569" s="1"/>
    </row>
    <row r="570" spans="25:30" ht="13">
      <c r="Y570" s="1"/>
      <c r="Z570" s="1"/>
      <c r="AA570" s="1"/>
      <c r="AB570" s="1"/>
      <c r="AC570" s="1"/>
      <c r="AD570" s="1"/>
    </row>
    <row r="571" spans="25:30" ht="13">
      <c r="Y571" s="1"/>
      <c r="Z571" s="1"/>
      <c r="AA571" s="1"/>
      <c r="AB571" s="1"/>
      <c r="AC571" s="1"/>
      <c r="AD571" s="1"/>
    </row>
    <row r="572" spans="25:30" ht="13">
      <c r="Y572" s="1"/>
      <c r="Z572" s="1"/>
      <c r="AA572" s="1"/>
      <c r="AB572" s="1"/>
      <c r="AC572" s="1"/>
      <c r="AD572" s="1"/>
    </row>
    <row r="573" spans="25:30" ht="13">
      <c r="Y573" s="1"/>
      <c r="Z573" s="1"/>
      <c r="AA573" s="1"/>
      <c r="AB573" s="1"/>
      <c r="AC573" s="1"/>
      <c r="AD573" s="1"/>
    </row>
    <row r="574" spans="25:30" ht="13">
      <c r="Y574" s="1"/>
      <c r="Z574" s="1"/>
      <c r="AA574" s="1"/>
      <c r="AB574" s="1"/>
      <c r="AC574" s="1"/>
      <c r="AD574" s="1"/>
    </row>
    <row r="575" spans="25:30" ht="13">
      <c r="Y575" s="1"/>
      <c r="Z575" s="1"/>
      <c r="AA575" s="1"/>
      <c r="AB575" s="1"/>
      <c r="AC575" s="1"/>
      <c r="AD575" s="1"/>
    </row>
    <row r="576" spans="25:30" ht="13">
      <c r="Y576" s="1"/>
      <c r="Z576" s="1"/>
      <c r="AA576" s="1"/>
      <c r="AB576" s="1"/>
      <c r="AC576" s="1"/>
      <c r="AD576" s="1"/>
    </row>
    <row r="577" spans="25:30" ht="13">
      <c r="Y577" s="1"/>
      <c r="Z577" s="1"/>
      <c r="AA577" s="1"/>
      <c r="AB577" s="1"/>
      <c r="AC577" s="1"/>
      <c r="AD577" s="1"/>
    </row>
    <row r="578" spans="25:30" ht="13">
      <c r="Y578" s="1"/>
      <c r="Z578" s="1"/>
      <c r="AA578" s="1"/>
      <c r="AB578" s="1"/>
      <c r="AC578" s="1"/>
      <c r="AD578" s="1"/>
    </row>
    <row r="579" spans="25:30" ht="13">
      <c r="Y579" s="1"/>
      <c r="Z579" s="1"/>
      <c r="AA579" s="1"/>
      <c r="AB579" s="1"/>
      <c r="AC579" s="1"/>
      <c r="AD579" s="1"/>
    </row>
    <row r="580" spans="25:30" ht="13">
      <c r="Y580" s="1"/>
      <c r="Z580" s="1"/>
      <c r="AA580" s="1"/>
      <c r="AB580" s="1"/>
      <c r="AC580" s="1"/>
      <c r="AD580" s="1"/>
    </row>
    <row r="581" spans="25:30" ht="13">
      <c r="Y581" s="1"/>
      <c r="Z581" s="1"/>
      <c r="AA581" s="1"/>
      <c r="AB581" s="1"/>
      <c r="AC581" s="1"/>
      <c r="AD581" s="1"/>
    </row>
    <row r="582" spans="25:30" ht="13">
      <c r="Y582" s="1"/>
      <c r="Z582" s="1"/>
      <c r="AA582" s="1"/>
      <c r="AB582" s="1"/>
      <c r="AC582" s="1"/>
      <c r="AD582" s="1"/>
    </row>
    <row r="583" spans="25:30" ht="13">
      <c r="Y583" s="1"/>
      <c r="Z583" s="1"/>
      <c r="AA583" s="1"/>
      <c r="AB583" s="1"/>
      <c r="AC583" s="1"/>
      <c r="AD583" s="1"/>
    </row>
    <row r="584" spans="25:30" ht="13">
      <c r="Y584" s="1"/>
      <c r="Z584" s="1"/>
      <c r="AA584" s="1"/>
      <c r="AB584" s="1"/>
      <c r="AC584" s="1"/>
      <c r="AD584" s="1"/>
    </row>
    <row r="585" spans="25:30" ht="13">
      <c r="Y585" s="1"/>
      <c r="Z585" s="1"/>
      <c r="AA585" s="1"/>
      <c r="AB585" s="1"/>
      <c r="AC585" s="1"/>
      <c r="AD585" s="1"/>
    </row>
    <row r="586" spans="25:30" ht="13">
      <c r="Y586" s="1"/>
      <c r="Z586" s="1"/>
      <c r="AA586" s="1"/>
      <c r="AB586" s="1"/>
      <c r="AC586" s="1"/>
      <c r="AD586" s="1"/>
    </row>
    <row r="587" spans="25:30" ht="13">
      <c r="Y587" s="1"/>
      <c r="Z587" s="1"/>
      <c r="AA587" s="1"/>
      <c r="AB587" s="1"/>
      <c r="AC587" s="1"/>
      <c r="AD587" s="1"/>
    </row>
    <row r="588" spans="25:30" ht="13">
      <c r="Y588" s="1"/>
      <c r="Z588" s="1"/>
      <c r="AA588" s="1"/>
      <c r="AB588" s="1"/>
      <c r="AC588" s="1"/>
      <c r="AD588" s="1"/>
    </row>
    <row r="589" spans="25:30" ht="13">
      <c r="Y589" s="1"/>
      <c r="Z589" s="1"/>
      <c r="AA589" s="1"/>
      <c r="AB589" s="1"/>
      <c r="AC589" s="1"/>
      <c r="AD589" s="1"/>
    </row>
    <row r="590" spans="25:30" ht="13">
      <c r="Y590" s="1"/>
      <c r="Z590" s="1"/>
      <c r="AA590" s="1"/>
      <c r="AB590" s="1"/>
      <c r="AC590" s="1"/>
      <c r="AD590" s="1"/>
    </row>
    <row r="591" spans="25:30" ht="13">
      <c r="Y591" s="1"/>
      <c r="Z591" s="1"/>
      <c r="AA591" s="1"/>
      <c r="AB591" s="1"/>
      <c r="AC591" s="1"/>
      <c r="AD591" s="1"/>
    </row>
    <row r="592" spans="25:30" ht="13">
      <c r="Y592" s="1"/>
      <c r="Z592" s="1"/>
      <c r="AA592" s="1"/>
      <c r="AB592" s="1"/>
      <c r="AC592" s="1"/>
      <c r="AD592" s="1"/>
    </row>
    <row r="593" spans="25:30" ht="13">
      <c r="Y593" s="1"/>
      <c r="Z593" s="1"/>
      <c r="AA593" s="1"/>
      <c r="AB593" s="1"/>
      <c r="AC593" s="1"/>
      <c r="AD593" s="1"/>
    </row>
    <row r="594" spans="25:30" ht="13">
      <c r="Y594" s="1"/>
      <c r="Z594" s="1"/>
      <c r="AA594" s="1"/>
      <c r="AB594" s="1"/>
      <c r="AC594" s="1"/>
      <c r="AD594" s="1"/>
    </row>
    <row r="595" spans="25:30" ht="13">
      <c r="Y595" s="1"/>
      <c r="Z595" s="1"/>
      <c r="AA595" s="1"/>
      <c r="AB595" s="1"/>
      <c r="AC595" s="1"/>
      <c r="AD595" s="1"/>
    </row>
    <row r="596" spans="25:30" ht="13">
      <c r="Y596" s="1"/>
      <c r="Z596" s="1"/>
      <c r="AA596" s="1"/>
      <c r="AB596" s="1"/>
      <c r="AC596" s="1"/>
      <c r="AD596" s="1"/>
    </row>
    <row r="597" spans="25:30" ht="13">
      <c r="Y597" s="1"/>
      <c r="Z597" s="1"/>
      <c r="AA597" s="1"/>
      <c r="AB597" s="1"/>
      <c r="AC597" s="1"/>
      <c r="AD597" s="1"/>
    </row>
    <row r="598" spans="25:30" ht="13">
      <c r="Y598" s="1"/>
      <c r="Z598" s="1"/>
      <c r="AA598" s="1"/>
      <c r="AB598" s="1"/>
      <c r="AC598" s="1"/>
      <c r="AD598" s="1"/>
    </row>
    <row r="599" spans="25:30" ht="13">
      <c r="Y599" s="1"/>
      <c r="Z599" s="1"/>
      <c r="AA599" s="1"/>
      <c r="AB599" s="1"/>
      <c r="AC599" s="1"/>
      <c r="AD599" s="1"/>
    </row>
    <row r="600" spans="25:30" ht="13">
      <c r="Y600" s="1"/>
      <c r="Z600" s="1"/>
      <c r="AA600" s="1"/>
      <c r="AB600" s="1"/>
      <c r="AC600" s="1"/>
      <c r="AD600" s="1"/>
    </row>
    <row r="601" spans="25:30" ht="13">
      <c r="Y601" s="1"/>
      <c r="Z601" s="1"/>
      <c r="AA601" s="1"/>
      <c r="AB601" s="1"/>
      <c r="AC601" s="1"/>
      <c r="AD601" s="1"/>
    </row>
    <row r="602" spans="25:30" ht="13">
      <c r="Y602" s="1"/>
      <c r="Z602" s="1"/>
      <c r="AA602" s="1"/>
      <c r="AB602" s="1"/>
      <c r="AC602" s="1"/>
      <c r="AD602" s="1"/>
    </row>
    <row r="603" spans="25:30" ht="13">
      <c r="Y603" s="1"/>
      <c r="Z603" s="1"/>
      <c r="AA603" s="1"/>
      <c r="AB603" s="1"/>
      <c r="AC603" s="1"/>
      <c r="AD603" s="1"/>
    </row>
    <row r="604" spans="25:30" ht="13">
      <c r="Y604" s="1"/>
      <c r="Z604" s="1"/>
      <c r="AA604" s="1"/>
      <c r="AB604" s="1"/>
      <c r="AC604" s="1"/>
      <c r="AD604" s="1"/>
    </row>
    <row r="605" spans="25:30" ht="13">
      <c r="Y605" s="1"/>
      <c r="Z605" s="1"/>
      <c r="AA605" s="1"/>
      <c r="AB605" s="1"/>
      <c r="AC605" s="1"/>
      <c r="AD605" s="1"/>
    </row>
    <row r="606" spans="25:30" ht="13">
      <c r="Y606" s="1"/>
      <c r="Z606" s="1"/>
      <c r="AA606" s="1"/>
      <c r="AB606" s="1"/>
      <c r="AC606" s="1"/>
      <c r="AD606" s="1"/>
    </row>
    <row r="607" spans="25:30" ht="13">
      <c r="Y607" s="1"/>
      <c r="Z607" s="1"/>
      <c r="AA607" s="1"/>
      <c r="AB607" s="1"/>
      <c r="AC607" s="1"/>
      <c r="AD607" s="1"/>
    </row>
    <row r="608" spans="25:30" ht="13">
      <c r="Y608" s="1"/>
      <c r="Z608" s="1"/>
      <c r="AA608" s="1"/>
      <c r="AB608" s="1"/>
      <c r="AC608" s="1"/>
      <c r="AD608" s="1"/>
    </row>
    <row r="609" spans="25:30" ht="13">
      <c r="Y609" s="1"/>
      <c r="Z609" s="1"/>
      <c r="AA609" s="1"/>
      <c r="AB609" s="1"/>
      <c r="AC609" s="1"/>
      <c r="AD609" s="1"/>
    </row>
    <row r="610" spans="25:30" ht="13">
      <c r="Y610" s="1"/>
      <c r="Z610" s="1"/>
      <c r="AA610" s="1"/>
      <c r="AB610" s="1"/>
      <c r="AC610" s="1"/>
      <c r="AD610" s="1"/>
    </row>
    <row r="611" spans="25:30" ht="13">
      <c r="Y611" s="1"/>
      <c r="Z611" s="1"/>
      <c r="AA611" s="1"/>
      <c r="AB611" s="1"/>
      <c r="AC611" s="1"/>
      <c r="AD611" s="1"/>
    </row>
    <row r="612" spans="25:30" ht="13">
      <c r="Y612" s="1"/>
      <c r="Z612" s="1"/>
      <c r="AA612" s="1"/>
      <c r="AB612" s="1"/>
      <c r="AC612" s="1"/>
      <c r="AD612" s="1"/>
    </row>
    <row r="613" spans="25:30" ht="13">
      <c r="Y613" s="1"/>
      <c r="Z613" s="1"/>
      <c r="AA613" s="1"/>
      <c r="AB613" s="1"/>
      <c r="AC613" s="1"/>
      <c r="AD613" s="1"/>
    </row>
    <row r="614" spans="25:30" ht="13">
      <c r="Y614" s="1"/>
      <c r="Z614" s="1"/>
      <c r="AA614" s="1"/>
      <c r="AB614" s="1"/>
      <c r="AC614" s="1"/>
      <c r="AD614" s="1"/>
    </row>
    <row r="615" spans="25:30" ht="13">
      <c r="Y615" s="1"/>
      <c r="Z615" s="1"/>
      <c r="AA615" s="1"/>
      <c r="AB615" s="1"/>
      <c r="AC615" s="1"/>
      <c r="AD615" s="1"/>
    </row>
    <row r="616" spans="25:30" ht="13">
      <c r="Y616" s="1"/>
      <c r="Z616" s="1"/>
      <c r="AA616" s="1"/>
      <c r="AB616" s="1"/>
      <c r="AC616" s="1"/>
      <c r="AD616" s="1"/>
    </row>
    <row r="617" spans="25:30" ht="13">
      <c r="Y617" s="1"/>
      <c r="Z617" s="1"/>
      <c r="AA617" s="1"/>
      <c r="AB617" s="1"/>
      <c r="AC617" s="1"/>
      <c r="AD617" s="1"/>
    </row>
    <row r="618" spans="25:30" ht="13">
      <c r="Y618" s="1"/>
      <c r="Z618" s="1"/>
      <c r="AA618" s="1"/>
      <c r="AB618" s="1"/>
      <c r="AC618" s="1"/>
      <c r="AD618" s="1"/>
    </row>
    <row r="619" spans="25:30" ht="13">
      <c r="Y619" s="1"/>
      <c r="Z619" s="1"/>
      <c r="AA619" s="1"/>
      <c r="AB619" s="1"/>
      <c r="AC619" s="1"/>
      <c r="AD619" s="1"/>
    </row>
    <row r="620" spans="25:30" ht="13">
      <c r="Y620" s="1"/>
      <c r="Z620" s="1"/>
      <c r="AA620" s="1"/>
      <c r="AB620" s="1"/>
      <c r="AC620" s="1"/>
      <c r="AD620" s="1"/>
    </row>
    <row r="621" spans="25:30" ht="13">
      <c r="Y621" s="1"/>
      <c r="Z621" s="1"/>
      <c r="AA621" s="1"/>
      <c r="AB621" s="1"/>
      <c r="AC621" s="1"/>
      <c r="AD621" s="1"/>
    </row>
    <row r="622" spans="25:30" ht="13">
      <c r="Y622" s="1"/>
      <c r="Z622" s="1"/>
      <c r="AA622" s="1"/>
      <c r="AB622" s="1"/>
      <c r="AC622" s="1"/>
      <c r="AD622" s="1"/>
    </row>
    <row r="623" spans="25:30" ht="13">
      <c r="Y623" s="1"/>
      <c r="Z623" s="1"/>
      <c r="AA623" s="1"/>
      <c r="AB623" s="1"/>
      <c r="AC623" s="1"/>
      <c r="AD623" s="1"/>
    </row>
    <row r="624" spans="25:30" ht="13">
      <c r="Y624" s="1"/>
      <c r="Z624" s="1"/>
      <c r="AA624" s="1"/>
      <c r="AB624" s="1"/>
      <c r="AC624" s="1"/>
      <c r="AD624" s="1"/>
    </row>
    <row r="625" spans="25:30" ht="13">
      <c r="Y625" s="1"/>
      <c r="Z625" s="1"/>
      <c r="AA625" s="1"/>
      <c r="AB625" s="1"/>
      <c r="AC625" s="1"/>
      <c r="AD625" s="1"/>
    </row>
    <row r="626" spans="25:30" ht="13">
      <c r="Y626" s="1"/>
      <c r="Z626" s="1"/>
      <c r="AA626" s="1"/>
      <c r="AB626" s="1"/>
      <c r="AC626" s="1"/>
      <c r="AD626" s="1"/>
    </row>
    <row r="627" spans="25:30" ht="13">
      <c r="Y627" s="1"/>
      <c r="Z627" s="1"/>
      <c r="AA627" s="1"/>
      <c r="AB627" s="1"/>
      <c r="AC627" s="1"/>
      <c r="AD627" s="1"/>
    </row>
    <row r="628" spans="25:30" ht="13">
      <c r="Y628" s="1"/>
      <c r="Z628" s="1"/>
      <c r="AA628" s="1"/>
      <c r="AB628" s="1"/>
      <c r="AC628" s="1"/>
      <c r="AD628" s="1"/>
    </row>
    <row r="629" spans="25:30" ht="13">
      <c r="Y629" s="1"/>
      <c r="Z629" s="1"/>
      <c r="AA629" s="1"/>
      <c r="AB629" s="1"/>
      <c r="AC629" s="1"/>
      <c r="AD629" s="1"/>
    </row>
    <row r="630" spans="25:30" ht="13">
      <c r="Y630" s="1"/>
      <c r="Z630" s="1"/>
      <c r="AA630" s="1"/>
      <c r="AB630" s="1"/>
      <c r="AC630" s="1"/>
      <c r="AD630" s="1"/>
    </row>
    <row r="631" spans="25:30" ht="13">
      <c r="Y631" s="1"/>
      <c r="Z631" s="1"/>
      <c r="AA631" s="1"/>
      <c r="AB631" s="1"/>
      <c r="AC631" s="1"/>
      <c r="AD631" s="1"/>
    </row>
    <row r="632" spans="25:30" ht="13">
      <c r="Y632" s="1"/>
      <c r="Z632" s="1"/>
      <c r="AA632" s="1"/>
      <c r="AB632" s="1"/>
      <c r="AC632" s="1"/>
      <c r="AD632" s="1"/>
    </row>
    <row r="633" spans="25:30" ht="13">
      <c r="Y633" s="1"/>
      <c r="Z633" s="1"/>
      <c r="AA633" s="1"/>
      <c r="AB633" s="1"/>
      <c r="AC633" s="1"/>
      <c r="AD633" s="1"/>
    </row>
    <row r="634" spans="25:30" ht="13">
      <c r="Y634" s="1"/>
      <c r="Z634" s="1"/>
      <c r="AA634" s="1"/>
      <c r="AB634" s="1"/>
      <c r="AC634" s="1"/>
      <c r="AD634" s="1"/>
    </row>
    <row r="635" spans="25:30" ht="13">
      <c r="Y635" s="1"/>
      <c r="Z635" s="1"/>
      <c r="AA635" s="1"/>
      <c r="AB635" s="1"/>
      <c r="AC635" s="1"/>
      <c r="AD635" s="1"/>
    </row>
    <row r="636" spans="25:30" ht="13">
      <c r="Y636" s="1"/>
      <c r="Z636" s="1"/>
      <c r="AA636" s="1"/>
      <c r="AB636" s="1"/>
      <c r="AC636" s="1"/>
      <c r="AD636" s="1"/>
    </row>
    <row r="637" spans="25:30" ht="13">
      <c r="Y637" s="1"/>
      <c r="Z637" s="1"/>
      <c r="AA637" s="1"/>
      <c r="AB637" s="1"/>
      <c r="AC637" s="1"/>
      <c r="AD637" s="1"/>
    </row>
    <row r="638" spans="25:30" ht="13">
      <c r="Y638" s="1"/>
      <c r="Z638" s="1"/>
      <c r="AA638" s="1"/>
      <c r="AB638" s="1"/>
      <c r="AC638" s="1"/>
      <c r="AD638" s="1"/>
    </row>
    <row r="639" spans="25:30" ht="13">
      <c r="Y639" s="1"/>
      <c r="Z639" s="1"/>
      <c r="AA639" s="1"/>
      <c r="AB639" s="1"/>
      <c r="AC639" s="1"/>
      <c r="AD639" s="1"/>
    </row>
    <row r="640" spans="25:30" ht="13">
      <c r="Y640" s="1"/>
      <c r="Z640" s="1"/>
      <c r="AA640" s="1"/>
      <c r="AB640" s="1"/>
      <c r="AC640" s="1"/>
      <c r="AD640" s="1"/>
    </row>
    <row r="641" spans="25:30" ht="13">
      <c r="Y641" s="1"/>
      <c r="Z641" s="1"/>
      <c r="AA641" s="1"/>
      <c r="AB641" s="1"/>
      <c r="AC641" s="1"/>
      <c r="AD641" s="1"/>
    </row>
    <row r="642" spans="25:30" ht="13">
      <c r="Y642" s="1"/>
      <c r="Z642" s="1"/>
      <c r="AA642" s="1"/>
      <c r="AB642" s="1"/>
      <c r="AC642" s="1"/>
      <c r="AD642" s="1"/>
    </row>
    <row r="643" spans="25:30" ht="13">
      <c r="Y643" s="1"/>
      <c r="Z643" s="1"/>
      <c r="AA643" s="1"/>
      <c r="AB643" s="1"/>
      <c r="AC643" s="1"/>
      <c r="AD643" s="1"/>
    </row>
    <row r="644" spans="25:30" ht="13">
      <c r="Y644" s="1"/>
      <c r="Z644" s="1"/>
      <c r="AA644" s="1"/>
      <c r="AB644" s="1"/>
      <c r="AC644" s="1"/>
      <c r="AD644" s="1"/>
    </row>
    <row r="645" spans="25:30" ht="13">
      <c r="Y645" s="1"/>
      <c r="Z645" s="1"/>
      <c r="AA645" s="1"/>
      <c r="AB645" s="1"/>
      <c r="AC645" s="1"/>
      <c r="AD645" s="1"/>
    </row>
    <row r="646" spans="25:30" ht="13">
      <c r="Y646" s="1"/>
      <c r="Z646" s="1"/>
      <c r="AA646" s="1"/>
      <c r="AB646" s="1"/>
      <c r="AC646" s="1"/>
      <c r="AD646" s="1"/>
    </row>
    <row r="647" spans="25:30" ht="13">
      <c r="Y647" s="1"/>
      <c r="Z647" s="1"/>
      <c r="AA647" s="1"/>
      <c r="AB647" s="1"/>
      <c r="AC647" s="1"/>
      <c r="AD647" s="1"/>
    </row>
    <row r="648" spans="25:30" ht="13">
      <c r="Y648" s="1"/>
      <c r="Z648" s="1"/>
      <c r="AA648" s="1"/>
      <c r="AB648" s="1"/>
      <c r="AC648" s="1"/>
      <c r="AD648" s="1"/>
    </row>
    <row r="649" spans="25:30" ht="13">
      <c r="Y649" s="1"/>
      <c r="Z649" s="1"/>
      <c r="AA649" s="1"/>
      <c r="AB649" s="1"/>
      <c r="AC649" s="1"/>
      <c r="AD649" s="1"/>
    </row>
    <row r="650" spans="25:30" ht="13">
      <c r="Y650" s="1"/>
      <c r="Z650" s="1"/>
      <c r="AA650" s="1"/>
      <c r="AB650" s="1"/>
      <c r="AC650" s="1"/>
      <c r="AD650" s="1"/>
    </row>
    <row r="651" spans="25:30" ht="13">
      <c r="Y651" s="1"/>
      <c r="Z651" s="1"/>
      <c r="AA651" s="1"/>
      <c r="AB651" s="1"/>
      <c r="AC651" s="1"/>
      <c r="AD651" s="1"/>
    </row>
    <row r="652" spans="25:30" ht="13">
      <c r="Y652" s="1"/>
      <c r="Z652" s="1"/>
      <c r="AA652" s="1"/>
      <c r="AB652" s="1"/>
      <c r="AC652" s="1"/>
      <c r="AD652" s="1"/>
    </row>
    <row r="653" spans="25:30" ht="13">
      <c r="Y653" s="1"/>
      <c r="Z653" s="1"/>
      <c r="AA653" s="1"/>
      <c r="AB653" s="1"/>
      <c r="AC653" s="1"/>
      <c r="AD653" s="1"/>
    </row>
    <row r="654" spans="25:30" ht="13">
      <c r="Y654" s="1"/>
      <c r="Z654" s="1"/>
      <c r="AA654" s="1"/>
      <c r="AB654" s="1"/>
      <c r="AC654" s="1"/>
      <c r="AD654" s="1"/>
    </row>
    <row r="655" spans="25:30" ht="13">
      <c r="Y655" s="1"/>
      <c r="Z655" s="1"/>
      <c r="AA655" s="1"/>
      <c r="AB655" s="1"/>
      <c r="AC655" s="1"/>
      <c r="AD655" s="1"/>
    </row>
    <row r="656" spans="25:30" ht="13">
      <c r="Y656" s="1"/>
      <c r="Z656" s="1"/>
      <c r="AA656" s="1"/>
      <c r="AB656" s="1"/>
      <c r="AC656" s="1"/>
      <c r="AD656" s="1"/>
    </row>
    <row r="657" spans="25:30" ht="13">
      <c r="Y657" s="1"/>
      <c r="Z657" s="1"/>
      <c r="AA657" s="1"/>
      <c r="AB657" s="1"/>
      <c r="AC657" s="1"/>
      <c r="AD657" s="1"/>
    </row>
    <row r="658" spans="25:30" ht="13">
      <c r="Y658" s="1"/>
      <c r="Z658" s="1"/>
      <c r="AA658" s="1"/>
      <c r="AB658" s="1"/>
      <c r="AC658" s="1"/>
      <c r="AD658" s="1"/>
    </row>
    <row r="659" spans="25:30" ht="13">
      <c r="Y659" s="1"/>
      <c r="Z659" s="1"/>
      <c r="AA659" s="1"/>
      <c r="AB659" s="1"/>
      <c r="AC659" s="1"/>
      <c r="AD659" s="1"/>
    </row>
    <row r="660" spans="25:30" ht="13">
      <c r="Y660" s="1"/>
      <c r="Z660" s="1"/>
      <c r="AA660" s="1"/>
      <c r="AB660" s="1"/>
      <c r="AC660" s="1"/>
      <c r="AD660" s="1"/>
    </row>
    <row r="661" spans="25:30" ht="13">
      <c r="Y661" s="1"/>
      <c r="Z661" s="1"/>
      <c r="AA661" s="1"/>
      <c r="AB661" s="1"/>
      <c r="AC661" s="1"/>
      <c r="AD661" s="1"/>
    </row>
    <row r="662" spans="25:30" ht="13">
      <c r="Y662" s="1"/>
      <c r="Z662" s="1"/>
      <c r="AA662" s="1"/>
      <c r="AB662" s="1"/>
      <c r="AC662" s="1"/>
      <c r="AD662" s="1"/>
    </row>
    <row r="663" spans="25:30" ht="13">
      <c r="Y663" s="1"/>
      <c r="Z663" s="1"/>
      <c r="AA663" s="1"/>
      <c r="AB663" s="1"/>
      <c r="AC663" s="1"/>
      <c r="AD663" s="1"/>
    </row>
    <row r="664" spans="25:30" ht="13">
      <c r="Y664" s="1"/>
      <c r="Z664" s="1"/>
      <c r="AA664" s="1"/>
      <c r="AB664" s="1"/>
      <c r="AC664" s="1"/>
      <c r="AD664" s="1"/>
    </row>
    <row r="665" spans="25:30" ht="13">
      <c r="Y665" s="1"/>
      <c r="Z665" s="1"/>
      <c r="AA665" s="1"/>
      <c r="AB665" s="1"/>
      <c r="AC665" s="1"/>
      <c r="AD665" s="1"/>
    </row>
    <row r="666" spans="25:30" ht="13">
      <c r="Y666" s="1"/>
      <c r="Z666" s="1"/>
      <c r="AA666" s="1"/>
      <c r="AB666" s="1"/>
      <c r="AC666" s="1"/>
      <c r="AD666" s="1"/>
    </row>
    <row r="667" spans="25:30" ht="13">
      <c r="Y667" s="1"/>
      <c r="Z667" s="1"/>
      <c r="AA667" s="1"/>
      <c r="AB667" s="1"/>
      <c r="AC667" s="1"/>
      <c r="AD667" s="1"/>
    </row>
    <row r="668" spans="25:30" ht="13">
      <c r="Y668" s="1"/>
      <c r="Z668" s="1"/>
      <c r="AA668" s="1"/>
      <c r="AB668" s="1"/>
      <c r="AC668" s="1"/>
      <c r="AD668" s="1"/>
    </row>
    <row r="669" spans="25:30" ht="13">
      <c r="Y669" s="1"/>
      <c r="Z669" s="1"/>
      <c r="AA669" s="1"/>
      <c r="AB669" s="1"/>
      <c r="AC669" s="1"/>
      <c r="AD669" s="1"/>
    </row>
    <row r="670" spans="25:30" ht="13">
      <c r="Y670" s="1"/>
      <c r="Z670" s="1"/>
      <c r="AA670" s="1"/>
      <c r="AB670" s="1"/>
      <c r="AC670" s="1"/>
      <c r="AD670" s="1"/>
    </row>
    <row r="671" spans="25:30" ht="13">
      <c r="Y671" s="1"/>
      <c r="Z671" s="1"/>
      <c r="AA671" s="1"/>
      <c r="AB671" s="1"/>
      <c r="AC671" s="1"/>
      <c r="AD671" s="1"/>
    </row>
    <row r="672" spans="25:30" ht="13">
      <c r="Y672" s="1"/>
      <c r="Z672" s="1"/>
      <c r="AA672" s="1"/>
      <c r="AB672" s="1"/>
      <c r="AC672" s="1"/>
      <c r="AD672" s="1"/>
    </row>
    <row r="673" spans="25:30" ht="13">
      <c r="Y673" s="1"/>
      <c r="Z673" s="1"/>
      <c r="AA673" s="1"/>
      <c r="AB673" s="1"/>
      <c r="AC673" s="1"/>
      <c r="AD673" s="1"/>
    </row>
    <row r="674" spans="25:30" ht="13">
      <c r="Y674" s="1"/>
      <c r="Z674" s="1"/>
      <c r="AA674" s="1"/>
      <c r="AB674" s="1"/>
      <c r="AC674" s="1"/>
      <c r="AD674" s="1"/>
    </row>
    <row r="675" spans="25:30" ht="13">
      <c r="Y675" s="1"/>
      <c r="Z675" s="1"/>
      <c r="AA675" s="1"/>
      <c r="AB675" s="1"/>
      <c r="AC675" s="1"/>
      <c r="AD675" s="1"/>
    </row>
    <row r="676" spans="25:30" ht="13">
      <c r="Y676" s="1"/>
      <c r="Z676" s="1"/>
      <c r="AA676" s="1"/>
      <c r="AB676" s="1"/>
      <c r="AC676" s="1"/>
      <c r="AD676" s="1"/>
    </row>
    <row r="677" spans="25:30" ht="13">
      <c r="Y677" s="1"/>
      <c r="Z677" s="1"/>
      <c r="AA677" s="1"/>
      <c r="AB677" s="1"/>
      <c r="AC677" s="1"/>
      <c r="AD677" s="1"/>
    </row>
    <row r="678" spans="25:30" ht="13">
      <c r="Y678" s="1"/>
      <c r="Z678" s="1"/>
      <c r="AA678" s="1"/>
      <c r="AB678" s="1"/>
      <c r="AC678" s="1"/>
      <c r="AD678" s="1"/>
    </row>
    <row r="679" spans="25:30" ht="13">
      <c r="Y679" s="1"/>
      <c r="Z679" s="1"/>
      <c r="AA679" s="1"/>
      <c r="AB679" s="1"/>
      <c r="AC679" s="1"/>
      <c r="AD679" s="1"/>
    </row>
    <row r="680" spans="25:30" ht="13">
      <c r="Y680" s="1"/>
      <c r="Z680" s="1"/>
      <c r="AA680" s="1"/>
      <c r="AB680" s="1"/>
      <c r="AC680" s="1"/>
      <c r="AD680" s="1"/>
    </row>
    <row r="681" spans="25:30" ht="13">
      <c r="Y681" s="1"/>
      <c r="Z681" s="1"/>
      <c r="AA681" s="1"/>
      <c r="AB681" s="1"/>
      <c r="AC681" s="1"/>
      <c r="AD681" s="1"/>
    </row>
    <row r="682" spans="25:30" ht="13">
      <c r="Y682" s="1"/>
      <c r="Z682" s="1"/>
      <c r="AA682" s="1"/>
      <c r="AB682" s="1"/>
      <c r="AC682" s="1"/>
      <c r="AD682" s="1"/>
    </row>
    <row r="683" spans="25:30" ht="13">
      <c r="Y683" s="1"/>
      <c r="Z683" s="1"/>
      <c r="AA683" s="1"/>
      <c r="AB683" s="1"/>
      <c r="AC683" s="1"/>
      <c r="AD683" s="1"/>
    </row>
    <row r="684" spans="25:30" ht="13">
      <c r="Y684" s="1"/>
      <c r="Z684" s="1"/>
      <c r="AA684" s="1"/>
      <c r="AB684" s="1"/>
      <c r="AC684" s="1"/>
      <c r="AD684" s="1"/>
    </row>
    <row r="685" spans="25:30" ht="13">
      <c r="Y685" s="1"/>
      <c r="Z685" s="1"/>
      <c r="AA685" s="1"/>
      <c r="AB685" s="1"/>
      <c r="AC685" s="1"/>
      <c r="AD685" s="1"/>
    </row>
    <row r="686" spans="25:30" ht="13">
      <c r="Y686" s="1"/>
      <c r="Z686" s="1"/>
      <c r="AA686" s="1"/>
      <c r="AB686" s="1"/>
      <c r="AC686" s="1"/>
      <c r="AD686" s="1"/>
    </row>
    <row r="687" spans="25:30" ht="13">
      <c r="Y687" s="1"/>
      <c r="Z687" s="1"/>
      <c r="AA687" s="1"/>
      <c r="AB687" s="1"/>
      <c r="AC687" s="1"/>
      <c r="AD687" s="1"/>
    </row>
    <row r="688" spans="25:30" ht="13">
      <c r="Y688" s="1"/>
      <c r="Z688" s="1"/>
      <c r="AA688" s="1"/>
      <c r="AB688" s="1"/>
      <c r="AC688" s="1"/>
      <c r="AD688" s="1"/>
    </row>
    <row r="689" spans="25:30" ht="13">
      <c r="Y689" s="1"/>
      <c r="Z689" s="1"/>
      <c r="AA689" s="1"/>
      <c r="AB689" s="1"/>
      <c r="AC689" s="1"/>
      <c r="AD689" s="1"/>
    </row>
    <row r="690" spans="25:30" ht="13">
      <c r="Y690" s="1"/>
      <c r="Z690" s="1"/>
      <c r="AA690" s="1"/>
      <c r="AB690" s="1"/>
      <c r="AC690" s="1"/>
      <c r="AD690" s="1"/>
    </row>
    <row r="691" spans="25:30" ht="13">
      <c r="Y691" s="1"/>
      <c r="Z691" s="1"/>
      <c r="AA691" s="1"/>
      <c r="AB691" s="1"/>
      <c r="AC691" s="1"/>
      <c r="AD691" s="1"/>
    </row>
    <row r="692" spans="25:30" ht="13">
      <c r="Y692" s="1"/>
      <c r="Z692" s="1"/>
      <c r="AA692" s="1"/>
      <c r="AB692" s="1"/>
      <c r="AC692" s="1"/>
      <c r="AD692" s="1"/>
    </row>
    <row r="693" spans="25:30" ht="13">
      <c r="Y693" s="1"/>
      <c r="Z693" s="1"/>
      <c r="AA693" s="1"/>
      <c r="AB693" s="1"/>
      <c r="AC693" s="1"/>
      <c r="AD693" s="1"/>
    </row>
    <row r="694" spans="25:30" ht="13">
      <c r="Y694" s="1"/>
      <c r="Z694" s="1"/>
      <c r="AA694" s="1"/>
      <c r="AB694" s="1"/>
      <c r="AC694" s="1"/>
      <c r="AD694" s="1"/>
    </row>
    <row r="695" spans="25:30" ht="13">
      <c r="Y695" s="1"/>
      <c r="Z695" s="1"/>
      <c r="AA695" s="1"/>
      <c r="AB695" s="1"/>
      <c r="AC695" s="1"/>
      <c r="AD695" s="1"/>
    </row>
    <row r="696" spans="25:30" ht="13">
      <c r="Y696" s="1"/>
      <c r="Z696" s="1"/>
      <c r="AA696" s="1"/>
      <c r="AB696" s="1"/>
      <c r="AC696" s="1"/>
      <c r="AD696" s="1"/>
    </row>
    <row r="697" spans="25:30" ht="13">
      <c r="Y697" s="1"/>
      <c r="Z697" s="1"/>
      <c r="AA697" s="1"/>
      <c r="AB697" s="1"/>
      <c r="AC697" s="1"/>
      <c r="AD697" s="1"/>
    </row>
    <row r="698" spans="25:30" ht="13">
      <c r="Y698" s="1"/>
      <c r="Z698" s="1"/>
      <c r="AA698" s="1"/>
      <c r="AB698" s="1"/>
      <c r="AC698" s="1"/>
      <c r="AD698" s="1"/>
    </row>
    <row r="699" spans="25:30" ht="13">
      <c r="Y699" s="1"/>
      <c r="Z699" s="1"/>
      <c r="AA699" s="1"/>
      <c r="AB699" s="1"/>
      <c r="AC699" s="1"/>
      <c r="AD699" s="1"/>
    </row>
    <row r="700" spans="25:30" ht="13">
      <c r="Y700" s="1"/>
      <c r="Z700" s="1"/>
      <c r="AA700" s="1"/>
      <c r="AB700" s="1"/>
      <c r="AC700" s="1"/>
      <c r="AD700" s="1"/>
    </row>
    <row r="701" spans="25:30" ht="13">
      <c r="Y701" s="1"/>
      <c r="Z701" s="1"/>
      <c r="AA701" s="1"/>
      <c r="AB701" s="1"/>
      <c r="AC701" s="1"/>
      <c r="AD701" s="1"/>
    </row>
    <row r="702" spans="25:30" ht="13">
      <c r="Y702" s="1"/>
      <c r="Z702" s="1"/>
      <c r="AA702" s="1"/>
      <c r="AB702" s="1"/>
      <c r="AC702" s="1"/>
      <c r="AD702" s="1"/>
    </row>
    <row r="703" spans="25:30" ht="13">
      <c r="Y703" s="1"/>
      <c r="Z703" s="1"/>
      <c r="AA703" s="1"/>
      <c r="AB703" s="1"/>
      <c r="AC703" s="1"/>
      <c r="AD703" s="1"/>
    </row>
    <row r="704" spans="25:30" ht="13">
      <c r="Y704" s="1"/>
      <c r="Z704" s="1"/>
      <c r="AA704" s="1"/>
      <c r="AB704" s="1"/>
      <c r="AC704" s="1"/>
      <c r="AD704" s="1"/>
    </row>
    <row r="705" spans="25:30" ht="13">
      <c r="Y705" s="1"/>
      <c r="Z705" s="1"/>
      <c r="AA705" s="1"/>
      <c r="AB705" s="1"/>
      <c r="AC705" s="1"/>
      <c r="AD705" s="1"/>
    </row>
    <row r="706" spans="25:30" ht="13">
      <c r="Y706" s="1"/>
      <c r="Z706" s="1"/>
      <c r="AA706" s="1"/>
      <c r="AB706" s="1"/>
      <c r="AC706" s="1"/>
      <c r="AD706" s="1"/>
    </row>
    <row r="707" spans="25:30" ht="13">
      <c r="Y707" s="1"/>
      <c r="Z707" s="1"/>
      <c r="AA707" s="1"/>
      <c r="AB707" s="1"/>
      <c r="AC707" s="1"/>
      <c r="AD707" s="1"/>
    </row>
    <row r="708" spans="25:30" ht="13">
      <c r="Y708" s="1"/>
      <c r="Z708" s="1"/>
      <c r="AA708" s="1"/>
      <c r="AB708" s="1"/>
      <c r="AC708" s="1"/>
      <c r="AD708" s="1"/>
    </row>
    <row r="709" spans="25:30" ht="13">
      <c r="Y709" s="1"/>
      <c r="Z709" s="1"/>
      <c r="AA709" s="1"/>
      <c r="AB709" s="1"/>
      <c r="AC709" s="1"/>
      <c r="AD709" s="1"/>
    </row>
    <row r="710" spans="25:30" ht="13">
      <c r="Y710" s="1"/>
      <c r="Z710" s="1"/>
      <c r="AA710" s="1"/>
      <c r="AB710" s="1"/>
      <c r="AC710" s="1"/>
      <c r="AD710" s="1"/>
    </row>
    <row r="711" spans="25:30" ht="13">
      <c r="Y711" s="1"/>
      <c r="Z711" s="1"/>
      <c r="AA711" s="1"/>
      <c r="AB711" s="1"/>
      <c r="AC711" s="1"/>
      <c r="AD711" s="1"/>
    </row>
    <row r="712" spans="25:30" ht="13">
      <c r="Y712" s="1"/>
      <c r="Z712" s="1"/>
      <c r="AA712" s="1"/>
      <c r="AB712" s="1"/>
      <c r="AC712" s="1"/>
      <c r="AD712" s="1"/>
    </row>
    <row r="713" spans="25:30" ht="13">
      <c r="Y713" s="1"/>
      <c r="Z713" s="1"/>
      <c r="AA713" s="1"/>
      <c r="AB713" s="1"/>
      <c r="AC713" s="1"/>
      <c r="AD713" s="1"/>
    </row>
    <row r="714" spans="25:30" ht="13">
      <c r="Y714" s="1"/>
      <c r="Z714" s="1"/>
      <c r="AA714" s="1"/>
      <c r="AB714" s="1"/>
      <c r="AC714" s="1"/>
      <c r="AD714" s="1"/>
    </row>
    <row r="715" spans="25:30" ht="13">
      <c r="Y715" s="1"/>
      <c r="Z715" s="1"/>
      <c r="AA715" s="1"/>
      <c r="AB715" s="1"/>
      <c r="AC715" s="1"/>
      <c r="AD715" s="1"/>
    </row>
    <row r="716" spans="25:30" ht="13">
      <c r="Y716" s="1"/>
      <c r="Z716" s="1"/>
      <c r="AA716" s="1"/>
      <c r="AB716" s="1"/>
      <c r="AC716" s="1"/>
      <c r="AD716" s="1"/>
    </row>
    <row r="717" spans="25:30" ht="13">
      <c r="Y717" s="1"/>
      <c r="Z717" s="1"/>
      <c r="AA717" s="1"/>
      <c r="AB717" s="1"/>
      <c r="AC717" s="1"/>
      <c r="AD717" s="1"/>
    </row>
    <row r="718" spans="25:30" ht="13">
      <c r="Y718" s="1"/>
      <c r="Z718" s="1"/>
      <c r="AA718" s="1"/>
      <c r="AB718" s="1"/>
      <c r="AC718" s="1"/>
      <c r="AD718" s="1"/>
    </row>
    <row r="719" spans="25:30" ht="13">
      <c r="Y719" s="1"/>
      <c r="Z719" s="1"/>
      <c r="AA719" s="1"/>
      <c r="AB719" s="1"/>
      <c r="AC719" s="1"/>
      <c r="AD719" s="1"/>
    </row>
    <row r="720" spans="25:30" ht="13">
      <c r="Y720" s="1"/>
      <c r="Z720" s="1"/>
      <c r="AA720" s="1"/>
      <c r="AB720" s="1"/>
      <c r="AC720" s="1"/>
      <c r="AD720" s="1"/>
    </row>
    <row r="721" spans="25:30" ht="13">
      <c r="Y721" s="1"/>
      <c r="Z721" s="1"/>
      <c r="AA721" s="1"/>
      <c r="AB721" s="1"/>
      <c r="AC721" s="1"/>
      <c r="AD721" s="1"/>
    </row>
    <row r="722" spans="25:30" ht="13">
      <c r="Y722" s="1"/>
      <c r="Z722" s="1"/>
      <c r="AA722" s="1"/>
      <c r="AB722" s="1"/>
      <c r="AC722" s="1"/>
      <c r="AD722" s="1"/>
    </row>
    <row r="723" spans="25:30" ht="13">
      <c r="Y723" s="1"/>
      <c r="Z723" s="1"/>
      <c r="AA723" s="1"/>
      <c r="AB723" s="1"/>
      <c r="AC723" s="1"/>
      <c r="AD723" s="1"/>
    </row>
    <row r="724" spans="25:30" ht="13">
      <c r="Y724" s="1"/>
      <c r="Z724" s="1"/>
      <c r="AA724" s="1"/>
      <c r="AB724" s="1"/>
      <c r="AC724" s="1"/>
      <c r="AD724" s="1"/>
    </row>
    <row r="725" spans="25:30" ht="13">
      <c r="Y725" s="1"/>
      <c r="Z725" s="1"/>
      <c r="AA725" s="1"/>
      <c r="AB725" s="1"/>
      <c r="AC725" s="1"/>
      <c r="AD725" s="1"/>
    </row>
    <row r="726" spans="25:30" ht="13">
      <c r="Y726" s="1"/>
      <c r="Z726" s="1"/>
      <c r="AA726" s="1"/>
      <c r="AB726" s="1"/>
      <c r="AC726" s="1"/>
      <c r="AD726" s="1"/>
    </row>
    <row r="727" spans="25:30" ht="13">
      <c r="Y727" s="1"/>
      <c r="Z727" s="1"/>
      <c r="AA727" s="1"/>
      <c r="AB727" s="1"/>
      <c r="AC727" s="1"/>
      <c r="AD727" s="1"/>
    </row>
    <row r="728" spans="25:30" ht="13">
      <c r="Y728" s="1"/>
      <c r="Z728" s="1"/>
      <c r="AA728" s="1"/>
      <c r="AB728" s="1"/>
      <c r="AC728" s="1"/>
      <c r="AD728" s="1"/>
    </row>
    <row r="729" spans="25:30" ht="13">
      <c r="Y729" s="1"/>
      <c r="Z729" s="1"/>
      <c r="AA729" s="1"/>
      <c r="AB729" s="1"/>
      <c r="AC729" s="1"/>
      <c r="AD729" s="1"/>
    </row>
    <row r="730" spans="25:30" ht="13">
      <c r="Y730" s="1"/>
      <c r="Z730" s="1"/>
      <c r="AA730" s="1"/>
      <c r="AB730" s="1"/>
      <c r="AC730" s="1"/>
      <c r="AD730" s="1"/>
    </row>
    <row r="731" spans="25:30" ht="13">
      <c r="Y731" s="1"/>
      <c r="Z731" s="1"/>
      <c r="AA731" s="1"/>
      <c r="AB731" s="1"/>
      <c r="AC731" s="1"/>
      <c r="AD731" s="1"/>
    </row>
    <row r="732" spans="25:30" ht="13">
      <c r="Y732" s="1"/>
      <c r="Z732" s="1"/>
      <c r="AA732" s="1"/>
      <c r="AB732" s="1"/>
      <c r="AC732" s="1"/>
      <c r="AD732" s="1"/>
    </row>
    <row r="733" spans="25:30" ht="13">
      <c r="Y733" s="1"/>
      <c r="Z733" s="1"/>
      <c r="AA733" s="1"/>
      <c r="AB733" s="1"/>
      <c r="AC733" s="1"/>
      <c r="AD733" s="1"/>
    </row>
    <row r="734" spans="25:30" ht="13">
      <c r="Y734" s="1"/>
      <c r="Z734" s="1"/>
      <c r="AA734" s="1"/>
      <c r="AB734" s="1"/>
      <c r="AC734" s="1"/>
      <c r="AD734" s="1"/>
    </row>
    <row r="735" spans="25:30" ht="13">
      <c r="Y735" s="1"/>
      <c r="Z735" s="1"/>
      <c r="AA735" s="1"/>
      <c r="AB735" s="1"/>
      <c r="AC735" s="1"/>
      <c r="AD735" s="1"/>
    </row>
    <row r="736" spans="25:30" ht="13">
      <c r="Y736" s="1"/>
      <c r="Z736" s="1"/>
      <c r="AA736" s="1"/>
      <c r="AB736" s="1"/>
      <c r="AC736" s="1"/>
      <c r="AD736" s="1"/>
    </row>
    <row r="737" spans="25:30" ht="13">
      <c r="Y737" s="1"/>
      <c r="Z737" s="1"/>
      <c r="AA737" s="1"/>
      <c r="AB737" s="1"/>
      <c r="AC737" s="1"/>
      <c r="AD737" s="1"/>
    </row>
    <row r="738" spans="25:30" ht="13">
      <c r="Y738" s="1"/>
      <c r="Z738" s="1"/>
      <c r="AA738" s="1"/>
      <c r="AB738" s="1"/>
      <c r="AC738" s="1"/>
      <c r="AD738" s="1"/>
    </row>
    <row r="739" spans="25:30" ht="13">
      <c r="Y739" s="1"/>
      <c r="Z739" s="1"/>
      <c r="AA739" s="1"/>
      <c r="AB739" s="1"/>
      <c r="AC739" s="1"/>
      <c r="AD739" s="1"/>
    </row>
    <row r="740" spans="25:30" ht="13">
      <c r="Y740" s="1"/>
      <c r="Z740" s="1"/>
      <c r="AA740" s="1"/>
      <c r="AB740" s="1"/>
      <c r="AC740" s="1"/>
      <c r="AD740" s="1"/>
    </row>
    <row r="741" spans="25:30" ht="13">
      <c r="Y741" s="1"/>
      <c r="Z741" s="1"/>
      <c r="AA741" s="1"/>
      <c r="AB741" s="1"/>
      <c r="AC741" s="1"/>
      <c r="AD741" s="1"/>
    </row>
    <row r="742" spans="25:30" ht="13">
      <c r="Y742" s="1"/>
      <c r="Z742" s="1"/>
      <c r="AA742" s="1"/>
      <c r="AB742" s="1"/>
      <c r="AC742" s="1"/>
      <c r="AD742" s="1"/>
    </row>
    <row r="743" spans="25:30" ht="13">
      <c r="Y743" s="1"/>
      <c r="Z743" s="1"/>
      <c r="AA743" s="1"/>
      <c r="AB743" s="1"/>
      <c r="AC743" s="1"/>
      <c r="AD743" s="1"/>
    </row>
    <row r="744" spans="25:30" ht="13">
      <c r="Y744" s="1"/>
      <c r="Z744" s="1"/>
      <c r="AA744" s="1"/>
      <c r="AB744" s="1"/>
      <c r="AC744" s="1"/>
      <c r="AD744" s="1"/>
    </row>
    <row r="745" spans="25:30" ht="13">
      <c r="Y745" s="1"/>
      <c r="Z745" s="1"/>
      <c r="AA745" s="1"/>
      <c r="AB745" s="1"/>
      <c r="AC745" s="1"/>
      <c r="AD745" s="1"/>
    </row>
    <row r="746" spans="25:30" ht="13">
      <c r="Y746" s="1"/>
      <c r="Z746" s="1"/>
      <c r="AA746" s="1"/>
      <c r="AB746" s="1"/>
      <c r="AC746" s="1"/>
      <c r="AD746" s="1"/>
    </row>
    <row r="747" spans="25:30" ht="13">
      <c r="Y747" s="1"/>
      <c r="Z747" s="1"/>
      <c r="AA747" s="1"/>
      <c r="AB747" s="1"/>
      <c r="AC747" s="1"/>
      <c r="AD747" s="1"/>
    </row>
    <row r="748" spans="25:30" ht="13">
      <c r="Y748" s="1"/>
      <c r="Z748" s="1"/>
      <c r="AA748" s="1"/>
      <c r="AB748" s="1"/>
      <c r="AC748" s="1"/>
      <c r="AD748" s="1"/>
    </row>
    <row r="749" spans="25:30" ht="13">
      <c r="Y749" s="1"/>
      <c r="Z749" s="1"/>
      <c r="AA749" s="1"/>
      <c r="AB749" s="1"/>
      <c r="AC749" s="1"/>
      <c r="AD749" s="1"/>
    </row>
    <row r="750" spans="25:30" ht="13">
      <c r="Y750" s="1"/>
      <c r="Z750" s="1"/>
      <c r="AA750" s="1"/>
      <c r="AB750" s="1"/>
      <c r="AC750" s="1"/>
      <c r="AD750" s="1"/>
    </row>
    <row r="751" spans="25:30" ht="13">
      <c r="Y751" s="1"/>
      <c r="Z751" s="1"/>
      <c r="AA751" s="1"/>
      <c r="AB751" s="1"/>
      <c r="AC751" s="1"/>
      <c r="AD751" s="1"/>
    </row>
    <row r="752" spans="25:30" ht="13">
      <c r="Y752" s="1"/>
      <c r="Z752" s="1"/>
      <c r="AA752" s="1"/>
      <c r="AB752" s="1"/>
      <c r="AC752" s="1"/>
      <c r="AD752" s="1"/>
    </row>
    <row r="753" spans="25:30" ht="13">
      <c r="Y753" s="1"/>
      <c r="Z753" s="1"/>
      <c r="AA753" s="1"/>
      <c r="AB753" s="1"/>
      <c r="AC753" s="1"/>
      <c r="AD753" s="1"/>
    </row>
    <row r="754" spans="25:30" ht="13">
      <c r="Y754" s="1"/>
      <c r="Z754" s="1"/>
      <c r="AA754" s="1"/>
      <c r="AB754" s="1"/>
      <c r="AC754" s="1"/>
      <c r="AD754" s="1"/>
    </row>
    <row r="755" spans="25:30" ht="13">
      <c r="Y755" s="1"/>
      <c r="Z755" s="1"/>
      <c r="AA755" s="1"/>
      <c r="AB755" s="1"/>
      <c r="AC755" s="1"/>
      <c r="AD755" s="1"/>
    </row>
    <row r="756" spans="25:30" ht="13">
      <c r="Y756" s="1"/>
      <c r="Z756" s="1"/>
      <c r="AA756" s="1"/>
      <c r="AB756" s="1"/>
      <c r="AC756" s="1"/>
      <c r="AD756" s="1"/>
    </row>
    <row r="757" spans="25:30" ht="13">
      <c r="Y757" s="1"/>
      <c r="Z757" s="1"/>
      <c r="AA757" s="1"/>
      <c r="AB757" s="1"/>
      <c r="AC757" s="1"/>
      <c r="AD757" s="1"/>
    </row>
    <row r="758" spans="25:30" ht="13">
      <c r="Y758" s="1"/>
      <c r="Z758" s="1"/>
      <c r="AA758" s="1"/>
      <c r="AB758" s="1"/>
      <c r="AC758" s="1"/>
      <c r="AD758" s="1"/>
    </row>
    <row r="759" spans="25:30" ht="13">
      <c r="Y759" s="1"/>
      <c r="Z759" s="1"/>
      <c r="AA759" s="1"/>
      <c r="AB759" s="1"/>
      <c r="AC759" s="1"/>
      <c r="AD759" s="1"/>
    </row>
    <row r="760" spans="25:30" ht="13">
      <c r="Y760" s="1"/>
      <c r="Z760" s="1"/>
      <c r="AA760" s="1"/>
      <c r="AB760" s="1"/>
      <c r="AC760" s="1"/>
      <c r="AD760" s="1"/>
    </row>
    <row r="761" spans="25:30" ht="13">
      <c r="Y761" s="1"/>
      <c r="Z761" s="1"/>
      <c r="AA761" s="1"/>
      <c r="AB761" s="1"/>
      <c r="AC761" s="1"/>
      <c r="AD761" s="1"/>
    </row>
    <row r="762" spans="25:30" ht="13">
      <c r="Y762" s="1"/>
      <c r="Z762" s="1"/>
      <c r="AA762" s="1"/>
      <c r="AB762" s="1"/>
      <c r="AC762" s="1"/>
      <c r="AD762" s="1"/>
    </row>
    <row r="763" spans="25:30" ht="13">
      <c r="Y763" s="1"/>
      <c r="Z763" s="1"/>
      <c r="AA763" s="1"/>
      <c r="AB763" s="1"/>
      <c r="AC763" s="1"/>
      <c r="AD763" s="1"/>
    </row>
    <row r="764" spans="25:30" ht="13">
      <c r="Y764" s="1"/>
      <c r="Z764" s="1"/>
      <c r="AA764" s="1"/>
      <c r="AB764" s="1"/>
      <c r="AC764" s="1"/>
      <c r="AD764" s="1"/>
    </row>
    <row r="765" spans="25:30" ht="13">
      <c r="Y765" s="1"/>
      <c r="Z765" s="1"/>
      <c r="AA765" s="1"/>
      <c r="AB765" s="1"/>
      <c r="AC765" s="1"/>
      <c r="AD765" s="1"/>
    </row>
    <row r="766" spans="25:30" ht="13">
      <c r="Y766" s="1"/>
      <c r="Z766" s="1"/>
      <c r="AA766" s="1"/>
      <c r="AB766" s="1"/>
      <c r="AC766" s="1"/>
      <c r="AD766" s="1"/>
    </row>
    <row r="767" spans="25:30" ht="13">
      <c r="Y767" s="1"/>
      <c r="Z767" s="1"/>
      <c r="AA767" s="1"/>
      <c r="AB767" s="1"/>
      <c r="AC767" s="1"/>
      <c r="AD767" s="1"/>
    </row>
    <row r="768" spans="25:30" ht="13">
      <c r="Y768" s="1"/>
      <c r="Z768" s="1"/>
      <c r="AA768" s="1"/>
      <c r="AB768" s="1"/>
      <c r="AC768" s="1"/>
      <c r="AD768" s="1"/>
    </row>
    <row r="769" spans="25:30" ht="13">
      <c r="Y769" s="1"/>
      <c r="Z769" s="1"/>
      <c r="AA769" s="1"/>
      <c r="AB769" s="1"/>
      <c r="AC769" s="1"/>
      <c r="AD769" s="1"/>
    </row>
    <row r="770" spans="25:30" ht="13">
      <c r="Y770" s="1"/>
      <c r="Z770" s="1"/>
      <c r="AA770" s="1"/>
      <c r="AB770" s="1"/>
      <c r="AC770" s="1"/>
      <c r="AD770" s="1"/>
    </row>
    <row r="771" spans="25:30" ht="13">
      <c r="Y771" s="1"/>
      <c r="Z771" s="1"/>
      <c r="AA771" s="1"/>
      <c r="AB771" s="1"/>
      <c r="AC771" s="1"/>
      <c r="AD771" s="1"/>
    </row>
    <row r="772" spans="25:30" ht="13">
      <c r="Y772" s="1"/>
      <c r="Z772" s="1"/>
      <c r="AA772" s="1"/>
      <c r="AB772" s="1"/>
      <c r="AC772" s="1"/>
      <c r="AD772" s="1"/>
    </row>
    <row r="773" spans="25:30" ht="13">
      <c r="Y773" s="1"/>
      <c r="Z773" s="1"/>
      <c r="AA773" s="1"/>
      <c r="AB773" s="1"/>
      <c r="AC773" s="1"/>
      <c r="AD773" s="1"/>
    </row>
    <row r="774" spans="25:30" ht="13">
      <c r="Y774" s="1"/>
      <c r="Z774" s="1"/>
      <c r="AA774" s="1"/>
      <c r="AB774" s="1"/>
      <c r="AC774" s="1"/>
      <c r="AD774" s="1"/>
    </row>
    <row r="775" spans="25:30" ht="13">
      <c r="Y775" s="1"/>
      <c r="Z775" s="1"/>
      <c r="AA775" s="1"/>
      <c r="AB775" s="1"/>
      <c r="AC775" s="1"/>
      <c r="AD775" s="1"/>
    </row>
    <row r="776" spans="25:30" ht="13">
      <c r="Y776" s="1"/>
      <c r="Z776" s="1"/>
      <c r="AA776" s="1"/>
      <c r="AB776" s="1"/>
      <c r="AC776" s="1"/>
      <c r="AD776" s="1"/>
    </row>
    <row r="777" spans="25:30" ht="13">
      <c r="Y777" s="1"/>
      <c r="Z777" s="1"/>
      <c r="AA777" s="1"/>
      <c r="AB777" s="1"/>
      <c r="AC777" s="1"/>
      <c r="AD777" s="1"/>
    </row>
    <row r="778" spans="25:30" ht="13">
      <c r="Y778" s="1"/>
      <c r="Z778" s="1"/>
      <c r="AA778" s="1"/>
      <c r="AB778" s="1"/>
      <c r="AC778" s="1"/>
      <c r="AD778" s="1"/>
    </row>
    <row r="779" spans="25:30" ht="13">
      <c r="Y779" s="1"/>
      <c r="Z779" s="1"/>
      <c r="AA779" s="1"/>
      <c r="AB779" s="1"/>
      <c r="AC779" s="1"/>
      <c r="AD779" s="1"/>
    </row>
    <row r="780" spans="25:30" ht="13">
      <c r="Y780" s="1"/>
      <c r="Z780" s="1"/>
      <c r="AA780" s="1"/>
      <c r="AB780" s="1"/>
      <c r="AC780" s="1"/>
      <c r="AD780" s="1"/>
    </row>
    <row r="781" spans="25:30" ht="13">
      <c r="Y781" s="1"/>
      <c r="Z781" s="1"/>
      <c r="AA781" s="1"/>
      <c r="AB781" s="1"/>
      <c r="AC781" s="1"/>
      <c r="AD781" s="1"/>
    </row>
    <row r="782" spans="25:30" ht="13">
      <c r="Y782" s="1"/>
      <c r="Z782" s="1"/>
      <c r="AA782" s="1"/>
      <c r="AB782" s="1"/>
      <c r="AC782" s="1"/>
      <c r="AD782" s="1"/>
    </row>
    <row r="783" spans="25:30" ht="13">
      <c r="Y783" s="1"/>
      <c r="Z783" s="1"/>
      <c r="AA783" s="1"/>
      <c r="AB783" s="1"/>
      <c r="AC783" s="1"/>
      <c r="AD783" s="1"/>
    </row>
    <row r="784" spans="25:30" ht="13">
      <c r="Y784" s="1"/>
      <c r="Z784" s="1"/>
      <c r="AA784" s="1"/>
      <c r="AB784" s="1"/>
      <c r="AC784" s="1"/>
      <c r="AD784" s="1"/>
    </row>
    <row r="785" spans="25:30" ht="13">
      <c r="Y785" s="1"/>
      <c r="Z785" s="1"/>
      <c r="AA785" s="1"/>
      <c r="AB785" s="1"/>
      <c r="AC785" s="1"/>
      <c r="AD785" s="1"/>
    </row>
    <row r="786" spans="25:30" ht="13">
      <c r="Y786" s="1"/>
      <c r="Z786" s="1"/>
      <c r="AA786" s="1"/>
      <c r="AB786" s="1"/>
      <c r="AC786" s="1"/>
      <c r="AD786" s="1"/>
    </row>
    <row r="787" spans="25:30" ht="13">
      <c r="Y787" s="1"/>
      <c r="Z787" s="1"/>
      <c r="AA787" s="1"/>
      <c r="AB787" s="1"/>
      <c r="AC787" s="1"/>
      <c r="AD787" s="1"/>
    </row>
    <row r="788" spans="25:30" ht="13">
      <c r="Y788" s="1"/>
      <c r="Z788" s="1"/>
      <c r="AA788" s="1"/>
      <c r="AB788" s="1"/>
      <c r="AC788" s="1"/>
      <c r="AD788" s="1"/>
    </row>
    <row r="789" spans="25:30" ht="13">
      <c r="Y789" s="1"/>
      <c r="Z789" s="1"/>
      <c r="AA789" s="1"/>
      <c r="AB789" s="1"/>
      <c r="AC789" s="1"/>
      <c r="AD789" s="1"/>
    </row>
    <row r="790" spans="25:30" ht="13">
      <c r="Y790" s="1"/>
      <c r="Z790" s="1"/>
      <c r="AA790" s="1"/>
      <c r="AB790" s="1"/>
      <c r="AC790" s="1"/>
      <c r="AD790" s="1"/>
    </row>
    <row r="791" spans="25:30" ht="13">
      <c r="Y791" s="1"/>
      <c r="Z791" s="1"/>
      <c r="AA791" s="1"/>
      <c r="AB791" s="1"/>
      <c r="AC791" s="1"/>
      <c r="AD791" s="1"/>
    </row>
    <row r="792" spans="25:30" ht="13">
      <c r="Y792" s="1"/>
      <c r="Z792" s="1"/>
      <c r="AA792" s="1"/>
      <c r="AB792" s="1"/>
      <c r="AC792" s="1"/>
      <c r="AD792" s="1"/>
    </row>
    <row r="793" spans="25:30" ht="13">
      <c r="Y793" s="1"/>
      <c r="Z793" s="1"/>
      <c r="AA793" s="1"/>
      <c r="AB793" s="1"/>
      <c r="AC793" s="1"/>
      <c r="AD793" s="1"/>
    </row>
    <row r="794" spans="25:30" ht="13">
      <c r="Y794" s="1"/>
      <c r="Z794" s="1"/>
      <c r="AA794" s="1"/>
      <c r="AB794" s="1"/>
      <c r="AC794" s="1"/>
      <c r="AD794" s="1"/>
    </row>
    <row r="795" spans="25:30" ht="13">
      <c r="Y795" s="1"/>
      <c r="Z795" s="1"/>
      <c r="AA795" s="1"/>
      <c r="AB795" s="1"/>
      <c r="AC795" s="1"/>
      <c r="AD795" s="1"/>
    </row>
    <row r="796" spans="25:30" ht="13">
      <c r="Y796" s="1"/>
      <c r="Z796" s="1"/>
      <c r="AA796" s="1"/>
      <c r="AB796" s="1"/>
      <c r="AC796" s="1"/>
      <c r="AD796" s="1"/>
    </row>
    <row r="797" spans="25:30" ht="13">
      <c r="Y797" s="1"/>
      <c r="Z797" s="1"/>
      <c r="AA797" s="1"/>
      <c r="AB797" s="1"/>
      <c r="AC797" s="1"/>
      <c r="AD797" s="1"/>
    </row>
    <row r="798" spans="25:30" ht="13">
      <c r="Y798" s="1"/>
      <c r="Z798" s="1"/>
      <c r="AA798" s="1"/>
      <c r="AB798" s="1"/>
      <c r="AC798" s="1"/>
      <c r="AD798" s="1"/>
    </row>
    <row r="799" spans="25:30" ht="13">
      <c r="Y799" s="1"/>
      <c r="Z799" s="1"/>
      <c r="AA799" s="1"/>
      <c r="AB799" s="1"/>
      <c r="AC799" s="1"/>
      <c r="AD799" s="1"/>
    </row>
    <row r="800" spans="25:30" ht="13">
      <c r="Y800" s="1"/>
      <c r="Z800" s="1"/>
      <c r="AA800" s="1"/>
      <c r="AB800" s="1"/>
      <c r="AC800" s="1"/>
      <c r="AD800" s="1"/>
    </row>
    <row r="801" spans="25:30" ht="13">
      <c r="Y801" s="1"/>
      <c r="Z801" s="1"/>
      <c r="AA801" s="1"/>
      <c r="AB801" s="1"/>
      <c r="AC801" s="1"/>
      <c r="AD801" s="1"/>
    </row>
    <row r="802" spans="25:30" ht="13">
      <c r="Y802" s="1"/>
      <c r="Z802" s="1"/>
      <c r="AA802" s="1"/>
      <c r="AB802" s="1"/>
      <c r="AC802" s="1"/>
      <c r="AD802" s="1"/>
    </row>
    <row r="803" spans="25:30" ht="13">
      <c r="Y803" s="1"/>
      <c r="Z803" s="1"/>
      <c r="AA803" s="1"/>
      <c r="AB803" s="1"/>
      <c r="AC803" s="1"/>
      <c r="AD803" s="1"/>
    </row>
    <row r="804" spans="25:30" ht="13">
      <c r="Y804" s="1"/>
      <c r="Z804" s="1"/>
      <c r="AA804" s="1"/>
      <c r="AB804" s="1"/>
      <c r="AC804" s="1"/>
      <c r="AD804" s="1"/>
    </row>
    <row r="805" spans="25:30" ht="13">
      <c r="Y805" s="1"/>
      <c r="Z805" s="1"/>
      <c r="AA805" s="1"/>
      <c r="AB805" s="1"/>
      <c r="AC805" s="1"/>
      <c r="AD805" s="1"/>
    </row>
    <row r="806" spans="25:30" ht="13">
      <c r="Y806" s="1"/>
      <c r="Z806" s="1"/>
      <c r="AA806" s="1"/>
      <c r="AB806" s="1"/>
      <c r="AC806" s="1"/>
      <c r="AD806" s="1"/>
    </row>
    <row r="807" spans="25:30" ht="13">
      <c r="Y807" s="1"/>
      <c r="Z807" s="1"/>
      <c r="AA807" s="1"/>
      <c r="AB807" s="1"/>
      <c r="AC807" s="1"/>
      <c r="AD807" s="1"/>
    </row>
    <row r="808" spans="25:30" ht="13">
      <c r="Y808" s="1"/>
      <c r="Z808" s="1"/>
      <c r="AA808" s="1"/>
      <c r="AB808" s="1"/>
      <c r="AC808" s="1"/>
      <c r="AD808" s="1"/>
    </row>
    <row r="809" spans="25:30" ht="13">
      <c r="Y809" s="1"/>
      <c r="Z809" s="1"/>
      <c r="AA809" s="1"/>
      <c r="AB809" s="1"/>
      <c r="AC809" s="1"/>
      <c r="AD809" s="1"/>
    </row>
    <row r="810" spans="25:30" ht="13">
      <c r="Y810" s="1"/>
      <c r="Z810" s="1"/>
      <c r="AA810" s="1"/>
      <c r="AB810" s="1"/>
      <c r="AC810" s="1"/>
      <c r="AD810" s="1"/>
    </row>
    <row r="811" spans="25:30" ht="13">
      <c r="Y811" s="1"/>
      <c r="Z811" s="1"/>
      <c r="AA811" s="1"/>
      <c r="AB811" s="1"/>
      <c r="AC811" s="1"/>
      <c r="AD811" s="1"/>
    </row>
    <row r="812" spans="25:30" ht="13">
      <c r="Y812" s="1"/>
      <c r="Z812" s="1"/>
      <c r="AA812" s="1"/>
      <c r="AB812" s="1"/>
      <c r="AC812" s="1"/>
      <c r="AD812" s="1"/>
    </row>
    <row r="813" spans="25:30" ht="13">
      <c r="Y813" s="1"/>
      <c r="Z813" s="1"/>
      <c r="AA813" s="1"/>
      <c r="AB813" s="1"/>
      <c r="AC813" s="1"/>
      <c r="AD813" s="1"/>
    </row>
    <row r="814" spans="25:30" ht="13">
      <c r="Y814" s="1"/>
      <c r="Z814" s="1"/>
      <c r="AA814" s="1"/>
      <c r="AB814" s="1"/>
      <c r="AC814" s="1"/>
      <c r="AD814" s="1"/>
    </row>
    <row r="815" spans="25:30" ht="13">
      <c r="Y815" s="1"/>
      <c r="Z815" s="1"/>
      <c r="AA815" s="1"/>
      <c r="AB815" s="1"/>
      <c r="AC815" s="1"/>
      <c r="AD815" s="1"/>
    </row>
    <row r="816" spans="25:30" ht="13">
      <c r="Y816" s="1"/>
      <c r="Z816" s="1"/>
      <c r="AA816" s="1"/>
      <c r="AB816" s="1"/>
      <c r="AC816" s="1"/>
      <c r="AD816" s="1"/>
    </row>
    <row r="817" spans="25:30" ht="13">
      <c r="Y817" s="1"/>
      <c r="Z817" s="1"/>
      <c r="AA817" s="1"/>
      <c r="AB817" s="1"/>
      <c r="AC817" s="1"/>
      <c r="AD817" s="1"/>
    </row>
    <row r="818" spans="25:30" ht="13">
      <c r="Y818" s="1"/>
      <c r="Z818" s="1"/>
      <c r="AA818" s="1"/>
      <c r="AB818" s="1"/>
      <c r="AC818" s="1"/>
      <c r="AD818" s="1"/>
    </row>
    <row r="819" spans="25:30" ht="13">
      <c r="Y819" s="1"/>
      <c r="Z819" s="1"/>
      <c r="AA819" s="1"/>
      <c r="AB819" s="1"/>
      <c r="AC819" s="1"/>
      <c r="AD819" s="1"/>
    </row>
    <row r="820" spans="25:30" ht="13">
      <c r="Y820" s="1"/>
      <c r="Z820" s="1"/>
      <c r="AA820" s="1"/>
      <c r="AB820" s="1"/>
      <c r="AC820" s="1"/>
      <c r="AD820" s="1"/>
    </row>
    <row r="821" spans="25:30" ht="13">
      <c r="Y821" s="1"/>
      <c r="Z821" s="1"/>
      <c r="AA821" s="1"/>
      <c r="AB821" s="1"/>
      <c r="AC821" s="1"/>
      <c r="AD821" s="1"/>
    </row>
    <row r="822" spans="25:30" ht="13">
      <c r="Y822" s="1"/>
      <c r="Z822" s="1"/>
      <c r="AA822" s="1"/>
      <c r="AB822" s="1"/>
      <c r="AC822" s="1"/>
      <c r="AD822" s="1"/>
    </row>
    <row r="823" spans="25:30" ht="13">
      <c r="Y823" s="1"/>
      <c r="Z823" s="1"/>
      <c r="AA823" s="1"/>
      <c r="AB823" s="1"/>
      <c r="AC823" s="1"/>
      <c r="AD823" s="1"/>
    </row>
    <row r="824" spans="25:30" ht="13">
      <c r="Y824" s="1"/>
      <c r="Z824" s="1"/>
      <c r="AA824" s="1"/>
      <c r="AB824" s="1"/>
      <c r="AC824" s="1"/>
      <c r="AD824" s="1"/>
    </row>
    <row r="825" spans="25:30" ht="13">
      <c r="Y825" s="1"/>
      <c r="Z825" s="1"/>
      <c r="AA825" s="1"/>
      <c r="AB825" s="1"/>
      <c r="AC825" s="1"/>
      <c r="AD825" s="1"/>
    </row>
    <row r="826" spans="25:30" ht="13">
      <c r="Y826" s="1"/>
      <c r="Z826" s="1"/>
      <c r="AA826" s="1"/>
      <c r="AB826" s="1"/>
      <c r="AC826" s="1"/>
      <c r="AD826" s="1"/>
    </row>
    <row r="827" spans="25:30" ht="13">
      <c r="Y827" s="1"/>
      <c r="Z827" s="1"/>
      <c r="AA827" s="1"/>
      <c r="AB827" s="1"/>
      <c r="AC827" s="1"/>
      <c r="AD827" s="1"/>
    </row>
    <row r="828" spans="25:30" ht="13">
      <c r="Y828" s="1"/>
      <c r="Z828" s="1"/>
      <c r="AA828" s="1"/>
      <c r="AB828" s="1"/>
      <c r="AC828" s="1"/>
      <c r="AD828" s="1"/>
    </row>
    <row r="829" spans="25:30" ht="13">
      <c r="Y829" s="1"/>
      <c r="Z829" s="1"/>
      <c r="AA829" s="1"/>
      <c r="AB829" s="1"/>
      <c r="AC829" s="1"/>
      <c r="AD829" s="1"/>
    </row>
    <row r="830" spans="25:30" ht="13">
      <c r="Y830" s="1"/>
      <c r="Z830" s="1"/>
      <c r="AA830" s="1"/>
      <c r="AB830" s="1"/>
      <c r="AC830" s="1"/>
      <c r="AD830" s="1"/>
    </row>
    <row r="831" spans="25:30" ht="13">
      <c r="Y831" s="1"/>
      <c r="Z831" s="1"/>
      <c r="AA831" s="1"/>
      <c r="AB831" s="1"/>
      <c r="AC831" s="1"/>
      <c r="AD831" s="1"/>
    </row>
    <row r="832" spans="25:30" ht="13">
      <c r="Y832" s="1"/>
      <c r="Z832" s="1"/>
      <c r="AA832" s="1"/>
      <c r="AB832" s="1"/>
      <c r="AC832" s="1"/>
      <c r="AD832" s="1"/>
    </row>
    <row r="833" spans="25:30" ht="13">
      <c r="Y833" s="1"/>
      <c r="Z833" s="1"/>
      <c r="AA833" s="1"/>
      <c r="AB833" s="1"/>
      <c r="AC833" s="1"/>
      <c r="AD833" s="1"/>
    </row>
    <row r="834" spans="25:30" ht="13">
      <c r="Y834" s="1"/>
      <c r="Z834" s="1"/>
      <c r="AA834" s="1"/>
      <c r="AB834" s="1"/>
      <c r="AC834" s="1"/>
      <c r="AD834" s="1"/>
    </row>
    <row r="835" spans="25:30" ht="13">
      <c r="Y835" s="1"/>
      <c r="Z835" s="1"/>
      <c r="AA835" s="1"/>
      <c r="AB835" s="1"/>
      <c r="AC835" s="1"/>
      <c r="AD835" s="1"/>
    </row>
    <row r="836" spans="25:30" ht="13">
      <c r="Y836" s="1"/>
      <c r="Z836" s="1"/>
      <c r="AA836" s="1"/>
      <c r="AB836" s="1"/>
      <c r="AC836" s="1"/>
      <c r="AD836" s="1"/>
    </row>
    <row r="837" spans="25:30" ht="13">
      <c r="Y837" s="1"/>
      <c r="Z837" s="1"/>
      <c r="AA837" s="1"/>
      <c r="AB837" s="1"/>
      <c r="AC837" s="1"/>
      <c r="AD837" s="1"/>
    </row>
    <row r="838" spans="25:30" ht="13">
      <c r="Y838" s="1"/>
      <c r="Z838" s="1"/>
      <c r="AA838" s="1"/>
      <c r="AB838" s="1"/>
      <c r="AC838" s="1"/>
      <c r="AD838" s="1"/>
    </row>
    <row r="839" spans="25:30" ht="13">
      <c r="Y839" s="1"/>
      <c r="Z839" s="1"/>
      <c r="AA839" s="1"/>
      <c r="AB839" s="1"/>
      <c r="AC839" s="1"/>
      <c r="AD839" s="1"/>
    </row>
    <row r="840" spans="25:30" ht="13">
      <c r="Y840" s="1"/>
      <c r="Z840" s="1"/>
      <c r="AA840" s="1"/>
      <c r="AB840" s="1"/>
      <c r="AC840" s="1"/>
      <c r="AD840" s="1"/>
    </row>
    <row r="841" spans="25:30" ht="13">
      <c r="Y841" s="1"/>
      <c r="Z841" s="1"/>
      <c r="AA841" s="1"/>
      <c r="AB841" s="1"/>
      <c r="AC841" s="1"/>
      <c r="AD841" s="1"/>
    </row>
    <row r="842" spans="25:30" ht="13">
      <c r="Y842" s="1"/>
      <c r="Z842" s="1"/>
      <c r="AA842" s="1"/>
      <c r="AB842" s="1"/>
      <c r="AC842" s="1"/>
      <c r="AD842" s="1"/>
    </row>
    <row r="843" spans="25:30" ht="13">
      <c r="Y843" s="1"/>
      <c r="Z843" s="1"/>
      <c r="AA843" s="1"/>
      <c r="AB843" s="1"/>
      <c r="AC843" s="1"/>
      <c r="AD843" s="1"/>
    </row>
    <row r="844" spans="25:30" ht="13">
      <c r="Y844" s="1"/>
      <c r="Z844" s="1"/>
      <c r="AA844" s="1"/>
      <c r="AB844" s="1"/>
      <c r="AC844" s="1"/>
      <c r="AD844" s="1"/>
    </row>
    <row r="845" spans="25:30" ht="13">
      <c r="Y845" s="1"/>
      <c r="Z845" s="1"/>
      <c r="AA845" s="1"/>
      <c r="AB845" s="1"/>
      <c r="AC845" s="1"/>
      <c r="AD845" s="1"/>
    </row>
    <row r="846" spans="25:30" ht="13">
      <c r="Y846" s="1"/>
      <c r="Z846" s="1"/>
      <c r="AA846" s="1"/>
      <c r="AB846" s="1"/>
      <c r="AC846" s="1"/>
      <c r="AD846" s="1"/>
    </row>
    <row r="847" spans="25:30" ht="13">
      <c r="Y847" s="1"/>
      <c r="Z847" s="1"/>
      <c r="AA847" s="1"/>
      <c r="AB847" s="1"/>
      <c r="AC847" s="1"/>
      <c r="AD847" s="1"/>
    </row>
    <row r="848" spans="25:30" ht="13">
      <c r="Y848" s="1"/>
      <c r="Z848" s="1"/>
      <c r="AA848" s="1"/>
      <c r="AB848" s="1"/>
      <c r="AC848" s="1"/>
      <c r="AD848" s="1"/>
    </row>
    <row r="849" spans="25:30" ht="13">
      <c r="Y849" s="1"/>
      <c r="Z849" s="1"/>
      <c r="AA849" s="1"/>
      <c r="AB849" s="1"/>
      <c r="AC849" s="1"/>
      <c r="AD849" s="1"/>
    </row>
    <row r="850" spans="25:30" ht="13">
      <c r="Y850" s="1"/>
      <c r="Z850" s="1"/>
      <c r="AA850" s="1"/>
      <c r="AB850" s="1"/>
      <c r="AC850" s="1"/>
      <c r="AD850" s="1"/>
    </row>
    <row r="851" spans="25:30" ht="13">
      <c r="Y851" s="1"/>
      <c r="Z851" s="1"/>
      <c r="AA851" s="1"/>
      <c r="AB851" s="1"/>
      <c r="AC851" s="1"/>
      <c r="AD851" s="1"/>
    </row>
    <row r="852" spans="25:30" ht="13">
      <c r="Y852" s="1"/>
      <c r="Z852" s="1"/>
      <c r="AA852" s="1"/>
      <c r="AB852" s="1"/>
      <c r="AC852" s="1"/>
      <c r="AD852" s="1"/>
    </row>
    <row r="853" spans="25:30" ht="13">
      <c r="Y853" s="1"/>
      <c r="Z853" s="1"/>
      <c r="AA853" s="1"/>
      <c r="AB853" s="1"/>
      <c r="AC853" s="1"/>
      <c r="AD853" s="1"/>
    </row>
    <row r="854" spans="25:30" ht="13">
      <c r="Y854" s="1"/>
      <c r="Z854" s="1"/>
      <c r="AA854" s="1"/>
      <c r="AB854" s="1"/>
      <c r="AC854" s="1"/>
      <c r="AD854" s="1"/>
    </row>
    <row r="855" spans="25:30" ht="13">
      <c r="Y855" s="1"/>
      <c r="Z855" s="1"/>
      <c r="AA855" s="1"/>
      <c r="AB855" s="1"/>
      <c r="AC855" s="1"/>
      <c r="AD855" s="1"/>
    </row>
    <row r="856" spans="25:30" ht="13">
      <c r="Y856" s="1"/>
      <c r="Z856" s="1"/>
      <c r="AA856" s="1"/>
      <c r="AB856" s="1"/>
      <c r="AC856" s="1"/>
      <c r="AD856" s="1"/>
    </row>
    <row r="857" spans="25:30" ht="13">
      <c r="Y857" s="1"/>
      <c r="Z857" s="1"/>
      <c r="AA857" s="1"/>
      <c r="AB857" s="1"/>
      <c r="AC857" s="1"/>
      <c r="AD857" s="1"/>
    </row>
    <row r="858" spans="25:30" ht="13">
      <c r="Y858" s="1"/>
      <c r="Z858" s="1"/>
      <c r="AA858" s="1"/>
      <c r="AB858" s="1"/>
      <c r="AC858" s="1"/>
      <c r="AD858" s="1"/>
    </row>
    <row r="859" spans="25:30" ht="13">
      <c r="Y859" s="1"/>
      <c r="Z859" s="1"/>
      <c r="AA859" s="1"/>
      <c r="AB859" s="1"/>
      <c r="AC859" s="1"/>
      <c r="AD859" s="1"/>
    </row>
    <row r="860" spans="25:30" ht="13">
      <c r="Y860" s="1"/>
      <c r="Z860" s="1"/>
      <c r="AA860" s="1"/>
      <c r="AB860" s="1"/>
      <c r="AC860" s="1"/>
      <c r="AD860" s="1"/>
    </row>
    <row r="861" spans="25:30" ht="13">
      <c r="Y861" s="1"/>
      <c r="Z861" s="1"/>
      <c r="AA861" s="1"/>
      <c r="AB861" s="1"/>
      <c r="AC861" s="1"/>
      <c r="AD861" s="1"/>
    </row>
    <row r="862" spans="25:30" ht="13">
      <c r="Y862" s="1"/>
      <c r="Z862" s="1"/>
      <c r="AA862" s="1"/>
      <c r="AB862" s="1"/>
      <c r="AC862" s="1"/>
      <c r="AD862" s="1"/>
    </row>
    <row r="863" spans="25:30" ht="13">
      <c r="Y863" s="1"/>
      <c r="Z863" s="1"/>
      <c r="AA863" s="1"/>
      <c r="AB863" s="1"/>
      <c r="AC863" s="1"/>
      <c r="AD863" s="1"/>
    </row>
    <row r="864" spans="25:30" ht="13">
      <c r="Y864" s="1"/>
      <c r="Z864" s="1"/>
      <c r="AA864" s="1"/>
      <c r="AB864" s="1"/>
      <c r="AC864" s="1"/>
      <c r="AD864" s="1"/>
    </row>
    <row r="865" spans="25:30" ht="13">
      <c r="Y865" s="1"/>
      <c r="Z865" s="1"/>
      <c r="AA865" s="1"/>
      <c r="AB865" s="1"/>
      <c r="AC865" s="1"/>
      <c r="AD865" s="1"/>
    </row>
    <row r="866" spans="25:30" ht="13">
      <c r="Y866" s="1"/>
      <c r="Z866" s="1"/>
      <c r="AA866" s="1"/>
      <c r="AB866" s="1"/>
      <c r="AC866" s="1"/>
      <c r="AD866" s="1"/>
    </row>
    <row r="867" spans="25:30" ht="13">
      <c r="Y867" s="1"/>
      <c r="Z867" s="1"/>
      <c r="AA867" s="1"/>
      <c r="AB867" s="1"/>
      <c r="AC867" s="1"/>
      <c r="AD867" s="1"/>
    </row>
    <row r="868" spans="25:30" ht="13">
      <c r="Y868" s="1"/>
      <c r="Z868" s="1"/>
      <c r="AA868" s="1"/>
      <c r="AB868" s="1"/>
      <c r="AC868" s="1"/>
      <c r="AD868" s="1"/>
    </row>
    <row r="869" spans="25:30" ht="13">
      <c r="Y869" s="1"/>
      <c r="Z869" s="1"/>
      <c r="AA869" s="1"/>
      <c r="AB869" s="1"/>
      <c r="AC869" s="1"/>
      <c r="AD869" s="1"/>
    </row>
    <row r="870" spans="25:30" ht="13">
      <c r="Y870" s="1"/>
      <c r="Z870" s="1"/>
      <c r="AA870" s="1"/>
      <c r="AB870" s="1"/>
      <c r="AC870" s="1"/>
      <c r="AD870" s="1"/>
    </row>
    <row r="871" spans="25:30" ht="13">
      <c r="Y871" s="1"/>
      <c r="Z871" s="1"/>
      <c r="AA871" s="1"/>
      <c r="AB871" s="1"/>
      <c r="AC871" s="1"/>
      <c r="AD871" s="1"/>
    </row>
    <row r="872" spans="25:30" ht="13">
      <c r="Y872" s="1"/>
      <c r="Z872" s="1"/>
      <c r="AA872" s="1"/>
      <c r="AB872" s="1"/>
      <c r="AC872" s="1"/>
      <c r="AD872" s="1"/>
    </row>
    <row r="873" spans="25:30" ht="13">
      <c r="Y873" s="1"/>
      <c r="Z873" s="1"/>
      <c r="AA873" s="1"/>
      <c r="AB873" s="1"/>
      <c r="AC873" s="1"/>
      <c r="AD873" s="1"/>
    </row>
    <row r="874" spans="25:30" ht="13">
      <c r="Y874" s="1"/>
      <c r="Z874" s="1"/>
      <c r="AA874" s="1"/>
      <c r="AB874" s="1"/>
      <c r="AC874" s="1"/>
      <c r="AD874" s="1"/>
    </row>
    <row r="875" spans="25:30" ht="13">
      <c r="Y875" s="1"/>
      <c r="Z875" s="1"/>
      <c r="AA875" s="1"/>
      <c r="AB875" s="1"/>
      <c r="AC875" s="1"/>
      <c r="AD875" s="1"/>
    </row>
    <row r="876" spans="25:30" ht="13">
      <c r="Y876" s="1"/>
      <c r="Z876" s="1"/>
      <c r="AA876" s="1"/>
      <c r="AB876" s="1"/>
      <c r="AC876" s="1"/>
      <c r="AD876" s="1"/>
    </row>
    <row r="877" spans="25:30" ht="13">
      <c r="Y877" s="1"/>
      <c r="Z877" s="1"/>
      <c r="AA877" s="1"/>
      <c r="AB877" s="1"/>
      <c r="AC877" s="1"/>
      <c r="AD877" s="1"/>
    </row>
    <row r="878" spans="25:30" ht="13">
      <c r="Y878" s="1"/>
      <c r="Z878" s="1"/>
      <c r="AA878" s="1"/>
      <c r="AB878" s="1"/>
      <c r="AC878" s="1"/>
      <c r="AD878" s="1"/>
    </row>
    <row r="879" spans="25:30" ht="13">
      <c r="Y879" s="1"/>
      <c r="Z879" s="1"/>
      <c r="AA879" s="1"/>
      <c r="AB879" s="1"/>
      <c r="AC879" s="1"/>
      <c r="AD879" s="1"/>
    </row>
    <row r="880" spans="25:30" ht="13">
      <c r="Y880" s="1"/>
      <c r="Z880" s="1"/>
      <c r="AA880" s="1"/>
      <c r="AB880" s="1"/>
      <c r="AC880" s="1"/>
      <c r="AD880" s="1"/>
    </row>
    <row r="881" spans="25:30" ht="13">
      <c r="Y881" s="1"/>
      <c r="Z881" s="1"/>
      <c r="AA881" s="1"/>
      <c r="AB881" s="1"/>
      <c r="AC881" s="1"/>
      <c r="AD881" s="1"/>
    </row>
    <row r="882" spans="25:30" ht="13">
      <c r="Y882" s="1"/>
      <c r="Z882" s="1"/>
      <c r="AA882" s="1"/>
      <c r="AB882" s="1"/>
      <c r="AC882" s="1"/>
      <c r="AD882" s="1"/>
    </row>
    <row r="883" spans="25:30" ht="13">
      <c r="Y883" s="1"/>
      <c r="Z883" s="1"/>
      <c r="AA883" s="1"/>
      <c r="AB883" s="1"/>
      <c r="AC883" s="1"/>
      <c r="AD883" s="1"/>
    </row>
    <row r="884" spans="25:30" ht="13">
      <c r="Y884" s="1"/>
      <c r="Z884" s="1"/>
      <c r="AA884" s="1"/>
      <c r="AB884" s="1"/>
      <c r="AC884" s="1"/>
      <c r="AD884" s="1"/>
    </row>
    <row r="885" spans="25:30" ht="13">
      <c r="Y885" s="1"/>
      <c r="Z885" s="1"/>
      <c r="AA885" s="1"/>
      <c r="AB885" s="1"/>
      <c r="AC885" s="1"/>
      <c r="AD885" s="1"/>
    </row>
    <row r="886" spans="25:30" ht="13">
      <c r="Y886" s="1"/>
      <c r="Z886" s="1"/>
      <c r="AA886" s="1"/>
      <c r="AB886" s="1"/>
      <c r="AC886" s="1"/>
      <c r="AD886" s="1"/>
    </row>
    <row r="887" spans="25:30" ht="13">
      <c r="Y887" s="1"/>
      <c r="Z887" s="1"/>
      <c r="AA887" s="1"/>
      <c r="AB887" s="1"/>
      <c r="AC887" s="1"/>
      <c r="AD887" s="1"/>
    </row>
    <row r="888" spans="25:30" ht="13">
      <c r="Y888" s="1"/>
      <c r="Z888" s="1"/>
      <c r="AA888" s="1"/>
      <c r="AB888" s="1"/>
      <c r="AC888" s="1"/>
      <c r="AD888" s="1"/>
    </row>
    <row r="889" spans="25:30" ht="13">
      <c r="Y889" s="1"/>
      <c r="Z889" s="1"/>
      <c r="AA889" s="1"/>
      <c r="AB889" s="1"/>
      <c r="AC889" s="1"/>
      <c r="AD889" s="1"/>
    </row>
    <row r="890" spans="25:30" ht="13">
      <c r="Y890" s="1"/>
      <c r="Z890" s="1"/>
      <c r="AA890" s="1"/>
      <c r="AB890" s="1"/>
      <c r="AC890" s="1"/>
      <c r="AD890" s="1"/>
    </row>
    <row r="891" spans="25:30" ht="13">
      <c r="Y891" s="1"/>
      <c r="Z891" s="1"/>
      <c r="AA891" s="1"/>
      <c r="AB891" s="1"/>
      <c r="AC891" s="1"/>
      <c r="AD891" s="1"/>
    </row>
    <row r="892" spans="25:30" ht="13">
      <c r="Y892" s="1"/>
      <c r="Z892" s="1"/>
      <c r="AA892" s="1"/>
      <c r="AB892" s="1"/>
      <c r="AC892" s="1"/>
      <c r="AD892" s="1"/>
    </row>
    <row r="893" spans="25:30" ht="13">
      <c r="Y893" s="1"/>
      <c r="Z893" s="1"/>
      <c r="AA893" s="1"/>
      <c r="AB893" s="1"/>
      <c r="AC893" s="1"/>
      <c r="AD893" s="1"/>
    </row>
    <row r="894" spans="25:30" ht="13">
      <c r="Y894" s="1"/>
      <c r="Z894" s="1"/>
      <c r="AA894" s="1"/>
      <c r="AB894" s="1"/>
      <c r="AC894" s="1"/>
      <c r="AD894" s="1"/>
    </row>
    <row r="895" spans="25:30" ht="13">
      <c r="Y895" s="1"/>
      <c r="Z895" s="1"/>
      <c r="AA895" s="1"/>
      <c r="AB895" s="1"/>
      <c r="AC895" s="1"/>
      <c r="AD895" s="1"/>
    </row>
    <row r="896" spans="25:30" ht="13">
      <c r="Y896" s="1"/>
      <c r="Z896" s="1"/>
      <c r="AA896" s="1"/>
      <c r="AB896" s="1"/>
      <c r="AC896" s="1"/>
      <c r="AD896" s="1"/>
    </row>
    <row r="897" spans="25:30" ht="13">
      <c r="Y897" s="1"/>
      <c r="Z897" s="1"/>
      <c r="AA897" s="1"/>
      <c r="AB897" s="1"/>
      <c r="AC897" s="1"/>
      <c r="AD897" s="1"/>
    </row>
    <row r="898" spans="25:30" ht="13">
      <c r="Y898" s="1"/>
      <c r="Z898" s="1"/>
      <c r="AA898" s="1"/>
      <c r="AB898" s="1"/>
      <c r="AC898" s="1"/>
      <c r="AD898" s="1"/>
    </row>
    <row r="899" spans="25:30" ht="13">
      <c r="Y899" s="1"/>
      <c r="Z899" s="1"/>
      <c r="AA899" s="1"/>
      <c r="AB899" s="1"/>
      <c r="AC899" s="1"/>
      <c r="AD899" s="1"/>
    </row>
    <row r="900" spans="25:30" ht="13">
      <c r="Y900" s="1"/>
      <c r="Z900" s="1"/>
      <c r="AA900" s="1"/>
      <c r="AB900" s="1"/>
      <c r="AC900" s="1"/>
      <c r="AD900" s="1"/>
    </row>
    <row r="901" spans="25:30" ht="13">
      <c r="Y901" s="1"/>
      <c r="Z901" s="1"/>
      <c r="AA901" s="1"/>
      <c r="AB901" s="1"/>
      <c r="AC901" s="1"/>
      <c r="AD901" s="1"/>
    </row>
    <row r="902" spans="25:30" ht="13">
      <c r="Y902" s="1"/>
      <c r="Z902" s="1"/>
      <c r="AA902" s="1"/>
      <c r="AB902" s="1"/>
      <c r="AC902" s="1"/>
      <c r="AD902" s="1"/>
    </row>
    <row r="903" spans="25:30" ht="13">
      <c r="Y903" s="1"/>
      <c r="Z903" s="1"/>
      <c r="AA903" s="1"/>
      <c r="AB903" s="1"/>
      <c r="AC903" s="1"/>
      <c r="AD903" s="1"/>
    </row>
    <row r="904" spans="25:30" ht="13">
      <c r="Y904" s="1"/>
      <c r="Z904" s="1"/>
      <c r="AA904" s="1"/>
      <c r="AB904" s="1"/>
      <c r="AC904" s="1"/>
      <c r="AD904" s="1"/>
    </row>
    <row r="905" spans="25:30" ht="13">
      <c r="Y905" s="1"/>
      <c r="Z905" s="1"/>
      <c r="AA905" s="1"/>
      <c r="AB905" s="1"/>
      <c r="AC905" s="1"/>
      <c r="AD905" s="1"/>
    </row>
    <row r="906" spans="25:30" ht="13">
      <c r="Y906" s="1"/>
      <c r="Z906" s="1"/>
      <c r="AA906" s="1"/>
      <c r="AB906" s="1"/>
      <c r="AC906" s="1"/>
      <c r="AD906" s="1"/>
    </row>
    <row r="907" spans="25:30" ht="13">
      <c r="Y907" s="1"/>
      <c r="Z907" s="1"/>
      <c r="AA907" s="1"/>
      <c r="AB907" s="1"/>
      <c r="AC907" s="1"/>
      <c r="AD907" s="1"/>
    </row>
    <row r="908" spans="25:30" ht="13">
      <c r="Y908" s="1"/>
      <c r="Z908" s="1"/>
      <c r="AA908" s="1"/>
      <c r="AB908" s="1"/>
      <c r="AC908" s="1"/>
      <c r="AD908" s="1"/>
    </row>
    <row r="909" spans="25:30" ht="13">
      <c r="Y909" s="1"/>
      <c r="Z909" s="1"/>
      <c r="AA909" s="1"/>
      <c r="AB909" s="1"/>
      <c r="AC909" s="1"/>
      <c r="AD909" s="1"/>
    </row>
    <row r="910" spans="25:30" ht="13">
      <c r="Y910" s="1"/>
      <c r="Z910" s="1"/>
      <c r="AA910" s="1"/>
      <c r="AB910" s="1"/>
      <c r="AC910" s="1"/>
      <c r="AD910" s="1"/>
    </row>
    <row r="911" spans="25:30" ht="13">
      <c r="Y911" s="1"/>
      <c r="Z911" s="1"/>
      <c r="AA911" s="1"/>
      <c r="AB911" s="1"/>
      <c r="AC911" s="1"/>
      <c r="AD911" s="1"/>
    </row>
    <row r="912" spans="25:30" ht="13">
      <c r="Y912" s="1"/>
      <c r="Z912" s="1"/>
      <c r="AA912" s="1"/>
      <c r="AB912" s="1"/>
      <c r="AC912" s="1"/>
      <c r="AD912" s="1"/>
    </row>
    <row r="913" spans="25:30" ht="13">
      <c r="Y913" s="1"/>
      <c r="Z913" s="1"/>
      <c r="AA913" s="1"/>
      <c r="AB913" s="1"/>
      <c r="AC913" s="1"/>
      <c r="AD913" s="1"/>
    </row>
    <row r="914" spans="25:30" ht="13">
      <c r="Y914" s="1"/>
      <c r="Z914" s="1"/>
      <c r="AA914" s="1"/>
      <c r="AB914" s="1"/>
      <c r="AC914" s="1"/>
      <c r="AD914" s="1"/>
    </row>
    <row r="915" spans="25:30" ht="13">
      <c r="Y915" s="1"/>
      <c r="Z915" s="1"/>
      <c r="AA915" s="1"/>
      <c r="AB915" s="1"/>
      <c r="AC915" s="1"/>
      <c r="AD915" s="1"/>
    </row>
    <row r="916" spans="25:30" ht="13">
      <c r="Y916" s="1"/>
      <c r="Z916" s="1"/>
      <c r="AA916" s="1"/>
      <c r="AB916" s="1"/>
      <c r="AC916" s="1"/>
      <c r="AD916" s="1"/>
    </row>
    <row r="917" spans="25:30" ht="13">
      <c r="Y917" s="1"/>
      <c r="Z917" s="1"/>
      <c r="AA917" s="1"/>
      <c r="AB917" s="1"/>
      <c r="AC917" s="1"/>
      <c r="AD917" s="1"/>
    </row>
    <row r="918" spans="25:30" ht="13">
      <c r="Y918" s="1"/>
      <c r="Z918" s="1"/>
      <c r="AA918" s="1"/>
      <c r="AB918" s="1"/>
      <c r="AC918" s="1"/>
      <c r="AD918" s="1"/>
    </row>
    <row r="919" spans="25:30" ht="13">
      <c r="Y919" s="1"/>
      <c r="Z919" s="1"/>
      <c r="AA919" s="1"/>
      <c r="AB919" s="1"/>
      <c r="AC919" s="1"/>
      <c r="AD919" s="1"/>
    </row>
    <row r="920" spans="25:30" ht="13">
      <c r="Y920" s="1"/>
      <c r="Z920" s="1"/>
      <c r="AA920" s="1"/>
      <c r="AB920" s="1"/>
      <c r="AC920" s="1"/>
      <c r="AD920" s="1"/>
    </row>
    <row r="921" spans="25:30" ht="13">
      <c r="Y921" s="1"/>
      <c r="Z921" s="1"/>
      <c r="AA921" s="1"/>
      <c r="AB921" s="1"/>
      <c r="AC921" s="1"/>
      <c r="AD921" s="1"/>
    </row>
    <row r="922" spans="25:30" ht="13">
      <c r="Y922" s="1"/>
      <c r="Z922" s="1"/>
      <c r="AA922" s="1"/>
      <c r="AB922" s="1"/>
      <c r="AC922" s="1"/>
      <c r="AD922" s="1"/>
    </row>
    <row r="923" spans="25:30" ht="13">
      <c r="Y923" s="1"/>
      <c r="Z923" s="1"/>
      <c r="AA923" s="1"/>
      <c r="AB923" s="1"/>
      <c r="AC923" s="1"/>
      <c r="AD923" s="1"/>
    </row>
    <row r="924" spans="25:30" ht="13">
      <c r="Y924" s="1"/>
      <c r="Z924" s="1"/>
      <c r="AA924" s="1"/>
      <c r="AB924" s="1"/>
      <c r="AC924" s="1"/>
      <c r="AD924" s="1"/>
    </row>
    <row r="925" spans="25:30" ht="13">
      <c r="Y925" s="1"/>
      <c r="Z925" s="1"/>
      <c r="AA925" s="1"/>
      <c r="AB925" s="1"/>
      <c r="AC925" s="1"/>
      <c r="AD925" s="1"/>
    </row>
    <row r="926" spans="25:30" ht="13">
      <c r="Y926" s="1"/>
      <c r="Z926" s="1"/>
      <c r="AA926" s="1"/>
      <c r="AB926" s="1"/>
      <c r="AC926" s="1"/>
      <c r="AD926" s="1"/>
    </row>
    <row r="927" spans="25:30" ht="13">
      <c r="Y927" s="1"/>
      <c r="Z927" s="1"/>
      <c r="AA927" s="1"/>
      <c r="AB927" s="1"/>
      <c r="AC927" s="1"/>
      <c r="AD927" s="1"/>
    </row>
    <row r="928" spans="25:30" ht="13">
      <c r="Y928" s="1"/>
      <c r="Z928" s="1"/>
      <c r="AA928" s="1"/>
      <c r="AB928" s="1"/>
      <c r="AC928" s="1"/>
      <c r="AD928" s="1"/>
    </row>
    <row r="929" spans="25:30" ht="13">
      <c r="Y929" s="1"/>
      <c r="Z929" s="1"/>
      <c r="AA929" s="1"/>
      <c r="AB929" s="1"/>
      <c r="AC929" s="1"/>
      <c r="AD929" s="1"/>
    </row>
    <row r="930" spans="25:30" ht="13">
      <c r="Y930" s="1"/>
      <c r="Z930" s="1"/>
      <c r="AA930" s="1"/>
      <c r="AB930" s="1"/>
      <c r="AC930" s="1"/>
      <c r="AD930" s="1"/>
    </row>
    <row r="931" spans="25:30" ht="13">
      <c r="Y931" s="1"/>
      <c r="Z931" s="1"/>
      <c r="AA931" s="1"/>
      <c r="AB931" s="1"/>
      <c r="AC931" s="1"/>
      <c r="AD931" s="1"/>
    </row>
    <row r="932" spans="25:30" ht="13">
      <c r="Y932" s="1"/>
      <c r="Z932" s="1"/>
      <c r="AA932" s="1"/>
      <c r="AB932" s="1"/>
      <c r="AC932" s="1"/>
      <c r="AD932" s="1"/>
    </row>
    <row r="933" spans="25:30" ht="13">
      <c r="Y933" s="1"/>
      <c r="Z933" s="1"/>
      <c r="AA933" s="1"/>
      <c r="AB933" s="1"/>
      <c r="AC933" s="1"/>
      <c r="AD933" s="1"/>
    </row>
    <row r="934" spans="25:30" ht="13">
      <c r="Y934" s="1"/>
      <c r="Z934" s="1"/>
      <c r="AA934" s="1"/>
      <c r="AB934" s="1"/>
      <c r="AC934" s="1"/>
      <c r="AD934" s="1"/>
    </row>
    <row r="935" spans="25:30" ht="13">
      <c r="Y935" s="1"/>
      <c r="Z935" s="1"/>
      <c r="AA935" s="1"/>
      <c r="AB935" s="1"/>
      <c r="AC935" s="1"/>
      <c r="AD935" s="1"/>
    </row>
    <row r="936" spans="25:30" ht="13">
      <c r="Y936" s="1"/>
      <c r="Z936" s="1"/>
      <c r="AA936" s="1"/>
      <c r="AB936" s="1"/>
      <c r="AC936" s="1"/>
      <c r="AD936" s="1"/>
    </row>
    <row r="937" spans="25:30" ht="13">
      <c r="Y937" s="1"/>
      <c r="Z937" s="1"/>
      <c r="AA937" s="1"/>
      <c r="AB937" s="1"/>
      <c r="AC937" s="1"/>
      <c r="AD937" s="1"/>
    </row>
    <row r="938" spans="25:30" ht="13">
      <c r="Y938" s="1"/>
      <c r="Z938" s="1"/>
      <c r="AA938" s="1"/>
      <c r="AB938" s="1"/>
      <c r="AC938" s="1"/>
      <c r="AD938" s="1"/>
    </row>
    <row r="939" spans="25:30" ht="13">
      <c r="Y939" s="1"/>
      <c r="Z939" s="1"/>
      <c r="AA939" s="1"/>
      <c r="AB939" s="1"/>
      <c r="AC939" s="1"/>
      <c r="AD939" s="1"/>
    </row>
    <row r="940" spans="25:30" ht="13">
      <c r="Y940" s="1"/>
      <c r="Z940" s="1"/>
      <c r="AA940" s="1"/>
      <c r="AB940" s="1"/>
      <c r="AC940" s="1"/>
      <c r="AD940" s="1"/>
    </row>
    <row r="941" spans="25:30" ht="13">
      <c r="Y941" s="1"/>
      <c r="Z941" s="1"/>
      <c r="AA941" s="1"/>
      <c r="AB941" s="1"/>
      <c r="AC941" s="1"/>
      <c r="AD941" s="1"/>
    </row>
    <row r="942" spans="25:30" ht="13">
      <c r="Y942" s="1"/>
      <c r="Z942" s="1"/>
      <c r="AA942" s="1"/>
      <c r="AB942" s="1"/>
      <c r="AC942" s="1"/>
      <c r="AD942" s="1"/>
    </row>
    <row r="943" spans="25:30" ht="13">
      <c r="Y943" s="1"/>
      <c r="Z943" s="1"/>
      <c r="AA943" s="1"/>
      <c r="AB943" s="1"/>
      <c r="AC943" s="1"/>
      <c r="AD943" s="1"/>
    </row>
    <row r="944" spans="25:30" ht="13">
      <c r="Y944" s="1"/>
      <c r="Z944" s="1"/>
      <c r="AA944" s="1"/>
      <c r="AB944" s="1"/>
      <c r="AC944" s="1"/>
      <c r="AD944" s="1"/>
    </row>
    <row r="945" spans="25:30" ht="13">
      <c r="Y945" s="1"/>
      <c r="Z945" s="1"/>
      <c r="AA945" s="1"/>
      <c r="AB945" s="1"/>
      <c r="AC945" s="1"/>
      <c r="AD945" s="1"/>
    </row>
    <row r="946" spans="25:30" ht="13">
      <c r="Y946" s="1"/>
      <c r="Z946" s="1"/>
      <c r="AA946" s="1"/>
      <c r="AB946" s="1"/>
      <c r="AC946" s="1"/>
      <c r="AD946" s="1"/>
    </row>
    <row r="947" spans="25:30" ht="13">
      <c r="Y947" s="1"/>
      <c r="Z947" s="1"/>
      <c r="AA947" s="1"/>
      <c r="AB947" s="1"/>
      <c r="AC947" s="1"/>
      <c r="AD947" s="1"/>
    </row>
    <row r="948" spans="25:30" ht="13">
      <c r="Y948" s="1"/>
      <c r="Z948" s="1"/>
      <c r="AA948" s="1"/>
      <c r="AB948" s="1"/>
      <c r="AC948" s="1"/>
      <c r="AD948" s="1"/>
    </row>
    <row r="949" spans="25:30" ht="13">
      <c r="Y949" s="1"/>
      <c r="Z949" s="1"/>
      <c r="AA949" s="1"/>
      <c r="AB949" s="1"/>
      <c r="AC949" s="1"/>
      <c r="AD949" s="1"/>
    </row>
    <row r="950" spans="25:30" ht="13">
      <c r="Y950" s="1"/>
      <c r="Z950" s="1"/>
      <c r="AA950" s="1"/>
      <c r="AB950" s="1"/>
      <c r="AC950" s="1"/>
      <c r="AD950" s="1"/>
    </row>
    <row r="951" spans="25:30" ht="13">
      <c r="Y951" s="1"/>
      <c r="Z951" s="1"/>
      <c r="AA951" s="1"/>
      <c r="AB951" s="1"/>
      <c r="AC951" s="1"/>
      <c r="AD951" s="1"/>
    </row>
    <row r="952" spans="25:30" ht="13">
      <c r="Y952" s="1"/>
      <c r="Z952" s="1"/>
      <c r="AA952" s="1"/>
      <c r="AB952" s="1"/>
      <c r="AC952" s="1"/>
      <c r="AD952" s="1"/>
    </row>
    <row r="953" spans="25:30" ht="13">
      <c r="Y953" s="1"/>
      <c r="Z953" s="1"/>
      <c r="AA953" s="1"/>
      <c r="AB953" s="1"/>
      <c r="AC953" s="1"/>
      <c r="AD953" s="1"/>
    </row>
    <row r="954" spans="25:30" ht="13">
      <c r="Y954" s="1"/>
      <c r="Z954" s="1"/>
      <c r="AA954" s="1"/>
      <c r="AB954" s="1"/>
      <c r="AC954" s="1"/>
      <c r="AD954" s="1"/>
    </row>
    <row r="955" spans="25:30" ht="13">
      <c r="Y955" s="1"/>
      <c r="Z955" s="1"/>
      <c r="AA955" s="1"/>
      <c r="AB955" s="1"/>
      <c r="AC955" s="1"/>
      <c r="AD955" s="1"/>
    </row>
    <row r="956" spans="25:30" ht="13">
      <c r="Y956" s="1"/>
      <c r="Z956" s="1"/>
      <c r="AA956" s="1"/>
      <c r="AB956" s="1"/>
      <c r="AC956" s="1"/>
      <c r="AD956" s="1"/>
    </row>
    <row r="957" spans="25:30" ht="13">
      <c r="Y957" s="1"/>
      <c r="Z957" s="1"/>
      <c r="AA957" s="1"/>
      <c r="AB957" s="1"/>
      <c r="AC957" s="1"/>
      <c r="AD957" s="1"/>
    </row>
    <row r="958" spans="25:30" ht="13">
      <c r="Y958" s="1"/>
      <c r="Z958" s="1"/>
      <c r="AA958" s="1"/>
      <c r="AB958" s="1"/>
      <c r="AC958" s="1"/>
      <c r="AD958" s="1"/>
    </row>
    <row r="959" spans="25:30" ht="13">
      <c r="Y959" s="1"/>
      <c r="Z959" s="1"/>
      <c r="AA959" s="1"/>
      <c r="AB959" s="1"/>
      <c r="AC959" s="1"/>
      <c r="AD959" s="1"/>
    </row>
    <row r="960" spans="25:30" ht="13">
      <c r="Y960" s="1"/>
      <c r="Z960" s="1"/>
      <c r="AA960" s="1"/>
      <c r="AB960" s="1"/>
      <c r="AC960" s="1"/>
      <c r="AD960" s="1"/>
    </row>
    <row r="961" spans="25:30" ht="13">
      <c r="Y961" s="1"/>
      <c r="Z961" s="1"/>
      <c r="AA961" s="1"/>
      <c r="AB961" s="1"/>
      <c r="AC961" s="1"/>
      <c r="AD961" s="1"/>
    </row>
    <row r="962" spans="25:30" ht="13">
      <c r="Y962" s="1"/>
      <c r="Z962" s="1"/>
      <c r="AA962" s="1"/>
      <c r="AB962" s="1"/>
      <c r="AC962" s="1"/>
      <c r="AD962" s="1"/>
    </row>
    <row r="963" spans="25:30" ht="13">
      <c r="Y963" s="1"/>
      <c r="Z963" s="1"/>
      <c r="AA963" s="1"/>
      <c r="AB963" s="1"/>
      <c r="AC963" s="1"/>
      <c r="AD963" s="1"/>
    </row>
    <row r="964" spans="25:30" ht="13">
      <c r="Y964" s="1"/>
      <c r="Z964" s="1"/>
      <c r="AA964" s="1"/>
      <c r="AB964" s="1"/>
      <c r="AC964" s="1"/>
      <c r="AD964" s="1"/>
    </row>
    <row r="965" spans="25:30" ht="13">
      <c r="Y965" s="1"/>
      <c r="Z965" s="1"/>
      <c r="AA965" s="1"/>
      <c r="AB965" s="1"/>
      <c r="AC965" s="1"/>
      <c r="AD965" s="1"/>
    </row>
    <row r="966" spans="25:30" ht="13">
      <c r="Y966" s="1"/>
      <c r="Z966" s="1"/>
      <c r="AA966" s="1"/>
      <c r="AB966" s="1"/>
      <c r="AC966" s="1"/>
      <c r="AD966" s="1"/>
    </row>
    <row r="967" spans="25:30" ht="13">
      <c r="Y967" s="1"/>
      <c r="Z967" s="1"/>
      <c r="AA967" s="1"/>
      <c r="AB967" s="1"/>
      <c r="AC967" s="1"/>
      <c r="AD967" s="1"/>
    </row>
    <row r="968" spans="25:30" ht="13">
      <c r="Y968" s="1"/>
      <c r="Z968" s="1"/>
      <c r="AA968" s="1"/>
      <c r="AB968" s="1"/>
      <c r="AC968" s="1"/>
      <c r="AD968" s="1"/>
    </row>
    <row r="969" spans="25:30" ht="13">
      <c r="Y969" s="1"/>
      <c r="Z969" s="1"/>
      <c r="AA969" s="1"/>
      <c r="AB969" s="1"/>
      <c r="AC969" s="1"/>
      <c r="AD969" s="1"/>
    </row>
    <row r="970" spans="25:30" ht="13">
      <c r="Y970" s="1"/>
      <c r="Z970" s="1"/>
      <c r="AA970" s="1"/>
      <c r="AB970" s="1"/>
      <c r="AC970" s="1"/>
      <c r="AD970" s="1"/>
    </row>
    <row r="971" spans="25:30" ht="13">
      <c r="Y971" s="1"/>
      <c r="Z971" s="1"/>
      <c r="AA971" s="1"/>
      <c r="AB971" s="1"/>
      <c r="AC971" s="1"/>
      <c r="AD971" s="1"/>
    </row>
    <row r="972" spans="25:30" ht="13">
      <c r="Y972" s="1"/>
      <c r="Z972" s="1"/>
      <c r="AA972" s="1"/>
      <c r="AB972" s="1"/>
      <c r="AC972" s="1"/>
      <c r="AD972" s="1"/>
    </row>
    <row r="973" spans="25:30" ht="13">
      <c r="Y973" s="1"/>
      <c r="Z973" s="1"/>
      <c r="AA973" s="1"/>
      <c r="AB973" s="1"/>
      <c r="AC973" s="1"/>
      <c r="AD973" s="1"/>
    </row>
    <row r="974" spans="25:30" ht="13">
      <c r="Y974" s="1"/>
      <c r="Z974" s="1"/>
      <c r="AA974" s="1"/>
      <c r="AB974" s="1"/>
      <c r="AC974" s="1"/>
      <c r="AD974" s="1"/>
    </row>
    <row r="975" spans="25:30" ht="13">
      <c r="Y975" s="1"/>
      <c r="Z975" s="1"/>
      <c r="AA975" s="1"/>
      <c r="AB975" s="1"/>
      <c r="AC975" s="1"/>
      <c r="AD975" s="1"/>
    </row>
    <row r="976" spans="25:30" ht="13">
      <c r="Y976" s="1"/>
      <c r="Z976" s="1"/>
      <c r="AA976" s="1"/>
      <c r="AB976" s="1"/>
      <c r="AC976" s="1"/>
      <c r="AD976" s="1"/>
    </row>
    <row r="977" spans="25:30" ht="13">
      <c r="Y977" s="1"/>
      <c r="Z977" s="1"/>
      <c r="AA977" s="1"/>
      <c r="AB977" s="1"/>
      <c r="AC977" s="1"/>
      <c r="AD977" s="1"/>
    </row>
    <row r="978" spans="25:30" ht="13">
      <c r="Y978" s="1"/>
      <c r="Z978" s="1"/>
      <c r="AA978" s="1"/>
      <c r="AB978" s="1"/>
      <c r="AC978" s="1"/>
      <c r="AD978" s="1"/>
    </row>
    <row r="979" spans="25:30" ht="13">
      <c r="Y979" s="1"/>
      <c r="Z979" s="1"/>
      <c r="AA979" s="1"/>
      <c r="AB979" s="1"/>
      <c r="AC979" s="1"/>
      <c r="AD979" s="1"/>
    </row>
    <row r="980" spans="25:30" ht="13">
      <c r="Y980" s="1"/>
      <c r="Z980" s="1"/>
      <c r="AA980" s="1"/>
      <c r="AB980" s="1"/>
      <c r="AC980" s="1"/>
      <c r="AD980" s="1"/>
    </row>
    <row r="981" spans="25:30" ht="13">
      <c r="Y981" s="1"/>
      <c r="Z981" s="1"/>
      <c r="AA981" s="1"/>
      <c r="AB981" s="1"/>
      <c r="AC981" s="1"/>
      <c r="AD981" s="1"/>
    </row>
    <row r="982" spans="25:30" ht="13">
      <c r="Y982" s="1"/>
      <c r="Z982" s="1"/>
      <c r="AA982" s="1"/>
      <c r="AB982" s="1"/>
      <c r="AC982" s="1"/>
      <c r="AD982" s="1"/>
    </row>
    <row r="983" spans="25:30" ht="13">
      <c r="Y983" s="1"/>
      <c r="Z983" s="1"/>
      <c r="AA983" s="1"/>
      <c r="AB983" s="1"/>
      <c r="AC983" s="1"/>
      <c r="AD983" s="1"/>
    </row>
    <row r="984" spans="25:30" ht="13">
      <c r="Y984" s="1"/>
      <c r="Z984" s="1"/>
      <c r="AA984" s="1"/>
      <c r="AB984" s="1"/>
      <c r="AC984" s="1"/>
      <c r="AD984" s="1"/>
    </row>
    <row r="985" spans="25:30" ht="13">
      <c r="Y985" s="1"/>
      <c r="Z985" s="1"/>
      <c r="AA985" s="1"/>
      <c r="AB985" s="1"/>
      <c r="AC985" s="1"/>
      <c r="AD985" s="1"/>
    </row>
    <row r="986" spans="25:30" ht="13">
      <c r="Y986" s="1"/>
      <c r="Z986" s="1"/>
      <c r="AA986" s="1"/>
      <c r="AB986" s="1"/>
      <c r="AC986" s="1"/>
      <c r="AD986" s="1"/>
    </row>
    <row r="987" spans="25:30" ht="13">
      <c r="Y987" s="1"/>
      <c r="Z987" s="1"/>
      <c r="AA987" s="1"/>
      <c r="AB987" s="1"/>
      <c r="AC987" s="1"/>
      <c r="AD987" s="1"/>
    </row>
    <row r="988" spans="25:30" ht="13">
      <c r="Y988" s="1"/>
      <c r="Z988" s="1"/>
      <c r="AA988" s="1"/>
      <c r="AB988" s="1"/>
      <c r="AC988" s="1"/>
      <c r="AD988" s="1"/>
    </row>
    <row r="989" spans="25:30" ht="13">
      <c r="Y989" s="1"/>
      <c r="Z989" s="1"/>
      <c r="AA989" s="1"/>
      <c r="AB989" s="1"/>
      <c r="AC989" s="1"/>
      <c r="AD989" s="1"/>
    </row>
    <row r="990" spans="25:30" ht="13">
      <c r="Y990" s="1"/>
      <c r="Z990" s="1"/>
      <c r="AA990" s="1"/>
      <c r="AB990" s="1"/>
      <c r="AC990" s="1"/>
      <c r="AD990" s="1"/>
    </row>
    <row r="991" spans="25:30" ht="13">
      <c r="Y991" s="1"/>
      <c r="Z991" s="1"/>
      <c r="AA991" s="1"/>
      <c r="AB991" s="1"/>
      <c r="AC991" s="1"/>
      <c r="AD991" s="1"/>
    </row>
    <row r="992" spans="25:30" ht="13">
      <c r="Y992" s="1"/>
      <c r="Z992" s="1"/>
      <c r="AA992" s="1"/>
      <c r="AB992" s="1"/>
      <c r="AC992" s="1"/>
      <c r="AD992" s="1"/>
    </row>
    <row r="993" spans="25:30" ht="13">
      <c r="Y993" s="1"/>
      <c r="Z993" s="1"/>
      <c r="AA993" s="1"/>
      <c r="AB993" s="1"/>
      <c r="AC993" s="1"/>
      <c r="AD993" s="1"/>
    </row>
    <row r="994" spans="25:30" ht="13">
      <c r="Y994" s="1"/>
      <c r="Z994" s="1"/>
      <c r="AA994" s="1"/>
      <c r="AB994" s="1"/>
      <c r="AC994" s="1"/>
      <c r="AD994" s="1"/>
    </row>
    <row r="995" spans="25:30" ht="13">
      <c r="Y995" s="1"/>
      <c r="Z995" s="1"/>
      <c r="AA995" s="1"/>
      <c r="AB995" s="1"/>
      <c r="AC995" s="1"/>
      <c r="AD995" s="1"/>
    </row>
    <row r="996" spans="25:30" ht="13">
      <c r="Y996" s="1"/>
      <c r="Z996" s="1"/>
      <c r="AA996" s="1"/>
      <c r="AB996" s="1"/>
      <c r="AC996" s="1"/>
      <c r="AD996" s="1"/>
    </row>
    <row r="997" spans="25:30" ht="13">
      <c r="Y997" s="1"/>
      <c r="Z997" s="1"/>
      <c r="AA997" s="1"/>
      <c r="AB997" s="1"/>
      <c r="AC997" s="1"/>
      <c r="AD997" s="1"/>
    </row>
    <row r="998" spans="25:30" ht="13">
      <c r="Y998" s="1"/>
      <c r="Z998" s="1"/>
      <c r="AA998" s="1"/>
      <c r="AB998" s="1"/>
      <c r="AC998" s="1"/>
      <c r="AD998" s="1"/>
    </row>
    <row r="999" spans="25:30" ht="13">
      <c r="Y999" s="1"/>
      <c r="Z999" s="1"/>
      <c r="AA999" s="1"/>
      <c r="AB999" s="1"/>
      <c r="AC999" s="1"/>
      <c r="AD999" s="1"/>
    </row>
    <row r="1000" spans="25:30" ht="13">
      <c r="Y1000" s="1"/>
      <c r="Z1000" s="1"/>
      <c r="AA1000" s="1"/>
      <c r="AB1000" s="1"/>
      <c r="AC1000" s="1"/>
      <c r="AD1000" s="1"/>
    </row>
  </sheetData>
  <mergeCells count="5">
    <mergeCell ref="G1:AD1"/>
    <mergeCell ref="G2:L2"/>
    <mergeCell ref="M2:R2"/>
    <mergeCell ref="S2:X2"/>
    <mergeCell ref="Y2:AD2"/>
  </mergeCells>
  <pageMargins left="0.69930555555555596" right="0.69930555555555596" top="0.75" bottom="0.75" header="0" footer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T1000"/>
  <sheetViews>
    <sheetView topLeftCell="H1" workbookViewId="0">
      <selection activeCell="AI4" sqref="AI4:AL103"/>
    </sheetView>
  </sheetViews>
  <sheetFormatPr baseColWidth="10" defaultColWidth="12.6640625" defaultRowHeight="15.75" customHeight="1"/>
  <cols>
    <col min="1" max="1" width="4.33203125" customWidth="1"/>
    <col min="2" max="2" width="28.33203125" customWidth="1"/>
    <col min="3" max="4" width="22.33203125" hidden="1" customWidth="1"/>
    <col min="5" max="6" width="12.6640625" hidden="1" customWidth="1"/>
    <col min="7" max="8" width="9.83203125" customWidth="1"/>
    <col min="9" max="9" width="9.6640625" customWidth="1"/>
    <col min="10" max="10" width="10.6640625" customWidth="1"/>
    <col min="13" max="17" width="12.6640625" customWidth="1"/>
    <col min="18" max="18" width="11.33203125" customWidth="1"/>
    <col min="19" max="22" width="12.6640625" customWidth="1"/>
    <col min="26" max="26" width="12.6640625" customWidth="1"/>
    <col min="30" max="30" width="12.6640625" customWidth="1"/>
    <col min="34" max="34" width="12.6640625" customWidth="1"/>
    <col min="37" max="38" width="12.6640625" customWidth="1"/>
  </cols>
  <sheetData>
    <row r="1" spans="1:46" ht="15.75" customHeight="1">
      <c r="A1" s="1"/>
      <c r="B1" s="1"/>
      <c r="C1" s="2"/>
      <c r="D1" s="2"/>
      <c r="E1" s="2"/>
      <c r="F1" s="2"/>
      <c r="G1" s="34"/>
      <c r="H1" s="8">
        <v>2021</v>
      </c>
      <c r="I1" s="2"/>
      <c r="J1" s="2"/>
      <c r="N1" s="18"/>
      <c r="O1" s="1"/>
      <c r="P1" s="1"/>
      <c r="Q1" s="1"/>
      <c r="R1" s="18"/>
      <c r="S1" s="1"/>
      <c r="T1" s="1"/>
      <c r="U1" s="1"/>
      <c r="V1" s="1"/>
      <c r="Z1" s="18"/>
      <c r="AD1" s="18"/>
      <c r="AE1" s="1">
        <v>2022</v>
      </c>
      <c r="AH1" s="18"/>
      <c r="AL1" s="18"/>
      <c r="AM1" s="22"/>
      <c r="AN1" s="22"/>
      <c r="AO1" s="22"/>
      <c r="AP1" s="22"/>
      <c r="AQ1" s="22"/>
      <c r="AR1" s="22"/>
      <c r="AS1" s="22"/>
      <c r="AT1" s="22"/>
    </row>
    <row r="2" spans="1:46" ht="15.75" customHeight="1">
      <c r="A2" s="1"/>
      <c r="B2" s="1"/>
      <c r="C2" s="2"/>
      <c r="D2" s="2"/>
      <c r="E2" s="2"/>
      <c r="F2" s="2"/>
      <c r="G2" s="159" t="s">
        <v>144</v>
      </c>
      <c r="H2" s="157"/>
      <c r="I2" s="157"/>
      <c r="J2" s="157"/>
      <c r="K2" s="157"/>
      <c r="L2" s="157"/>
      <c r="M2" s="157"/>
      <c r="N2" s="158"/>
      <c r="O2" s="156" t="s">
        <v>145</v>
      </c>
      <c r="P2" s="157"/>
      <c r="Q2" s="157"/>
      <c r="R2" s="157"/>
      <c r="S2" s="157"/>
      <c r="T2" s="157"/>
      <c r="U2" s="157"/>
      <c r="V2" s="158"/>
      <c r="W2" s="156" t="s">
        <v>146</v>
      </c>
      <c r="X2" s="157"/>
      <c r="Y2" s="157"/>
      <c r="Z2" s="157"/>
      <c r="AA2" s="157"/>
      <c r="AB2" s="157"/>
      <c r="AC2" s="157"/>
      <c r="AD2" s="160"/>
      <c r="AE2" s="159" t="s">
        <v>147</v>
      </c>
      <c r="AF2" s="157"/>
      <c r="AG2" s="157"/>
      <c r="AH2" s="157"/>
      <c r="AI2" s="157"/>
      <c r="AJ2" s="157"/>
      <c r="AK2" s="157"/>
      <c r="AL2" s="158"/>
      <c r="AM2" s="22"/>
      <c r="AN2" s="22"/>
      <c r="AO2" s="22"/>
      <c r="AP2" s="22"/>
      <c r="AQ2" s="22"/>
      <c r="AR2" s="22"/>
      <c r="AS2" s="22"/>
      <c r="AT2" s="22"/>
    </row>
    <row r="3" spans="1:46" ht="51" customHeight="1">
      <c r="A3" s="3"/>
      <c r="B3" s="4" t="s">
        <v>5</v>
      </c>
      <c r="C3" s="5" t="s">
        <v>6</v>
      </c>
      <c r="D3" s="5" t="s">
        <v>7</v>
      </c>
      <c r="E3" s="5" t="s">
        <v>8</v>
      </c>
      <c r="F3" s="9" t="s">
        <v>9</v>
      </c>
      <c r="G3" s="10" t="s">
        <v>10</v>
      </c>
      <c r="H3" s="10" t="s">
        <v>11</v>
      </c>
      <c r="I3" s="10" t="s">
        <v>12</v>
      </c>
      <c r="J3" s="10" t="s">
        <v>148</v>
      </c>
      <c r="K3" s="14" t="s">
        <v>13</v>
      </c>
      <c r="L3" s="14" t="s">
        <v>14</v>
      </c>
      <c r="M3" s="19" t="s">
        <v>15</v>
      </c>
      <c r="N3" s="14" t="s">
        <v>149</v>
      </c>
      <c r="O3" s="10" t="s">
        <v>10</v>
      </c>
      <c r="P3" s="10" t="s">
        <v>11</v>
      </c>
      <c r="Q3" s="10" t="s">
        <v>12</v>
      </c>
      <c r="R3" s="10" t="s">
        <v>150</v>
      </c>
      <c r="S3" s="14" t="s">
        <v>13</v>
      </c>
      <c r="T3" s="14" t="s">
        <v>14</v>
      </c>
      <c r="U3" s="14" t="s">
        <v>15</v>
      </c>
      <c r="V3" s="14" t="s">
        <v>149</v>
      </c>
      <c r="W3" s="10" t="s">
        <v>10</v>
      </c>
      <c r="X3" s="10" t="s">
        <v>11</v>
      </c>
      <c r="Y3" s="10" t="s">
        <v>12</v>
      </c>
      <c r="Z3" s="10" t="s">
        <v>148</v>
      </c>
      <c r="AA3" s="14" t="s">
        <v>13</v>
      </c>
      <c r="AB3" s="14" t="s">
        <v>14</v>
      </c>
      <c r="AC3" s="14" t="s">
        <v>15</v>
      </c>
      <c r="AD3" s="21" t="s">
        <v>149</v>
      </c>
      <c r="AE3" s="10" t="s">
        <v>10</v>
      </c>
      <c r="AF3" s="10" t="s">
        <v>11</v>
      </c>
      <c r="AG3" s="10" t="s">
        <v>12</v>
      </c>
      <c r="AH3" s="10" t="s">
        <v>148</v>
      </c>
      <c r="AI3" s="14" t="s">
        <v>13</v>
      </c>
      <c r="AJ3" s="14" t="s">
        <v>14</v>
      </c>
      <c r="AK3" s="14" t="s">
        <v>15</v>
      </c>
      <c r="AL3" s="19" t="s">
        <v>149</v>
      </c>
      <c r="AM3" s="22"/>
      <c r="AN3" s="22"/>
      <c r="AO3" s="22"/>
      <c r="AP3" s="22"/>
      <c r="AQ3" s="22"/>
      <c r="AR3" s="22"/>
      <c r="AS3" s="22"/>
      <c r="AT3" s="22"/>
    </row>
    <row r="4" spans="1:46" ht="15.75" customHeight="1">
      <c r="A4" s="6">
        <v>1</v>
      </c>
      <c r="B4" s="6" t="s">
        <v>16</v>
      </c>
      <c r="F4" s="11"/>
      <c r="G4" s="36"/>
      <c r="H4" s="13">
        <v>42</v>
      </c>
      <c r="I4" s="13">
        <v>0</v>
      </c>
      <c r="J4" s="13">
        <v>6</v>
      </c>
      <c r="K4" s="16"/>
      <c r="L4" s="16">
        <f t="shared" ref="L4:L103" si="0">H4*100</f>
        <v>4200</v>
      </c>
      <c r="M4" s="20">
        <f t="shared" ref="M4:N4" si="1">I4*300</f>
        <v>0</v>
      </c>
      <c r="N4" s="3">
        <f t="shared" si="1"/>
        <v>1800</v>
      </c>
      <c r="O4" s="6">
        <v>55</v>
      </c>
      <c r="P4" s="6"/>
      <c r="Q4" s="6">
        <v>0</v>
      </c>
      <c r="R4" s="6">
        <v>0</v>
      </c>
      <c r="S4" s="17"/>
      <c r="T4" s="17">
        <f t="shared" ref="T4:T103" si="2">O4*100</f>
        <v>5500</v>
      </c>
      <c r="U4" s="17">
        <f t="shared" ref="U4:V4" si="3">Q4*300</f>
        <v>0</v>
      </c>
      <c r="V4" s="6">
        <f t="shared" si="3"/>
        <v>0</v>
      </c>
      <c r="W4" s="6">
        <v>60</v>
      </c>
      <c r="X4" s="6"/>
      <c r="Y4" s="6">
        <v>0</v>
      </c>
      <c r="Z4" s="6">
        <v>5</v>
      </c>
      <c r="AA4" s="17"/>
      <c r="AB4" s="17">
        <f t="shared" ref="AB4:AB103" si="4">W4*100</f>
        <v>6000</v>
      </c>
      <c r="AC4" s="17">
        <f t="shared" ref="AC4:AD4" si="5">Y4*300</f>
        <v>0</v>
      </c>
      <c r="AD4" s="6">
        <f t="shared" si="5"/>
        <v>1500</v>
      </c>
      <c r="AE4" s="6">
        <v>50</v>
      </c>
      <c r="AF4" s="6"/>
      <c r="AG4" s="6">
        <v>0</v>
      </c>
      <c r="AH4" s="6">
        <v>10</v>
      </c>
      <c r="AI4" s="17"/>
      <c r="AJ4" s="17">
        <f t="shared" ref="AJ4:AJ103" si="6">AE4*100</f>
        <v>5000</v>
      </c>
      <c r="AK4" s="17">
        <f t="shared" ref="AK4:AL4" si="7">AG4*300</f>
        <v>0</v>
      </c>
      <c r="AL4" s="39">
        <f t="shared" si="7"/>
        <v>3000</v>
      </c>
      <c r="AM4" s="22"/>
      <c r="AN4" s="22"/>
      <c r="AO4" s="22"/>
      <c r="AP4" s="22"/>
      <c r="AQ4" s="22"/>
      <c r="AR4" s="22"/>
      <c r="AS4" s="22"/>
      <c r="AT4" s="22"/>
    </row>
    <row r="5" spans="1:46" ht="15.75" customHeight="1">
      <c r="A5" s="6">
        <v>2</v>
      </c>
      <c r="B5" s="6" t="s">
        <v>18</v>
      </c>
      <c r="F5" s="11"/>
      <c r="G5" s="36"/>
      <c r="H5" s="13">
        <v>25</v>
      </c>
      <c r="I5" s="13">
        <v>0</v>
      </c>
      <c r="J5" s="13">
        <v>10</v>
      </c>
      <c r="K5" s="16"/>
      <c r="L5" s="16">
        <f t="shared" si="0"/>
        <v>2500</v>
      </c>
      <c r="M5" s="16">
        <f t="shared" ref="M5:N5" si="8">I5*300</f>
        <v>0</v>
      </c>
      <c r="N5" s="3">
        <f t="shared" si="8"/>
        <v>3000</v>
      </c>
      <c r="O5" s="6">
        <v>30</v>
      </c>
      <c r="P5" s="6"/>
      <c r="Q5" s="6">
        <v>0</v>
      </c>
      <c r="R5" s="6">
        <v>5</v>
      </c>
      <c r="S5" s="17"/>
      <c r="T5" s="17">
        <f t="shared" si="2"/>
        <v>3000</v>
      </c>
      <c r="U5" s="17">
        <f t="shared" ref="U5:V5" si="9">Q5*300</f>
        <v>0</v>
      </c>
      <c r="V5" s="6">
        <f t="shared" si="9"/>
        <v>1500</v>
      </c>
      <c r="W5" s="6">
        <v>35</v>
      </c>
      <c r="X5" s="6"/>
      <c r="Y5" s="6">
        <v>0</v>
      </c>
      <c r="Z5" s="6">
        <v>5</v>
      </c>
      <c r="AA5" s="17"/>
      <c r="AB5" s="17">
        <f t="shared" si="4"/>
        <v>3500</v>
      </c>
      <c r="AC5" s="17">
        <f t="shared" ref="AC5:AD5" si="10">Y5*300</f>
        <v>0</v>
      </c>
      <c r="AD5" s="6">
        <f t="shared" si="10"/>
        <v>1500</v>
      </c>
      <c r="AE5" s="6">
        <v>30</v>
      </c>
      <c r="AF5" s="6"/>
      <c r="AG5" s="6">
        <v>0</v>
      </c>
      <c r="AH5" s="6">
        <v>5</v>
      </c>
      <c r="AI5" s="17"/>
      <c r="AJ5" s="17">
        <f t="shared" si="6"/>
        <v>3000</v>
      </c>
      <c r="AK5" s="17">
        <f t="shared" ref="AK5:AL5" si="11">AG5*300</f>
        <v>0</v>
      </c>
      <c r="AL5" s="39">
        <f t="shared" si="11"/>
        <v>1500</v>
      </c>
      <c r="AM5" s="22"/>
      <c r="AN5" s="22"/>
      <c r="AO5" s="22"/>
      <c r="AP5" s="22"/>
      <c r="AQ5" s="22"/>
      <c r="AR5" s="22"/>
      <c r="AS5" s="22"/>
      <c r="AT5" s="22"/>
    </row>
    <row r="6" spans="1:46" ht="15.75" customHeight="1">
      <c r="A6" s="6">
        <v>3</v>
      </c>
      <c r="B6" s="6" t="s">
        <v>20</v>
      </c>
      <c r="F6" s="11"/>
      <c r="G6" s="36"/>
      <c r="H6" s="13">
        <v>50</v>
      </c>
      <c r="I6" s="13">
        <v>0</v>
      </c>
      <c r="J6" s="13">
        <v>20</v>
      </c>
      <c r="K6" s="16"/>
      <c r="L6" s="16">
        <f t="shared" si="0"/>
        <v>5000</v>
      </c>
      <c r="M6" s="20">
        <f t="shared" ref="M6:N6" si="12">I6*300</f>
        <v>0</v>
      </c>
      <c r="N6" s="3">
        <f t="shared" si="12"/>
        <v>6000</v>
      </c>
      <c r="O6" s="6">
        <v>60</v>
      </c>
      <c r="P6" s="6"/>
      <c r="Q6" s="6">
        <v>0</v>
      </c>
      <c r="R6" s="6">
        <v>10</v>
      </c>
      <c r="S6" s="17"/>
      <c r="T6" s="17">
        <f t="shared" si="2"/>
        <v>6000</v>
      </c>
      <c r="U6" s="17">
        <f t="shared" ref="U6:V6" si="13">Q6*300</f>
        <v>0</v>
      </c>
      <c r="V6" s="6">
        <f t="shared" si="13"/>
        <v>3000</v>
      </c>
      <c r="W6" s="6">
        <v>55</v>
      </c>
      <c r="X6" s="6"/>
      <c r="Y6" s="6">
        <v>0</v>
      </c>
      <c r="Z6" s="6">
        <v>15</v>
      </c>
      <c r="AA6" s="17"/>
      <c r="AB6" s="17">
        <f t="shared" si="4"/>
        <v>5500</v>
      </c>
      <c r="AC6" s="17">
        <f t="shared" ref="AC6:AD6" si="14">Y6*300</f>
        <v>0</v>
      </c>
      <c r="AD6" s="6">
        <f t="shared" si="14"/>
        <v>4500</v>
      </c>
      <c r="AE6" s="6">
        <v>30</v>
      </c>
      <c r="AF6" s="6"/>
      <c r="AG6" s="6">
        <v>0</v>
      </c>
      <c r="AH6" s="6">
        <v>5</v>
      </c>
      <c r="AI6" s="17"/>
      <c r="AJ6" s="17">
        <f t="shared" si="6"/>
        <v>3000</v>
      </c>
      <c r="AK6" s="17">
        <f t="shared" ref="AK6:AL6" si="15">AG6*300</f>
        <v>0</v>
      </c>
      <c r="AL6" s="39">
        <f t="shared" si="15"/>
        <v>1500</v>
      </c>
      <c r="AM6" s="22"/>
      <c r="AN6" s="22"/>
      <c r="AO6" s="22"/>
      <c r="AP6" s="22"/>
      <c r="AQ6" s="22"/>
      <c r="AR6" s="22"/>
      <c r="AS6" s="22"/>
      <c r="AT6" s="22"/>
    </row>
    <row r="7" spans="1:46" ht="15.75" customHeight="1">
      <c r="A7" s="6">
        <v>4</v>
      </c>
      <c r="B7" s="6" t="s">
        <v>22</v>
      </c>
      <c r="F7" s="11"/>
      <c r="G7" s="36"/>
      <c r="H7" s="13">
        <v>10</v>
      </c>
      <c r="I7" s="13">
        <v>0</v>
      </c>
      <c r="J7" s="13">
        <v>10</v>
      </c>
      <c r="K7" s="16"/>
      <c r="L7" s="16">
        <f t="shared" si="0"/>
        <v>1000</v>
      </c>
      <c r="M7" s="16">
        <f t="shared" ref="M7:N7" si="16">I7*300</f>
        <v>0</v>
      </c>
      <c r="N7" s="3">
        <f t="shared" si="16"/>
        <v>3000</v>
      </c>
      <c r="O7" s="6">
        <v>35</v>
      </c>
      <c r="P7" s="6"/>
      <c r="Q7" s="6">
        <v>0</v>
      </c>
      <c r="R7" s="6">
        <v>0</v>
      </c>
      <c r="S7" s="17"/>
      <c r="T7" s="17">
        <f t="shared" si="2"/>
        <v>3500</v>
      </c>
      <c r="U7" s="17">
        <f t="shared" ref="U7:V7" si="17">Q7*300</f>
        <v>0</v>
      </c>
      <c r="V7" s="6">
        <f t="shared" si="17"/>
        <v>0</v>
      </c>
      <c r="W7" s="6">
        <v>30</v>
      </c>
      <c r="X7" s="6"/>
      <c r="Y7" s="6">
        <v>0</v>
      </c>
      <c r="Z7" s="6">
        <v>11</v>
      </c>
      <c r="AA7" s="17"/>
      <c r="AB7" s="17">
        <f t="shared" si="4"/>
        <v>3000</v>
      </c>
      <c r="AC7" s="17">
        <f t="shared" ref="AC7:AD7" si="18">Y7*300</f>
        <v>0</v>
      </c>
      <c r="AD7" s="6">
        <f t="shared" si="18"/>
        <v>3300</v>
      </c>
      <c r="AE7" s="6">
        <v>38</v>
      </c>
      <c r="AF7" s="6"/>
      <c r="AG7" s="6">
        <v>0</v>
      </c>
      <c r="AH7" s="6">
        <v>10</v>
      </c>
      <c r="AI7" s="17"/>
      <c r="AJ7" s="17">
        <f t="shared" si="6"/>
        <v>3800</v>
      </c>
      <c r="AK7" s="17">
        <f t="shared" ref="AK7:AL7" si="19">AG7*300</f>
        <v>0</v>
      </c>
      <c r="AL7" s="39">
        <f t="shared" si="19"/>
        <v>3000</v>
      </c>
      <c r="AM7" s="22"/>
      <c r="AN7" s="22"/>
      <c r="AO7" s="22"/>
      <c r="AP7" s="22"/>
      <c r="AQ7" s="22"/>
      <c r="AR7" s="22"/>
      <c r="AS7" s="22"/>
      <c r="AT7" s="22"/>
    </row>
    <row r="8" spans="1:46" ht="15.75" customHeight="1">
      <c r="A8" s="6">
        <v>5</v>
      </c>
      <c r="B8" s="6" t="s">
        <v>23</v>
      </c>
      <c r="F8" s="11"/>
      <c r="G8" s="36"/>
      <c r="H8" s="13">
        <v>45</v>
      </c>
      <c r="I8" s="13">
        <v>0</v>
      </c>
      <c r="J8" s="13">
        <v>20</v>
      </c>
      <c r="K8" s="16"/>
      <c r="L8" s="16">
        <f t="shared" si="0"/>
        <v>4500</v>
      </c>
      <c r="M8" s="13">
        <f t="shared" ref="M8:N8" si="20">I8*300</f>
        <v>0</v>
      </c>
      <c r="N8" s="3">
        <f t="shared" si="20"/>
        <v>6000</v>
      </c>
      <c r="O8" s="6">
        <v>40</v>
      </c>
      <c r="P8" s="6"/>
      <c r="Q8" s="6">
        <v>0</v>
      </c>
      <c r="R8" s="6">
        <v>10</v>
      </c>
      <c r="S8" s="17"/>
      <c r="T8" s="17">
        <f t="shared" si="2"/>
        <v>4000</v>
      </c>
      <c r="U8" s="6">
        <f t="shared" ref="U8:V8" si="21">Q8*300</f>
        <v>0</v>
      </c>
      <c r="V8" s="6">
        <f t="shared" si="21"/>
        <v>3000</v>
      </c>
      <c r="W8" s="6">
        <v>42</v>
      </c>
      <c r="X8" s="6"/>
      <c r="Y8" s="6">
        <v>0</v>
      </c>
      <c r="Z8" s="6">
        <v>13</v>
      </c>
      <c r="AA8" s="17"/>
      <c r="AB8" s="17">
        <f t="shared" si="4"/>
        <v>4200</v>
      </c>
      <c r="AC8" s="6">
        <f t="shared" ref="AC8:AD8" si="22">Y8*300</f>
        <v>0</v>
      </c>
      <c r="AD8" s="6">
        <f t="shared" si="22"/>
        <v>3900</v>
      </c>
      <c r="AE8" s="6">
        <v>45</v>
      </c>
      <c r="AF8" s="6"/>
      <c r="AG8" s="6">
        <v>0</v>
      </c>
      <c r="AH8" s="6">
        <v>15</v>
      </c>
      <c r="AI8" s="17"/>
      <c r="AJ8" s="17">
        <f t="shared" si="6"/>
        <v>4500</v>
      </c>
      <c r="AK8" s="6">
        <f t="shared" ref="AK8:AL8" si="23">AG8*300</f>
        <v>0</v>
      </c>
      <c r="AL8" s="39">
        <f t="shared" si="23"/>
        <v>4500</v>
      </c>
      <c r="AM8" s="22"/>
      <c r="AN8" s="22"/>
      <c r="AO8" s="22"/>
      <c r="AP8" s="22"/>
      <c r="AQ8" s="22"/>
      <c r="AR8" s="22"/>
      <c r="AS8" s="22"/>
      <c r="AT8" s="22"/>
    </row>
    <row r="9" spans="1:46" ht="15.75" customHeight="1">
      <c r="A9" s="6">
        <v>6</v>
      </c>
      <c r="B9" s="6" t="s">
        <v>25</v>
      </c>
      <c r="F9" s="11"/>
      <c r="G9" s="36"/>
      <c r="H9" s="13">
        <v>20</v>
      </c>
      <c r="I9" s="13">
        <v>0</v>
      </c>
      <c r="J9" s="13">
        <v>10</v>
      </c>
      <c r="K9" s="16"/>
      <c r="L9" s="16">
        <f t="shared" si="0"/>
        <v>2000</v>
      </c>
      <c r="M9" s="16">
        <f t="shared" ref="M9:N9" si="24">I9*300</f>
        <v>0</v>
      </c>
      <c r="N9" s="3">
        <f t="shared" si="24"/>
        <v>3000</v>
      </c>
      <c r="O9" s="6">
        <v>40</v>
      </c>
      <c r="P9" s="6"/>
      <c r="Q9" s="6">
        <v>0</v>
      </c>
      <c r="R9" s="6">
        <v>0</v>
      </c>
      <c r="S9" s="17"/>
      <c r="T9" s="17">
        <f t="shared" si="2"/>
        <v>4000</v>
      </c>
      <c r="U9" s="17">
        <f t="shared" ref="U9:V9" si="25">Q9*300</f>
        <v>0</v>
      </c>
      <c r="V9" s="6">
        <f t="shared" si="25"/>
        <v>0</v>
      </c>
      <c r="W9" s="6">
        <v>30</v>
      </c>
      <c r="X9" s="6"/>
      <c r="Y9" s="6">
        <v>0</v>
      </c>
      <c r="Z9" s="6">
        <v>10</v>
      </c>
      <c r="AA9" s="17"/>
      <c r="AB9" s="17">
        <f t="shared" si="4"/>
        <v>3000</v>
      </c>
      <c r="AC9" s="17">
        <f t="shared" ref="AC9:AD9" si="26">Y9*300</f>
        <v>0</v>
      </c>
      <c r="AD9" s="6">
        <f t="shared" si="26"/>
        <v>3000</v>
      </c>
      <c r="AE9" s="6">
        <v>35</v>
      </c>
      <c r="AF9" s="6"/>
      <c r="AG9" s="6">
        <v>0</v>
      </c>
      <c r="AH9" s="6">
        <v>12.5</v>
      </c>
      <c r="AI9" s="17"/>
      <c r="AJ9" s="17">
        <f t="shared" si="6"/>
        <v>3500</v>
      </c>
      <c r="AK9" s="17">
        <f t="shared" ref="AK9:AL9" si="27">AG9*300</f>
        <v>0</v>
      </c>
      <c r="AL9" s="39">
        <f t="shared" si="27"/>
        <v>3750</v>
      </c>
      <c r="AM9" s="22"/>
      <c r="AN9" s="22"/>
      <c r="AO9" s="22"/>
      <c r="AP9" s="22"/>
      <c r="AQ9" s="22"/>
      <c r="AR9" s="22"/>
      <c r="AS9" s="22"/>
      <c r="AT9" s="22"/>
    </row>
    <row r="10" spans="1:46" ht="15.75" customHeight="1">
      <c r="A10" s="6">
        <v>7</v>
      </c>
      <c r="B10" s="6" t="s">
        <v>27</v>
      </c>
      <c r="F10" s="11"/>
      <c r="G10" s="36"/>
      <c r="H10" s="13">
        <v>51</v>
      </c>
      <c r="I10" s="13">
        <v>0</v>
      </c>
      <c r="J10" s="13">
        <v>20</v>
      </c>
      <c r="K10" s="16"/>
      <c r="L10" s="16">
        <f t="shared" si="0"/>
        <v>5100</v>
      </c>
      <c r="M10" s="16">
        <f t="shared" ref="M10:N10" si="28">I10*300</f>
        <v>0</v>
      </c>
      <c r="N10" s="3">
        <f t="shared" si="28"/>
        <v>6000</v>
      </c>
      <c r="O10" s="6">
        <v>45</v>
      </c>
      <c r="P10" s="6"/>
      <c r="Q10" s="6">
        <v>0</v>
      </c>
      <c r="R10" s="6">
        <v>20</v>
      </c>
      <c r="S10" s="17"/>
      <c r="T10" s="17">
        <f t="shared" si="2"/>
        <v>4500</v>
      </c>
      <c r="U10" s="17">
        <f t="shared" ref="U10:V10" si="29">Q10*300</f>
        <v>0</v>
      </c>
      <c r="V10" s="6">
        <f t="shared" si="29"/>
        <v>6000</v>
      </c>
      <c r="W10" s="6">
        <v>50</v>
      </c>
      <c r="X10" s="6"/>
      <c r="Y10" s="6">
        <v>0</v>
      </c>
      <c r="Z10" s="6">
        <v>18</v>
      </c>
      <c r="AA10" s="17"/>
      <c r="AB10" s="17">
        <f t="shared" si="4"/>
        <v>5000</v>
      </c>
      <c r="AC10" s="17">
        <f t="shared" ref="AC10:AD10" si="30">Y10*300</f>
        <v>0</v>
      </c>
      <c r="AD10" s="6">
        <f t="shared" si="30"/>
        <v>5400</v>
      </c>
      <c r="AE10" s="6">
        <v>47</v>
      </c>
      <c r="AF10" s="6"/>
      <c r="AG10" s="6">
        <v>0</v>
      </c>
      <c r="AH10" s="6">
        <v>15</v>
      </c>
      <c r="AI10" s="17"/>
      <c r="AJ10" s="17">
        <f t="shared" si="6"/>
        <v>4700</v>
      </c>
      <c r="AK10" s="17">
        <f t="shared" ref="AK10:AL10" si="31">AG10*300</f>
        <v>0</v>
      </c>
      <c r="AL10" s="39">
        <f t="shared" si="31"/>
        <v>4500</v>
      </c>
      <c r="AM10" s="22"/>
      <c r="AN10" s="22"/>
      <c r="AO10" s="22"/>
      <c r="AP10" s="22"/>
      <c r="AQ10" s="22"/>
      <c r="AR10" s="22"/>
      <c r="AS10" s="22"/>
      <c r="AT10" s="22"/>
    </row>
    <row r="11" spans="1:46" ht="15.75" customHeight="1">
      <c r="A11" s="6">
        <v>8</v>
      </c>
      <c r="B11" s="6" t="s">
        <v>28</v>
      </c>
      <c r="F11" s="11"/>
      <c r="G11" s="36"/>
      <c r="H11" s="13">
        <v>45</v>
      </c>
      <c r="I11" s="13">
        <v>0</v>
      </c>
      <c r="J11" s="13">
        <v>10</v>
      </c>
      <c r="K11" s="16"/>
      <c r="L11" s="16">
        <f t="shared" si="0"/>
        <v>4500</v>
      </c>
      <c r="M11" s="16">
        <f t="shared" ref="M11:N11" si="32">I11*300</f>
        <v>0</v>
      </c>
      <c r="N11" s="3">
        <f t="shared" si="32"/>
        <v>3000</v>
      </c>
      <c r="O11" s="6">
        <v>60</v>
      </c>
      <c r="P11" s="6"/>
      <c r="Q11" s="6">
        <v>0</v>
      </c>
      <c r="R11" s="6">
        <v>10</v>
      </c>
      <c r="S11" s="17"/>
      <c r="T11" s="17">
        <f t="shared" si="2"/>
        <v>6000</v>
      </c>
      <c r="U11" s="17">
        <f t="shared" ref="U11:V11" si="33">Q11*300</f>
        <v>0</v>
      </c>
      <c r="V11" s="6">
        <f t="shared" si="33"/>
        <v>3000</v>
      </c>
      <c r="W11" s="6">
        <v>40</v>
      </c>
      <c r="X11" s="6"/>
      <c r="Y11" s="6">
        <v>0</v>
      </c>
      <c r="Z11" s="6">
        <v>10</v>
      </c>
      <c r="AA11" s="17"/>
      <c r="AB11" s="17">
        <f t="shared" si="4"/>
        <v>4000</v>
      </c>
      <c r="AC11" s="17">
        <f t="shared" ref="AC11:AD11" si="34">Y11*300</f>
        <v>0</v>
      </c>
      <c r="AD11" s="6">
        <f t="shared" si="34"/>
        <v>3000</v>
      </c>
      <c r="AE11" s="6">
        <v>55</v>
      </c>
      <c r="AF11" s="6"/>
      <c r="AG11" s="6">
        <v>0</v>
      </c>
      <c r="AH11" s="6">
        <v>20</v>
      </c>
      <c r="AI11" s="17"/>
      <c r="AJ11" s="17">
        <f t="shared" si="6"/>
        <v>5500</v>
      </c>
      <c r="AK11" s="17">
        <f t="shared" ref="AK11:AL11" si="35">AG11*300</f>
        <v>0</v>
      </c>
      <c r="AL11" s="39">
        <f t="shared" si="35"/>
        <v>6000</v>
      </c>
      <c r="AM11" s="22"/>
      <c r="AN11" s="22"/>
      <c r="AO11" s="22"/>
      <c r="AP11" s="22"/>
      <c r="AQ11" s="22"/>
      <c r="AR11" s="22"/>
      <c r="AS11" s="22"/>
      <c r="AT11" s="22"/>
    </row>
    <row r="12" spans="1:46" ht="15.75" customHeight="1">
      <c r="A12" s="6">
        <v>9</v>
      </c>
      <c r="B12" s="6" t="s">
        <v>29</v>
      </c>
      <c r="F12" s="11"/>
      <c r="G12" s="36"/>
      <c r="H12" s="13">
        <v>15</v>
      </c>
      <c r="I12" s="13">
        <v>0</v>
      </c>
      <c r="J12" s="13">
        <v>10</v>
      </c>
      <c r="K12" s="16"/>
      <c r="L12" s="16">
        <f t="shared" si="0"/>
        <v>1500</v>
      </c>
      <c r="M12" s="16">
        <f t="shared" ref="M12:N12" si="36">I12*300</f>
        <v>0</v>
      </c>
      <c r="N12" s="3">
        <f t="shared" si="36"/>
        <v>3000</v>
      </c>
      <c r="O12" s="6">
        <v>20</v>
      </c>
      <c r="P12" s="6"/>
      <c r="Q12" s="6">
        <v>0</v>
      </c>
      <c r="R12" s="37">
        <v>5</v>
      </c>
      <c r="S12" s="17"/>
      <c r="T12" s="17">
        <f t="shared" si="2"/>
        <v>2000</v>
      </c>
      <c r="U12" s="17">
        <f t="shared" ref="U12:V12" si="37">Q12*300</f>
        <v>0</v>
      </c>
      <c r="V12" s="6">
        <f t="shared" si="37"/>
        <v>1500</v>
      </c>
      <c r="W12" s="6">
        <v>25</v>
      </c>
      <c r="X12" s="6"/>
      <c r="Y12" s="6">
        <v>0</v>
      </c>
      <c r="Z12" s="6">
        <v>5</v>
      </c>
      <c r="AA12" s="17"/>
      <c r="AB12" s="17">
        <f t="shared" si="4"/>
        <v>2500</v>
      </c>
      <c r="AC12" s="17">
        <f t="shared" ref="AC12:AD12" si="38">Y12*300</f>
        <v>0</v>
      </c>
      <c r="AD12" s="6">
        <f t="shared" si="38"/>
        <v>1500</v>
      </c>
      <c r="AE12" s="6">
        <v>30</v>
      </c>
      <c r="AF12" s="6"/>
      <c r="AG12" s="6">
        <v>0</v>
      </c>
      <c r="AH12" s="6">
        <v>10</v>
      </c>
      <c r="AI12" s="17"/>
      <c r="AJ12" s="17">
        <f t="shared" si="6"/>
        <v>3000</v>
      </c>
      <c r="AK12" s="17">
        <v>0</v>
      </c>
      <c r="AL12" s="39">
        <f>AH12*300</f>
        <v>3000</v>
      </c>
      <c r="AM12" s="22"/>
      <c r="AN12" s="22"/>
      <c r="AO12" s="22"/>
      <c r="AP12" s="22"/>
      <c r="AQ12" s="22"/>
      <c r="AR12" s="22"/>
      <c r="AS12" s="22"/>
      <c r="AT12" s="22"/>
    </row>
    <row r="13" spans="1:46" ht="15.75" customHeight="1">
      <c r="A13" s="6">
        <v>10</v>
      </c>
      <c r="B13" s="6" t="s">
        <v>30</v>
      </c>
      <c r="F13" s="11"/>
      <c r="G13" s="36"/>
      <c r="H13" s="13">
        <v>24</v>
      </c>
      <c r="I13" s="13">
        <v>0</v>
      </c>
      <c r="J13" s="13">
        <v>20</v>
      </c>
      <c r="K13" s="16"/>
      <c r="L13" s="16">
        <f t="shared" si="0"/>
        <v>2400</v>
      </c>
      <c r="M13" s="16">
        <f t="shared" ref="M13:N13" si="39">I13*300</f>
        <v>0</v>
      </c>
      <c r="N13" s="3">
        <f t="shared" si="39"/>
        <v>6000</v>
      </c>
      <c r="O13" s="6">
        <v>30</v>
      </c>
      <c r="P13" s="6"/>
      <c r="Q13" s="6">
        <v>0</v>
      </c>
      <c r="R13" s="6">
        <v>8</v>
      </c>
      <c r="S13" s="17"/>
      <c r="T13" s="17">
        <f t="shared" si="2"/>
        <v>3000</v>
      </c>
      <c r="U13" s="17">
        <f t="shared" ref="U13:V13" si="40">Q13*300</f>
        <v>0</v>
      </c>
      <c r="V13" s="6">
        <f t="shared" si="40"/>
        <v>2400</v>
      </c>
      <c r="W13" s="6">
        <v>20</v>
      </c>
      <c r="X13" s="6"/>
      <c r="Y13" s="6">
        <v>0</v>
      </c>
      <c r="Z13" s="6">
        <v>0</v>
      </c>
      <c r="AA13" s="17"/>
      <c r="AB13" s="17">
        <f t="shared" si="4"/>
        <v>2000</v>
      </c>
      <c r="AC13" s="17">
        <f t="shared" ref="AC13:AD13" si="41">Y13*300</f>
        <v>0</v>
      </c>
      <c r="AD13" s="6">
        <f t="shared" si="41"/>
        <v>0</v>
      </c>
      <c r="AE13" s="6">
        <v>25</v>
      </c>
      <c r="AF13" s="6"/>
      <c r="AG13" s="6">
        <v>0</v>
      </c>
      <c r="AH13" s="6">
        <v>10</v>
      </c>
      <c r="AI13" s="17"/>
      <c r="AJ13" s="17">
        <f t="shared" si="6"/>
        <v>2500</v>
      </c>
      <c r="AK13" s="17">
        <f t="shared" ref="AK13:AL13" si="42">AG13*300</f>
        <v>0</v>
      </c>
      <c r="AL13" s="39">
        <f t="shared" si="42"/>
        <v>3000</v>
      </c>
      <c r="AM13" s="22"/>
      <c r="AN13" s="22"/>
      <c r="AO13" s="22"/>
      <c r="AP13" s="22"/>
      <c r="AQ13" s="22"/>
      <c r="AR13" s="22"/>
      <c r="AS13" s="22"/>
      <c r="AT13" s="22"/>
    </row>
    <row r="14" spans="1:46" ht="15.75" customHeight="1">
      <c r="A14" s="6">
        <v>11</v>
      </c>
      <c r="B14" s="6" t="s">
        <v>31</v>
      </c>
      <c r="F14" s="11"/>
      <c r="G14" s="36"/>
      <c r="H14" s="13">
        <v>68</v>
      </c>
      <c r="I14" s="13">
        <v>0</v>
      </c>
      <c r="J14" s="13">
        <v>0</v>
      </c>
      <c r="K14" s="16"/>
      <c r="L14" s="16">
        <f t="shared" si="0"/>
        <v>6800</v>
      </c>
      <c r="M14" s="16">
        <f t="shared" ref="M14:N14" si="43">I14*300</f>
        <v>0</v>
      </c>
      <c r="N14" s="3">
        <f t="shared" si="43"/>
        <v>0</v>
      </c>
      <c r="O14" s="6">
        <v>60</v>
      </c>
      <c r="P14" s="6"/>
      <c r="Q14" s="6">
        <v>0</v>
      </c>
      <c r="R14" s="6">
        <v>0</v>
      </c>
      <c r="S14" s="17"/>
      <c r="T14" s="17">
        <f t="shared" si="2"/>
        <v>6000</v>
      </c>
      <c r="U14" s="17">
        <f t="shared" ref="U14:V14" si="44">Q14*300</f>
        <v>0</v>
      </c>
      <c r="V14" s="6">
        <f t="shared" si="44"/>
        <v>0</v>
      </c>
      <c r="W14" s="6">
        <v>65</v>
      </c>
      <c r="X14" s="6"/>
      <c r="Y14" s="6">
        <v>0</v>
      </c>
      <c r="Z14" s="6">
        <v>15</v>
      </c>
      <c r="AA14" s="17"/>
      <c r="AB14" s="17">
        <f t="shared" si="4"/>
        <v>6500</v>
      </c>
      <c r="AC14" s="17">
        <f t="shared" ref="AC14:AD14" si="45">Y14*300</f>
        <v>0</v>
      </c>
      <c r="AD14" s="6">
        <f t="shared" si="45"/>
        <v>4500</v>
      </c>
      <c r="AE14" s="6">
        <v>55</v>
      </c>
      <c r="AF14" s="6"/>
      <c r="AG14" s="6">
        <v>0</v>
      </c>
      <c r="AH14" s="6">
        <v>5</v>
      </c>
      <c r="AI14" s="17"/>
      <c r="AJ14" s="17">
        <f t="shared" si="6"/>
        <v>5500</v>
      </c>
      <c r="AK14" s="17">
        <f t="shared" ref="AK14:AL14" si="46">AG14*300</f>
        <v>0</v>
      </c>
      <c r="AL14" s="39">
        <f t="shared" si="46"/>
        <v>1500</v>
      </c>
      <c r="AM14" s="22"/>
      <c r="AN14" s="22"/>
      <c r="AO14" s="22"/>
      <c r="AP14" s="22"/>
      <c r="AQ14" s="22"/>
      <c r="AR14" s="22"/>
      <c r="AS14" s="22"/>
      <c r="AT14" s="22"/>
    </row>
    <row r="15" spans="1:46" ht="15.75" customHeight="1">
      <c r="A15" s="6">
        <v>12</v>
      </c>
      <c r="B15" s="6" t="s">
        <v>33</v>
      </c>
      <c r="F15" s="11"/>
      <c r="G15" s="36"/>
      <c r="H15" s="13">
        <v>25</v>
      </c>
      <c r="I15" s="13">
        <v>10</v>
      </c>
      <c r="J15" s="13">
        <v>10</v>
      </c>
      <c r="K15" s="16"/>
      <c r="L15" s="16">
        <f t="shared" si="0"/>
        <v>2500</v>
      </c>
      <c r="M15" s="16">
        <f t="shared" ref="M15:N15" si="47">I15*300</f>
        <v>3000</v>
      </c>
      <c r="N15" s="3">
        <f t="shared" si="47"/>
        <v>3000</v>
      </c>
      <c r="O15" s="6">
        <v>15</v>
      </c>
      <c r="P15" s="6"/>
      <c r="Q15" s="6">
        <v>0</v>
      </c>
      <c r="R15" s="38">
        <v>20</v>
      </c>
      <c r="S15" s="17"/>
      <c r="T15" s="17">
        <f t="shared" si="2"/>
        <v>1500</v>
      </c>
      <c r="U15" s="17">
        <f t="shared" ref="U15:V15" si="48">Q15*300</f>
        <v>0</v>
      </c>
      <c r="V15" s="6">
        <f t="shared" si="48"/>
        <v>6000</v>
      </c>
      <c r="W15" s="6">
        <v>20</v>
      </c>
      <c r="X15" s="6"/>
      <c r="Y15" s="6">
        <v>0</v>
      </c>
      <c r="Z15" s="6">
        <v>5</v>
      </c>
      <c r="AA15" s="17"/>
      <c r="AB15" s="17">
        <f t="shared" si="4"/>
        <v>2000</v>
      </c>
      <c r="AC15" s="17">
        <f t="shared" ref="AC15:AD15" si="49">Y15*300</f>
        <v>0</v>
      </c>
      <c r="AD15" s="6">
        <f t="shared" si="49"/>
        <v>1500</v>
      </c>
      <c r="AE15" s="6">
        <v>25</v>
      </c>
      <c r="AF15" s="6"/>
      <c r="AG15" s="6">
        <v>0</v>
      </c>
      <c r="AH15" s="6">
        <v>20</v>
      </c>
      <c r="AI15" s="17"/>
      <c r="AJ15" s="17">
        <f t="shared" si="6"/>
        <v>2500</v>
      </c>
      <c r="AK15" s="17">
        <f t="shared" ref="AK15:AL15" si="50">AG15*300</f>
        <v>0</v>
      </c>
      <c r="AL15" s="39">
        <f t="shared" si="50"/>
        <v>6000</v>
      </c>
      <c r="AM15" s="22"/>
      <c r="AN15" s="22"/>
      <c r="AO15" s="22"/>
      <c r="AP15" s="22"/>
      <c r="AQ15" s="22"/>
      <c r="AR15" s="22"/>
      <c r="AS15" s="22"/>
      <c r="AT15" s="22"/>
    </row>
    <row r="16" spans="1:46" ht="15.75" customHeight="1">
      <c r="A16" s="6">
        <v>13</v>
      </c>
      <c r="B16" s="6" t="s">
        <v>34</v>
      </c>
      <c r="F16" s="11"/>
      <c r="G16" s="36"/>
      <c r="H16" s="13">
        <v>30</v>
      </c>
      <c r="I16" s="13">
        <v>0</v>
      </c>
      <c r="J16" s="13">
        <v>20</v>
      </c>
      <c r="K16" s="16"/>
      <c r="L16" s="16">
        <f t="shared" si="0"/>
        <v>3000</v>
      </c>
      <c r="M16" s="16">
        <f t="shared" ref="M16:N16" si="51">I16*300</f>
        <v>0</v>
      </c>
      <c r="N16" s="3">
        <f t="shared" si="51"/>
        <v>6000</v>
      </c>
      <c r="O16" s="6">
        <v>35</v>
      </c>
      <c r="P16" s="6"/>
      <c r="Q16" s="6">
        <v>0</v>
      </c>
      <c r="R16" s="6">
        <v>10</v>
      </c>
      <c r="S16" s="17"/>
      <c r="T16" s="17">
        <f t="shared" si="2"/>
        <v>3500</v>
      </c>
      <c r="U16" s="17">
        <f t="shared" ref="U16:V16" si="52">Q16*300</f>
        <v>0</v>
      </c>
      <c r="V16" s="6">
        <f t="shared" si="52"/>
        <v>3000</v>
      </c>
      <c r="W16" s="6">
        <v>38</v>
      </c>
      <c r="X16" s="6"/>
      <c r="Y16" s="6">
        <v>0</v>
      </c>
      <c r="Z16" s="6">
        <v>10</v>
      </c>
      <c r="AA16" s="17"/>
      <c r="AB16" s="17">
        <f t="shared" si="4"/>
        <v>3800</v>
      </c>
      <c r="AC16" s="17">
        <f t="shared" ref="AC16:AD16" si="53">Y16*300</f>
        <v>0</v>
      </c>
      <c r="AD16" s="6">
        <f t="shared" si="53"/>
        <v>3000</v>
      </c>
      <c r="AE16" s="6">
        <v>30</v>
      </c>
      <c r="AF16" s="6"/>
      <c r="AG16" s="6">
        <v>0</v>
      </c>
      <c r="AH16" s="6">
        <v>20</v>
      </c>
      <c r="AI16" s="17"/>
      <c r="AJ16" s="17">
        <f t="shared" si="6"/>
        <v>3000</v>
      </c>
      <c r="AK16" s="17">
        <f t="shared" ref="AK16:AL16" si="54">AG16*300</f>
        <v>0</v>
      </c>
      <c r="AL16" s="39">
        <f t="shared" si="54"/>
        <v>6000</v>
      </c>
      <c r="AM16" s="22"/>
      <c r="AN16" s="22"/>
      <c r="AO16" s="22"/>
      <c r="AP16" s="22"/>
      <c r="AQ16" s="22"/>
      <c r="AR16" s="22"/>
      <c r="AS16" s="22"/>
      <c r="AT16" s="22"/>
    </row>
    <row r="17" spans="1:46" ht="15.75" customHeight="1">
      <c r="A17" s="6">
        <v>14</v>
      </c>
      <c r="B17" s="6" t="s">
        <v>35</v>
      </c>
      <c r="F17" s="11"/>
      <c r="G17" s="36"/>
      <c r="H17" s="13">
        <v>20</v>
      </c>
      <c r="I17" s="13">
        <v>15</v>
      </c>
      <c r="J17" s="13">
        <v>0</v>
      </c>
      <c r="K17" s="16"/>
      <c r="L17" s="16">
        <f t="shared" si="0"/>
        <v>2000</v>
      </c>
      <c r="M17" s="16">
        <f t="shared" ref="M17:N17" si="55">I17*300</f>
        <v>4500</v>
      </c>
      <c r="N17" s="3">
        <f t="shared" si="55"/>
        <v>0</v>
      </c>
      <c r="O17" s="6">
        <v>35</v>
      </c>
      <c r="P17" s="6"/>
      <c r="Q17" s="6">
        <v>0</v>
      </c>
      <c r="R17" s="6">
        <v>10</v>
      </c>
      <c r="S17" s="17"/>
      <c r="T17" s="17">
        <f t="shared" si="2"/>
        <v>3500</v>
      </c>
      <c r="U17" s="17">
        <f t="shared" ref="U17:V17" si="56">Q17*300</f>
        <v>0</v>
      </c>
      <c r="V17" s="6">
        <f t="shared" si="56"/>
        <v>3000</v>
      </c>
      <c r="W17" s="6">
        <v>30</v>
      </c>
      <c r="X17" s="6"/>
      <c r="Y17" s="6">
        <v>0</v>
      </c>
      <c r="Z17" s="6">
        <v>5</v>
      </c>
      <c r="AA17" s="17"/>
      <c r="AB17" s="17">
        <f t="shared" si="4"/>
        <v>3000</v>
      </c>
      <c r="AC17" s="17">
        <f t="shared" ref="AC17:AD17" si="57">Y17*300</f>
        <v>0</v>
      </c>
      <c r="AD17" s="6">
        <f t="shared" si="57"/>
        <v>1500</v>
      </c>
      <c r="AE17" s="6">
        <v>32</v>
      </c>
      <c r="AF17" s="6"/>
      <c r="AG17" s="6">
        <v>0</v>
      </c>
      <c r="AH17" s="6">
        <v>8</v>
      </c>
      <c r="AI17" s="17"/>
      <c r="AJ17" s="17">
        <f t="shared" si="6"/>
        <v>3200</v>
      </c>
      <c r="AK17" s="17">
        <f t="shared" ref="AK17:AL17" si="58">AG17*300</f>
        <v>0</v>
      </c>
      <c r="AL17" s="39">
        <f t="shared" si="58"/>
        <v>2400</v>
      </c>
      <c r="AM17" s="22"/>
      <c r="AN17" s="22"/>
      <c r="AO17" s="22"/>
      <c r="AP17" s="22"/>
      <c r="AQ17" s="22"/>
      <c r="AR17" s="22"/>
      <c r="AS17" s="22"/>
      <c r="AT17" s="22"/>
    </row>
    <row r="18" spans="1:46" ht="15.75" customHeight="1">
      <c r="A18" s="6">
        <v>15</v>
      </c>
      <c r="B18" s="6" t="s">
        <v>36</v>
      </c>
      <c r="F18" s="11"/>
      <c r="G18" s="36"/>
      <c r="H18" s="13">
        <v>10</v>
      </c>
      <c r="I18" s="13">
        <v>0</v>
      </c>
      <c r="J18" s="13">
        <v>20</v>
      </c>
      <c r="K18" s="16"/>
      <c r="L18" s="16">
        <f t="shared" si="0"/>
        <v>1000</v>
      </c>
      <c r="M18" s="16">
        <f t="shared" ref="M18:N18" si="59">I18*300</f>
        <v>0</v>
      </c>
      <c r="N18" s="3">
        <f t="shared" si="59"/>
        <v>6000</v>
      </c>
      <c r="O18" s="6">
        <v>48</v>
      </c>
      <c r="P18" s="6"/>
      <c r="Q18" s="6">
        <v>0</v>
      </c>
      <c r="R18" s="6">
        <v>8</v>
      </c>
      <c r="S18" s="17"/>
      <c r="T18" s="17">
        <f t="shared" si="2"/>
        <v>4800</v>
      </c>
      <c r="U18" s="17">
        <f t="shared" ref="U18:V18" si="60">Q18*300</f>
        <v>0</v>
      </c>
      <c r="V18" s="6">
        <f t="shared" si="60"/>
        <v>2400</v>
      </c>
      <c r="W18" s="6">
        <v>35</v>
      </c>
      <c r="X18" s="6"/>
      <c r="Y18" s="6">
        <v>0</v>
      </c>
      <c r="Z18" s="6">
        <v>15</v>
      </c>
      <c r="AA18" s="17"/>
      <c r="AB18" s="17">
        <f t="shared" si="4"/>
        <v>3500</v>
      </c>
      <c r="AC18" s="17">
        <f t="shared" ref="AC18:AD18" si="61">Y18*300</f>
        <v>0</v>
      </c>
      <c r="AD18" s="6">
        <f t="shared" si="61"/>
        <v>4500</v>
      </c>
      <c r="AE18" s="6">
        <v>40</v>
      </c>
      <c r="AF18" s="6"/>
      <c r="AG18" s="6">
        <v>0</v>
      </c>
      <c r="AH18" s="6">
        <v>10</v>
      </c>
      <c r="AI18" s="17"/>
      <c r="AJ18" s="17">
        <f t="shared" si="6"/>
        <v>4000</v>
      </c>
      <c r="AK18" s="17">
        <f t="shared" ref="AK18:AL18" si="62">AG18*300</f>
        <v>0</v>
      </c>
      <c r="AL18" s="39">
        <f t="shared" si="62"/>
        <v>3000</v>
      </c>
      <c r="AM18" s="22"/>
      <c r="AN18" s="22"/>
      <c r="AO18" s="22"/>
      <c r="AP18" s="22"/>
      <c r="AQ18" s="22"/>
      <c r="AR18" s="22"/>
      <c r="AS18" s="22"/>
      <c r="AT18" s="22"/>
    </row>
    <row r="19" spans="1:46" ht="15.75" customHeight="1">
      <c r="A19" s="6">
        <v>16</v>
      </c>
      <c r="B19" s="6" t="s">
        <v>37</v>
      </c>
      <c r="F19" s="11"/>
      <c r="G19" s="36"/>
      <c r="H19" s="13">
        <v>45</v>
      </c>
      <c r="I19" s="13">
        <v>0</v>
      </c>
      <c r="J19" s="13">
        <v>25</v>
      </c>
      <c r="K19" s="16"/>
      <c r="L19" s="16">
        <f t="shared" si="0"/>
        <v>4500</v>
      </c>
      <c r="M19" s="16">
        <f t="shared" ref="M19:N19" si="63">I19*300</f>
        <v>0</v>
      </c>
      <c r="N19" s="3">
        <f t="shared" si="63"/>
        <v>7500</v>
      </c>
      <c r="O19" s="6">
        <v>45</v>
      </c>
      <c r="P19" s="6"/>
      <c r="Q19" s="6">
        <v>0</v>
      </c>
      <c r="R19" s="6">
        <v>20</v>
      </c>
      <c r="S19" s="17"/>
      <c r="T19" s="17">
        <f t="shared" si="2"/>
        <v>4500</v>
      </c>
      <c r="U19" s="17">
        <f t="shared" ref="U19:V19" si="64">Q19*300</f>
        <v>0</v>
      </c>
      <c r="V19" s="6">
        <f t="shared" si="64"/>
        <v>6000</v>
      </c>
      <c r="W19" s="6">
        <v>48</v>
      </c>
      <c r="X19" s="6"/>
      <c r="Y19" s="6">
        <v>0</v>
      </c>
      <c r="Z19" s="6">
        <v>20</v>
      </c>
      <c r="AA19" s="17"/>
      <c r="AB19" s="17">
        <f t="shared" si="4"/>
        <v>4800</v>
      </c>
      <c r="AC19" s="17">
        <f t="shared" ref="AC19:AD19" si="65">Y19*300</f>
        <v>0</v>
      </c>
      <c r="AD19" s="6">
        <f t="shared" si="65"/>
        <v>6000</v>
      </c>
      <c r="AE19" s="6">
        <v>40</v>
      </c>
      <c r="AF19" s="6"/>
      <c r="AG19" s="6">
        <v>0</v>
      </c>
      <c r="AH19" s="6">
        <v>15</v>
      </c>
      <c r="AI19" s="17"/>
      <c r="AJ19" s="17">
        <f t="shared" si="6"/>
        <v>4000</v>
      </c>
      <c r="AK19" s="17">
        <f t="shared" ref="AK19:AL19" si="66">AG19*300</f>
        <v>0</v>
      </c>
      <c r="AL19" s="39">
        <f t="shared" si="66"/>
        <v>4500</v>
      </c>
      <c r="AM19" s="22"/>
      <c r="AN19" s="22"/>
      <c r="AO19" s="22"/>
      <c r="AP19" s="22"/>
      <c r="AQ19" s="22"/>
      <c r="AR19" s="22"/>
      <c r="AS19" s="22"/>
      <c r="AT19" s="22"/>
    </row>
    <row r="20" spans="1:46" ht="15.75" customHeight="1">
      <c r="A20" s="6">
        <v>17</v>
      </c>
      <c r="B20" s="6" t="s">
        <v>39</v>
      </c>
      <c r="F20" s="11"/>
      <c r="G20" s="36"/>
      <c r="H20" s="13">
        <v>10</v>
      </c>
      <c r="I20" s="13">
        <v>0</v>
      </c>
      <c r="J20" s="13">
        <v>10</v>
      </c>
      <c r="K20" s="16"/>
      <c r="L20" s="16">
        <f t="shared" si="0"/>
        <v>1000</v>
      </c>
      <c r="M20" s="16">
        <f t="shared" ref="M20:N20" si="67">I20*300</f>
        <v>0</v>
      </c>
      <c r="N20" s="3">
        <f t="shared" si="67"/>
        <v>3000</v>
      </c>
      <c r="O20" s="6">
        <v>40</v>
      </c>
      <c r="P20" s="6"/>
      <c r="Q20" s="6">
        <v>0</v>
      </c>
      <c r="R20" s="6">
        <v>0</v>
      </c>
      <c r="S20" s="17"/>
      <c r="T20" s="17">
        <f t="shared" si="2"/>
        <v>4000</v>
      </c>
      <c r="U20" s="17">
        <f t="shared" ref="U20:V20" si="68">Q20*300</f>
        <v>0</v>
      </c>
      <c r="V20" s="6">
        <f t="shared" si="68"/>
        <v>0</v>
      </c>
      <c r="W20" s="6">
        <v>20</v>
      </c>
      <c r="X20" s="6"/>
      <c r="Y20" s="6">
        <v>0</v>
      </c>
      <c r="Z20" s="6">
        <v>0</v>
      </c>
      <c r="AA20" s="17"/>
      <c r="AB20" s="17">
        <f t="shared" si="4"/>
        <v>2000</v>
      </c>
      <c r="AC20" s="17">
        <f t="shared" ref="AC20:AD20" si="69">Y20*300</f>
        <v>0</v>
      </c>
      <c r="AD20" s="6">
        <f t="shared" si="69"/>
        <v>0</v>
      </c>
      <c r="AE20" s="6">
        <v>35</v>
      </c>
      <c r="AF20" s="6"/>
      <c r="AG20" s="6">
        <v>0</v>
      </c>
      <c r="AH20" s="6">
        <v>0</v>
      </c>
      <c r="AI20" s="17"/>
      <c r="AJ20" s="17">
        <f t="shared" si="6"/>
        <v>3500</v>
      </c>
      <c r="AK20" s="1">
        <f t="shared" ref="AK20:AL20" si="70">AG20*300</f>
        <v>0</v>
      </c>
      <c r="AL20" s="39">
        <f t="shared" si="70"/>
        <v>0</v>
      </c>
      <c r="AM20" s="22"/>
      <c r="AN20" s="22"/>
      <c r="AO20" s="22"/>
      <c r="AP20" s="22"/>
      <c r="AQ20" s="22"/>
      <c r="AR20" s="22"/>
      <c r="AS20" s="22"/>
      <c r="AT20" s="22"/>
    </row>
    <row r="21" spans="1:46" ht="15.75" customHeight="1">
      <c r="A21" s="6">
        <v>18</v>
      </c>
      <c r="B21" s="6" t="s">
        <v>41</v>
      </c>
      <c r="F21" s="11"/>
      <c r="G21" s="36"/>
      <c r="H21" s="13">
        <v>30</v>
      </c>
      <c r="I21" s="13">
        <v>10</v>
      </c>
      <c r="J21" s="13">
        <v>0</v>
      </c>
      <c r="K21" s="16"/>
      <c r="L21" s="16">
        <f t="shared" si="0"/>
        <v>3000</v>
      </c>
      <c r="M21" s="16">
        <f t="shared" ref="M21:N21" si="71">I21*300</f>
        <v>3000</v>
      </c>
      <c r="N21" s="3">
        <f t="shared" si="71"/>
        <v>0</v>
      </c>
      <c r="O21" s="6">
        <v>30</v>
      </c>
      <c r="P21" s="6"/>
      <c r="Q21" s="6">
        <v>0</v>
      </c>
      <c r="R21" s="6">
        <v>10</v>
      </c>
      <c r="S21" s="17"/>
      <c r="T21" s="17">
        <f t="shared" si="2"/>
        <v>3000</v>
      </c>
      <c r="U21" s="17">
        <f t="shared" ref="U21:V21" si="72">Q21*300</f>
        <v>0</v>
      </c>
      <c r="V21" s="6">
        <f t="shared" si="72"/>
        <v>3000</v>
      </c>
      <c r="W21" s="6">
        <v>40</v>
      </c>
      <c r="X21" s="6"/>
      <c r="Y21" s="6">
        <v>0</v>
      </c>
      <c r="Z21" s="6">
        <v>5</v>
      </c>
      <c r="AA21" s="17"/>
      <c r="AB21" s="17">
        <f t="shared" si="4"/>
        <v>4000</v>
      </c>
      <c r="AC21" s="17">
        <f t="shared" ref="AC21:AD21" si="73">Y21*300</f>
        <v>0</v>
      </c>
      <c r="AD21" s="6">
        <f t="shared" si="73"/>
        <v>1500</v>
      </c>
      <c r="AE21" s="6">
        <v>38</v>
      </c>
      <c r="AF21" s="6"/>
      <c r="AG21" s="6">
        <v>0</v>
      </c>
      <c r="AH21" s="6">
        <v>10</v>
      </c>
      <c r="AI21" s="17"/>
      <c r="AJ21" s="17">
        <f t="shared" si="6"/>
        <v>3800</v>
      </c>
      <c r="AK21" s="17">
        <f t="shared" ref="AK21:AL21" si="74">AG21*300</f>
        <v>0</v>
      </c>
      <c r="AL21" s="39">
        <f t="shared" si="74"/>
        <v>3000</v>
      </c>
      <c r="AM21" s="22"/>
      <c r="AN21" s="22"/>
      <c r="AO21" s="22"/>
      <c r="AP21" s="22"/>
      <c r="AQ21" s="22"/>
      <c r="AR21" s="22"/>
      <c r="AS21" s="22"/>
      <c r="AT21" s="22"/>
    </row>
    <row r="22" spans="1:46" ht="15.75" customHeight="1">
      <c r="A22" s="6">
        <v>19</v>
      </c>
      <c r="B22" s="6" t="s">
        <v>42</v>
      </c>
      <c r="F22" s="11"/>
      <c r="G22" s="36"/>
      <c r="H22" s="13">
        <v>35</v>
      </c>
      <c r="I22" s="13">
        <v>0</v>
      </c>
      <c r="J22" s="13">
        <v>5</v>
      </c>
      <c r="K22" s="17"/>
      <c r="L22" s="17">
        <f t="shared" si="0"/>
        <v>3500</v>
      </c>
      <c r="M22" s="6">
        <f t="shared" ref="M22:N22" si="75">I22*300</f>
        <v>0</v>
      </c>
      <c r="N22" s="3">
        <f t="shared" si="75"/>
        <v>1500</v>
      </c>
      <c r="O22" s="6">
        <v>35</v>
      </c>
      <c r="P22" s="6"/>
      <c r="Q22" s="6">
        <v>0</v>
      </c>
      <c r="R22" s="38">
        <v>10</v>
      </c>
      <c r="S22" s="17"/>
      <c r="T22" s="17">
        <f t="shared" si="2"/>
        <v>3500</v>
      </c>
      <c r="U22" s="6">
        <f t="shared" ref="U22:V22" si="76">Q22*300</f>
        <v>0</v>
      </c>
      <c r="V22" s="6">
        <f t="shared" si="76"/>
        <v>3000</v>
      </c>
      <c r="W22" s="6">
        <v>45</v>
      </c>
      <c r="X22" s="6"/>
      <c r="Y22" s="6">
        <v>0</v>
      </c>
      <c r="Z22" s="6">
        <v>15</v>
      </c>
      <c r="AA22" s="17"/>
      <c r="AB22" s="17">
        <f t="shared" si="4"/>
        <v>4500</v>
      </c>
      <c r="AC22" s="6">
        <f t="shared" ref="AC22:AD22" si="77">Y22*300</f>
        <v>0</v>
      </c>
      <c r="AD22" s="6">
        <f t="shared" si="77"/>
        <v>4500</v>
      </c>
      <c r="AE22" s="6">
        <v>42</v>
      </c>
      <c r="AF22" s="6"/>
      <c r="AG22" s="6">
        <v>0</v>
      </c>
      <c r="AH22" s="6">
        <v>15</v>
      </c>
      <c r="AI22" s="17"/>
      <c r="AJ22" s="17">
        <f t="shared" si="6"/>
        <v>4200</v>
      </c>
      <c r="AK22" s="6">
        <f t="shared" ref="AK22:AL22" si="78">AG22*300</f>
        <v>0</v>
      </c>
      <c r="AL22" s="39">
        <f t="shared" si="78"/>
        <v>4500</v>
      </c>
      <c r="AM22" s="22"/>
      <c r="AN22" s="22"/>
      <c r="AO22" s="22"/>
      <c r="AP22" s="22"/>
      <c r="AQ22" s="22"/>
      <c r="AR22" s="22"/>
      <c r="AS22" s="22"/>
      <c r="AT22" s="22"/>
    </row>
    <row r="23" spans="1:46" ht="15.75" customHeight="1">
      <c r="A23" s="6">
        <v>20</v>
      </c>
      <c r="B23" s="6" t="s">
        <v>43</v>
      </c>
      <c r="F23" s="11"/>
      <c r="G23" s="36"/>
      <c r="H23" s="13">
        <v>50</v>
      </c>
      <c r="I23" s="13">
        <v>0</v>
      </c>
      <c r="J23" s="13">
        <v>5</v>
      </c>
      <c r="K23" s="16"/>
      <c r="L23" s="16">
        <f t="shared" si="0"/>
        <v>5000</v>
      </c>
      <c r="M23" s="16">
        <f t="shared" ref="M23:N23" si="79">I23*300</f>
        <v>0</v>
      </c>
      <c r="N23" s="3">
        <f t="shared" si="79"/>
        <v>1500</v>
      </c>
      <c r="O23" s="6">
        <v>50</v>
      </c>
      <c r="P23" s="6"/>
      <c r="Q23" s="6">
        <v>0</v>
      </c>
      <c r="R23" s="6">
        <v>0</v>
      </c>
      <c r="S23" s="17"/>
      <c r="T23" s="17">
        <f t="shared" si="2"/>
        <v>5000</v>
      </c>
      <c r="U23" s="17">
        <f t="shared" ref="U23:V23" si="80">Q23*300</f>
        <v>0</v>
      </c>
      <c r="V23" s="6">
        <f t="shared" si="80"/>
        <v>0</v>
      </c>
      <c r="W23" s="6">
        <v>55</v>
      </c>
      <c r="X23" s="6"/>
      <c r="Y23" s="6">
        <v>0</v>
      </c>
      <c r="Z23" s="6">
        <v>8</v>
      </c>
      <c r="AA23" s="17"/>
      <c r="AB23" s="17">
        <f t="shared" si="4"/>
        <v>5500</v>
      </c>
      <c r="AC23" s="17">
        <f t="shared" ref="AC23:AD23" si="81">Y23*300</f>
        <v>0</v>
      </c>
      <c r="AD23" s="6">
        <f t="shared" si="81"/>
        <v>2400</v>
      </c>
      <c r="AE23" s="6">
        <v>47</v>
      </c>
      <c r="AF23" s="6"/>
      <c r="AG23" s="6">
        <v>0</v>
      </c>
      <c r="AH23" s="6">
        <v>10</v>
      </c>
      <c r="AI23" s="17"/>
      <c r="AJ23" s="17">
        <f t="shared" si="6"/>
        <v>4700</v>
      </c>
      <c r="AK23" s="17">
        <f t="shared" ref="AK23:AL23" si="82">AG23*300</f>
        <v>0</v>
      </c>
      <c r="AL23" s="39">
        <f t="shared" si="82"/>
        <v>3000</v>
      </c>
      <c r="AM23" s="22"/>
      <c r="AN23" s="22"/>
      <c r="AO23" s="22"/>
      <c r="AP23" s="22"/>
      <c r="AQ23" s="22"/>
      <c r="AR23" s="22"/>
      <c r="AS23" s="22"/>
      <c r="AT23" s="22"/>
    </row>
    <row r="24" spans="1:46" ht="15.75" customHeight="1">
      <c r="A24" s="6">
        <v>21</v>
      </c>
      <c r="B24" s="6" t="s">
        <v>44</v>
      </c>
      <c r="F24" s="11"/>
      <c r="G24" s="36"/>
      <c r="H24" s="13">
        <v>20</v>
      </c>
      <c r="I24" s="13">
        <v>0</v>
      </c>
      <c r="J24" s="13">
        <v>10</v>
      </c>
      <c r="K24" s="16"/>
      <c r="L24" s="16">
        <f t="shared" si="0"/>
        <v>2000</v>
      </c>
      <c r="M24" s="16">
        <f t="shared" ref="M24:N24" si="83">I24*300</f>
        <v>0</v>
      </c>
      <c r="N24" s="3">
        <f t="shared" si="83"/>
        <v>3000</v>
      </c>
      <c r="O24" s="6">
        <v>20</v>
      </c>
      <c r="P24" s="6"/>
      <c r="Q24" s="6">
        <v>0</v>
      </c>
      <c r="R24" s="6">
        <v>15</v>
      </c>
      <c r="S24" s="17"/>
      <c r="T24" s="17">
        <f t="shared" si="2"/>
        <v>2000</v>
      </c>
      <c r="U24" s="17">
        <f t="shared" ref="U24:V24" si="84">Q24*300</f>
        <v>0</v>
      </c>
      <c r="V24" s="6">
        <f t="shared" si="84"/>
        <v>4500</v>
      </c>
      <c r="W24" s="6">
        <v>35</v>
      </c>
      <c r="X24" s="6"/>
      <c r="Y24" s="6">
        <v>0</v>
      </c>
      <c r="Z24" s="6">
        <v>5</v>
      </c>
      <c r="AA24" s="17"/>
      <c r="AB24" s="17">
        <f t="shared" si="4"/>
        <v>3500</v>
      </c>
      <c r="AC24" s="17">
        <f t="shared" ref="AC24:AD24" si="85">Y24*300</f>
        <v>0</v>
      </c>
      <c r="AD24" s="6">
        <f t="shared" si="85"/>
        <v>1500</v>
      </c>
      <c r="AE24" s="6">
        <v>30</v>
      </c>
      <c r="AF24" s="6"/>
      <c r="AG24" s="6">
        <v>0</v>
      </c>
      <c r="AH24" s="6">
        <v>12</v>
      </c>
      <c r="AI24" s="17"/>
      <c r="AJ24" s="17">
        <f t="shared" si="6"/>
        <v>3000</v>
      </c>
      <c r="AK24" s="17">
        <f t="shared" ref="AK24:AL24" si="86">AG24*300</f>
        <v>0</v>
      </c>
      <c r="AL24" s="39">
        <f t="shared" si="86"/>
        <v>3600</v>
      </c>
      <c r="AM24" s="22"/>
      <c r="AN24" s="22"/>
      <c r="AO24" s="22"/>
      <c r="AP24" s="22"/>
      <c r="AQ24" s="22"/>
      <c r="AR24" s="22"/>
      <c r="AS24" s="22"/>
      <c r="AT24" s="22"/>
    </row>
    <row r="25" spans="1:46" ht="15.75" customHeight="1">
      <c r="A25" s="6">
        <v>22</v>
      </c>
      <c r="B25" s="6" t="s">
        <v>45</v>
      </c>
      <c r="F25" s="11"/>
      <c r="G25" s="36"/>
      <c r="H25" s="13">
        <v>25</v>
      </c>
      <c r="I25" s="13">
        <v>0</v>
      </c>
      <c r="J25" s="13">
        <v>10</v>
      </c>
      <c r="K25" s="16"/>
      <c r="L25" s="16">
        <f t="shared" si="0"/>
        <v>2500</v>
      </c>
      <c r="M25" s="16">
        <f t="shared" ref="M25:N25" si="87">I25*300</f>
        <v>0</v>
      </c>
      <c r="N25" s="3">
        <f t="shared" si="87"/>
        <v>3000</v>
      </c>
      <c r="O25" s="6">
        <v>25</v>
      </c>
      <c r="P25" s="6"/>
      <c r="Q25" s="6">
        <v>0</v>
      </c>
      <c r="R25" s="6">
        <v>10</v>
      </c>
      <c r="S25" s="17"/>
      <c r="T25" s="17">
        <f t="shared" si="2"/>
        <v>2500</v>
      </c>
      <c r="U25" s="17">
        <f t="shared" ref="U25:V25" si="88">Q25*300</f>
        <v>0</v>
      </c>
      <c r="V25" s="6">
        <f t="shared" si="88"/>
        <v>3000</v>
      </c>
      <c r="W25" s="6">
        <v>20</v>
      </c>
      <c r="X25" s="6"/>
      <c r="Y25" s="6">
        <v>0</v>
      </c>
      <c r="Z25" s="6">
        <v>10</v>
      </c>
      <c r="AA25" s="17"/>
      <c r="AB25" s="17">
        <f t="shared" si="4"/>
        <v>2000</v>
      </c>
      <c r="AC25" s="17">
        <f t="shared" ref="AC25:AD25" si="89">Y25*300</f>
        <v>0</v>
      </c>
      <c r="AD25" s="6">
        <f t="shared" si="89"/>
        <v>3000</v>
      </c>
      <c r="AE25" s="6">
        <v>30</v>
      </c>
      <c r="AF25" s="6"/>
      <c r="AG25" s="6">
        <v>0</v>
      </c>
      <c r="AH25" s="6">
        <v>15</v>
      </c>
      <c r="AI25" s="17"/>
      <c r="AJ25" s="17">
        <f t="shared" si="6"/>
        <v>3000</v>
      </c>
      <c r="AK25" s="17">
        <f t="shared" ref="AK25:AL25" si="90">AG25*300</f>
        <v>0</v>
      </c>
      <c r="AL25" s="39">
        <f t="shared" si="90"/>
        <v>4500</v>
      </c>
      <c r="AM25" s="22"/>
      <c r="AN25" s="22"/>
      <c r="AO25" s="22"/>
      <c r="AP25" s="22"/>
      <c r="AQ25" s="22"/>
      <c r="AR25" s="22"/>
      <c r="AS25" s="22"/>
      <c r="AT25" s="22"/>
    </row>
    <row r="26" spans="1:46" ht="15.75" customHeight="1">
      <c r="A26" s="6">
        <v>23</v>
      </c>
      <c r="B26" s="6" t="s">
        <v>46</v>
      </c>
      <c r="F26" s="11"/>
      <c r="G26" s="36"/>
      <c r="H26" s="13">
        <v>30</v>
      </c>
      <c r="I26" s="13">
        <v>0</v>
      </c>
      <c r="J26" s="13">
        <v>10</v>
      </c>
      <c r="K26" s="16"/>
      <c r="L26" s="16">
        <f t="shared" si="0"/>
        <v>3000</v>
      </c>
      <c r="M26" s="16">
        <f t="shared" ref="M26:N26" si="91">I26*300</f>
        <v>0</v>
      </c>
      <c r="N26" s="3">
        <f t="shared" si="91"/>
        <v>3000</v>
      </c>
      <c r="O26" s="6">
        <v>30</v>
      </c>
      <c r="P26" s="6"/>
      <c r="Q26" s="6">
        <v>0</v>
      </c>
      <c r="R26" s="37">
        <v>10</v>
      </c>
      <c r="S26" s="17"/>
      <c r="T26" s="17">
        <f t="shared" si="2"/>
        <v>3000</v>
      </c>
      <c r="U26" s="17">
        <f t="shared" ref="U26:V26" si="92">Q26*300</f>
        <v>0</v>
      </c>
      <c r="V26" s="6">
        <f t="shared" si="92"/>
        <v>3000</v>
      </c>
      <c r="W26" s="6">
        <v>35</v>
      </c>
      <c r="X26" s="6"/>
      <c r="Y26" s="6">
        <v>0</v>
      </c>
      <c r="Z26" s="6">
        <v>5</v>
      </c>
      <c r="AA26" s="17"/>
      <c r="AB26" s="17">
        <f t="shared" si="4"/>
        <v>3500</v>
      </c>
      <c r="AC26" s="17">
        <f t="shared" ref="AC26:AD26" si="93">Y26*300</f>
        <v>0</v>
      </c>
      <c r="AD26" s="6">
        <f t="shared" si="93"/>
        <v>1500</v>
      </c>
      <c r="AE26" s="6">
        <v>34</v>
      </c>
      <c r="AF26" s="6"/>
      <c r="AG26" s="6">
        <v>0</v>
      </c>
      <c r="AH26" s="6">
        <v>10</v>
      </c>
      <c r="AI26" s="17"/>
      <c r="AJ26" s="17">
        <f t="shared" si="6"/>
        <v>3400</v>
      </c>
      <c r="AK26" s="17">
        <f t="shared" ref="AK26:AL26" si="94">AG26*300</f>
        <v>0</v>
      </c>
      <c r="AL26" s="39">
        <f t="shared" si="94"/>
        <v>3000</v>
      </c>
      <c r="AM26" s="22"/>
      <c r="AN26" s="22"/>
      <c r="AO26" s="22"/>
      <c r="AP26" s="22"/>
      <c r="AQ26" s="22"/>
      <c r="AR26" s="22"/>
      <c r="AS26" s="22"/>
      <c r="AT26" s="22"/>
    </row>
    <row r="27" spans="1:46" ht="15.75" customHeight="1">
      <c r="A27" s="6">
        <v>24</v>
      </c>
      <c r="B27" s="6" t="s">
        <v>47</v>
      </c>
      <c r="F27" s="11"/>
      <c r="G27" s="36"/>
      <c r="H27" s="13">
        <v>0</v>
      </c>
      <c r="I27" s="13">
        <v>0</v>
      </c>
      <c r="J27" s="13">
        <v>10</v>
      </c>
      <c r="K27" s="16"/>
      <c r="L27" s="16">
        <f t="shared" si="0"/>
        <v>0</v>
      </c>
      <c r="M27" s="16">
        <f t="shared" ref="M27:N27" si="95">I27*300</f>
        <v>0</v>
      </c>
      <c r="N27" s="3">
        <f t="shared" si="95"/>
        <v>3000</v>
      </c>
      <c r="O27" s="6">
        <v>0</v>
      </c>
      <c r="P27" s="6"/>
      <c r="Q27" s="6">
        <v>0</v>
      </c>
      <c r="R27" s="6">
        <v>10</v>
      </c>
      <c r="S27" s="17"/>
      <c r="T27" s="17">
        <f t="shared" si="2"/>
        <v>0</v>
      </c>
      <c r="U27" s="17">
        <f t="shared" ref="U27:V27" si="96">Q27*300</f>
        <v>0</v>
      </c>
      <c r="V27" s="6">
        <f t="shared" si="96"/>
        <v>3000</v>
      </c>
      <c r="W27" s="6">
        <v>0</v>
      </c>
      <c r="X27" s="6"/>
      <c r="Y27" s="6">
        <v>0</v>
      </c>
      <c r="Z27" s="6">
        <v>0</v>
      </c>
      <c r="AA27" s="17"/>
      <c r="AB27" s="17">
        <f t="shared" si="4"/>
        <v>0</v>
      </c>
      <c r="AC27" s="17">
        <f t="shared" ref="AC27:AD27" si="97">Y27*300</f>
        <v>0</v>
      </c>
      <c r="AD27" s="6">
        <f t="shared" si="97"/>
        <v>0</v>
      </c>
      <c r="AE27" s="6">
        <v>0</v>
      </c>
      <c r="AF27" s="6"/>
      <c r="AG27" s="6">
        <v>20</v>
      </c>
      <c r="AH27" s="6">
        <v>5</v>
      </c>
      <c r="AI27" s="17"/>
      <c r="AJ27" s="17">
        <f t="shared" si="6"/>
        <v>0</v>
      </c>
      <c r="AK27" s="17">
        <f t="shared" ref="AK27:AL27" si="98">AG27*300</f>
        <v>6000</v>
      </c>
      <c r="AL27" s="39">
        <f t="shared" si="98"/>
        <v>1500</v>
      </c>
      <c r="AM27" s="22"/>
      <c r="AN27" s="22"/>
      <c r="AO27" s="22"/>
      <c r="AP27" s="22"/>
      <c r="AQ27" s="22"/>
      <c r="AR27" s="22"/>
      <c r="AS27" s="22"/>
      <c r="AT27" s="22"/>
    </row>
    <row r="28" spans="1:46" ht="15.75" customHeight="1">
      <c r="A28" s="6">
        <v>25</v>
      </c>
      <c r="B28" s="6" t="s">
        <v>48</v>
      </c>
      <c r="F28" s="11"/>
      <c r="G28" s="36"/>
      <c r="H28" s="13">
        <v>70</v>
      </c>
      <c r="I28" s="13">
        <v>0</v>
      </c>
      <c r="J28" s="13">
        <v>20</v>
      </c>
      <c r="K28" s="16"/>
      <c r="L28" s="16">
        <f t="shared" si="0"/>
        <v>7000</v>
      </c>
      <c r="M28" s="16">
        <f t="shared" ref="M28:N28" si="99">I28*300</f>
        <v>0</v>
      </c>
      <c r="N28" s="3">
        <f t="shared" si="99"/>
        <v>6000</v>
      </c>
      <c r="O28" s="6">
        <v>50</v>
      </c>
      <c r="P28" s="6"/>
      <c r="Q28" s="6">
        <v>0</v>
      </c>
      <c r="R28" s="37">
        <v>10</v>
      </c>
      <c r="S28" s="17"/>
      <c r="T28" s="17">
        <f t="shared" si="2"/>
        <v>5000</v>
      </c>
      <c r="U28" s="17">
        <f t="shared" ref="U28:V28" si="100">Q28*300</f>
        <v>0</v>
      </c>
      <c r="V28" s="6">
        <f t="shared" si="100"/>
        <v>3000</v>
      </c>
      <c r="W28" s="6">
        <v>55</v>
      </c>
      <c r="X28" s="6"/>
      <c r="Y28" s="6">
        <v>0</v>
      </c>
      <c r="Z28" s="6">
        <v>10</v>
      </c>
      <c r="AA28" s="17"/>
      <c r="AB28" s="17">
        <f t="shared" si="4"/>
        <v>5500</v>
      </c>
      <c r="AC28" s="17">
        <f t="shared" ref="AC28:AD28" si="101">Y28*300</f>
        <v>0</v>
      </c>
      <c r="AD28" s="6">
        <f t="shared" si="101"/>
        <v>3000</v>
      </c>
      <c r="AE28" s="6">
        <v>50</v>
      </c>
      <c r="AF28" s="6"/>
      <c r="AG28" s="6">
        <v>0</v>
      </c>
      <c r="AH28" s="6">
        <v>15</v>
      </c>
      <c r="AI28" s="17"/>
      <c r="AJ28" s="17">
        <f t="shared" si="6"/>
        <v>5000</v>
      </c>
      <c r="AK28" s="17">
        <f t="shared" ref="AK28:AL28" si="102">AG28*300</f>
        <v>0</v>
      </c>
      <c r="AL28" s="39">
        <f t="shared" si="102"/>
        <v>4500</v>
      </c>
      <c r="AM28" s="22"/>
      <c r="AN28" s="22"/>
      <c r="AO28" s="22"/>
      <c r="AP28" s="22"/>
      <c r="AQ28" s="22"/>
      <c r="AR28" s="22"/>
      <c r="AS28" s="22"/>
      <c r="AT28" s="22"/>
    </row>
    <row r="29" spans="1:46" ht="15.75" customHeight="1">
      <c r="A29" s="6">
        <v>26</v>
      </c>
      <c r="B29" s="6" t="s">
        <v>49</v>
      </c>
      <c r="F29" s="11"/>
      <c r="G29" s="36"/>
      <c r="H29" s="13">
        <v>40</v>
      </c>
      <c r="I29" s="13">
        <v>5</v>
      </c>
      <c r="J29" s="13">
        <v>0</v>
      </c>
      <c r="K29" s="16"/>
      <c r="L29" s="16">
        <f t="shared" si="0"/>
        <v>4000</v>
      </c>
      <c r="M29" s="16">
        <f t="shared" ref="M29:N29" si="103">I29*300</f>
        <v>1500</v>
      </c>
      <c r="N29" s="3">
        <f t="shared" si="103"/>
        <v>0</v>
      </c>
      <c r="O29" s="6">
        <v>45</v>
      </c>
      <c r="P29" s="6"/>
      <c r="Q29" s="6">
        <v>0</v>
      </c>
      <c r="R29" s="6">
        <v>5</v>
      </c>
      <c r="S29" s="17"/>
      <c r="T29" s="17">
        <f t="shared" si="2"/>
        <v>4500</v>
      </c>
      <c r="U29" s="17">
        <f t="shared" ref="U29:V29" si="104">Q29*300</f>
        <v>0</v>
      </c>
      <c r="V29" s="6">
        <f t="shared" si="104"/>
        <v>1500</v>
      </c>
      <c r="W29" s="6">
        <v>40</v>
      </c>
      <c r="X29" s="6"/>
      <c r="Y29" s="6">
        <v>0</v>
      </c>
      <c r="Z29" s="6">
        <v>15</v>
      </c>
      <c r="AA29" s="17"/>
      <c r="AB29" s="17">
        <f t="shared" si="4"/>
        <v>4000</v>
      </c>
      <c r="AC29" s="17">
        <f t="shared" ref="AC29:AD29" si="105">Y29*300</f>
        <v>0</v>
      </c>
      <c r="AD29" s="6">
        <f t="shared" si="105"/>
        <v>4500</v>
      </c>
      <c r="AE29" s="6">
        <v>42</v>
      </c>
      <c r="AF29" s="6"/>
      <c r="AG29" s="6">
        <v>0</v>
      </c>
      <c r="AH29" s="6">
        <v>20</v>
      </c>
      <c r="AI29" s="17"/>
      <c r="AJ29" s="17">
        <f t="shared" si="6"/>
        <v>4200</v>
      </c>
      <c r="AK29" s="17">
        <f t="shared" ref="AK29:AL29" si="106">AG29*300</f>
        <v>0</v>
      </c>
      <c r="AL29" s="39">
        <f t="shared" si="106"/>
        <v>6000</v>
      </c>
      <c r="AM29" s="22"/>
      <c r="AN29" s="22"/>
      <c r="AO29" s="22"/>
      <c r="AP29" s="22"/>
      <c r="AQ29" s="22"/>
      <c r="AR29" s="22"/>
      <c r="AS29" s="22"/>
      <c r="AT29" s="22"/>
    </row>
    <row r="30" spans="1:46" ht="15.75" customHeight="1">
      <c r="A30" s="6">
        <v>27</v>
      </c>
      <c r="B30" s="6" t="s">
        <v>50</v>
      </c>
      <c r="F30" s="11"/>
      <c r="G30" s="36"/>
      <c r="H30" s="13">
        <v>30</v>
      </c>
      <c r="I30" s="13">
        <v>0</v>
      </c>
      <c r="J30" s="13">
        <v>10</v>
      </c>
      <c r="K30" s="16"/>
      <c r="L30" s="16">
        <f t="shared" si="0"/>
        <v>3000</v>
      </c>
      <c r="M30" s="16">
        <f t="shared" ref="M30:N30" si="107">I30*300</f>
        <v>0</v>
      </c>
      <c r="N30" s="3">
        <f t="shared" si="107"/>
        <v>3000</v>
      </c>
      <c r="O30" s="6">
        <v>20</v>
      </c>
      <c r="P30" s="6"/>
      <c r="Q30" s="6">
        <v>0</v>
      </c>
      <c r="R30" s="6">
        <v>10</v>
      </c>
      <c r="S30" s="17"/>
      <c r="T30" s="17">
        <f t="shared" si="2"/>
        <v>2000</v>
      </c>
      <c r="U30" s="17">
        <f t="shared" ref="U30:V30" si="108">Q30*300</f>
        <v>0</v>
      </c>
      <c r="V30" s="6">
        <f t="shared" si="108"/>
        <v>3000</v>
      </c>
      <c r="W30" s="6">
        <v>35</v>
      </c>
      <c r="X30" s="6"/>
      <c r="Y30" s="6">
        <v>0</v>
      </c>
      <c r="Z30" s="6">
        <v>0</v>
      </c>
      <c r="AA30" s="17"/>
      <c r="AB30" s="17">
        <f t="shared" si="4"/>
        <v>3500</v>
      </c>
      <c r="AC30" s="17">
        <f t="shared" ref="AC30:AD30" si="109">Y30*300</f>
        <v>0</v>
      </c>
      <c r="AD30" s="6">
        <f t="shared" si="109"/>
        <v>0</v>
      </c>
      <c r="AE30" s="6">
        <v>30</v>
      </c>
      <c r="AF30" s="6"/>
      <c r="AG30" s="6">
        <v>0</v>
      </c>
      <c r="AH30" s="6">
        <v>12</v>
      </c>
      <c r="AI30" s="17"/>
      <c r="AJ30" s="17">
        <f t="shared" si="6"/>
        <v>3000</v>
      </c>
      <c r="AK30" s="17">
        <f t="shared" ref="AK30:AL30" si="110">AG30*300</f>
        <v>0</v>
      </c>
      <c r="AL30" s="39">
        <f t="shared" si="110"/>
        <v>3600</v>
      </c>
      <c r="AM30" s="22"/>
      <c r="AN30" s="22"/>
      <c r="AO30" s="22"/>
      <c r="AP30" s="22"/>
      <c r="AQ30" s="22"/>
      <c r="AR30" s="22"/>
      <c r="AS30" s="22"/>
      <c r="AT30" s="22"/>
    </row>
    <row r="31" spans="1:46" ht="15.75" customHeight="1">
      <c r="A31" s="6">
        <v>28</v>
      </c>
      <c r="B31" s="6" t="s">
        <v>51</v>
      </c>
      <c r="F31" s="11"/>
      <c r="G31" s="36"/>
      <c r="H31" s="13">
        <v>34</v>
      </c>
      <c r="I31" s="13">
        <v>0</v>
      </c>
      <c r="J31" s="13">
        <v>10</v>
      </c>
      <c r="K31" s="16"/>
      <c r="L31" s="16">
        <f t="shared" si="0"/>
        <v>3400</v>
      </c>
      <c r="M31" s="16">
        <f t="shared" ref="M31:N31" si="111">I31*300</f>
        <v>0</v>
      </c>
      <c r="N31" s="3">
        <f t="shared" si="111"/>
        <v>3000</v>
      </c>
      <c r="O31" s="6">
        <v>30</v>
      </c>
      <c r="P31" s="6"/>
      <c r="Q31" s="6">
        <v>0</v>
      </c>
      <c r="R31" s="6">
        <v>15</v>
      </c>
      <c r="S31" s="17"/>
      <c r="T31" s="17">
        <f t="shared" si="2"/>
        <v>3000</v>
      </c>
      <c r="U31" s="17">
        <f t="shared" ref="U31:V31" si="112">Q31*300</f>
        <v>0</v>
      </c>
      <c r="V31" s="6">
        <f t="shared" si="112"/>
        <v>4500</v>
      </c>
      <c r="W31" s="6">
        <v>40</v>
      </c>
      <c r="X31" s="6"/>
      <c r="Y31" s="6">
        <v>0</v>
      </c>
      <c r="Z31" s="6">
        <v>10</v>
      </c>
      <c r="AA31" s="17"/>
      <c r="AB31" s="17">
        <f t="shared" si="4"/>
        <v>4000</v>
      </c>
      <c r="AC31" s="17">
        <f t="shared" ref="AC31:AD31" si="113">Y31*300</f>
        <v>0</v>
      </c>
      <c r="AD31" s="6">
        <f t="shared" si="113"/>
        <v>3000</v>
      </c>
      <c r="AE31" s="6">
        <v>35</v>
      </c>
      <c r="AF31" s="6"/>
      <c r="AG31" s="6">
        <v>0</v>
      </c>
      <c r="AH31" s="6">
        <v>15</v>
      </c>
      <c r="AI31" s="17"/>
      <c r="AJ31" s="17">
        <f t="shared" si="6"/>
        <v>3500</v>
      </c>
      <c r="AK31" s="17">
        <f t="shared" ref="AK31:AL31" si="114">AG31*300</f>
        <v>0</v>
      </c>
      <c r="AL31" s="39">
        <f t="shared" si="114"/>
        <v>4500</v>
      </c>
      <c r="AM31" s="22"/>
      <c r="AN31" s="22"/>
      <c r="AO31" s="22"/>
      <c r="AP31" s="22"/>
      <c r="AQ31" s="22"/>
      <c r="AR31" s="22"/>
      <c r="AS31" s="22"/>
      <c r="AT31" s="22"/>
    </row>
    <row r="32" spans="1:46" ht="15.75" customHeight="1">
      <c r="A32" s="6">
        <v>29</v>
      </c>
      <c r="B32" s="6" t="s">
        <v>52</v>
      </c>
      <c r="F32" s="11"/>
      <c r="G32" s="36"/>
      <c r="H32" s="13">
        <v>36</v>
      </c>
      <c r="I32" s="13">
        <v>0</v>
      </c>
      <c r="J32" s="13">
        <v>30</v>
      </c>
      <c r="K32" s="16"/>
      <c r="L32" s="16">
        <f t="shared" si="0"/>
        <v>3600</v>
      </c>
      <c r="M32" s="16">
        <f t="shared" ref="M32:N32" si="115">I32*300</f>
        <v>0</v>
      </c>
      <c r="N32" s="3">
        <f t="shared" si="115"/>
        <v>9000</v>
      </c>
      <c r="O32" s="6">
        <v>40</v>
      </c>
      <c r="P32" s="6"/>
      <c r="Q32" s="6">
        <v>0</v>
      </c>
      <c r="R32" s="37">
        <v>20</v>
      </c>
      <c r="S32" s="17"/>
      <c r="T32" s="17">
        <f t="shared" si="2"/>
        <v>4000</v>
      </c>
      <c r="U32" s="17">
        <f t="shared" ref="U32:V32" si="116">Q32*300</f>
        <v>0</v>
      </c>
      <c r="V32" s="6">
        <f t="shared" si="116"/>
        <v>6000</v>
      </c>
      <c r="W32" s="6">
        <v>42</v>
      </c>
      <c r="X32" s="6"/>
      <c r="Y32" s="6">
        <v>0</v>
      </c>
      <c r="Z32" s="6">
        <v>12</v>
      </c>
      <c r="AA32" s="17"/>
      <c r="AB32" s="17">
        <f t="shared" si="4"/>
        <v>4200</v>
      </c>
      <c r="AC32" s="17">
        <f t="shared" ref="AC32:AD32" si="117">Y32*300</f>
        <v>0</v>
      </c>
      <c r="AD32" s="6">
        <f t="shared" si="117"/>
        <v>3600</v>
      </c>
      <c r="AE32" s="6">
        <v>45</v>
      </c>
      <c r="AF32" s="6"/>
      <c r="AG32" s="6">
        <v>0</v>
      </c>
      <c r="AH32" s="6">
        <v>20</v>
      </c>
      <c r="AI32" s="17"/>
      <c r="AJ32" s="17">
        <f t="shared" si="6"/>
        <v>4500</v>
      </c>
      <c r="AK32" s="17">
        <f t="shared" ref="AK32:AL32" si="118">AG32*300</f>
        <v>0</v>
      </c>
      <c r="AL32" s="39">
        <f t="shared" si="118"/>
        <v>6000</v>
      </c>
      <c r="AM32" s="22"/>
      <c r="AN32" s="22"/>
      <c r="AO32" s="22"/>
      <c r="AP32" s="22"/>
      <c r="AQ32" s="22"/>
      <c r="AR32" s="22"/>
      <c r="AS32" s="22"/>
      <c r="AT32" s="22"/>
    </row>
    <row r="33" spans="1:46" ht="15.75" customHeight="1">
      <c r="A33" s="6">
        <v>30</v>
      </c>
      <c r="B33" s="6" t="s">
        <v>53</v>
      </c>
      <c r="F33" s="11"/>
      <c r="G33" s="36"/>
      <c r="H33" s="13">
        <v>70</v>
      </c>
      <c r="I33" s="13">
        <v>0</v>
      </c>
      <c r="J33" s="13">
        <v>5</v>
      </c>
      <c r="K33" s="16"/>
      <c r="L33" s="16">
        <f t="shared" si="0"/>
        <v>7000</v>
      </c>
      <c r="M33" s="16">
        <f t="shared" ref="M33:N33" si="119">I33*300</f>
        <v>0</v>
      </c>
      <c r="N33" s="3">
        <f t="shared" si="119"/>
        <v>1500</v>
      </c>
      <c r="O33" s="6">
        <v>45</v>
      </c>
      <c r="P33" s="6"/>
      <c r="Q33" s="6">
        <v>0</v>
      </c>
      <c r="R33" s="6">
        <v>20</v>
      </c>
      <c r="S33" s="17"/>
      <c r="T33" s="17">
        <f t="shared" si="2"/>
        <v>4500</v>
      </c>
      <c r="U33" s="17">
        <f t="shared" ref="U33:V33" si="120">Q33*300</f>
        <v>0</v>
      </c>
      <c r="V33" s="6">
        <f t="shared" si="120"/>
        <v>6000</v>
      </c>
      <c r="W33" s="6">
        <v>65</v>
      </c>
      <c r="X33" s="6"/>
      <c r="Y33" s="6">
        <v>0</v>
      </c>
      <c r="Z33" s="6">
        <v>15</v>
      </c>
      <c r="AA33" s="17"/>
      <c r="AB33" s="17">
        <f t="shared" si="4"/>
        <v>6500</v>
      </c>
      <c r="AC33" s="17">
        <f t="shared" ref="AC33:AD33" si="121">Y33*300</f>
        <v>0</v>
      </c>
      <c r="AD33" s="6">
        <f t="shared" si="121"/>
        <v>4500</v>
      </c>
      <c r="AE33" s="6">
        <v>60</v>
      </c>
      <c r="AF33" s="6"/>
      <c r="AG33" s="6">
        <v>0</v>
      </c>
      <c r="AH33" s="6">
        <v>15</v>
      </c>
      <c r="AI33" s="17"/>
      <c r="AJ33" s="17">
        <f t="shared" si="6"/>
        <v>6000</v>
      </c>
      <c r="AK33" s="17">
        <f t="shared" ref="AK33:AL33" si="122">AG33*300</f>
        <v>0</v>
      </c>
      <c r="AL33" s="39">
        <f t="shared" si="122"/>
        <v>4500</v>
      </c>
      <c r="AM33" s="22"/>
      <c r="AN33" s="22"/>
      <c r="AO33" s="22"/>
      <c r="AP33" s="22"/>
      <c r="AQ33" s="22"/>
      <c r="AR33" s="22"/>
      <c r="AS33" s="22"/>
      <c r="AT33" s="22"/>
    </row>
    <row r="34" spans="1:46" ht="15.75" customHeight="1">
      <c r="A34" s="6">
        <v>31</v>
      </c>
      <c r="B34" s="6" t="s">
        <v>54</v>
      </c>
      <c r="F34" s="11"/>
      <c r="G34" s="36"/>
      <c r="H34" s="13">
        <v>48</v>
      </c>
      <c r="I34" s="13">
        <v>0</v>
      </c>
      <c r="J34" s="13">
        <v>10</v>
      </c>
      <c r="K34" s="16"/>
      <c r="L34" s="16">
        <f t="shared" si="0"/>
        <v>4800</v>
      </c>
      <c r="M34" s="16">
        <f t="shared" ref="M34:N34" si="123">I34*300</f>
        <v>0</v>
      </c>
      <c r="N34" s="3">
        <f t="shared" si="123"/>
        <v>3000</v>
      </c>
      <c r="O34" s="6">
        <v>40</v>
      </c>
      <c r="P34" s="6"/>
      <c r="Q34" s="6">
        <v>0</v>
      </c>
      <c r="R34" s="6">
        <v>15</v>
      </c>
      <c r="S34" s="17"/>
      <c r="T34" s="17">
        <f t="shared" si="2"/>
        <v>4000</v>
      </c>
      <c r="U34" s="17">
        <f t="shared" ref="U34:V34" si="124">Q34*300</f>
        <v>0</v>
      </c>
      <c r="V34" s="6">
        <f t="shared" si="124"/>
        <v>4500</v>
      </c>
      <c r="W34" s="6">
        <v>50</v>
      </c>
      <c r="X34" s="6"/>
      <c r="Y34" s="6">
        <v>0</v>
      </c>
      <c r="Z34" s="6">
        <v>20</v>
      </c>
      <c r="AA34" s="17"/>
      <c r="AB34" s="17">
        <f t="shared" si="4"/>
        <v>5000</v>
      </c>
      <c r="AC34" s="17">
        <f t="shared" ref="AC34:AD34" si="125">Y34*300</f>
        <v>0</v>
      </c>
      <c r="AD34" s="6">
        <f t="shared" si="125"/>
        <v>6000</v>
      </c>
      <c r="AE34" s="6">
        <v>45</v>
      </c>
      <c r="AF34" s="6"/>
      <c r="AG34" s="6">
        <v>0</v>
      </c>
      <c r="AH34" s="6">
        <v>20</v>
      </c>
      <c r="AI34" s="17"/>
      <c r="AJ34" s="17">
        <f t="shared" si="6"/>
        <v>4500</v>
      </c>
      <c r="AK34" s="17">
        <f t="shared" ref="AK34:AL34" si="126">AG34*300</f>
        <v>0</v>
      </c>
      <c r="AL34" s="39">
        <f t="shared" si="126"/>
        <v>6000</v>
      </c>
      <c r="AM34" s="22"/>
      <c r="AN34" s="22"/>
      <c r="AO34" s="22"/>
      <c r="AP34" s="22"/>
      <c r="AQ34" s="22"/>
      <c r="AR34" s="22"/>
      <c r="AS34" s="22"/>
      <c r="AT34" s="22"/>
    </row>
    <row r="35" spans="1:46" ht="15.75" customHeight="1">
      <c r="A35" s="6">
        <v>32</v>
      </c>
      <c r="B35" s="6" t="s">
        <v>55</v>
      </c>
      <c r="F35" s="11"/>
      <c r="G35" s="36"/>
      <c r="H35" s="13">
        <v>0</v>
      </c>
      <c r="I35" s="13">
        <v>0</v>
      </c>
      <c r="J35" s="13">
        <v>10</v>
      </c>
      <c r="K35" s="16"/>
      <c r="L35" s="16">
        <f t="shared" si="0"/>
        <v>0</v>
      </c>
      <c r="M35" s="16">
        <f t="shared" ref="M35:N35" si="127">I35*300</f>
        <v>0</v>
      </c>
      <c r="N35" s="3">
        <f t="shared" si="127"/>
        <v>3000</v>
      </c>
      <c r="O35" s="6">
        <v>0</v>
      </c>
      <c r="P35" s="6"/>
      <c r="Q35" s="6">
        <v>0</v>
      </c>
      <c r="R35" s="37">
        <v>20</v>
      </c>
      <c r="S35" s="17"/>
      <c r="T35" s="17">
        <f t="shared" si="2"/>
        <v>0</v>
      </c>
      <c r="U35" s="17">
        <f t="shared" ref="U35:V35" si="128">Q35*300</f>
        <v>0</v>
      </c>
      <c r="V35" s="6">
        <f t="shared" si="128"/>
        <v>6000</v>
      </c>
      <c r="W35" s="6">
        <v>0</v>
      </c>
      <c r="X35" s="6"/>
      <c r="Y35" s="6">
        <v>0</v>
      </c>
      <c r="Z35" s="6">
        <v>15</v>
      </c>
      <c r="AA35" s="17"/>
      <c r="AB35" s="17">
        <f t="shared" si="4"/>
        <v>0</v>
      </c>
      <c r="AC35" s="17">
        <f t="shared" ref="AC35:AD35" si="129">Y35*300</f>
        <v>0</v>
      </c>
      <c r="AD35" s="6">
        <f t="shared" si="129"/>
        <v>4500</v>
      </c>
      <c r="AE35" s="6">
        <v>0</v>
      </c>
      <c r="AF35" s="6"/>
      <c r="AG35" s="6">
        <v>35</v>
      </c>
      <c r="AH35" s="6">
        <v>15</v>
      </c>
      <c r="AI35" s="17"/>
      <c r="AJ35" s="17">
        <f t="shared" si="6"/>
        <v>0</v>
      </c>
      <c r="AK35" s="17">
        <f t="shared" ref="AK35:AL35" si="130">AG35*300</f>
        <v>10500</v>
      </c>
      <c r="AL35" s="39">
        <f t="shared" si="130"/>
        <v>4500</v>
      </c>
      <c r="AM35" s="22"/>
      <c r="AN35" s="22"/>
      <c r="AO35" s="22"/>
      <c r="AP35" s="22"/>
      <c r="AQ35" s="22"/>
      <c r="AR35" s="22"/>
      <c r="AS35" s="22"/>
      <c r="AT35" s="22"/>
    </row>
    <row r="36" spans="1:46" ht="15.75" customHeight="1">
      <c r="A36" s="6">
        <v>33</v>
      </c>
      <c r="B36" s="6" t="s">
        <v>57</v>
      </c>
      <c r="F36" s="11"/>
      <c r="G36" s="36"/>
      <c r="H36" s="13">
        <v>25</v>
      </c>
      <c r="I36" s="13">
        <v>0</v>
      </c>
      <c r="J36" s="13">
        <v>10</v>
      </c>
      <c r="K36" s="16"/>
      <c r="L36" s="16">
        <f t="shared" si="0"/>
        <v>2500</v>
      </c>
      <c r="M36" s="16">
        <f t="shared" ref="M36:N36" si="131">I36*300</f>
        <v>0</v>
      </c>
      <c r="N36" s="3">
        <f t="shared" si="131"/>
        <v>3000</v>
      </c>
      <c r="O36" s="6">
        <v>30</v>
      </c>
      <c r="P36" s="6"/>
      <c r="Q36" s="6">
        <v>0</v>
      </c>
      <c r="R36" s="6">
        <v>8</v>
      </c>
      <c r="S36" s="17"/>
      <c r="T36" s="17">
        <f t="shared" si="2"/>
        <v>3000</v>
      </c>
      <c r="U36" s="17">
        <f t="shared" ref="U36:V36" si="132">Q36*300</f>
        <v>0</v>
      </c>
      <c r="V36" s="6">
        <f t="shared" si="132"/>
        <v>2400</v>
      </c>
      <c r="W36" s="6">
        <v>35</v>
      </c>
      <c r="X36" s="6"/>
      <c r="Y36" s="6">
        <v>0</v>
      </c>
      <c r="Z36" s="6">
        <v>10</v>
      </c>
      <c r="AA36" s="17"/>
      <c r="AB36" s="17">
        <f t="shared" si="4"/>
        <v>3500</v>
      </c>
      <c r="AC36" s="17">
        <f t="shared" ref="AC36:AD36" si="133">Y36*300</f>
        <v>0</v>
      </c>
      <c r="AD36" s="6">
        <f t="shared" si="133"/>
        <v>3000</v>
      </c>
      <c r="AE36" s="6">
        <v>30</v>
      </c>
      <c r="AF36" s="6"/>
      <c r="AG36" s="6">
        <v>0</v>
      </c>
      <c r="AH36" s="6">
        <v>15</v>
      </c>
      <c r="AI36" s="17"/>
      <c r="AJ36" s="17">
        <f t="shared" si="6"/>
        <v>3000</v>
      </c>
      <c r="AK36" s="17">
        <f t="shared" ref="AK36:AL36" si="134">AG36*300</f>
        <v>0</v>
      </c>
      <c r="AL36" s="39">
        <f t="shared" si="134"/>
        <v>4500</v>
      </c>
      <c r="AM36" s="22"/>
      <c r="AN36" s="22"/>
      <c r="AO36" s="22"/>
      <c r="AP36" s="22"/>
      <c r="AQ36" s="22"/>
      <c r="AR36" s="22"/>
      <c r="AS36" s="22"/>
      <c r="AT36" s="22"/>
    </row>
    <row r="37" spans="1:46" ht="15.75" customHeight="1">
      <c r="A37" s="6">
        <v>34</v>
      </c>
      <c r="B37" s="6" t="s">
        <v>58</v>
      </c>
      <c r="F37" s="11"/>
      <c r="G37" s="36"/>
      <c r="H37" s="13">
        <v>48</v>
      </c>
      <c r="I37" s="13">
        <v>0</v>
      </c>
      <c r="J37" s="13">
        <v>10</v>
      </c>
      <c r="K37" s="16"/>
      <c r="L37" s="16">
        <f t="shared" si="0"/>
        <v>4800</v>
      </c>
      <c r="M37" s="16">
        <f t="shared" ref="M37:N37" si="135">I37*300</f>
        <v>0</v>
      </c>
      <c r="N37" s="3">
        <f t="shared" si="135"/>
        <v>3000</v>
      </c>
      <c r="O37" s="6">
        <v>0</v>
      </c>
      <c r="P37" s="6"/>
      <c r="Q37" s="6">
        <v>0</v>
      </c>
      <c r="R37" s="6">
        <v>20</v>
      </c>
      <c r="S37" s="17"/>
      <c r="T37" s="17">
        <f t="shared" si="2"/>
        <v>0</v>
      </c>
      <c r="U37" s="17">
        <f t="shared" ref="U37:V37" si="136">Q37*300</f>
        <v>0</v>
      </c>
      <c r="V37" s="6">
        <f t="shared" si="136"/>
        <v>6000</v>
      </c>
      <c r="W37" s="6">
        <v>40</v>
      </c>
      <c r="X37" s="6"/>
      <c r="Y37" s="6">
        <v>0</v>
      </c>
      <c r="Z37" s="6">
        <v>20</v>
      </c>
      <c r="AA37" s="17"/>
      <c r="AB37" s="17">
        <f t="shared" si="4"/>
        <v>4000</v>
      </c>
      <c r="AC37" s="17">
        <f t="shared" ref="AC37:AD37" si="137">Y37*300</f>
        <v>0</v>
      </c>
      <c r="AD37" s="6">
        <f t="shared" si="137"/>
        <v>6000</v>
      </c>
      <c r="AE37" s="6">
        <v>35</v>
      </c>
      <c r="AF37" s="6"/>
      <c r="AG37" s="6">
        <v>0</v>
      </c>
      <c r="AH37" s="6">
        <v>20</v>
      </c>
      <c r="AI37" s="17"/>
      <c r="AJ37" s="17">
        <f t="shared" si="6"/>
        <v>3500</v>
      </c>
      <c r="AK37" s="17">
        <f t="shared" ref="AK37:AL37" si="138">AG37*300</f>
        <v>0</v>
      </c>
      <c r="AL37" s="39">
        <f t="shared" si="138"/>
        <v>6000</v>
      </c>
      <c r="AM37" s="22"/>
      <c r="AN37" s="22"/>
      <c r="AO37" s="22"/>
      <c r="AP37" s="22"/>
      <c r="AQ37" s="22"/>
      <c r="AR37" s="22"/>
      <c r="AS37" s="22"/>
      <c r="AT37" s="22"/>
    </row>
    <row r="38" spans="1:46" ht="15.75" customHeight="1">
      <c r="A38" s="6">
        <v>35</v>
      </c>
      <c r="B38" s="6" t="s">
        <v>59</v>
      </c>
      <c r="F38" s="11"/>
      <c r="G38" s="36"/>
      <c r="H38" s="13">
        <v>25</v>
      </c>
      <c r="I38" s="13">
        <v>0</v>
      </c>
      <c r="J38" s="13">
        <v>20</v>
      </c>
      <c r="K38" s="16"/>
      <c r="L38" s="16">
        <f t="shared" si="0"/>
        <v>2500</v>
      </c>
      <c r="M38" s="16">
        <f t="shared" ref="M38:N38" si="139">I38*300</f>
        <v>0</v>
      </c>
      <c r="N38" s="3">
        <f t="shared" si="139"/>
        <v>6000</v>
      </c>
      <c r="O38" s="6">
        <v>20</v>
      </c>
      <c r="P38" s="6"/>
      <c r="Q38" s="6">
        <v>0</v>
      </c>
      <c r="R38" s="6">
        <v>15</v>
      </c>
      <c r="S38" s="17"/>
      <c r="T38" s="17">
        <f t="shared" si="2"/>
        <v>2000</v>
      </c>
      <c r="U38" s="17">
        <f t="shared" ref="U38:V38" si="140">Q38*300</f>
        <v>0</v>
      </c>
      <c r="V38" s="6">
        <f t="shared" si="140"/>
        <v>4500</v>
      </c>
      <c r="W38" s="6">
        <v>28</v>
      </c>
      <c r="X38" s="6"/>
      <c r="Y38" s="6">
        <v>0</v>
      </c>
      <c r="Z38" s="6">
        <v>10</v>
      </c>
      <c r="AA38" s="17"/>
      <c r="AB38" s="17">
        <f t="shared" si="4"/>
        <v>2800</v>
      </c>
      <c r="AC38" s="17">
        <f t="shared" ref="AC38:AD38" si="141">Y38*300</f>
        <v>0</v>
      </c>
      <c r="AD38" s="6">
        <f t="shared" si="141"/>
        <v>3000</v>
      </c>
      <c r="AE38" s="6">
        <v>25</v>
      </c>
      <c r="AF38" s="6"/>
      <c r="AG38" s="6">
        <v>0</v>
      </c>
      <c r="AH38" s="6">
        <v>20</v>
      </c>
      <c r="AI38" s="17"/>
      <c r="AJ38" s="17">
        <f t="shared" si="6"/>
        <v>2500</v>
      </c>
      <c r="AK38" s="17">
        <f t="shared" ref="AK38:AL38" si="142">AG38*300</f>
        <v>0</v>
      </c>
      <c r="AL38" s="39">
        <f t="shared" si="142"/>
        <v>6000</v>
      </c>
      <c r="AM38" s="22"/>
      <c r="AN38" s="22"/>
      <c r="AO38" s="22"/>
      <c r="AP38" s="22"/>
      <c r="AQ38" s="22"/>
      <c r="AR38" s="22"/>
      <c r="AS38" s="22"/>
      <c r="AT38" s="22"/>
    </row>
    <row r="39" spans="1:46" ht="15.75" customHeight="1">
      <c r="A39" s="6">
        <v>36</v>
      </c>
      <c r="B39" s="6" t="s">
        <v>60</v>
      </c>
      <c r="F39" s="11"/>
      <c r="G39" s="36"/>
      <c r="H39" s="13">
        <v>10</v>
      </c>
      <c r="I39" s="13">
        <v>0</v>
      </c>
      <c r="J39" s="13">
        <v>10</v>
      </c>
      <c r="K39" s="16"/>
      <c r="L39" s="16">
        <f t="shared" si="0"/>
        <v>1000</v>
      </c>
      <c r="M39" s="16">
        <f t="shared" ref="M39:N39" si="143">I39*300</f>
        <v>0</v>
      </c>
      <c r="N39" s="3">
        <f t="shared" si="143"/>
        <v>3000</v>
      </c>
      <c r="O39" s="6">
        <v>10</v>
      </c>
      <c r="P39" s="6"/>
      <c r="Q39" s="6">
        <v>0</v>
      </c>
      <c r="R39" s="6">
        <v>10</v>
      </c>
      <c r="S39" s="17"/>
      <c r="T39" s="17">
        <f t="shared" si="2"/>
        <v>1000</v>
      </c>
      <c r="U39" s="17">
        <f t="shared" ref="U39:V39" si="144">Q39*300</f>
        <v>0</v>
      </c>
      <c r="V39" s="6">
        <f t="shared" si="144"/>
        <v>3000</v>
      </c>
      <c r="W39" s="6">
        <v>10</v>
      </c>
      <c r="X39" s="6"/>
      <c r="Y39" s="6">
        <v>0</v>
      </c>
      <c r="Z39" s="6">
        <v>10</v>
      </c>
      <c r="AA39" s="17"/>
      <c r="AB39" s="17">
        <f t="shared" si="4"/>
        <v>1000</v>
      </c>
      <c r="AC39" s="17">
        <f t="shared" ref="AC39:AD39" si="145">Y39*300</f>
        <v>0</v>
      </c>
      <c r="AD39" s="6">
        <f t="shared" si="145"/>
        <v>3000</v>
      </c>
      <c r="AE39" s="6">
        <v>15</v>
      </c>
      <c r="AF39" s="6"/>
      <c r="AG39" s="6">
        <v>20</v>
      </c>
      <c r="AH39" s="6">
        <v>0</v>
      </c>
      <c r="AI39" s="17"/>
      <c r="AJ39" s="17">
        <f t="shared" si="6"/>
        <v>1500</v>
      </c>
      <c r="AK39" s="17">
        <f t="shared" ref="AK39:AL39" si="146">AG39*300</f>
        <v>6000</v>
      </c>
      <c r="AL39" s="39">
        <f t="shared" si="146"/>
        <v>0</v>
      </c>
      <c r="AM39" s="22"/>
      <c r="AN39" s="22"/>
      <c r="AO39" s="22"/>
      <c r="AP39" s="22"/>
      <c r="AQ39" s="22"/>
      <c r="AR39" s="22"/>
      <c r="AS39" s="22"/>
      <c r="AT39" s="22"/>
    </row>
    <row r="40" spans="1:46" ht="15.75" customHeight="1">
      <c r="A40" s="6">
        <v>37</v>
      </c>
      <c r="B40" s="6" t="s">
        <v>61</v>
      </c>
      <c r="F40" s="11"/>
      <c r="G40" s="36"/>
      <c r="H40" s="13">
        <v>25</v>
      </c>
      <c r="I40" s="13">
        <v>0</v>
      </c>
      <c r="J40" s="13">
        <v>5</v>
      </c>
      <c r="K40" s="16"/>
      <c r="L40" s="16">
        <f t="shared" si="0"/>
        <v>2500</v>
      </c>
      <c r="M40" s="16">
        <f t="shared" ref="M40:N40" si="147">I40*300</f>
        <v>0</v>
      </c>
      <c r="N40" s="3">
        <f t="shared" si="147"/>
        <v>1500</v>
      </c>
      <c r="O40" s="6">
        <v>15</v>
      </c>
      <c r="P40" s="6"/>
      <c r="Q40" s="6">
        <v>0</v>
      </c>
      <c r="R40" s="38">
        <v>20</v>
      </c>
      <c r="S40" s="17"/>
      <c r="T40" s="17">
        <f t="shared" si="2"/>
        <v>1500</v>
      </c>
      <c r="U40" s="17">
        <f t="shared" ref="U40:V40" si="148">Q40*300</f>
        <v>0</v>
      </c>
      <c r="V40" s="6">
        <f t="shared" si="148"/>
        <v>6000</v>
      </c>
      <c r="W40" s="6">
        <v>20</v>
      </c>
      <c r="X40" s="6"/>
      <c r="Y40" s="6">
        <v>0</v>
      </c>
      <c r="Z40" s="6">
        <v>20</v>
      </c>
      <c r="AA40" s="17"/>
      <c r="AB40" s="17">
        <f t="shared" si="4"/>
        <v>2000</v>
      </c>
      <c r="AC40" s="17">
        <f t="shared" ref="AC40:AD40" si="149">Y40*300</f>
        <v>0</v>
      </c>
      <c r="AD40" s="6">
        <f t="shared" si="149"/>
        <v>6000</v>
      </c>
      <c r="AE40" s="6">
        <v>25</v>
      </c>
      <c r="AF40" s="6"/>
      <c r="AG40" s="6">
        <v>0</v>
      </c>
      <c r="AH40" s="6">
        <v>20</v>
      </c>
      <c r="AI40" s="17"/>
      <c r="AJ40" s="17">
        <f t="shared" si="6"/>
        <v>2500</v>
      </c>
      <c r="AK40" s="17">
        <f t="shared" ref="AK40:AL40" si="150">AG40*300</f>
        <v>0</v>
      </c>
      <c r="AL40" s="39">
        <f t="shared" si="150"/>
        <v>6000</v>
      </c>
      <c r="AM40" s="22"/>
      <c r="AN40" s="22"/>
      <c r="AO40" s="22"/>
      <c r="AP40" s="22"/>
      <c r="AQ40" s="22"/>
      <c r="AR40" s="22"/>
      <c r="AS40" s="22"/>
      <c r="AT40" s="22"/>
    </row>
    <row r="41" spans="1:46" ht="15.75" customHeight="1">
      <c r="A41" s="6">
        <v>38</v>
      </c>
      <c r="B41" s="6" t="s">
        <v>62</v>
      </c>
      <c r="F41" s="11"/>
      <c r="G41" s="36"/>
      <c r="H41" s="13">
        <v>55</v>
      </c>
      <c r="I41" s="13">
        <v>10</v>
      </c>
      <c r="J41" s="13">
        <v>0</v>
      </c>
      <c r="K41" s="16"/>
      <c r="L41" s="16">
        <f t="shared" si="0"/>
        <v>5500</v>
      </c>
      <c r="M41" s="16">
        <f t="shared" ref="M41:N41" si="151">I41*300</f>
        <v>3000</v>
      </c>
      <c r="N41" s="3">
        <f t="shared" si="151"/>
        <v>0</v>
      </c>
      <c r="O41" s="6">
        <v>50</v>
      </c>
      <c r="P41" s="6"/>
      <c r="Q41" s="6">
        <v>0</v>
      </c>
      <c r="R41" s="6">
        <v>5</v>
      </c>
      <c r="S41" s="17"/>
      <c r="T41" s="17">
        <f t="shared" si="2"/>
        <v>5000</v>
      </c>
      <c r="U41" s="17">
        <f t="shared" ref="U41:V41" si="152">Q41*300</f>
        <v>0</v>
      </c>
      <c r="V41" s="6">
        <f t="shared" si="152"/>
        <v>1500</v>
      </c>
      <c r="W41" s="6">
        <v>48</v>
      </c>
      <c r="X41" s="6"/>
      <c r="Y41" s="6">
        <v>0</v>
      </c>
      <c r="Z41" s="6">
        <v>5</v>
      </c>
      <c r="AA41" s="17"/>
      <c r="AB41" s="17">
        <f t="shared" si="4"/>
        <v>4800</v>
      </c>
      <c r="AC41" s="17">
        <f t="shared" ref="AC41:AD41" si="153">Y41*300</f>
        <v>0</v>
      </c>
      <c r="AD41" s="6">
        <f t="shared" si="153"/>
        <v>1500</v>
      </c>
      <c r="AE41" s="6">
        <v>45</v>
      </c>
      <c r="AF41" s="6"/>
      <c r="AG41" s="6">
        <v>0</v>
      </c>
      <c r="AH41" s="6">
        <v>10</v>
      </c>
      <c r="AI41" s="17"/>
      <c r="AJ41" s="17">
        <f t="shared" si="6"/>
        <v>4500</v>
      </c>
      <c r="AK41" s="17">
        <f t="shared" ref="AK41:AL41" si="154">AG41*300</f>
        <v>0</v>
      </c>
      <c r="AL41" s="39">
        <f t="shared" si="154"/>
        <v>3000</v>
      </c>
      <c r="AM41" s="22"/>
      <c r="AN41" s="22"/>
      <c r="AO41" s="22"/>
      <c r="AP41" s="22"/>
      <c r="AQ41" s="22"/>
      <c r="AR41" s="22"/>
      <c r="AS41" s="22"/>
      <c r="AT41" s="22"/>
    </row>
    <row r="42" spans="1:46" ht="14">
      <c r="A42" s="6">
        <v>39</v>
      </c>
      <c r="B42" s="6" t="s">
        <v>63</v>
      </c>
      <c r="F42" s="11"/>
      <c r="G42" s="36"/>
      <c r="H42" s="13">
        <v>45</v>
      </c>
      <c r="I42" s="13">
        <v>0</v>
      </c>
      <c r="J42" s="13">
        <v>10</v>
      </c>
      <c r="K42" s="16"/>
      <c r="L42" s="16">
        <f t="shared" si="0"/>
        <v>4500</v>
      </c>
      <c r="M42" s="16">
        <f t="shared" ref="M42:N42" si="155">I42*300</f>
        <v>0</v>
      </c>
      <c r="N42" s="3">
        <f t="shared" si="155"/>
        <v>3000</v>
      </c>
      <c r="O42" s="6">
        <v>35</v>
      </c>
      <c r="P42" s="6"/>
      <c r="Q42" s="6">
        <v>0</v>
      </c>
      <c r="R42" s="37">
        <v>10</v>
      </c>
      <c r="S42" s="17"/>
      <c r="T42" s="17">
        <f t="shared" si="2"/>
        <v>3500</v>
      </c>
      <c r="U42" s="17">
        <f t="shared" ref="U42:V42" si="156">Q42*300</f>
        <v>0</v>
      </c>
      <c r="V42" s="6">
        <f t="shared" si="156"/>
        <v>3000</v>
      </c>
      <c r="W42" s="6">
        <v>40</v>
      </c>
      <c r="X42" s="6"/>
      <c r="Y42" s="6">
        <v>0</v>
      </c>
      <c r="Z42" s="6">
        <v>30</v>
      </c>
      <c r="AA42" s="17"/>
      <c r="AB42" s="17">
        <f t="shared" si="4"/>
        <v>4000</v>
      </c>
      <c r="AC42" s="17">
        <f t="shared" ref="AC42:AD42" si="157">Y42*300</f>
        <v>0</v>
      </c>
      <c r="AD42" s="6">
        <f t="shared" si="157"/>
        <v>9000</v>
      </c>
      <c r="AE42" s="6">
        <v>40</v>
      </c>
      <c r="AF42" s="6"/>
      <c r="AG42" s="6">
        <v>0</v>
      </c>
      <c r="AH42" s="6">
        <v>20</v>
      </c>
      <c r="AI42" s="17"/>
      <c r="AJ42" s="17">
        <f t="shared" si="6"/>
        <v>4000</v>
      </c>
      <c r="AK42" s="17">
        <f t="shared" ref="AK42:AL42" si="158">AG42*300</f>
        <v>0</v>
      </c>
      <c r="AL42" s="39">
        <f t="shared" si="158"/>
        <v>6000</v>
      </c>
      <c r="AM42" s="22"/>
      <c r="AN42" s="22"/>
      <c r="AO42" s="22"/>
      <c r="AP42" s="22"/>
      <c r="AQ42" s="22"/>
      <c r="AR42" s="22"/>
      <c r="AS42" s="22"/>
      <c r="AT42" s="22"/>
    </row>
    <row r="43" spans="1:46" ht="14">
      <c r="A43" s="6">
        <v>40</v>
      </c>
      <c r="B43" s="6" t="s">
        <v>64</v>
      </c>
      <c r="F43" s="11"/>
      <c r="G43" s="36"/>
      <c r="H43" s="13">
        <v>0</v>
      </c>
      <c r="I43" s="13">
        <v>0</v>
      </c>
      <c r="J43" s="13">
        <v>6</v>
      </c>
      <c r="K43" s="16"/>
      <c r="L43" s="16">
        <f t="shared" si="0"/>
        <v>0</v>
      </c>
      <c r="M43" s="16">
        <f t="shared" ref="M43:N43" si="159">I43*300</f>
        <v>0</v>
      </c>
      <c r="N43" s="3">
        <f t="shared" si="159"/>
        <v>1800</v>
      </c>
      <c r="O43" s="6">
        <v>0</v>
      </c>
      <c r="P43" s="6"/>
      <c r="Q43" s="6">
        <v>0</v>
      </c>
      <c r="R43" s="6">
        <v>10</v>
      </c>
      <c r="S43" s="17"/>
      <c r="T43" s="17">
        <f t="shared" si="2"/>
        <v>0</v>
      </c>
      <c r="U43" s="17">
        <f t="shared" ref="U43:V43" si="160">Q43*300</f>
        <v>0</v>
      </c>
      <c r="V43" s="6">
        <f t="shared" si="160"/>
        <v>3000</v>
      </c>
      <c r="W43" s="6">
        <v>0</v>
      </c>
      <c r="X43" s="6"/>
      <c r="Y43" s="6">
        <v>0</v>
      </c>
      <c r="Z43" s="6">
        <v>12</v>
      </c>
      <c r="AA43" s="17"/>
      <c r="AB43" s="17">
        <f t="shared" si="4"/>
        <v>0</v>
      </c>
      <c r="AC43" s="17">
        <f t="shared" ref="AC43:AD43" si="161">Y43*300</f>
        <v>0</v>
      </c>
      <c r="AD43" s="6">
        <f t="shared" si="161"/>
        <v>3600</v>
      </c>
      <c r="AE43" s="6">
        <v>0</v>
      </c>
      <c r="AF43" s="6"/>
      <c r="AG43" s="6">
        <v>15</v>
      </c>
      <c r="AH43" s="6">
        <v>15</v>
      </c>
      <c r="AI43" s="17"/>
      <c r="AJ43" s="17">
        <f t="shared" si="6"/>
        <v>0</v>
      </c>
      <c r="AK43" s="17">
        <f t="shared" ref="AK43:AL43" si="162">AG43*300</f>
        <v>4500</v>
      </c>
      <c r="AL43" s="39">
        <f t="shared" si="162"/>
        <v>4500</v>
      </c>
      <c r="AM43" s="22"/>
      <c r="AN43" s="22"/>
      <c r="AO43" s="22"/>
      <c r="AP43" s="22"/>
      <c r="AQ43" s="22"/>
      <c r="AR43" s="22"/>
      <c r="AS43" s="22"/>
      <c r="AT43" s="22"/>
    </row>
    <row r="44" spans="1:46" ht="14">
      <c r="A44" s="6">
        <v>41</v>
      </c>
      <c r="B44" s="6" t="s">
        <v>66</v>
      </c>
      <c r="F44" s="11"/>
      <c r="G44" s="36"/>
      <c r="H44" s="13">
        <v>45</v>
      </c>
      <c r="I44" s="13">
        <v>0</v>
      </c>
      <c r="J44" s="13">
        <v>20</v>
      </c>
      <c r="K44" s="16"/>
      <c r="L44" s="16">
        <f t="shared" si="0"/>
        <v>4500</v>
      </c>
      <c r="M44" s="16">
        <f t="shared" ref="M44:N44" si="163">I44*300</f>
        <v>0</v>
      </c>
      <c r="N44" s="3">
        <f t="shared" si="163"/>
        <v>6000</v>
      </c>
      <c r="O44" s="6">
        <v>50</v>
      </c>
      <c r="P44" s="6"/>
      <c r="Q44" s="6">
        <v>0</v>
      </c>
      <c r="R44" s="37">
        <v>10</v>
      </c>
      <c r="S44" s="17"/>
      <c r="T44" s="17">
        <f t="shared" si="2"/>
        <v>5000</v>
      </c>
      <c r="U44" s="17">
        <f t="shared" ref="U44:V44" si="164">Q44*300</f>
        <v>0</v>
      </c>
      <c r="V44" s="6">
        <f t="shared" si="164"/>
        <v>3000</v>
      </c>
      <c r="W44" s="6">
        <v>52</v>
      </c>
      <c r="X44" s="6"/>
      <c r="Y44" s="6">
        <v>0</v>
      </c>
      <c r="Z44" s="6">
        <v>8</v>
      </c>
      <c r="AA44" s="17"/>
      <c r="AB44" s="17">
        <f t="shared" si="4"/>
        <v>5200</v>
      </c>
      <c r="AC44" s="17">
        <f t="shared" ref="AC44:AD44" si="165">Y44*300</f>
        <v>0</v>
      </c>
      <c r="AD44" s="6">
        <f t="shared" si="165"/>
        <v>2400</v>
      </c>
      <c r="AE44" s="6">
        <v>48</v>
      </c>
      <c r="AF44" s="6"/>
      <c r="AG44" s="6">
        <v>0</v>
      </c>
      <c r="AH44" s="6">
        <v>20</v>
      </c>
      <c r="AI44" s="17"/>
      <c r="AJ44" s="17">
        <f t="shared" si="6"/>
        <v>4800</v>
      </c>
      <c r="AK44" s="17">
        <f t="shared" ref="AK44:AL44" si="166">AG44*300</f>
        <v>0</v>
      </c>
      <c r="AL44" s="39">
        <f t="shared" si="166"/>
        <v>6000</v>
      </c>
      <c r="AM44" s="22"/>
      <c r="AN44" s="22"/>
      <c r="AO44" s="22"/>
      <c r="AP44" s="22"/>
      <c r="AQ44" s="22"/>
      <c r="AR44" s="22"/>
      <c r="AS44" s="22"/>
      <c r="AT44" s="22"/>
    </row>
    <row r="45" spans="1:46" ht="14">
      <c r="A45" s="6">
        <v>42</v>
      </c>
      <c r="B45" s="6" t="s">
        <v>67</v>
      </c>
      <c r="F45" s="11"/>
      <c r="G45" s="36"/>
      <c r="H45" s="13">
        <v>65</v>
      </c>
      <c r="I45" s="13">
        <v>0</v>
      </c>
      <c r="J45" s="13">
        <v>0</v>
      </c>
      <c r="K45" s="16"/>
      <c r="L45" s="16">
        <f t="shared" si="0"/>
        <v>6500</v>
      </c>
      <c r="M45" s="16">
        <f t="shared" ref="M45:N45" si="167">I45*300</f>
        <v>0</v>
      </c>
      <c r="N45" s="3">
        <f t="shared" si="167"/>
        <v>0</v>
      </c>
      <c r="O45" s="6">
        <v>35</v>
      </c>
      <c r="P45" s="6"/>
      <c r="Q45" s="6">
        <v>0</v>
      </c>
      <c r="R45" s="6">
        <v>15</v>
      </c>
      <c r="S45" s="17"/>
      <c r="T45" s="17">
        <f t="shared" si="2"/>
        <v>3500</v>
      </c>
      <c r="U45" s="17">
        <f t="shared" ref="U45:V45" si="168">Q45*300</f>
        <v>0</v>
      </c>
      <c r="V45" s="6">
        <f t="shared" si="168"/>
        <v>4500</v>
      </c>
      <c r="W45" s="6">
        <v>60</v>
      </c>
      <c r="X45" s="6"/>
      <c r="Y45" s="6">
        <v>0</v>
      </c>
      <c r="Z45" s="6">
        <v>18</v>
      </c>
      <c r="AA45" s="17"/>
      <c r="AB45" s="17">
        <f t="shared" si="4"/>
        <v>6000</v>
      </c>
      <c r="AC45" s="17">
        <f t="shared" ref="AC45:AD45" si="169">Y45*300</f>
        <v>0</v>
      </c>
      <c r="AD45" s="6">
        <f t="shared" si="169"/>
        <v>5400</v>
      </c>
      <c r="AE45" s="6">
        <v>55</v>
      </c>
      <c r="AF45" s="6"/>
      <c r="AG45" s="6">
        <v>0</v>
      </c>
      <c r="AH45" s="6">
        <v>20</v>
      </c>
      <c r="AI45" s="17"/>
      <c r="AJ45" s="17">
        <f t="shared" si="6"/>
        <v>5500</v>
      </c>
      <c r="AK45" s="17">
        <f t="shared" ref="AK45:AL45" si="170">AG45*300</f>
        <v>0</v>
      </c>
      <c r="AL45" s="39">
        <f t="shared" si="170"/>
        <v>6000</v>
      </c>
      <c r="AM45" s="22"/>
      <c r="AN45" s="22"/>
      <c r="AO45" s="22"/>
      <c r="AP45" s="22"/>
      <c r="AQ45" s="22"/>
      <c r="AR45" s="22"/>
      <c r="AS45" s="22"/>
      <c r="AT45" s="22"/>
    </row>
    <row r="46" spans="1:46" ht="14">
      <c r="A46" s="6">
        <v>43</v>
      </c>
      <c r="B46" s="6" t="s">
        <v>68</v>
      </c>
      <c r="F46" s="11"/>
      <c r="G46" s="36"/>
      <c r="H46" s="13">
        <v>40</v>
      </c>
      <c r="I46" s="13">
        <v>0</v>
      </c>
      <c r="J46" s="13">
        <v>10</v>
      </c>
      <c r="K46" s="16"/>
      <c r="L46" s="16">
        <f t="shared" si="0"/>
        <v>4000</v>
      </c>
      <c r="M46" s="16">
        <f t="shared" ref="M46:N46" si="171">I46*300</f>
        <v>0</v>
      </c>
      <c r="N46" s="3">
        <f t="shared" si="171"/>
        <v>3000</v>
      </c>
      <c r="O46" s="6">
        <v>15</v>
      </c>
      <c r="P46" s="6"/>
      <c r="Q46" s="6">
        <v>0</v>
      </c>
      <c r="R46" s="6">
        <v>10</v>
      </c>
      <c r="S46" s="17"/>
      <c r="T46" s="17">
        <f t="shared" si="2"/>
        <v>1500</v>
      </c>
      <c r="U46" s="17">
        <f t="shared" ref="U46:V46" si="172">Q46*300</f>
        <v>0</v>
      </c>
      <c r="V46" s="6">
        <f t="shared" si="172"/>
        <v>3000</v>
      </c>
      <c r="W46" s="6">
        <v>35</v>
      </c>
      <c r="X46" s="6"/>
      <c r="Y46" s="6">
        <v>0</v>
      </c>
      <c r="Z46" s="6">
        <v>10</v>
      </c>
      <c r="AA46" s="17"/>
      <c r="AB46" s="17">
        <f t="shared" si="4"/>
        <v>3500</v>
      </c>
      <c r="AC46" s="17">
        <f t="shared" ref="AC46:AD46" si="173">Y46*300</f>
        <v>0</v>
      </c>
      <c r="AD46" s="6">
        <f t="shared" si="173"/>
        <v>3000</v>
      </c>
      <c r="AE46" s="6">
        <v>35</v>
      </c>
      <c r="AF46" s="6"/>
      <c r="AG46" s="6">
        <v>0</v>
      </c>
      <c r="AH46" s="6">
        <v>15</v>
      </c>
      <c r="AI46" s="17"/>
      <c r="AJ46" s="17">
        <f t="shared" si="6"/>
        <v>3500</v>
      </c>
      <c r="AK46" s="17">
        <f t="shared" ref="AK46:AL46" si="174">AG46*300</f>
        <v>0</v>
      </c>
      <c r="AL46" s="39">
        <f t="shared" si="174"/>
        <v>4500</v>
      </c>
      <c r="AM46" s="22"/>
      <c r="AN46" s="22"/>
      <c r="AO46" s="22"/>
      <c r="AP46" s="22"/>
      <c r="AQ46" s="22"/>
      <c r="AR46" s="22"/>
      <c r="AS46" s="22"/>
      <c r="AT46" s="22"/>
    </row>
    <row r="47" spans="1:46" ht="14">
      <c r="A47" s="6">
        <v>44</v>
      </c>
      <c r="B47" s="6" t="s">
        <v>69</v>
      </c>
      <c r="F47" s="11"/>
      <c r="G47" s="36"/>
      <c r="H47" s="13">
        <v>25</v>
      </c>
      <c r="I47" s="13">
        <v>0</v>
      </c>
      <c r="J47" s="13">
        <v>5</v>
      </c>
      <c r="K47" s="16"/>
      <c r="L47" s="16">
        <f t="shared" si="0"/>
        <v>2500</v>
      </c>
      <c r="M47" s="16">
        <f t="shared" ref="M47:N47" si="175">I47*300</f>
        <v>0</v>
      </c>
      <c r="N47" s="3">
        <f t="shared" si="175"/>
        <v>1500</v>
      </c>
      <c r="O47" s="6">
        <v>20</v>
      </c>
      <c r="P47" s="6"/>
      <c r="Q47" s="6">
        <v>0</v>
      </c>
      <c r="R47" s="37">
        <v>5</v>
      </c>
      <c r="S47" s="17"/>
      <c r="T47" s="17">
        <f t="shared" si="2"/>
        <v>2000</v>
      </c>
      <c r="U47" s="17">
        <f t="shared" ref="U47:V47" si="176">Q47*300</f>
        <v>0</v>
      </c>
      <c r="V47" s="6">
        <f t="shared" si="176"/>
        <v>1500</v>
      </c>
      <c r="W47" s="6">
        <v>30</v>
      </c>
      <c r="X47" s="6"/>
      <c r="Y47" s="6">
        <v>0</v>
      </c>
      <c r="Z47" s="6">
        <v>10</v>
      </c>
      <c r="AA47" s="17"/>
      <c r="AB47" s="17">
        <f t="shared" si="4"/>
        <v>3000</v>
      </c>
      <c r="AC47" s="17">
        <f t="shared" ref="AC47:AD47" si="177">Y47*300</f>
        <v>0</v>
      </c>
      <c r="AD47" s="6">
        <f t="shared" si="177"/>
        <v>3000</v>
      </c>
      <c r="AE47" s="6">
        <v>25</v>
      </c>
      <c r="AF47" s="6"/>
      <c r="AG47" s="6">
        <v>0</v>
      </c>
      <c r="AH47" s="6">
        <v>10</v>
      </c>
      <c r="AI47" s="17"/>
      <c r="AJ47" s="17">
        <f t="shared" si="6"/>
        <v>2500</v>
      </c>
      <c r="AK47" s="17">
        <f t="shared" ref="AK47:AL47" si="178">AG47*300</f>
        <v>0</v>
      </c>
      <c r="AL47" s="39">
        <f t="shared" si="178"/>
        <v>3000</v>
      </c>
      <c r="AM47" s="22"/>
      <c r="AN47" s="22"/>
      <c r="AO47" s="22"/>
      <c r="AP47" s="22"/>
      <c r="AQ47" s="22"/>
      <c r="AR47" s="22"/>
      <c r="AS47" s="22"/>
      <c r="AT47" s="22"/>
    </row>
    <row r="48" spans="1:46" ht="14">
      <c r="A48" s="6">
        <v>45</v>
      </c>
      <c r="B48" s="6" t="s">
        <v>70</v>
      </c>
      <c r="F48" s="11"/>
      <c r="G48" s="36"/>
      <c r="H48" s="13">
        <v>44</v>
      </c>
      <c r="I48" s="13">
        <v>0</v>
      </c>
      <c r="J48" s="13">
        <v>10</v>
      </c>
      <c r="K48" s="16"/>
      <c r="L48" s="16">
        <f t="shared" si="0"/>
        <v>4400</v>
      </c>
      <c r="M48" s="16">
        <f t="shared" ref="M48:N48" si="179">I48*300</f>
        <v>0</v>
      </c>
      <c r="N48" s="3">
        <f t="shared" si="179"/>
        <v>3000</v>
      </c>
      <c r="O48" s="6">
        <v>40</v>
      </c>
      <c r="P48" s="6"/>
      <c r="Q48" s="6">
        <v>0</v>
      </c>
      <c r="R48" s="6">
        <v>5</v>
      </c>
      <c r="S48" s="17"/>
      <c r="T48" s="17">
        <f t="shared" si="2"/>
        <v>4000</v>
      </c>
      <c r="U48" s="17">
        <f t="shared" ref="U48:V48" si="180">Q48*300</f>
        <v>0</v>
      </c>
      <c r="V48" s="6">
        <f t="shared" si="180"/>
        <v>1500</v>
      </c>
      <c r="W48" s="6">
        <v>45</v>
      </c>
      <c r="X48" s="6"/>
      <c r="Y48" s="6">
        <v>0</v>
      </c>
      <c r="Z48" s="6">
        <v>5</v>
      </c>
      <c r="AA48" s="17"/>
      <c r="AB48" s="17">
        <f t="shared" si="4"/>
        <v>4500</v>
      </c>
      <c r="AC48" s="17">
        <f t="shared" ref="AC48:AD48" si="181">Y48*300</f>
        <v>0</v>
      </c>
      <c r="AD48" s="6">
        <f t="shared" si="181"/>
        <v>1500</v>
      </c>
      <c r="AE48" s="6">
        <v>43</v>
      </c>
      <c r="AF48" s="6"/>
      <c r="AG48" s="6">
        <v>0</v>
      </c>
      <c r="AH48" s="6">
        <v>10</v>
      </c>
      <c r="AI48" s="17"/>
      <c r="AJ48" s="17">
        <f t="shared" si="6"/>
        <v>4300</v>
      </c>
      <c r="AK48" s="17">
        <f t="shared" ref="AK48:AL48" si="182">AG48*300</f>
        <v>0</v>
      </c>
      <c r="AL48" s="39">
        <f t="shared" si="182"/>
        <v>3000</v>
      </c>
      <c r="AM48" s="22"/>
      <c r="AN48" s="22"/>
      <c r="AO48" s="22"/>
      <c r="AP48" s="22"/>
      <c r="AQ48" s="22"/>
      <c r="AR48" s="22"/>
      <c r="AS48" s="22"/>
      <c r="AT48" s="22"/>
    </row>
    <row r="49" spans="1:46" ht="14">
      <c r="A49" s="6">
        <v>46</v>
      </c>
      <c r="B49" s="6" t="s">
        <v>71</v>
      </c>
      <c r="F49" s="11"/>
      <c r="G49" s="36"/>
      <c r="H49" s="13">
        <v>20</v>
      </c>
      <c r="I49" s="13">
        <v>0</v>
      </c>
      <c r="J49" s="13">
        <v>10</v>
      </c>
      <c r="K49" s="16"/>
      <c r="L49" s="16">
        <f t="shared" si="0"/>
        <v>2000</v>
      </c>
      <c r="M49" s="16">
        <f t="shared" ref="M49:N49" si="183">I49*300</f>
        <v>0</v>
      </c>
      <c r="N49" s="3">
        <f t="shared" si="183"/>
        <v>3000</v>
      </c>
      <c r="O49" s="6">
        <v>25</v>
      </c>
      <c r="P49" s="6"/>
      <c r="Q49" s="6">
        <v>0</v>
      </c>
      <c r="R49" s="6">
        <v>5</v>
      </c>
      <c r="S49" s="17"/>
      <c r="T49" s="17">
        <f t="shared" si="2"/>
        <v>2500</v>
      </c>
      <c r="U49" s="17">
        <f t="shared" ref="U49:V49" si="184">Q49*300</f>
        <v>0</v>
      </c>
      <c r="V49" s="6">
        <f t="shared" si="184"/>
        <v>1500</v>
      </c>
      <c r="W49" s="6">
        <v>30</v>
      </c>
      <c r="X49" s="6"/>
      <c r="Y49" s="6">
        <v>0</v>
      </c>
      <c r="Z49" s="6">
        <v>5</v>
      </c>
      <c r="AA49" s="17"/>
      <c r="AB49" s="17">
        <f t="shared" si="4"/>
        <v>3000</v>
      </c>
      <c r="AC49" s="17">
        <f t="shared" ref="AC49:AD49" si="185">Y49*300</f>
        <v>0</v>
      </c>
      <c r="AD49" s="6">
        <f t="shared" si="185"/>
        <v>1500</v>
      </c>
      <c r="AE49" s="6">
        <v>27</v>
      </c>
      <c r="AF49" s="6"/>
      <c r="AG49" s="6">
        <v>0</v>
      </c>
      <c r="AH49" s="6">
        <v>15</v>
      </c>
      <c r="AI49" s="17"/>
      <c r="AJ49" s="17">
        <f t="shared" si="6"/>
        <v>2700</v>
      </c>
      <c r="AK49" s="17">
        <f t="shared" ref="AK49:AL49" si="186">AG49*300</f>
        <v>0</v>
      </c>
      <c r="AL49" s="39">
        <f t="shared" si="186"/>
        <v>4500</v>
      </c>
      <c r="AM49" s="22"/>
      <c r="AN49" s="22"/>
      <c r="AO49" s="22"/>
      <c r="AP49" s="22"/>
      <c r="AQ49" s="22"/>
      <c r="AR49" s="22"/>
      <c r="AS49" s="22"/>
      <c r="AT49" s="22"/>
    </row>
    <row r="50" spans="1:46" ht="14">
      <c r="A50" s="6">
        <v>47</v>
      </c>
      <c r="B50" s="6" t="s">
        <v>72</v>
      </c>
      <c r="F50" s="11"/>
      <c r="G50" s="36"/>
      <c r="H50" s="13">
        <v>56</v>
      </c>
      <c r="I50" s="13">
        <v>0</v>
      </c>
      <c r="J50" s="13">
        <v>10</v>
      </c>
      <c r="K50" s="16"/>
      <c r="L50" s="16">
        <f t="shared" si="0"/>
        <v>5600</v>
      </c>
      <c r="M50" s="16">
        <f t="shared" ref="M50:N50" si="187">I50*300</f>
        <v>0</v>
      </c>
      <c r="N50" s="3">
        <f t="shared" si="187"/>
        <v>3000</v>
      </c>
      <c r="O50" s="6">
        <v>35</v>
      </c>
      <c r="P50" s="6"/>
      <c r="Q50" s="6">
        <v>0</v>
      </c>
      <c r="R50" s="6">
        <v>10</v>
      </c>
      <c r="S50" s="17"/>
      <c r="T50" s="17">
        <f t="shared" si="2"/>
        <v>3500</v>
      </c>
      <c r="U50" s="17">
        <f t="shared" ref="U50:V50" si="188">Q50*300</f>
        <v>0</v>
      </c>
      <c r="V50" s="6">
        <f t="shared" si="188"/>
        <v>3000</v>
      </c>
      <c r="W50" s="6">
        <v>50</v>
      </c>
      <c r="X50" s="6"/>
      <c r="Y50" s="6">
        <v>0</v>
      </c>
      <c r="Z50" s="6">
        <v>15</v>
      </c>
      <c r="AA50" s="17"/>
      <c r="AB50" s="17">
        <f t="shared" si="4"/>
        <v>5000</v>
      </c>
      <c r="AC50" s="17">
        <f t="shared" ref="AC50:AD50" si="189">Y50*300</f>
        <v>0</v>
      </c>
      <c r="AD50" s="6">
        <f t="shared" si="189"/>
        <v>4500</v>
      </c>
      <c r="AE50" s="6">
        <v>40</v>
      </c>
      <c r="AF50" s="6"/>
      <c r="AG50" s="6">
        <v>0</v>
      </c>
      <c r="AH50" s="6">
        <v>20</v>
      </c>
      <c r="AI50" s="17"/>
      <c r="AJ50" s="17">
        <f t="shared" si="6"/>
        <v>4000</v>
      </c>
      <c r="AK50" s="17">
        <f t="shared" ref="AK50:AL50" si="190">AG50*300</f>
        <v>0</v>
      </c>
      <c r="AL50" s="39">
        <f t="shared" si="190"/>
        <v>6000</v>
      </c>
      <c r="AM50" s="22"/>
      <c r="AN50" s="22"/>
      <c r="AO50" s="22"/>
      <c r="AP50" s="22"/>
      <c r="AQ50" s="22"/>
      <c r="AR50" s="22"/>
      <c r="AS50" s="22"/>
      <c r="AT50" s="22"/>
    </row>
    <row r="51" spans="1:46" ht="14">
      <c r="A51" s="6">
        <v>48</v>
      </c>
      <c r="B51" s="6" t="s">
        <v>73</v>
      </c>
      <c r="F51" s="11"/>
      <c r="G51" s="36"/>
      <c r="H51" s="13">
        <v>20</v>
      </c>
      <c r="I51" s="13">
        <v>0</v>
      </c>
      <c r="J51" s="13">
        <v>20</v>
      </c>
      <c r="K51" s="16"/>
      <c r="L51" s="16">
        <f t="shared" si="0"/>
        <v>2000</v>
      </c>
      <c r="M51" s="16">
        <f t="shared" ref="M51:N51" si="191">I51*300</f>
        <v>0</v>
      </c>
      <c r="N51" s="3">
        <f t="shared" si="191"/>
        <v>6000</v>
      </c>
      <c r="O51" s="6">
        <v>0</v>
      </c>
      <c r="P51" s="6"/>
      <c r="Q51" s="6">
        <v>0</v>
      </c>
      <c r="R51" s="37">
        <v>40</v>
      </c>
      <c r="S51" s="17"/>
      <c r="T51" s="17">
        <f t="shared" si="2"/>
        <v>0</v>
      </c>
      <c r="U51" s="17">
        <f t="shared" ref="U51:V51" si="192">Q51*300</f>
        <v>0</v>
      </c>
      <c r="V51" s="6">
        <f t="shared" si="192"/>
        <v>12000</v>
      </c>
      <c r="W51" s="6">
        <v>15</v>
      </c>
      <c r="X51" s="6"/>
      <c r="Y51" s="6">
        <v>0</v>
      </c>
      <c r="Z51" s="6">
        <v>20</v>
      </c>
      <c r="AA51" s="17"/>
      <c r="AB51" s="17">
        <f t="shared" si="4"/>
        <v>1500</v>
      </c>
      <c r="AC51" s="17">
        <f t="shared" ref="AC51:AD51" si="193">Y51*300</f>
        <v>0</v>
      </c>
      <c r="AD51" s="6">
        <f t="shared" si="193"/>
        <v>6000</v>
      </c>
      <c r="AE51" s="6">
        <v>20</v>
      </c>
      <c r="AF51" s="6"/>
      <c r="AG51" s="6">
        <v>0</v>
      </c>
      <c r="AH51" s="6">
        <v>20</v>
      </c>
      <c r="AI51" s="17"/>
      <c r="AJ51" s="17">
        <f t="shared" si="6"/>
        <v>2000</v>
      </c>
      <c r="AK51" s="17">
        <f t="shared" ref="AK51:AL51" si="194">AG51*300</f>
        <v>0</v>
      </c>
      <c r="AL51" s="39">
        <f t="shared" si="194"/>
        <v>6000</v>
      </c>
      <c r="AM51" s="22"/>
      <c r="AN51" s="22"/>
      <c r="AO51" s="22"/>
      <c r="AP51" s="22"/>
      <c r="AQ51" s="22"/>
      <c r="AR51" s="22"/>
      <c r="AS51" s="22"/>
      <c r="AT51" s="22"/>
    </row>
    <row r="52" spans="1:46" ht="14">
      <c r="A52" s="6">
        <v>49</v>
      </c>
      <c r="B52" s="6" t="s">
        <v>74</v>
      </c>
      <c r="F52" s="11"/>
      <c r="G52" s="36"/>
      <c r="H52" s="13">
        <v>0</v>
      </c>
      <c r="I52" s="13">
        <v>0</v>
      </c>
      <c r="J52" s="13">
        <v>6</v>
      </c>
      <c r="K52" s="16"/>
      <c r="L52" s="16">
        <f t="shared" si="0"/>
        <v>0</v>
      </c>
      <c r="M52" s="16">
        <f t="shared" ref="M52:N52" si="195">I52*300</f>
        <v>0</v>
      </c>
      <c r="N52" s="3">
        <f t="shared" si="195"/>
        <v>1800</v>
      </c>
      <c r="O52" s="6">
        <v>15</v>
      </c>
      <c r="P52" s="6"/>
      <c r="Q52" s="6">
        <v>0</v>
      </c>
      <c r="R52" s="6">
        <v>5</v>
      </c>
      <c r="S52" s="17"/>
      <c r="T52" s="17">
        <f t="shared" si="2"/>
        <v>1500</v>
      </c>
      <c r="U52" s="17">
        <f t="shared" ref="U52:V52" si="196">Q52*300</f>
        <v>0</v>
      </c>
      <c r="V52" s="6">
        <f t="shared" si="196"/>
        <v>1500</v>
      </c>
      <c r="W52" s="6">
        <v>15</v>
      </c>
      <c r="X52" s="6"/>
      <c r="Y52" s="6">
        <v>0</v>
      </c>
      <c r="Z52" s="6">
        <v>5</v>
      </c>
      <c r="AA52" s="17"/>
      <c r="AB52" s="17">
        <f t="shared" si="4"/>
        <v>1500</v>
      </c>
      <c r="AC52" s="17">
        <f t="shared" ref="AC52:AD52" si="197">Y52*300</f>
        <v>0</v>
      </c>
      <c r="AD52" s="6">
        <f t="shared" si="197"/>
        <v>1500</v>
      </c>
      <c r="AE52" s="6">
        <v>20</v>
      </c>
      <c r="AF52" s="6"/>
      <c r="AG52" s="6">
        <v>20</v>
      </c>
      <c r="AH52" s="6">
        <v>0</v>
      </c>
      <c r="AI52" s="17"/>
      <c r="AJ52" s="17">
        <f t="shared" si="6"/>
        <v>2000</v>
      </c>
      <c r="AK52" s="17">
        <f t="shared" ref="AK52:AL52" si="198">AG52*300</f>
        <v>6000</v>
      </c>
      <c r="AL52" s="39">
        <f t="shared" si="198"/>
        <v>0</v>
      </c>
      <c r="AM52" s="22"/>
      <c r="AN52" s="22"/>
      <c r="AO52" s="22"/>
      <c r="AP52" s="22"/>
      <c r="AQ52" s="22"/>
      <c r="AR52" s="22"/>
      <c r="AS52" s="22"/>
      <c r="AT52" s="22"/>
    </row>
    <row r="53" spans="1:46" ht="14">
      <c r="A53" s="6">
        <v>50</v>
      </c>
      <c r="B53" s="6" t="s">
        <v>75</v>
      </c>
      <c r="F53" s="11"/>
      <c r="G53" s="36"/>
      <c r="H53" s="13">
        <v>40</v>
      </c>
      <c r="I53" s="13">
        <v>15</v>
      </c>
      <c r="J53" s="13">
        <v>0</v>
      </c>
      <c r="K53" s="16"/>
      <c r="L53" s="16">
        <f t="shared" si="0"/>
        <v>4000</v>
      </c>
      <c r="M53" s="16">
        <f t="shared" ref="M53:N53" si="199">I53*300</f>
        <v>4500</v>
      </c>
      <c r="N53" s="3">
        <f t="shared" si="199"/>
        <v>0</v>
      </c>
      <c r="O53" s="6">
        <v>45</v>
      </c>
      <c r="P53" s="6"/>
      <c r="Q53" s="6">
        <v>0</v>
      </c>
      <c r="R53" s="37">
        <v>10</v>
      </c>
      <c r="S53" s="17"/>
      <c r="T53" s="17">
        <f t="shared" si="2"/>
        <v>4500</v>
      </c>
      <c r="U53" s="17">
        <f t="shared" ref="U53:V53" si="200">Q53*300</f>
        <v>0</v>
      </c>
      <c r="V53" s="6">
        <f t="shared" si="200"/>
        <v>3000</v>
      </c>
      <c r="W53" s="6">
        <v>40</v>
      </c>
      <c r="X53" s="6"/>
      <c r="Y53" s="6">
        <v>0</v>
      </c>
      <c r="Z53" s="6">
        <v>15</v>
      </c>
      <c r="AA53" s="17"/>
      <c r="AB53" s="17">
        <f t="shared" si="4"/>
        <v>4000</v>
      </c>
      <c r="AC53" s="17">
        <f t="shared" ref="AC53:AD53" si="201">Y53*300</f>
        <v>0</v>
      </c>
      <c r="AD53" s="6">
        <f t="shared" si="201"/>
        <v>4500</v>
      </c>
      <c r="AE53" s="6">
        <v>36</v>
      </c>
      <c r="AF53" s="6"/>
      <c r="AG53" s="6">
        <v>0</v>
      </c>
      <c r="AH53" s="6">
        <v>5</v>
      </c>
      <c r="AI53" s="17"/>
      <c r="AJ53" s="17">
        <f t="shared" si="6"/>
        <v>3600</v>
      </c>
      <c r="AK53" s="17">
        <f t="shared" ref="AK53:AL53" si="202">AG53*300</f>
        <v>0</v>
      </c>
      <c r="AL53" s="39">
        <f t="shared" si="202"/>
        <v>1500</v>
      </c>
      <c r="AM53" s="22"/>
      <c r="AN53" s="22"/>
      <c r="AO53" s="22"/>
      <c r="AP53" s="22"/>
      <c r="AQ53" s="22"/>
      <c r="AR53" s="22"/>
      <c r="AS53" s="22"/>
      <c r="AT53" s="22"/>
    </row>
    <row r="54" spans="1:46" ht="14">
      <c r="A54" s="6">
        <v>51</v>
      </c>
      <c r="B54" s="6" t="s">
        <v>76</v>
      </c>
      <c r="F54" s="11"/>
      <c r="G54" s="36"/>
      <c r="H54" s="13">
        <v>25</v>
      </c>
      <c r="I54" s="13">
        <v>0</v>
      </c>
      <c r="J54" s="13">
        <v>20</v>
      </c>
      <c r="K54" s="16"/>
      <c r="L54" s="16">
        <f t="shared" si="0"/>
        <v>2500</v>
      </c>
      <c r="M54" s="16">
        <f t="shared" ref="M54:N54" si="203">I54*300</f>
        <v>0</v>
      </c>
      <c r="N54" s="3">
        <f t="shared" si="203"/>
        <v>6000</v>
      </c>
      <c r="O54" s="6">
        <v>25</v>
      </c>
      <c r="P54" s="6"/>
      <c r="Q54" s="6">
        <v>0</v>
      </c>
      <c r="R54" s="6">
        <v>15</v>
      </c>
      <c r="S54" s="17"/>
      <c r="T54" s="17">
        <f t="shared" si="2"/>
        <v>2500</v>
      </c>
      <c r="U54" s="17">
        <f t="shared" ref="U54:V54" si="204">Q54*300</f>
        <v>0</v>
      </c>
      <c r="V54" s="6">
        <f t="shared" si="204"/>
        <v>4500</v>
      </c>
      <c r="W54" s="6">
        <v>20</v>
      </c>
      <c r="X54" s="6"/>
      <c r="Y54" s="6">
        <v>0</v>
      </c>
      <c r="Z54" s="6">
        <v>15</v>
      </c>
      <c r="AA54" s="17"/>
      <c r="AB54" s="17">
        <f t="shared" si="4"/>
        <v>2000</v>
      </c>
      <c r="AC54" s="17">
        <f t="shared" ref="AC54:AD54" si="205">Y54*300</f>
        <v>0</v>
      </c>
      <c r="AD54" s="6">
        <f t="shared" si="205"/>
        <v>4500</v>
      </c>
      <c r="AE54" s="6">
        <v>22</v>
      </c>
      <c r="AF54" s="6"/>
      <c r="AG54" s="6">
        <v>0</v>
      </c>
      <c r="AH54" s="6">
        <v>20</v>
      </c>
      <c r="AI54" s="17"/>
      <c r="AJ54" s="17">
        <f t="shared" si="6"/>
        <v>2200</v>
      </c>
      <c r="AK54" s="17">
        <f t="shared" ref="AK54:AL54" si="206">AG54*300</f>
        <v>0</v>
      </c>
      <c r="AL54" s="39">
        <f t="shared" si="206"/>
        <v>6000</v>
      </c>
      <c r="AM54" s="22"/>
      <c r="AN54" s="22"/>
      <c r="AO54" s="22"/>
      <c r="AP54" s="22"/>
      <c r="AQ54" s="22"/>
      <c r="AR54" s="22"/>
      <c r="AS54" s="22"/>
      <c r="AT54" s="22"/>
    </row>
    <row r="55" spans="1:46" ht="14">
      <c r="A55" s="6">
        <v>52</v>
      </c>
      <c r="B55" s="6" t="s">
        <v>77</v>
      </c>
      <c r="F55" s="11"/>
      <c r="G55" s="36"/>
      <c r="H55" s="13">
        <v>20</v>
      </c>
      <c r="I55" s="13">
        <v>0</v>
      </c>
      <c r="J55" s="13">
        <v>20</v>
      </c>
      <c r="K55" s="16"/>
      <c r="L55" s="16">
        <f t="shared" si="0"/>
        <v>2000</v>
      </c>
      <c r="M55" s="16">
        <f t="shared" ref="M55:N55" si="207">I55*300</f>
        <v>0</v>
      </c>
      <c r="N55" s="3">
        <f t="shared" si="207"/>
        <v>6000</v>
      </c>
      <c r="O55" s="6">
        <v>25</v>
      </c>
      <c r="P55" s="6"/>
      <c r="Q55" s="6">
        <v>0</v>
      </c>
      <c r="R55" s="6">
        <v>10</v>
      </c>
      <c r="S55" s="17"/>
      <c r="T55" s="17">
        <f t="shared" si="2"/>
        <v>2500</v>
      </c>
      <c r="U55" s="17">
        <f t="shared" ref="U55:V55" si="208">Q55*300</f>
        <v>0</v>
      </c>
      <c r="V55" s="6">
        <f t="shared" si="208"/>
        <v>3000</v>
      </c>
      <c r="W55" s="6">
        <v>35</v>
      </c>
      <c r="X55" s="6"/>
      <c r="Y55" s="6">
        <v>0</v>
      </c>
      <c r="Z55" s="6">
        <v>15</v>
      </c>
      <c r="AA55" s="17"/>
      <c r="AB55" s="17">
        <f t="shared" si="4"/>
        <v>3500</v>
      </c>
      <c r="AC55" s="17">
        <f t="shared" ref="AC55:AD55" si="209">Y55*300</f>
        <v>0</v>
      </c>
      <c r="AD55" s="6">
        <f t="shared" si="209"/>
        <v>4500</v>
      </c>
      <c r="AE55" s="6">
        <v>30</v>
      </c>
      <c r="AF55" s="6"/>
      <c r="AG55" s="6">
        <v>0</v>
      </c>
      <c r="AH55" s="6">
        <v>20</v>
      </c>
      <c r="AI55" s="17"/>
      <c r="AJ55" s="17">
        <f t="shared" si="6"/>
        <v>3000</v>
      </c>
      <c r="AK55" s="17">
        <f t="shared" ref="AK55:AL55" si="210">AG55*300</f>
        <v>0</v>
      </c>
      <c r="AL55" s="39">
        <f t="shared" si="210"/>
        <v>6000</v>
      </c>
      <c r="AM55" s="22"/>
      <c r="AN55" s="22"/>
      <c r="AO55" s="22"/>
      <c r="AP55" s="22"/>
      <c r="AQ55" s="22"/>
      <c r="AR55" s="22"/>
      <c r="AS55" s="22"/>
      <c r="AT55" s="22"/>
    </row>
    <row r="56" spans="1:46" ht="14">
      <c r="A56" s="6">
        <v>53</v>
      </c>
      <c r="B56" s="6" t="s">
        <v>78</v>
      </c>
      <c r="F56" s="11"/>
      <c r="G56" s="36"/>
      <c r="H56" s="13">
        <v>25</v>
      </c>
      <c r="I56" s="13">
        <v>0</v>
      </c>
      <c r="J56" s="13">
        <v>5</v>
      </c>
      <c r="K56" s="16"/>
      <c r="L56" s="16">
        <f t="shared" si="0"/>
        <v>2500</v>
      </c>
      <c r="M56" s="16">
        <f t="shared" ref="M56:N56" si="211">I56*300</f>
        <v>0</v>
      </c>
      <c r="N56" s="3">
        <f t="shared" si="211"/>
        <v>1500</v>
      </c>
      <c r="O56" s="6">
        <v>15</v>
      </c>
      <c r="P56" s="6"/>
      <c r="Q56" s="6">
        <v>0</v>
      </c>
      <c r="R56" s="6">
        <v>8</v>
      </c>
      <c r="S56" s="17"/>
      <c r="T56" s="17">
        <f t="shared" si="2"/>
        <v>1500</v>
      </c>
      <c r="U56" s="17">
        <f t="shared" ref="U56:V56" si="212">Q56*300</f>
        <v>0</v>
      </c>
      <c r="V56" s="6">
        <f t="shared" si="212"/>
        <v>2400</v>
      </c>
      <c r="W56" s="6">
        <v>20</v>
      </c>
      <c r="X56" s="6"/>
      <c r="Y56" s="6">
        <v>0</v>
      </c>
      <c r="Z56" s="6">
        <v>10</v>
      </c>
      <c r="AA56" s="17"/>
      <c r="AB56" s="17">
        <f t="shared" si="4"/>
        <v>2000</v>
      </c>
      <c r="AC56" s="17">
        <f t="shared" ref="AC56:AD56" si="213">Y56*300</f>
        <v>0</v>
      </c>
      <c r="AD56" s="6">
        <f t="shared" si="213"/>
        <v>3000</v>
      </c>
      <c r="AE56" s="6">
        <v>20</v>
      </c>
      <c r="AF56" s="6"/>
      <c r="AG56" s="6">
        <v>0</v>
      </c>
      <c r="AH56" s="6">
        <v>15</v>
      </c>
      <c r="AI56" s="17"/>
      <c r="AJ56" s="17">
        <f t="shared" si="6"/>
        <v>2000</v>
      </c>
      <c r="AK56" s="17">
        <f t="shared" ref="AK56:AL56" si="214">AG56*300</f>
        <v>0</v>
      </c>
      <c r="AL56" s="39">
        <f t="shared" si="214"/>
        <v>4500</v>
      </c>
      <c r="AM56" s="22"/>
      <c r="AN56" s="22"/>
      <c r="AO56" s="22"/>
      <c r="AP56" s="22"/>
      <c r="AQ56" s="22"/>
      <c r="AR56" s="22"/>
      <c r="AS56" s="22"/>
      <c r="AT56" s="22"/>
    </row>
    <row r="57" spans="1:46" ht="14">
      <c r="A57" s="6">
        <v>54</v>
      </c>
      <c r="B57" s="6" t="s">
        <v>79</v>
      </c>
      <c r="F57" s="11"/>
      <c r="G57" s="36"/>
      <c r="H57" s="13">
        <v>25</v>
      </c>
      <c r="I57" s="13">
        <v>0</v>
      </c>
      <c r="J57" s="13">
        <v>10</v>
      </c>
      <c r="K57" s="16"/>
      <c r="L57" s="16">
        <f t="shared" si="0"/>
        <v>2500</v>
      </c>
      <c r="M57" s="16">
        <f t="shared" ref="M57:N57" si="215">I57*300</f>
        <v>0</v>
      </c>
      <c r="N57" s="3">
        <f t="shared" si="215"/>
        <v>3000</v>
      </c>
      <c r="O57" s="6">
        <v>20</v>
      </c>
      <c r="P57" s="6"/>
      <c r="Q57" s="6">
        <v>0</v>
      </c>
      <c r="R57" s="6">
        <v>5</v>
      </c>
      <c r="S57" s="17"/>
      <c r="T57" s="17">
        <f t="shared" si="2"/>
        <v>2000</v>
      </c>
      <c r="U57" s="17">
        <f t="shared" ref="U57:V57" si="216">Q57*300</f>
        <v>0</v>
      </c>
      <c r="V57" s="6">
        <f t="shared" si="216"/>
        <v>1500</v>
      </c>
      <c r="W57" s="6">
        <v>28</v>
      </c>
      <c r="X57" s="6"/>
      <c r="Y57" s="6">
        <v>0</v>
      </c>
      <c r="Z57" s="6">
        <v>5</v>
      </c>
      <c r="AA57" s="17"/>
      <c r="AB57" s="17">
        <f t="shared" si="4"/>
        <v>2800</v>
      </c>
      <c r="AC57" s="17">
        <f t="shared" ref="AC57:AD57" si="217">Y57*300</f>
        <v>0</v>
      </c>
      <c r="AD57" s="6">
        <f t="shared" si="217"/>
        <v>1500</v>
      </c>
      <c r="AE57" s="6">
        <v>30</v>
      </c>
      <c r="AF57" s="6"/>
      <c r="AG57" s="6">
        <v>0</v>
      </c>
      <c r="AH57" s="6">
        <v>5</v>
      </c>
      <c r="AI57" s="17"/>
      <c r="AJ57" s="17">
        <f t="shared" si="6"/>
        <v>3000</v>
      </c>
      <c r="AK57" s="17">
        <f t="shared" ref="AK57:AL57" si="218">AG57*300</f>
        <v>0</v>
      </c>
      <c r="AL57" s="39">
        <f t="shared" si="218"/>
        <v>1500</v>
      </c>
      <c r="AM57" s="22"/>
      <c r="AN57" s="22"/>
      <c r="AO57" s="22"/>
      <c r="AP57" s="22"/>
      <c r="AQ57" s="22"/>
      <c r="AR57" s="22"/>
      <c r="AS57" s="22"/>
      <c r="AT57" s="22"/>
    </row>
    <row r="58" spans="1:46" ht="14">
      <c r="A58" s="6">
        <v>55</v>
      </c>
      <c r="B58" s="6" t="s">
        <v>80</v>
      </c>
      <c r="F58" s="11"/>
      <c r="G58" s="36"/>
      <c r="H58" s="13">
        <v>30</v>
      </c>
      <c r="I58" s="13">
        <v>0</v>
      </c>
      <c r="J58" s="13">
        <v>10</v>
      </c>
      <c r="K58" s="16"/>
      <c r="L58" s="16">
        <f t="shared" si="0"/>
        <v>3000</v>
      </c>
      <c r="M58" s="16">
        <f t="shared" ref="M58:N58" si="219">I58*300</f>
        <v>0</v>
      </c>
      <c r="N58" s="3">
        <f t="shared" si="219"/>
        <v>3000</v>
      </c>
      <c r="O58" s="6">
        <v>10</v>
      </c>
      <c r="P58" s="6"/>
      <c r="Q58" s="6">
        <v>0</v>
      </c>
      <c r="R58" s="6">
        <v>10</v>
      </c>
      <c r="S58" s="17"/>
      <c r="T58" s="17">
        <f t="shared" si="2"/>
        <v>1000</v>
      </c>
      <c r="U58" s="17">
        <f t="shared" ref="U58:V58" si="220">Q58*300</f>
        <v>0</v>
      </c>
      <c r="V58" s="6">
        <f t="shared" si="220"/>
        <v>3000</v>
      </c>
      <c r="W58" s="6">
        <v>35</v>
      </c>
      <c r="X58" s="6"/>
      <c r="Y58" s="6">
        <v>0</v>
      </c>
      <c r="Z58" s="6">
        <v>10</v>
      </c>
      <c r="AA58" s="17"/>
      <c r="AB58" s="17">
        <f t="shared" si="4"/>
        <v>3500</v>
      </c>
      <c r="AC58" s="17">
        <f t="shared" ref="AC58:AD58" si="221">Y58*300</f>
        <v>0</v>
      </c>
      <c r="AD58" s="6">
        <f t="shared" si="221"/>
        <v>3000</v>
      </c>
      <c r="AE58" s="6">
        <v>24</v>
      </c>
      <c r="AF58" s="6"/>
      <c r="AG58" s="6">
        <v>15</v>
      </c>
      <c r="AH58" s="6">
        <v>0</v>
      </c>
      <c r="AI58" s="17"/>
      <c r="AJ58" s="17">
        <f t="shared" si="6"/>
        <v>2400</v>
      </c>
      <c r="AK58" s="17">
        <f t="shared" ref="AK58:AL58" si="222">AG58*300</f>
        <v>4500</v>
      </c>
      <c r="AL58" s="39">
        <f t="shared" si="222"/>
        <v>0</v>
      </c>
      <c r="AM58" s="22"/>
      <c r="AN58" s="22"/>
      <c r="AO58" s="22"/>
      <c r="AP58" s="22"/>
      <c r="AQ58" s="22"/>
      <c r="AR58" s="22"/>
      <c r="AS58" s="22"/>
      <c r="AT58" s="22"/>
    </row>
    <row r="59" spans="1:46" ht="14">
      <c r="A59" s="6">
        <v>56</v>
      </c>
      <c r="B59" s="6" t="s">
        <v>81</v>
      </c>
      <c r="F59" s="11"/>
      <c r="G59" s="36"/>
      <c r="H59" s="13">
        <v>70</v>
      </c>
      <c r="I59" s="13">
        <v>0</v>
      </c>
      <c r="J59" s="13">
        <v>10</v>
      </c>
      <c r="K59" s="16"/>
      <c r="L59" s="16">
        <f t="shared" si="0"/>
        <v>7000</v>
      </c>
      <c r="M59" s="16">
        <f t="shared" ref="M59:N59" si="223">I59*300</f>
        <v>0</v>
      </c>
      <c r="N59" s="3">
        <f t="shared" si="223"/>
        <v>3000</v>
      </c>
      <c r="O59" s="6">
        <v>25</v>
      </c>
      <c r="P59" s="6"/>
      <c r="Q59" s="6">
        <v>0</v>
      </c>
      <c r="R59" s="37">
        <v>5</v>
      </c>
      <c r="S59" s="17"/>
      <c r="T59" s="17">
        <f t="shared" si="2"/>
        <v>2500</v>
      </c>
      <c r="U59" s="17">
        <f t="shared" ref="U59:V59" si="224">Q59*300</f>
        <v>0</v>
      </c>
      <c r="V59" s="6">
        <f t="shared" si="224"/>
        <v>1500</v>
      </c>
      <c r="W59" s="6">
        <v>60</v>
      </c>
      <c r="X59" s="6"/>
      <c r="Y59" s="6">
        <v>0</v>
      </c>
      <c r="Z59" s="6">
        <v>8</v>
      </c>
      <c r="AA59" s="17"/>
      <c r="AB59" s="17">
        <f t="shared" si="4"/>
        <v>6000</v>
      </c>
      <c r="AC59" s="17">
        <f t="shared" ref="AC59:AD59" si="225">Y59*300</f>
        <v>0</v>
      </c>
      <c r="AD59" s="6">
        <f t="shared" si="225"/>
        <v>2400</v>
      </c>
      <c r="AE59" s="6">
        <v>57</v>
      </c>
      <c r="AF59" s="6"/>
      <c r="AG59" s="6">
        <v>0</v>
      </c>
      <c r="AH59" s="6">
        <v>10</v>
      </c>
      <c r="AI59" s="17"/>
      <c r="AJ59" s="17">
        <f t="shared" si="6"/>
        <v>5700</v>
      </c>
      <c r="AK59" s="17">
        <f t="shared" ref="AK59:AL59" si="226">AG59*300</f>
        <v>0</v>
      </c>
      <c r="AL59" s="39">
        <f t="shared" si="226"/>
        <v>3000</v>
      </c>
      <c r="AM59" s="22"/>
      <c r="AN59" s="22"/>
      <c r="AO59" s="22"/>
      <c r="AP59" s="22"/>
      <c r="AQ59" s="22"/>
      <c r="AR59" s="22"/>
      <c r="AS59" s="22"/>
      <c r="AT59" s="22"/>
    </row>
    <row r="60" spans="1:46" ht="14">
      <c r="A60" s="6">
        <v>57</v>
      </c>
      <c r="B60" s="6" t="s">
        <v>82</v>
      </c>
      <c r="F60" s="11"/>
      <c r="G60" s="36"/>
      <c r="H60" s="13">
        <v>35</v>
      </c>
      <c r="I60" s="13">
        <v>0</v>
      </c>
      <c r="J60" s="13">
        <v>20</v>
      </c>
      <c r="K60" s="16"/>
      <c r="L60" s="16">
        <f t="shared" si="0"/>
        <v>3500</v>
      </c>
      <c r="M60" s="16">
        <f t="shared" ref="M60:N60" si="227">I60*300</f>
        <v>0</v>
      </c>
      <c r="N60" s="3">
        <f t="shared" si="227"/>
        <v>6000</v>
      </c>
      <c r="O60" s="6">
        <v>20</v>
      </c>
      <c r="P60" s="6"/>
      <c r="Q60" s="6">
        <v>0</v>
      </c>
      <c r="R60" s="6">
        <v>20</v>
      </c>
      <c r="S60" s="17"/>
      <c r="T60" s="17">
        <f t="shared" si="2"/>
        <v>2000</v>
      </c>
      <c r="U60" s="17">
        <f t="shared" ref="U60:V60" si="228">Q60*300</f>
        <v>0</v>
      </c>
      <c r="V60" s="6">
        <f t="shared" si="228"/>
        <v>6000</v>
      </c>
      <c r="W60" s="6">
        <v>30</v>
      </c>
      <c r="X60" s="6"/>
      <c r="Y60" s="6">
        <v>0</v>
      </c>
      <c r="Z60" s="6">
        <v>20</v>
      </c>
      <c r="AA60" s="17"/>
      <c r="AB60" s="17">
        <f t="shared" si="4"/>
        <v>3000</v>
      </c>
      <c r="AC60" s="17">
        <f t="shared" ref="AC60:AD60" si="229">Y60*300</f>
        <v>0</v>
      </c>
      <c r="AD60" s="6">
        <f t="shared" si="229"/>
        <v>6000</v>
      </c>
      <c r="AE60" s="6">
        <v>25</v>
      </c>
      <c r="AF60" s="6"/>
      <c r="AG60" s="6">
        <v>0</v>
      </c>
      <c r="AH60" s="6">
        <v>15</v>
      </c>
      <c r="AI60" s="17"/>
      <c r="AJ60" s="17">
        <f t="shared" si="6"/>
        <v>2500</v>
      </c>
      <c r="AK60" s="17">
        <f t="shared" ref="AK60:AL60" si="230">AG60*300</f>
        <v>0</v>
      </c>
      <c r="AL60" s="39">
        <f t="shared" si="230"/>
        <v>4500</v>
      </c>
      <c r="AM60" s="22"/>
      <c r="AN60" s="22"/>
      <c r="AO60" s="22"/>
      <c r="AP60" s="22"/>
      <c r="AQ60" s="22"/>
      <c r="AR60" s="22"/>
      <c r="AS60" s="22"/>
      <c r="AT60" s="22"/>
    </row>
    <row r="61" spans="1:46" ht="14">
      <c r="A61" s="6">
        <v>58</v>
      </c>
      <c r="B61" s="6" t="s">
        <v>84</v>
      </c>
      <c r="F61" s="11"/>
      <c r="G61" s="36"/>
      <c r="H61" s="13">
        <v>90</v>
      </c>
      <c r="I61" s="13">
        <v>0</v>
      </c>
      <c r="J61" s="13">
        <v>7</v>
      </c>
      <c r="K61" s="16"/>
      <c r="L61" s="16">
        <f t="shared" si="0"/>
        <v>9000</v>
      </c>
      <c r="M61" s="16">
        <f t="shared" ref="M61:N61" si="231">I61*300</f>
        <v>0</v>
      </c>
      <c r="N61" s="3">
        <f t="shared" si="231"/>
        <v>2100</v>
      </c>
      <c r="O61" s="6">
        <v>60</v>
      </c>
      <c r="P61" s="6"/>
      <c r="Q61" s="6">
        <v>0</v>
      </c>
      <c r="R61" s="6">
        <v>10</v>
      </c>
      <c r="S61" s="17"/>
      <c r="T61" s="17">
        <f t="shared" si="2"/>
        <v>6000</v>
      </c>
      <c r="U61" s="17">
        <f t="shared" ref="U61:V61" si="232">Q61*300</f>
        <v>0</v>
      </c>
      <c r="V61" s="6">
        <f t="shared" si="232"/>
        <v>3000</v>
      </c>
      <c r="W61" s="6">
        <v>70</v>
      </c>
      <c r="X61" s="6"/>
      <c r="Y61" s="6">
        <v>0</v>
      </c>
      <c r="Z61" s="6">
        <v>10</v>
      </c>
      <c r="AA61" s="17"/>
      <c r="AB61" s="17">
        <f t="shared" si="4"/>
        <v>7000</v>
      </c>
      <c r="AC61" s="17">
        <f t="shared" ref="AC61:AD61" si="233">Y61*300</f>
        <v>0</v>
      </c>
      <c r="AD61" s="6">
        <f t="shared" si="233"/>
        <v>3000</v>
      </c>
      <c r="AE61" s="6">
        <v>65</v>
      </c>
      <c r="AF61" s="6"/>
      <c r="AG61" s="6">
        <v>0</v>
      </c>
      <c r="AH61" s="6">
        <v>15</v>
      </c>
      <c r="AI61" s="17"/>
      <c r="AJ61" s="17">
        <f t="shared" si="6"/>
        <v>6500</v>
      </c>
      <c r="AK61" s="17">
        <f t="shared" ref="AK61:AL61" si="234">AG61*300</f>
        <v>0</v>
      </c>
      <c r="AL61" s="39">
        <f t="shared" si="234"/>
        <v>4500</v>
      </c>
      <c r="AM61" s="22"/>
      <c r="AN61" s="22"/>
      <c r="AO61" s="22"/>
      <c r="AP61" s="22"/>
      <c r="AQ61" s="22"/>
      <c r="AR61" s="22"/>
      <c r="AS61" s="22"/>
      <c r="AT61" s="22"/>
    </row>
    <row r="62" spans="1:46" ht="14">
      <c r="A62" s="6">
        <v>59</v>
      </c>
      <c r="B62" s="6" t="s">
        <v>85</v>
      </c>
      <c r="F62" s="11"/>
      <c r="G62" s="36"/>
      <c r="H62" s="13">
        <v>80</v>
      </c>
      <c r="I62" s="13">
        <v>0</v>
      </c>
      <c r="J62" s="13">
        <v>20</v>
      </c>
      <c r="K62" s="16"/>
      <c r="L62" s="16">
        <f t="shared" si="0"/>
        <v>8000</v>
      </c>
      <c r="M62" s="16">
        <f t="shared" ref="M62:N62" si="235">I62*300</f>
        <v>0</v>
      </c>
      <c r="N62" s="3">
        <f t="shared" si="235"/>
        <v>6000</v>
      </c>
      <c r="O62" s="6">
        <v>40</v>
      </c>
      <c r="P62" s="6"/>
      <c r="Q62" s="6">
        <v>0</v>
      </c>
      <c r="R62" s="6">
        <v>20</v>
      </c>
      <c r="S62" s="17"/>
      <c r="T62" s="17">
        <f t="shared" si="2"/>
        <v>4000</v>
      </c>
      <c r="U62" s="17">
        <f t="shared" ref="U62:V62" si="236">Q62*300</f>
        <v>0</v>
      </c>
      <c r="V62" s="6">
        <f t="shared" si="236"/>
        <v>6000</v>
      </c>
      <c r="W62" s="6">
        <v>75</v>
      </c>
      <c r="X62" s="6"/>
      <c r="Y62" s="6">
        <v>0</v>
      </c>
      <c r="Z62" s="6">
        <v>15</v>
      </c>
      <c r="AA62" s="17"/>
      <c r="AB62" s="17">
        <f t="shared" si="4"/>
        <v>7500</v>
      </c>
      <c r="AC62" s="17">
        <f t="shared" ref="AC62:AD62" si="237">Y62*300</f>
        <v>0</v>
      </c>
      <c r="AD62" s="6">
        <f t="shared" si="237"/>
        <v>4500</v>
      </c>
      <c r="AE62" s="6">
        <v>51</v>
      </c>
      <c r="AF62" s="6"/>
      <c r="AG62" s="6">
        <v>0</v>
      </c>
      <c r="AH62" s="6">
        <v>10</v>
      </c>
      <c r="AI62" s="17"/>
      <c r="AJ62" s="17">
        <f t="shared" si="6"/>
        <v>5100</v>
      </c>
      <c r="AK62" s="17">
        <f t="shared" ref="AK62:AL62" si="238">AG62*300</f>
        <v>0</v>
      </c>
      <c r="AL62" s="39">
        <f t="shared" si="238"/>
        <v>3000</v>
      </c>
      <c r="AM62" s="22"/>
      <c r="AN62" s="22"/>
      <c r="AO62" s="22"/>
      <c r="AP62" s="22"/>
      <c r="AQ62" s="22"/>
      <c r="AR62" s="22"/>
      <c r="AS62" s="22"/>
      <c r="AT62" s="22"/>
    </row>
    <row r="63" spans="1:46" ht="14">
      <c r="A63" s="6">
        <v>60</v>
      </c>
      <c r="B63" s="6" t="s">
        <v>86</v>
      </c>
      <c r="F63" s="11"/>
      <c r="G63" s="36"/>
      <c r="H63" s="13">
        <v>20</v>
      </c>
      <c r="I63" s="13">
        <v>0</v>
      </c>
      <c r="J63" s="13">
        <v>4</v>
      </c>
      <c r="K63" s="16"/>
      <c r="L63" s="16">
        <f t="shared" si="0"/>
        <v>2000</v>
      </c>
      <c r="M63" s="16">
        <f t="shared" ref="M63:N63" si="239">I63*300</f>
        <v>0</v>
      </c>
      <c r="N63" s="3">
        <f t="shared" si="239"/>
        <v>1200</v>
      </c>
      <c r="O63" s="6">
        <v>15</v>
      </c>
      <c r="P63" s="6"/>
      <c r="Q63" s="6">
        <v>0</v>
      </c>
      <c r="R63" s="6">
        <v>8</v>
      </c>
      <c r="S63" s="17"/>
      <c r="T63" s="17">
        <f t="shared" si="2"/>
        <v>1500</v>
      </c>
      <c r="U63" s="17">
        <f t="shared" ref="U63:V63" si="240">Q63*300</f>
        <v>0</v>
      </c>
      <c r="V63" s="6">
        <f t="shared" si="240"/>
        <v>2400</v>
      </c>
      <c r="W63" s="6">
        <v>20</v>
      </c>
      <c r="X63" s="6"/>
      <c r="Y63" s="6">
        <v>0</v>
      </c>
      <c r="Z63" s="6">
        <v>7</v>
      </c>
      <c r="AA63" s="17"/>
      <c r="AB63" s="17">
        <f t="shared" si="4"/>
        <v>2000</v>
      </c>
      <c r="AC63" s="17">
        <f t="shared" ref="AC63:AD63" si="241">Y63*300</f>
        <v>0</v>
      </c>
      <c r="AD63" s="6">
        <f t="shared" si="241"/>
        <v>2100</v>
      </c>
      <c r="AE63" s="6">
        <v>18</v>
      </c>
      <c r="AF63" s="6"/>
      <c r="AG63" s="6">
        <v>0</v>
      </c>
      <c r="AH63" s="6">
        <v>10</v>
      </c>
      <c r="AI63" s="17"/>
      <c r="AJ63" s="17">
        <f t="shared" si="6"/>
        <v>1800</v>
      </c>
      <c r="AK63" s="17">
        <f t="shared" ref="AK63:AL63" si="242">AG63*300</f>
        <v>0</v>
      </c>
      <c r="AL63" s="39">
        <f t="shared" si="242"/>
        <v>3000</v>
      </c>
      <c r="AM63" s="22"/>
      <c r="AN63" s="22"/>
      <c r="AO63" s="22"/>
      <c r="AP63" s="22"/>
      <c r="AQ63" s="22"/>
      <c r="AR63" s="22"/>
      <c r="AS63" s="22"/>
      <c r="AT63" s="22"/>
    </row>
    <row r="64" spans="1:46" ht="14">
      <c r="A64" s="6">
        <v>61</v>
      </c>
      <c r="B64" s="6" t="s">
        <v>87</v>
      </c>
      <c r="F64" s="11"/>
      <c r="G64" s="36"/>
      <c r="H64" s="13">
        <v>25</v>
      </c>
      <c r="I64" s="13">
        <v>0</v>
      </c>
      <c r="J64" s="13">
        <v>20</v>
      </c>
      <c r="K64" s="16"/>
      <c r="L64" s="16">
        <f t="shared" si="0"/>
        <v>2500</v>
      </c>
      <c r="M64" s="16">
        <f t="shared" ref="M64:N64" si="243">I64*300</f>
        <v>0</v>
      </c>
      <c r="N64" s="3">
        <f t="shared" si="243"/>
        <v>6000</v>
      </c>
      <c r="O64" s="6">
        <v>25</v>
      </c>
      <c r="P64" s="6"/>
      <c r="Q64" s="6">
        <v>0</v>
      </c>
      <c r="R64" s="6">
        <v>20</v>
      </c>
      <c r="S64" s="17"/>
      <c r="T64" s="17">
        <f t="shared" si="2"/>
        <v>2500</v>
      </c>
      <c r="U64" s="17">
        <f t="shared" ref="U64:V64" si="244">Q64*300</f>
        <v>0</v>
      </c>
      <c r="V64" s="6">
        <f t="shared" si="244"/>
        <v>6000</v>
      </c>
      <c r="W64" s="6">
        <v>20</v>
      </c>
      <c r="X64" s="6"/>
      <c r="Y64" s="6">
        <v>0</v>
      </c>
      <c r="Z64" s="6">
        <v>20</v>
      </c>
      <c r="AA64" s="17"/>
      <c r="AB64" s="17">
        <f t="shared" si="4"/>
        <v>2000</v>
      </c>
      <c r="AC64" s="17">
        <f t="shared" ref="AC64:AD64" si="245">Y64*300</f>
        <v>0</v>
      </c>
      <c r="AD64" s="6">
        <f t="shared" si="245"/>
        <v>6000</v>
      </c>
      <c r="AE64" s="6">
        <v>22</v>
      </c>
      <c r="AF64" s="6"/>
      <c r="AG64" s="6">
        <v>0</v>
      </c>
      <c r="AH64" s="6">
        <v>20</v>
      </c>
      <c r="AI64" s="17"/>
      <c r="AJ64" s="17">
        <f t="shared" si="6"/>
        <v>2200</v>
      </c>
      <c r="AK64" s="17">
        <f t="shared" ref="AK64:AL64" si="246">AG64*300</f>
        <v>0</v>
      </c>
      <c r="AL64" s="39">
        <f t="shared" si="246"/>
        <v>6000</v>
      </c>
      <c r="AM64" s="22"/>
      <c r="AN64" s="22"/>
      <c r="AO64" s="22"/>
      <c r="AP64" s="22"/>
      <c r="AQ64" s="22"/>
      <c r="AR64" s="22"/>
      <c r="AS64" s="22"/>
      <c r="AT64" s="22"/>
    </row>
    <row r="65" spans="1:46" ht="14">
      <c r="A65" s="6">
        <v>62</v>
      </c>
      <c r="B65" s="6" t="s">
        <v>88</v>
      </c>
      <c r="F65" s="11"/>
      <c r="G65" s="36"/>
      <c r="H65" s="13">
        <v>15</v>
      </c>
      <c r="I65" s="13">
        <v>0</v>
      </c>
      <c r="J65" s="13">
        <v>5</v>
      </c>
      <c r="K65" s="16"/>
      <c r="L65" s="16">
        <f t="shared" si="0"/>
        <v>1500</v>
      </c>
      <c r="M65" s="16">
        <f t="shared" ref="M65:N65" si="247">I65*300</f>
        <v>0</v>
      </c>
      <c r="N65" s="3">
        <f t="shared" si="247"/>
        <v>1500</v>
      </c>
      <c r="O65" s="6">
        <v>10</v>
      </c>
      <c r="P65" s="6"/>
      <c r="Q65" s="6">
        <v>0</v>
      </c>
      <c r="R65" s="6">
        <v>15</v>
      </c>
      <c r="S65" s="17"/>
      <c r="T65" s="17">
        <f t="shared" si="2"/>
        <v>1000</v>
      </c>
      <c r="U65" s="17">
        <f t="shared" ref="U65:V65" si="248">Q65*300</f>
        <v>0</v>
      </c>
      <c r="V65" s="6">
        <f t="shared" si="248"/>
        <v>4500</v>
      </c>
      <c r="W65" s="6">
        <v>20</v>
      </c>
      <c r="X65" s="6"/>
      <c r="Y65" s="6">
        <v>0</v>
      </c>
      <c r="Z65" s="6">
        <v>10</v>
      </c>
      <c r="AA65" s="17"/>
      <c r="AB65" s="17">
        <f t="shared" si="4"/>
        <v>2000</v>
      </c>
      <c r="AC65" s="17">
        <f t="shared" ref="AC65:AD65" si="249">Y65*300</f>
        <v>0</v>
      </c>
      <c r="AD65" s="6">
        <f t="shared" si="249"/>
        <v>3000</v>
      </c>
      <c r="AE65" s="6">
        <v>18</v>
      </c>
      <c r="AF65" s="6"/>
      <c r="AG65" s="6">
        <v>0</v>
      </c>
      <c r="AH65" s="6">
        <v>20</v>
      </c>
      <c r="AI65" s="17"/>
      <c r="AJ65" s="17">
        <f t="shared" si="6"/>
        <v>1800</v>
      </c>
      <c r="AK65" s="17">
        <f t="shared" ref="AK65:AL65" si="250">AG65*300</f>
        <v>0</v>
      </c>
      <c r="AL65" s="39">
        <f t="shared" si="250"/>
        <v>6000</v>
      </c>
      <c r="AM65" s="22"/>
      <c r="AN65" s="22"/>
      <c r="AO65" s="22"/>
      <c r="AP65" s="22"/>
      <c r="AQ65" s="22"/>
      <c r="AR65" s="22"/>
      <c r="AS65" s="22"/>
      <c r="AT65" s="22"/>
    </row>
    <row r="66" spans="1:46" ht="14">
      <c r="A66" s="6">
        <v>63</v>
      </c>
      <c r="B66" s="6" t="s">
        <v>89</v>
      </c>
      <c r="F66" s="11"/>
      <c r="G66" s="36"/>
      <c r="H66" s="20">
        <v>35</v>
      </c>
      <c r="I66" s="13">
        <v>0</v>
      </c>
      <c r="J66" s="13">
        <v>6</v>
      </c>
      <c r="K66" s="16"/>
      <c r="L66" s="16">
        <f t="shared" si="0"/>
        <v>3500</v>
      </c>
      <c r="M66" s="16">
        <f t="shared" ref="M66:N66" si="251">I66*300</f>
        <v>0</v>
      </c>
      <c r="N66" s="3">
        <f t="shared" si="251"/>
        <v>1800</v>
      </c>
      <c r="O66" s="17">
        <v>25</v>
      </c>
      <c r="P66" s="6"/>
      <c r="Q66" s="6">
        <v>0</v>
      </c>
      <c r="R66" s="6">
        <v>10</v>
      </c>
      <c r="S66" s="17"/>
      <c r="T66" s="17">
        <f t="shared" si="2"/>
        <v>2500</v>
      </c>
      <c r="U66" s="17">
        <f t="shared" ref="U66:V66" si="252">Q66*300</f>
        <v>0</v>
      </c>
      <c r="V66" s="6">
        <f t="shared" si="252"/>
        <v>3000</v>
      </c>
      <c r="W66" s="17">
        <v>30</v>
      </c>
      <c r="X66" s="6"/>
      <c r="Y66" s="6">
        <v>0</v>
      </c>
      <c r="Z66" s="6">
        <v>10</v>
      </c>
      <c r="AA66" s="17"/>
      <c r="AB66" s="17">
        <f t="shared" si="4"/>
        <v>3000</v>
      </c>
      <c r="AC66" s="17">
        <f t="shared" ref="AC66:AD66" si="253">Y66*300</f>
        <v>0</v>
      </c>
      <c r="AD66" s="6">
        <f t="shared" si="253"/>
        <v>3000</v>
      </c>
      <c r="AE66" s="17">
        <v>26</v>
      </c>
      <c r="AF66" s="6"/>
      <c r="AG66" s="6">
        <v>0</v>
      </c>
      <c r="AH66" s="6">
        <v>5</v>
      </c>
      <c r="AI66" s="17"/>
      <c r="AJ66" s="17">
        <f t="shared" si="6"/>
        <v>2600</v>
      </c>
      <c r="AK66" s="17">
        <f t="shared" ref="AK66:AL66" si="254">AG66*300</f>
        <v>0</v>
      </c>
      <c r="AL66" s="39">
        <f t="shared" si="254"/>
        <v>1500</v>
      </c>
      <c r="AM66" s="22"/>
      <c r="AN66" s="22"/>
      <c r="AO66" s="22"/>
      <c r="AP66" s="22"/>
      <c r="AQ66" s="22"/>
      <c r="AR66" s="22"/>
      <c r="AS66" s="22"/>
      <c r="AT66" s="22"/>
    </row>
    <row r="67" spans="1:46" ht="14">
      <c r="A67" s="6">
        <v>64</v>
      </c>
      <c r="B67" s="6" t="s">
        <v>90</v>
      </c>
      <c r="F67" s="11"/>
      <c r="G67" s="36"/>
      <c r="H67" s="13">
        <v>40</v>
      </c>
      <c r="I67" s="13">
        <v>0</v>
      </c>
      <c r="J67" s="13">
        <v>6</v>
      </c>
      <c r="K67" s="16"/>
      <c r="L67" s="16">
        <f t="shared" si="0"/>
        <v>4000</v>
      </c>
      <c r="M67" s="16">
        <f t="shared" ref="M67:N67" si="255">I67*300</f>
        <v>0</v>
      </c>
      <c r="N67" s="3">
        <f t="shared" si="255"/>
        <v>1800</v>
      </c>
      <c r="O67" s="6">
        <v>30</v>
      </c>
      <c r="P67" s="6"/>
      <c r="Q67" s="6">
        <v>0</v>
      </c>
      <c r="R67" s="6">
        <v>10</v>
      </c>
      <c r="S67" s="17"/>
      <c r="T67" s="17">
        <f t="shared" si="2"/>
        <v>3000</v>
      </c>
      <c r="U67" s="17">
        <f t="shared" ref="U67:V67" si="256">Q67*300</f>
        <v>0</v>
      </c>
      <c r="V67" s="6">
        <f t="shared" si="256"/>
        <v>3000</v>
      </c>
      <c r="W67" s="6">
        <v>35</v>
      </c>
      <c r="X67" s="6"/>
      <c r="Y67" s="6">
        <v>0</v>
      </c>
      <c r="Z67" s="6">
        <v>10</v>
      </c>
      <c r="AA67" s="17"/>
      <c r="AB67" s="17">
        <f t="shared" si="4"/>
        <v>3500</v>
      </c>
      <c r="AC67" s="17">
        <f t="shared" ref="AC67:AD67" si="257">Y67*300</f>
        <v>0</v>
      </c>
      <c r="AD67" s="6">
        <f t="shared" si="257"/>
        <v>3000</v>
      </c>
      <c r="AE67" s="6">
        <v>30</v>
      </c>
      <c r="AF67" s="6"/>
      <c r="AG67" s="6">
        <v>0</v>
      </c>
      <c r="AH67" s="6">
        <v>15</v>
      </c>
      <c r="AI67" s="17"/>
      <c r="AJ67" s="17">
        <f t="shared" si="6"/>
        <v>3000</v>
      </c>
      <c r="AK67" s="17">
        <f t="shared" ref="AK67:AL67" si="258">AG67*300</f>
        <v>0</v>
      </c>
      <c r="AL67" s="39">
        <f t="shared" si="258"/>
        <v>4500</v>
      </c>
      <c r="AM67" s="22"/>
      <c r="AN67" s="22"/>
      <c r="AO67" s="22"/>
      <c r="AP67" s="22"/>
      <c r="AQ67" s="22"/>
      <c r="AR67" s="22"/>
      <c r="AS67" s="22"/>
      <c r="AT67" s="22"/>
    </row>
    <row r="68" spans="1:46" ht="14">
      <c r="A68" s="6">
        <v>65</v>
      </c>
      <c r="B68" s="6" t="s">
        <v>91</v>
      </c>
      <c r="F68" s="11"/>
      <c r="G68" s="36"/>
      <c r="H68" s="13">
        <v>20</v>
      </c>
      <c r="I68" s="13">
        <v>0</v>
      </c>
      <c r="J68" s="13">
        <v>10</v>
      </c>
      <c r="K68" s="16"/>
      <c r="L68" s="16">
        <f t="shared" si="0"/>
        <v>2000</v>
      </c>
      <c r="M68" s="16">
        <f t="shared" ref="M68:N68" si="259">I68*300</f>
        <v>0</v>
      </c>
      <c r="N68" s="3">
        <f t="shared" si="259"/>
        <v>3000</v>
      </c>
      <c r="O68" s="6">
        <v>35</v>
      </c>
      <c r="P68" s="6"/>
      <c r="Q68" s="6">
        <v>0</v>
      </c>
      <c r="R68" s="37">
        <v>5</v>
      </c>
      <c r="S68" s="17"/>
      <c r="T68" s="17">
        <f t="shared" si="2"/>
        <v>3500</v>
      </c>
      <c r="U68" s="17">
        <f t="shared" ref="U68:V68" si="260">Q68*300</f>
        <v>0</v>
      </c>
      <c r="V68" s="6">
        <f t="shared" si="260"/>
        <v>1500</v>
      </c>
      <c r="W68" s="6">
        <v>20</v>
      </c>
      <c r="X68" s="6"/>
      <c r="Y68" s="6">
        <v>0</v>
      </c>
      <c r="Z68" s="6">
        <v>12</v>
      </c>
      <c r="AA68" s="17"/>
      <c r="AB68" s="17">
        <f t="shared" si="4"/>
        <v>2000</v>
      </c>
      <c r="AC68" s="17">
        <f t="shared" ref="AC68:AD68" si="261">Y68*300</f>
        <v>0</v>
      </c>
      <c r="AD68" s="6">
        <f t="shared" si="261"/>
        <v>3600</v>
      </c>
      <c r="AE68" s="6">
        <v>30</v>
      </c>
      <c r="AF68" s="6"/>
      <c r="AG68" s="6">
        <v>0</v>
      </c>
      <c r="AH68" s="6">
        <v>10</v>
      </c>
      <c r="AI68" s="17"/>
      <c r="AJ68" s="17">
        <f t="shared" si="6"/>
        <v>3000</v>
      </c>
      <c r="AK68" s="17">
        <f t="shared" ref="AK68:AL68" si="262">AG68*300</f>
        <v>0</v>
      </c>
      <c r="AL68" s="39">
        <f t="shared" si="262"/>
        <v>3000</v>
      </c>
      <c r="AM68" s="22"/>
      <c r="AN68" s="22"/>
      <c r="AO68" s="22"/>
      <c r="AP68" s="22"/>
      <c r="AQ68" s="22"/>
      <c r="AR68" s="22"/>
      <c r="AS68" s="22"/>
      <c r="AT68" s="22"/>
    </row>
    <row r="69" spans="1:46" ht="14">
      <c r="A69" s="6">
        <v>66</v>
      </c>
      <c r="B69" s="6" t="s">
        <v>92</v>
      </c>
      <c r="F69" s="11"/>
      <c r="G69" s="36"/>
      <c r="H69" s="13">
        <v>0</v>
      </c>
      <c r="I69" s="13">
        <v>0</v>
      </c>
      <c r="J69" s="13">
        <v>0</v>
      </c>
      <c r="K69" s="16"/>
      <c r="L69" s="16">
        <f t="shared" si="0"/>
        <v>0</v>
      </c>
      <c r="M69" s="16">
        <f t="shared" ref="M69:N69" si="263">I69*300</f>
        <v>0</v>
      </c>
      <c r="N69" s="3">
        <f t="shared" si="263"/>
        <v>0</v>
      </c>
      <c r="O69" s="6">
        <v>0</v>
      </c>
      <c r="P69" s="6"/>
      <c r="Q69" s="6">
        <v>0</v>
      </c>
      <c r="R69" s="6">
        <v>15</v>
      </c>
      <c r="S69" s="17"/>
      <c r="T69" s="17">
        <f t="shared" si="2"/>
        <v>0</v>
      </c>
      <c r="U69" s="17">
        <f t="shared" ref="U69:V69" si="264">Q69*300</f>
        <v>0</v>
      </c>
      <c r="V69" s="6">
        <f t="shared" si="264"/>
        <v>4500</v>
      </c>
      <c r="W69" s="6">
        <v>0</v>
      </c>
      <c r="X69" s="6"/>
      <c r="Y69" s="6">
        <v>0</v>
      </c>
      <c r="Z69" s="6">
        <v>15</v>
      </c>
      <c r="AA69" s="17"/>
      <c r="AB69" s="17">
        <f t="shared" si="4"/>
        <v>0</v>
      </c>
      <c r="AC69" s="17">
        <f t="shared" ref="AC69:AD69" si="265">Y69*300</f>
        <v>0</v>
      </c>
      <c r="AD69" s="6">
        <f t="shared" si="265"/>
        <v>4500</v>
      </c>
      <c r="AE69" s="6">
        <v>0</v>
      </c>
      <c r="AF69" s="6"/>
      <c r="AG69" s="6">
        <v>60</v>
      </c>
      <c r="AH69" s="6">
        <v>0</v>
      </c>
      <c r="AI69" s="17"/>
      <c r="AJ69" s="17">
        <f t="shared" si="6"/>
        <v>0</v>
      </c>
      <c r="AK69" s="17">
        <f t="shared" ref="AK69:AL69" si="266">AG69*300</f>
        <v>18000</v>
      </c>
      <c r="AL69" s="39">
        <f t="shared" si="266"/>
        <v>0</v>
      </c>
      <c r="AM69" s="22"/>
      <c r="AN69" s="22"/>
      <c r="AO69" s="22"/>
      <c r="AP69" s="22"/>
      <c r="AQ69" s="22"/>
      <c r="AR69" s="22"/>
      <c r="AS69" s="22"/>
      <c r="AT69" s="22"/>
    </row>
    <row r="70" spans="1:46" ht="14">
      <c r="A70" s="6">
        <v>67</v>
      </c>
      <c r="B70" s="6" t="s">
        <v>93</v>
      </c>
      <c r="F70" s="11"/>
      <c r="G70" s="36"/>
      <c r="H70" s="13">
        <v>45</v>
      </c>
      <c r="I70" s="13">
        <v>0</v>
      </c>
      <c r="J70" s="13">
        <v>10</v>
      </c>
      <c r="K70" s="16"/>
      <c r="L70" s="16">
        <f t="shared" si="0"/>
        <v>4500</v>
      </c>
      <c r="M70" s="16">
        <f t="shared" ref="M70:N70" si="267">I70*300</f>
        <v>0</v>
      </c>
      <c r="N70" s="3">
        <f t="shared" si="267"/>
        <v>3000</v>
      </c>
      <c r="O70" s="6">
        <v>30</v>
      </c>
      <c r="P70" s="6"/>
      <c r="Q70" s="6">
        <v>0</v>
      </c>
      <c r="R70" s="6">
        <v>15</v>
      </c>
      <c r="S70" s="17"/>
      <c r="T70" s="17">
        <f t="shared" si="2"/>
        <v>3000</v>
      </c>
      <c r="U70" s="17">
        <f t="shared" ref="U70:V70" si="268">Q70*300</f>
        <v>0</v>
      </c>
      <c r="V70" s="6">
        <f t="shared" si="268"/>
        <v>4500</v>
      </c>
      <c r="W70" s="6">
        <v>42</v>
      </c>
      <c r="X70" s="6"/>
      <c r="Y70" s="6">
        <v>0</v>
      </c>
      <c r="Z70" s="6">
        <v>10</v>
      </c>
      <c r="AA70" s="17"/>
      <c r="AB70" s="17">
        <f t="shared" si="4"/>
        <v>4200</v>
      </c>
      <c r="AC70" s="17">
        <f t="shared" ref="AC70:AD70" si="269">Y70*300</f>
        <v>0</v>
      </c>
      <c r="AD70" s="6">
        <f t="shared" si="269"/>
        <v>3000</v>
      </c>
      <c r="AE70" s="6">
        <v>35</v>
      </c>
      <c r="AF70" s="6"/>
      <c r="AG70" s="6">
        <v>0</v>
      </c>
      <c r="AH70" s="6">
        <v>5</v>
      </c>
      <c r="AI70" s="17"/>
      <c r="AJ70" s="17">
        <f t="shared" si="6"/>
        <v>3500</v>
      </c>
      <c r="AK70" s="17">
        <f t="shared" ref="AK70:AL70" si="270">AG70*300</f>
        <v>0</v>
      </c>
      <c r="AL70" s="39">
        <f t="shared" si="270"/>
        <v>1500</v>
      </c>
      <c r="AM70" s="22"/>
      <c r="AN70" s="22"/>
      <c r="AO70" s="22"/>
      <c r="AP70" s="22"/>
      <c r="AQ70" s="22"/>
      <c r="AR70" s="22"/>
      <c r="AS70" s="22"/>
      <c r="AT70" s="22"/>
    </row>
    <row r="71" spans="1:46" ht="14">
      <c r="A71" s="6">
        <v>68</v>
      </c>
      <c r="B71" s="6" t="s">
        <v>94</v>
      </c>
      <c r="F71" s="11"/>
      <c r="G71" s="36"/>
      <c r="H71" s="13">
        <v>40</v>
      </c>
      <c r="I71" s="13">
        <v>0</v>
      </c>
      <c r="J71" s="13">
        <v>10</v>
      </c>
      <c r="K71" s="16"/>
      <c r="L71" s="16">
        <f t="shared" si="0"/>
        <v>4000</v>
      </c>
      <c r="M71" s="16">
        <f t="shared" ref="M71:N71" si="271">I71*300</f>
        <v>0</v>
      </c>
      <c r="N71" s="3">
        <f t="shared" si="271"/>
        <v>3000</v>
      </c>
      <c r="O71" s="6">
        <v>15</v>
      </c>
      <c r="P71" s="6"/>
      <c r="Q71" s="6">
        <v>0</v>
      </c>
      <c r="R71" s="6">
        <v>20</v>
      </c>
      <c r="S71" s="17"/>
      <c r="T71" s="17">
        <f t="shared" si="2"/>
        <v>1500</v>
      </c>
      <c r="U71" s="17">
        <f t="shared" ref="U71:V71" si="272">Q71*300</f>
        <v>0</v>
      </c>
      <c r="V71" s="6">
        <f t="shared" si="272"/>
        <v>6000</v>
      </c>
      <c r="W71" s="6">
        <v>42</v>
      </c>
      <c r="X71" s="6"/>
      <c r="Y71" s="6">
        <v>0</v>
      </c>
      <c r="Z71" s="6">
        <v>15</v>
      </c>
      <c r="AA71" s="17"/>
      <c r="AB71" s="17">
        <f t="shared" si="4"/>
        <v>4200</v>
      </c>
      <c r="AC71" s="17">
        <f t="shared" ref="AC71:AD71" si="273">Y71*300</f>
        <v>0</v>
      </c>
      <c r="AD71" s="6">
        <f t="shared" si="273"/>
        <v>4500</v>
      </c>
      <c r="AE71" s="6">
        <v>40</v>
      </c>
      <c r="AF71" s="6"/>
      <c r="AG71" s="6">
        <v>0</v>
      </c>
      <c r="AH71" s="6">
        <v>20</v>
      </c>
      <c r="AI71" s="17"/>
      <c r="AJ71" s="17">
        <f t="shared" si="6"/>
        <v>4000</v>
      </c>
      <c r="AK71" s="17">
        <f t="shared" ref="AK71:AL71" si="274">AG71*300</f>
        <v>0</v>
      </c>
      <c r="AL71" s="39">
        <f t="shared" si="274"/>
        <v>6000</v>
      </c>
      <c r="AM71" s="22"/>
      <c r="AN71" s="22"/>
      <c r="AO71" s="22"/>
      <c r="AP71" s="22"/>
      <c r="AQ71" s="22"/>
      <c r="AR71" s="22"/>
      <c r="AS71" s="22"/>
      <c r="AT71" s="22"/>
    </row>
    <row r="72" spans="1:46" ht="14">
      <c r="A72" s="6">
        <v>69</v>
      </c>
      <c r="B72" s="6" t="s">
        <v>95</v>
      </c>
      <c r="F72" s="11"/>
      <c r="G72" s="36"/>
      <c r="H72" s="13">
        <v>60</v>
      </c>
      <c r="I72" s="13">
        <v>5</v>
      </c>
      <c r="J72" s="13">
        <v>0</v>
      </c>
      <c r="K72" s="16"/>
      <c r="L72" s="16">
        <f t="shared" si="0"/>
        <v>6000</v>
      </c>
      <c r="M72" s="16">
        <f t="shared" ref="M72:N72" si="275">I72*300</f>
        <v>1500</v>
      </c>
      <c r="N72" s="3">
        <f t="shared" si="275"/>
        <v>0</v>
      </c>
      <c r="O72" s="6">
        <v>32</v>
      </c>
      <c r="P72" s="6"/>
      <c r="Q72" s="6">
        <v>0</v>
      </c>
      <c r="R72" s="6">
        <v>8</v>
      </c>
      <c r="S72" s="17"/>
      <c r="T72" s="17">
        <f t="shared" si="2"/>
        <v>3200</v>
      </c>
      <c r="U72" s="17">
        <f t="shared" ref="U72:V72" si="276">Q72*300</f>
        <v>0</v>
      </c>
      <c r="V72" s="6">
        <f t="shared" si="276"/>
        <v>2400</v>
      </c>
      <c r="W72" s="6">
        <v>57</v>
      </c>
      <c r="X72" s="6"/>
      <c r="Y72" s="6">
        <v>0</v>
      </c>
      <c r="Z72" s="6">
        <v>5</v>
      </c>
      <c r="AA72" s="17"/>
      <c r="AB72" s="17">
        <f t="shared" si="4"/>
        <v>5700</v>
      </c>
      <c r="AC72" s="17">
        <f t="shared" ref="AC72:AD72" si="277">Y72*300</f>
        <v>0</v>
      </c>
      <c r="AD72" s="6">
        <f t="shared" si="277"/>
        <v>1500</v>
      </c>
      <c r="AE72" s="6">
        <v>48</v>
      </c>
      <c r="AF72" s="6"/>
      <c r="AG72" s="6">
        <v>0</v>
      </c>
      <c r="AH72" s="6">
        <v>10</v>
      </c>
      <c r="AI72" s="17"/>
      <c r="AJ72" s="17">
        <f t="shared" si="6"/>
        <v>4800</v>
      </c>
      <c r="AK72" s="17">
        <f t="shared" ref="AK72:AL72" si="278">AG72*300</f>
        <v>0</v>
      </c>
      <c r="AL72" s="39">
        <f t="shared" si="278"/>
        <v>3000</v>
      </c>
      <c r="AM72" s="22"/>
      <c r="AN72" s="22"/>
      <c r="AO72" s="22"/>
      <c r="AP72" s="22"/>
      <c r="AQ72" s="22"/>
      <c r="AR72" s="22"/>
      <c r="AS72" s="22"/>
      <c r="AT72" s="22"/>
    </row>
    <row r="73" spans="1:46" ht="14">
      <c r="A73" s="6">
        <v>70</v>
      </c>
      <c r="B73" s="6" t="s">
        <v>96</v>
      </c>
      <c r="F73" s="11"/>
      <c r="G73" s="36"/>
      <c r="H73" s="13">
        <v>0</v>
      </c>
      <c r="I73" s="13">
        <v>40</v>
      </c>
      <c r="J73" s="13">
        <v>0</v>
      </c>
      <c r="K73" s="16"/>
      <c r="L73" s="16">
        <f t="shared" si="0"/>
        <v>0</v>
      </c>
      <c r="M73" s="16">
        <f t="shared" ref="M73:N73" si="279">I73*300</f>
        <v>12000</v>
      </c>
      <c r="N73" s="3">
        <f t="shared" si="279"/>
        <v>0</v>
      </c>
      <c r="O73" s="6">
        <v>15</v>
      </c>
      <c r="P73" s="6"/>
      <c r="Q73" s="6">
        <v>0</v>
      </c>
      <c r="R73" s="6">
        <v>15</v>
      </c>
      <c r="S73" s="17"/>
      <c r="T73" s="17">
        <f t="shared" si="2"/>
        <v>1500</v>
      </c>
      <c r="U73" s="17">
        <f t="shared" ref="U73:V73" si="280">Q73*300</f>
        <v>0</v>
      </c>
      <c r="V73" s="6">
        <f t="shared" si="280"/>
        <v>4500</v>
      </c>
      <c r="W73" s="6">
        <v>10</v>
      </c>
      <c r="X73" s="6"/>
      <c r="Y73" s="6">
        <v>0</v>
      </c>
      <c r="Z73" s="6">
        <v>10</v>
      </c>
      <c r="AA73" s="17"/>
      <c r="AB73" s="17">
        <f t="shared" si="4"/>
        <v>1000</v>
      </c>
      <c r="AC73" s="17">
        <f t="shared" ref="AC73:AD73" si="281">Y73*300</f>
        <v>0</v>
      </c>
      <c r="AD73" s="6">
        <f t="shared" si="281"/>
        <v>3000</v>
      </c>
      <c r="AE73" s="6">
        <v>20</v>
      </c>
      <c r="AF73" s="6"/>
      <c r="AG73" s="6">
        <v>0</v>
      </c>
      <c r="AH73" s="6">
        <v>15</v>
      </c>
      <c r="AI73" s="17"/>
      <c r="AJ73" s="17">
        <f t="shared" si="6"/>
        <v>2000</v>
      </c>
      <c r="AK73" s="17">
        <f t="shared" ref="AK73:AL73" si="282">AG73*300</f>
        <v>0</v>
      </c>
      <c r="AL73" s="39">
        <f t="shared" si="282"/>
        <v>4500</v>
      </c>
      <c r="AM73" s="22"/>
      <c r="AN73" s="22"/>
      <c r="AO73" s="22"/>
      <c r="AP73" s="22"/>
      <c r="AQ73" s="22"/>
      <c r="AR73" s="22"/>
      <c r="AS73" s="22"/>
      <c r="AT73" s="22"/>
    </row>
    <row r="74" spans="1:46" ht="14">
      <c r="A74" s="6">
        <v>71</v>
      </c>
      <c r="B74" s="6" t="s">
        <v>97</v>
      </c>
      <c r="F74" s="11"/>
      <c r="G74" s="36"/>
      <c r="H74" s="13">
        <v>35</v>
      </c>
      <c r="I74" s="13">
        <v>0</v>
      </c>
      <c r="J74" s="13">
        <v>20</v>
      </c>
      <c r="K74" s="16"/>
      <c r="L74" s="16">
        <f t="shared" si="0"/>
        <v>3500</v>
      </c>
      <c r="M74" s="16">
        <f t="shared" ref="M74:N74" si="283">I74*300</f>
        <v>0</v>
      </c>
      <c r="N74" s="3">
        <f t="shared" si="283"/>
        <v>6000</v>
      </c>
      <c r="O74" s="6">
        <v>15</v>
      </c>
      <c r="P74" s="6"/>
      <c r="Q74" s="6">
        <v>0</v>
      </c>
      <c r="R74" s="6">
        <v>10</v>
      </c>
      <c r="S74" s="17"/>
      <c r="T74" s="17">
        <f t="shared" si="2"/>
        <v>1500</v>
      </c>
      <c r="U74" s="17">
        <f t="shared" ref="U74:V74" si="284">Q74*300</f>
        <v>0</v>
      </c>
      <c r="V74" s="6">
        <f t="shared" si="284"/>
        <v>3000</v>
      </c>
      <c r="W74" s="6">
        <v>33</v>
      </c>
      <c r="X74" s="6"/>
      <c r="Y74" s="6">
        <v>0</v>
      </c>
      <c r="Z74" s="6">
        <v>20</v>
      </c>
      <c r="AA74" s="17"/>
      <c r="AB74" s="17">
        <f t="shared" si="4"/>
        <v>3300</v>
      </c>
      <c r="AC74" s="17">
        <f t="shared" ref="AC74:AD74" si="285">Y74*300</f>
        <v>0</v>
      </c>
      <c r="AD74" s="6">
        <f t="shared" si="285"/>
        <v>6000</v>
      </c>
      <c r="AE74" s="6">
        <v>35</v>
      </c>
      <c r="AF74" s="6"/>
      <c r="AG74" s="6">
        <v>0</v>
      </c>
      <c r="AH74" s="6">
        <v>15</v>
      </c>
      <c r="AI74" s="17"/>
      <c r="AJ74" s="17">
        <f t="shared" si="6"/>
        <v>3500</v>
      </c>
      <c r="AK74" s="17">
        <f t="shared" ref="AK74:AL74" si="286">AG74*300</f>
        <v>0</v>
      </c>
      <c r="AL74" s="39">
        <f t="shared" si="286"/>
        <v>4500</v>
      </c>
      <c r="AM74" s="22"/>
      <c r="AN74" s="22"/>
      <c r="AO74" s="22"/>
      <c r="AP74" s="22"/>
      <c r="AQ74" s="22"/>
      <c r="AR74" s="22"/>
      <c r="AS74" s="22"/>
      <c r="AT74" s="22"/>
    </row>
    <row r="75" spans="1:46" ht="14">
      <c r="A75" s="6">
        <v>72</v>
      </c>
      <c r="B75" s="6" t="s">
        <v>98</v>
      </c>
      <c r="F75" s="11"/>
      <c r="G75" s="36"/>
      <c r="H75" s="13">
        <v>30</v>
      </c>
      <c r="I75" s="13">
        <v>0</v>
      </c>
      <c r="J75" s="13">
        <v>5</v>
      </c>
      <c r="K75" s="16"/>
      <c r="L75" s="16">
        <f t="shared" si="0"/>
        <v>3000</v>
      </c>
      <c r="M75" s="16">
        <f t="shared" ref="M75:N75" si="287">I75*300</f>
        <v>0</v>
      </c>
      <c r="N75" s="3">
        <f t="shared" si="287"/>
        <v>1500</v>
      </c>
      <c r="O75" s="6">
        <v>10</v>
      </c>
      <c r="P75" s="6"/>
      <c r="Q75" s="6">
        <v>0</v>
      </c>
      <c r="R75" s="6">
        <v>10</v>
      </c>
      <c r="S75" s="17"/>
      <c r="T75" s="17">
        <f t="shared" si="2"/>
        <v>1000</v>
      </c>
      <c r="U75" s="17">
        <f t="shared" ref="U75:V75" si="288">Q75*300</f>
        <v>0</v>
      </c>
      <c r="V75" s="6">
        <f t="shared" si="288"/>
        <v>3000</v>
      </c>
      <c r="W75" s="6">
        <v>18</v>
      </c>
      <c r="X75" s="6"/>
      <c r="Y75" s="6">
        <v>0</v>
      </c>
      <c r="Z75" s="6">
        <v>15</v>
      </c>
      <c r="AA75" s="17"/>
      <c r="AB75" s="17">
        <f t="shared" si="4"/>
        <v>1800</v>
      </c>
      <c r="AC75" s="17">
        <f t="shared" ref="AC75:AD75" si="289">Y75*300</f>
        <v>0</v>
      </c>
      <c r="AD75" s="6">
        <f t="shared" si="289"/>
        <v>4500</v>
      </c>
      <c r="AE75" s="6">
        <v>20</v>
      </c>
      <c r="AF75" s="6"/>
      <c r="AG75" s="6">
        <v>0</v>
      </c>
      <c r="AH75" s="6">
        <v>20</v>
      </c>
      <c r="AI75" s="17"/>
      <c r="AJ75" s="17">
        <f t="shared" si="6"/>
        <v>2000</v>
      </c>
      <c r="AK75" s="17">
        <f t="shared" ref="AK75:AL75" si="290">AG75*300</f>
        <v>0</v>
      </c>
      <c r="AL75" s="39">
        <f t="shared" si="290"/>
        <v>6000</v>
      </c>
      <c r="AM75" s="22"/>
      <c r="AN75" s="22"/>
      <c r="AO75" s="22"/>
      <c r="AP75" s="22"/>
      <c r="AQ75" s="22"/>
      <c r="AR75" s="22"/>
      <c r="AS75" s="22"/>
      <c r="AT75" s="22"/>
    </row>
    <row r="76" spans="1:46" ht="14">
      <c r="A76" s="6">
        <v>73</v>
      </c>
      <c r="B76" s="6" t="s">
        <v>99</v>
      </c>
      <c r="F76" s="11"/>
      <c r="G76" s="36"/>
      <c r="H76" s="13">
        <v>85</v>
      </c>
      <c r="I76" s="13">
        <v>0</v>
      </c>
      <c r="J76" s="13">
        <v>0</v>
      </c>
      <c r="K76" s="16"/>
      <c r="L76" s="16">
        <f t="shared" si="0"/>
        <v>8500</v>
      </c>
      <c r="M76" s="16">
        <f t="shared" ref="M76:N76" si="291">I76*300</f>
        <v>0</v>
      </c>
      <c r="N76" s="3">
        <f t="shared" si="291"/>
        <v>0</v>
      </c>
      <c r="O76" s="6">
        <v>58</v>
      </c>
      <c r="P76" s="6"/>
      <c r="Q76" s="6">
        <v>0</v>
      </c>
      <c r="R76" s="6">
        <v>10</v>
      </c>
      <c r="S76" s="17"/>
      <c r="T76" s="17">
        <f t="shared" si="2"/>
        <v>5800</v>
      </c>
      <c r="U76" s="17">
        <f t="shared" ref="U76:V76" si="292">Q76*300</f>
        <v>0</v>
      </c>
      <c r="V76" s="6">
        <f t="shared" si="292"/>
        <v>3000</v>
      </c>
      <c r="W76" s="6">
        <v>70</v>
      </c>
      <c r="X76" s="6"/>
      <c r="Y76" s="6">
        <v>0</v>
      </c>
      <c r="Z76" s="6">
        <v>20</v>
      </c>
      <c r="AA76" s="17"/>
      <c r="AB76" s="17">
        <f t="shared" si="4"/>
        <v>7000</v>
      </c>
      <c r="AC76" s="17">
        <f t="shared" ref="AC76:AD76" si="293">Y76*300</f>
        <v>0</v>
      </c>
      <c r="AD76" s="6">
        <f t="shared" si="293"/>
        <v>6000</v>
      </c>
      <c r="AE76" s="6">
        <v>60</v>
      </c>
      <c r="AF76" s="6"/>
      <c r="AG76" s="6">
        <v>0</v>
      </c>
      <c r="AH76" s="6">
        <v>15</v>
      </c>
      <c r="AI76" s="17"/>
      <c r="AJ76" s="17">
        <f t="shared" si="6"/>
        <v>6000</v>
      </c>
      <c r="AK76" s="17">
        <f t="shared" ref="AK76:AL76" si="294">AG76*300</f>
        <v>0</v>
      </c>
      <c r="AL76" s="39">
        <f t="shared" si="294"/>
        <v>4500</v>
      </c>
      <c r="AM76" s="22"/>
      <c r="AN76" s="22"/>
      <c r="AO76" s="22"/>
      <c r="AP76" s="22"/>
      <c r="AQ76" s="22"/>
      <c r="AR76" s="22"/>
      <c r="AS76" s="22"/>
      <c r="AT76" s="22"/>
    </row>
    <row r="77" spans="1:46" ht="14">
      <c r="A77" s="6">
        <v>74</v>
      </c>
      <c r="B77" s="6" t="s">
        <v>100</v>
      </c>
      <c r="F77" s="11"/>
      <c r="G77" s="36"/>
      <c r="H77" s="13">
        <v>32</v>
      </c>
      <c r="I77" s="13">
        <v>0</v>
      </c>
      <c r="J77" s="13">
        <v>5</v>
      </c>
      <c r="K77" s="16"/>
      <c r="L77" s="16">
        <f t="shared" si="0"/>
        <v>3200</v>
      </c>
      <c r="M77" s="16">
        <f t="shared" ref="M77:N77" si="295">I77*300</f>
        <v>0</v>
      </c>
      <c r="N77" s="3">
        <f t="shared" si="295"/>
        <v>1500</v>
      </c>
      <c r="O77" s="6">
        <v>15</v>
      </c>
      <c r="P77" s="6"/>
      <c r="Q77" s="6">
        <v>0</v>
      </c>
      <c r="R77" s="6">
        <v>10</v>
      </c>
      <c r="S77" s="17"/>
      <c r="T77" s="17">
        <f t="shared" si="2"/>
        <v>1500</v>
      </c>
      <c r="U77" s="17">
        <f t="shared" ref="U77:V77" si="296">Q77*300</f>
        <v>0</v>
      </c>
      <c r="V77" s="6">
        <f t="shared" si="296"/>
        <v>3000</v>
      </c>
      <c r="W77" s="6">
        <v>25</v>
      </c>
      <c r="X77" s="6"/>
      <c r="Y77" s="6">
        <v>0</v>
      </c>
      <c r="Z77" s="6">
        <v>15</v>
      </c>
      <c r="AA77" s="17"/>
      <c r="AB77" s="17">
        <f t="shared" si="4"/>
        <v>2500</v>
      </c>
      <c r="AC77" s="17">
        <f t="shared" ref="AC77:AD77" si="297">Y77*300</f>
        <v>0</v>
      </c>
      <c r="AD77" s="6">
        <f t="shared" si="297"/>
        <v>4500</v>
      </c>
      <c r="AE77" s="6">
        <v>30</v>
      </c>
      <c r="AF77" s="6"/>
      <c r="AG77" s="6">
        <v>0</v>
      </c>
      <c r="AH77" s="6">
        <v>10</v>
      </c>
      <c r="AI77" s="17"/>
      <c r="AJ77" s="17">
        <f t="shared" si="6"/>
        <v>3000</v>
      </c>
      <c r="AK77" s="17">
        <f t="shared" ref="AK77:AL77" si="298">AG77*300</f>
        <v>0</v>
      </c>
      <c r="AL77" s="39">
        <f t="shared" si="298"/>
        <v>3000</v>
      </c>
      <c r="AM77" s="22"/>
      <c r="AN77" s="22"/>
      <c r="AO77" s="22"/>
      <c r="AP77" s="22"/>
      <c r="AQ77" s="22"/>
      <c r="AR77" s="22"/>
      <c r="AS77" s="22"/>
      <c r="AT77" s="22"/>
    </row>
    <row r="78" spans="1:46" ht="14">
      <c r="A78" s="6">
        <v>75</v>
      </c>
      <c r="B78" s="6" t="s">
        <v>101</v>
      </c>
      <c r="F78" s="11"/>
      <c r="G78" s="36"/>
      <c r="H78" s="13">
        <v>28</v>
      </c>
      <c r="I78" s="13">
        <v>0</v>
      </c>
      <c r="J78" s="13">
        <v>7</v>
      </c>
      <c r="K78" s="16"/>
      <c r="L78" s="16">
        <f t="shared" si="0"/>
        <v>2800</v>
      </c>
      <c r="M78" s="16">
        <f t="shared" ref="M78:N78" si="299">I78*300</f>
        <v>0</v>
      </c>
      <c r="N78" s="3">
        <f t="shared" si="299"/>
        <v>2100</v>
      </c>
      <c r="O78" s="6">
        <v>10</v>
      </c>
      <c r="P78" s="6"/>
      <c r="Q78" s="6">
        <v>0</v>
      </c>
      <c r="R78" s="6">
        <v>10</v>
      </c>
      <c r="S78" s="17"/>
      <c r="T78" s="17">
        <f t="shared" si="2"/>
        <v>1000</v>
      </c>
      <c r="U78" s="17">
        <f t="shared" ref="U78:V78" si="300">Q78*300</f>
        <v>0</v>
      </c>
      <c r="V78" s="6">
        <f t="shared" si="300"/>
        <v>3000</v>
      </c>
      <c r="W78" s="6">
        <v>20</v>
      </c>
      <c r="X78" s="6"/>
      <c r="Y78" s="6">
        <v>0</v>
      </c>
      <c r="Z78" s="6">
        <v>10</v>
      </c>
      <c r="AA78" s="17"/>
      <c r="AB78" s="17">
        <f t="shared" si="4"/>
        <v>2000</v>
      </c>
      <c r="AC78" s="17">
        <f t="shared" ref="AC78:AD78" si="301">Y78*300</f>
        <v>0</v>
      </c>
      <c r="AD78" s="6">
        <f t="shared" si="301"/>
        <v>3000</v>
      </c>
      <c r="AE78" s="6">
        <v>15</v>
      </c>
      <c r="AF78" s="6"/>
      <c r="AG78" s="6">
        <v>25</v>
      </c>
      <c r="AH78" s="6">
        <v>0</v>
      </c>
      <c r="AI78" s="17"/>
      <c r="AJ78" s="17">
        <f t="shared" si="6"/>
        <v>1500</v>
      </c>
      <c r="AK78" s="17">
        <f t="shared" ref="AK78:AL78" si="302">AG78*300</f>
        <v>7500</v>
      </c>
      <c r="AL78" s="39">
        <f t="shared" si="302"/>
        <v>0</v>
      </c>
      <c r="AM78" s="22"/>
      <c r="AN78" s="22"/>
      <c r="AO78" s="22"/>
      <c r="AP78" s="22"/>
      <c r="AQ78" s="22"/>
      <c r="AR78" s="22"/>
      <c r="AS78" s="22"/>
      <c r="AT78" s="22"/>
    </row>
    <row r="79" spans="1:46" ht="14">
      <c r="A79" s="6">
        <v>76</v>
      </c>
      <c r="B79" s="6" t="s">
        <v>102</v>
      </c>
      <c r="F79" s="11"/>
      <c r="G79" s="36"/>
      <c r="H79" s="13">
        <v>32</v>
      </c>
      <c r="I79" s="13">
        <v>0</v>
      </c>
      <c r="J79" s="13">
        <v>20</v>
      </c>
      <c r="K79" s="16"/>
      <c r="L79" s="16">
        <f t="shared" si="0"/>
        <v>3200</v>
      </c>
      <c r="M79" s="16">
        <f t="shared" ref="M79:N79" si="303">I79*300</f>
        <v>0</v>
      </c>
      <c r="N79" s="3">
        <f t="shared" si="303"/>
        <v>6000</v>
      </c>
      <c r="O79" s="6">
        <v>15</v>
      </c>
      <c r="P79" s="6"/>
      <c r="Q79" s="6">
        <v>0</v>
      </c>
      <c r="R79" s="6">
        <v>20</v>
      </c>
      <c r="S79" s="17"/>
      <c r="T79" s="17">
        <f t="shared" si="2"/>
        <v>1500</v>
      </c>
      <c r="U79" s="17">
        <f t="shared" ref="U79:V79" si="304">Q79*300</f>
        <v>0</v>
      </c>
      <c r="V79" s="6">
        <f t="shared" si="304"/>
        <v>6000</v>
      </c>
      <c r="W79" s="6">
        <v>30</v>
      </c>
      <c r="X79" s="6"/>
      <c r="Y79" s="6">
        <v>0</v>
      </c>
      <c r="Z79" s="6">
        <v>15</v>
      </c>
      <c r="AA79" s="17"/>
      <c r="AB79" s="17">
        <f t="shared" si="4"/>
        <v>3000</v>
      </c>
      <c r="AC79" s="17">
        <f t="shared" ref="AC79:AD79" si="305">Y79*300</f>
        <v>0</v>
      </c>
      <c r="AD79" s="6">
        <f t="shared" si="305"/>
        <v>4500</v>
      </c>
      <c r="AE79" s="6">
        <v>32</v>
      </c>
      <c r="AF79" s="6"/>
      <c r="AG79" s="6">
        <v>0</v>
      </c>
      <c r="AH79" s="6">
        <v>20</v>
      </c>
      <c r="AI79" s="17"/>
      <c r="AJ79" s="17">
        <f t="shared" si="6"/>
        <v>3200</v>
      </c>
      <c r="AK79" s="17">
        <f t="shared" ref="AK79:AL79" si="306">AG79*300</f>
        <v>0</v>
      </c>
      <c r="AL79" s="39">
        <f t="shared" si="306"/>
        <v>6000</v>
      </c>
      <c r="AM79" s="22"/>
      <c r="AN79" s="22"/>
      <c r="AO79" s="22"/>
      <c r="AP79" s="22"/>
      <c r="AQ79" s="22"/>
      <c r="AR79" s="22"/>
      <c r="AS79" s="22"/>
      <c r="AT79" s="22"/>
    </row>
    <row r="80" spans="1:46" ht="14">
      <c r="A80" s="6">
        <v>77</v>
      </c>
      <c r="B80" s="6" t="s">
        <v>103</v>
      </c>
      <c r="F80" s="11"/>
      <c r="G80" s="36"/>
      <c r="H80" s="13">
        <v>55</v>
      </c>
      <c r="I80" s="13">
        <v>0</v>
      </c>
      <c r="J80" s="13">
        <v>20</v>
      </c>
      <c r="K80" s="16"/>
      <c r="L80" s="16">
        <f t="shared" si="0"/>
        <v>5500</v>
      </c>
      <c r="M80" s="16">
        <f t="shared" ref="M80:N80" si="307">I80*300</f>
        <v>0</v>
      </c>
      <c r="N80" s="3">
        <f t="shared" si="307"/>
        <v>6000</v>
      </c>
      <c r="O80" s="6">
        <v>30</v>
      </c>
      <c r="P80" s="6"/>
      <c r="Q80" s="6">
        <v>0</v>
      </c>
      <c r="R80" s="6">
        <v>20</v>
      </c>
      <c r="S80" s="17"/>
      <c r="T80" s="17">
        <f t="shared" si="2"/>
        <v>3000</v>
      </c>
      <c r="U80" s="17">
        <f t="shared" ref="U80:V80" si="308">Q80*300</f>
        <v>0</v>
      </c>
      <c r="V80" s="6">
        <f t="shared" si="308"/>
        <v>6000</v>
      </c>
      <c r="W80" s="6">
        <v>40</v>
      </c>
      <c r="X80" s="6"/>
      <c r="Y80" s="6">
        <v>0</v>
      </c>
      <c r="Z80" s="6">
        <v>20</v>
      </c>
      <c r="AA80" s="17"/>
      <c r="AB80" s="17">
        <f t="shared" si="4"/>
        <v>4000</v>
      </c>
      <c r="AC80" s="17">
        <f t="shared" ref="AC80:AD80" si="309">Y80*300</f>
        <v>0</v>
      </c>
      <c r="AD80" s="6">
        <f t="shared" si="309"/>
        <v>6000</v>
      </c>
      <c r="AE80" s="6">
        <v>35</v>
      </c>
      <c r="AF80" s="6"/>
      <c r="AG80" s="6">
        <v>0</v>
      </c>
      <c r="AH80" s="6">
        <v>15</v>
      </c>
      <c r="AI80" s="17"/>
      <c r="AJ80" s="17">
        <f t="shared" si="6"/>
        <v>3500</v>
      </c>
      <c r="AK80" s="17">
        <f t="shared" ref="AK80:AL80" si="310">AG80*300</f>
        <v>0</v>
      </c>
      <c r="AL80" s="39">
        <f t="shared" si="310"/>
        <v>4500</v>
      </c>
      <c r="AM80" s="22"/>
      <c r="AN80" s="22"/>
      <c r="AO80" s="22"/>
      <c r="AP80" s="22"/>
      <c r="AQ80" s="22"/>
      <c r="AR80" s="22"/>
      <c r="AS80" s="22"/>
      <c r="AT80" s="22"/>
    </row>
    <row r="81" spans="1:46" ht="14">
      <c r="A81" s="6">
        <v>78</v>
      </c>
      <c r="B81" s="6" t="s">
        <v>104</v>
      </c>
      <c r="F81" s="11"/>
      <c r="G81" s="36"/>
      <c r="H81" s="13">
        <v>30</v>
      </c>
      <c r="I81" s="13">
        <v>0</v>
      </c>
      <c r="J81" s="13">
        <v>10</v>
      </c>
      <c r="K81" s="16"/>
      <c r="L81" s="16">
        <f t="shared" si="0"/>
        <v>3000</v>
      </c>
      <c r="M81" s="16">
        <f t="shared" ref="M81:N81" si="311">I81*300</f>
        <v>0</v>
      </c>
      <c r="N81" s="3">
        <f t="shared" si="311"/>
        <v>3000</v>
      </c>
      <c r="O81" s="6">
        <v>25</v>
      </c>
      <c r="P81" s="6"/>
      <c r="Q81" s="6">
        <v>0</v>
      </c>
      <c r="R81" s="6">
        <v>8</v>
      </c>
      <c r="S81" s="17"/>
      <c r="T81" s="17">
        <f t="shared" si="2"/>
        <v>2500</v>
      </c>
      <c r="U81" s="17">
        <f t="shared" ref="U81:V81" si="312">Q81*300</f>
        <v>0</v>
      </c>
      <c r="V81" s="6">
        <f t="shared" si="312"/>
        <v>2400</v>
      </c>
      <c r="W81" s="6">
        <v>28</v>
      </c>
      <c r="X81" s="6"/>
      <c r="Y81" s="6">
        <v>0</v>
      </c>
      <c r="Z81" s="6">
        <v>5</v>
      </c>
      <c r="AA81" s="17"/>
      <c r="AB81" s="17">
        <f t="shared" si="4"/>
        <v>2800</v>
      </c>
      <c r="AC81" s="17">
        <f t="shared" ref="AC81:AD81" si="313">Y81*300</f>
        <v>0</v>
      </c>
      <c r="AD81" s="6">
        <f t="shared" si="313"/>
        <v>1500</v>
      </c>
      <c r="AE81" s="6">
        <v>35</v>
      </c>
      <c r="AF81" s="6"/>
      <c r="AG81" s="6">
        <v>0</v>
      </c>
      <c r="AH81" s="6">
        <v>10</v>
      </c>
      <c r="AI81" s="17"/>
      <c r="AJ81" s="17">
        <f t="shared" si="6"/>
        <v>3500</v>
      </c>
      <c r="AK81" s="17">
        <f t="shared" ref="AK81:AL81" si="314">AG81*300</f>
        <v>0</v>
      </c>
      <c r="AL81" s="39">
        <f t="shared" si="314"/>
        <v>3000</v>
      </c>
      <c r="AM81" s="22"/>
      <c r="AN81" s="22"/>
      <c r="AO81" s="22"/>
      <c r="AP81" s="22"/>
      <c r="AQ81" s="22"/>
      <c r="AR81" s="22"/>
      <c r="AS81" s="22"/>
      <c r="AT81" s="22"/>
    </row>
    <row r="82" spans="1:46" ht="14">
      <c r="A82" s="6">
        <v>79</v>
      </c>
      <c r="B82" s="6" t="s">
        <v>105</v>
      </c>
      <c r="F82" s="11"/>
      <c r="G82" s="36"/>
      <c r="H82" s="13">
        <v>35</v>
      </c>
      <c r="I82" s="13">
        <v>5</v>
      </c>
      <c r="J82" s="13">
        <v>0</v>
      </c>
      <c r="K82" s="16"/>
      <c r="L82" s="16">
        <f t="shared" si="0"/>
        <v>3500</v>
      </c>
      <c r="M82" s="16">
        <f t="shared" ref="M82:N82" si="315">I82*300</f>
        <v>1500</v>
      </c>
      <c r="N82" s="3">
        <f t="shared" si="315"/>
        <v>0</v>
      </c>
      <c r="O82" s="6">
        <v>30</v>
      </c>
      <c r="P82" s="6"/>
      <c r="Q82" s="6">
        <v>0</v>
      </c>
      <c r="R82" s="6">
        <v>10</v>
      </c>
      <c r="S82" s="17"/>
      <c r="T82" s="17">
        <f t="shared" si="2"/>
        <v>3000</v>
      </c>
      <c r="U82" s="17">
        <f t="shared" ref="U82:V82" si="316">Q82*300</f>
        <v>0</v>
      </c>
      <c r="V82" s="6">
        <f t="shared" si="316"/>
        <v>3000</v>
      </c>
      <c r="W82" s="6">
        <v>32</v>
      </c>
      <c r="X82" s="6"/>
      <c r="Y82" s="6">
        <v>0</v>
      </c>
      <c r="Z82" s="6">
        <v>10</v>
      </c>
      <c r="AA82" s="17"/>
      <c r="AB82" s="17">
        <f t="shared" si="4"/>
        <v>3200</v>
      </c>
      <c r="AC82" s="17">
        <f t="shared" ref="AC82:AD82" si="317">Y82*300</f>
        <v>0</v>
      </c>
      <c r="AD82" s="6">
        <f t="shared" si="317"/>
        <v>3000</v>
      </c>
      <c r="AE82" s="6">
        <v>35</v>
      </c>
      <c r="AF82" s="6"/>
      <c r="AG82" s="6">
        <v>0</v>
      </c>
      <c r="AH82" s="6">
        <v>15</v>
      </c>
      <c r="AI82" s="17"/>
      <c r="AJ82" s="17">
        <f t="shared" si="6"/>
        <v>3500</v>
      </c>
      <c r="AK82" s="17">
        <f t="shared" ref="AK82:AL82" si="318">AG82*300</f>
        <v>0</v>
      </c>
      <c r="AL82" s="39">
        <f t="shared" si="318"/>
        <v>4500</v>
      </c>
      <c r="AM82" s="22"/>
      <c r="AN82" s="22"/>
      <c r="AO82" s="22"/>
      <c r="AP82" s="22"/>
      <c r="AQ82" s="22"/>
      <c r="AR82" s="22"/>
      <c r="AS82" s="22"/>
      <c r="AT82" s="22"/>
    </row>
    <row r="83" spans="1:46" ht="14">
      <c r="A83" s="6">
        <v>80</v>
      </c>
      <c r="B83" s="6" t="s">
        <v>106</v>
      </c>
      <c r="F83" s="11"/>
      <c r="G83" s="36"/>
      <c r="H83" s="13">
        <v>45</v>
      </c>
      <c r="I83" s="13">
        <v>0</v>
      </c>
      <c r="J83" s="13">
        <v>10</v>
      </c>
      <c r="K83" s="16"/>
      <c r="L83" s="16">
        <f t="shared" si="0"/>
        <v>4500</v>
      </c>
      <c r="M83" s="16">
        <f t="shared" ref="M83:N83" si="319">I83*300</f>
        <v>0</v>
      </c>
      <c r="N83" s="3">
        <f t="shared" si="319"/>
        <v>3000</v>
      </c>
      <c r="O83" s="6">
        <v>15</v>
      </c>
      <c r="P83" s="6"/>
      <c r="Q83" s="6">
        <v>0</v>
      </c>
      <c r="R83" s="37">
        <v>10</v>
      </c>
      <c r="S83" s="17"/>
      <c r="T83" s="17">
        <f t="shared" si="2"/>
        <v>1500</v>
      </c>
      <c r="U83" s="17">
        <f t="shared" ref="U83:V83" si="320">Q83*300</f>
        <v>0</v>
      </c>
      <c r="V83" s="6">
        <f t="shared" si="320"/>
        <v>3000</v>
      </c>
      <c r="W83" s="6">
        <v>40</v>
      </c>
      <c r="X83" s="6"/>
      <c r="Y83" s="6">
        <v>0</v>
      </c>
      <c r="Z83" s="6">
        <v>20</v>
      </c>
      <c r="AA83" s="17"/>
      <c r="AB83" s="17">
        <f t="shared" si="4"/>
        <v>4000</v>
      </c>
      <c r="AC83" s="17">
        <f t="shared" ref="AC83:AD83" si="321">Y83*300</f>
        <v>0</v>
      </c>
      <c r="AD83" s="6">
        <f t="shared" si="321"/>
        <v>6000</v>
      </c>
      <c r="AE83" s="6">
        <v>25</v>
      </c>
      <c r="AF83" s="6"/>
      <c r="AG83" s="6">
        <v>0</v>
      </c>
      <c r="AH83" s="6">
        <v>15</v>
      </c>
      <c r="AI83" s="17"/>
      <c r="AJ83" s="17">
        <f t="shared" si="6"/>
        <v>2500</v>
      </c>
      <c r="AK83" s="17">
        <f t="shared" ref="AK83:AL83" si="322">AG83*300</f>
        <v>0</v>
      </c>
      <c r="AL83" s="39">
        <f t="shared" si="322"/>
        <v>4500</v>
      </c>
      <c r="AM83" s="22"/>
      <c r="AN83" s="22"/>
      <c r="AO83" s="22"/>
      <c r="AP83" s="22"/>
      <c r="AQ83" s="22"/>
      <c r="AR83" s="22"/>
      <c r="AS83" s="22"/>
      <c r="AT83" s="22"/>
    </row>
    <row r="84" spans="1:46" ht="14">
      <c r="A84" s="6">
        <v>81</v>
      </c>
      <c r="B84" s="6" t="s">
        <v>107</v>
      </c>
      <c r="F84" s="11"/>
      <c r="G84" s="36"/>
      <c r="H84" s="13">
        <v>25</v>
      </c>
      <c r="I84" s="13">
        <v>0</v>
      </c>
      <c r="J84" s="13">
        <v>20</v>
      </c>
      <c r="K84" s="16"/>
      <c r="L84" s="16">
        <f t="shared" si="0"/>
        <v>2500</v>
      </c>
      <c r="M84" s="16">
        <f t="shared" ref="M84:N84" si="323">I84*300</f>
        <v>0</v>
      </c>
      <c r="N84" s="3">
        <f t="shared" si="323"/>
        <v>6000</v>
      </c>
      <c r="O84" s="6">
        <v>0</v>
      </c>
      <c r="P84" s="6"/>
      <c r="Q84" s="6">
        <v>0</v>
      </c>
      <c r="R84" s="6">
        <v>20</v>
      </c>
      <c r="S84" s="17"/>
      <c r="T84" s="17">
        <f t="shared" si="2"/>
        <v>0</v>
      </c>
      <c r="U84" s="17">
        <f t="shared" ref="U84:V84" si="324">Q84*300</f>
        <v>0</v>
      </c>
      <c r="V84" s="6">
        <f t="shared" si="324"/>
        <v>6000</v>
      </c>
      <c r="W84" s="6">
        <v>20</v>
      </c>
      <c r="X84" s="6"/>
      <c r="Y84" s="6">
        <v>0</v>
      </c>
      <c r="Z84" s="6">
        <v>10</v>
      </c>
      <c r="AA84" s="17"/>
      <c r="AB84" s="17">
        <f t="shared" si="4"/>
        <v>2000</v>
      </c>
      <c r="AC84" s="17">
        <f t="shared" ref="AC84:AD84" si="325">Y84*300</f>
        <v>0</v>
      </c>
      <c r="AD84" s="6">
        <f t="shared" si="325"/>
        <v>3000</v>
      </c>
      <c r="AE84" s="6">
        <v>25</v>
      </c>
      <c r="AF84" s="6"/>
      <c r="AG84" s="6">
        <v>0</v>
      </c>
      <c r="AH84" s="6">
        <v>20</v>
      </c>
      <c r="AI84" s="17"/>
      <c r="AJ84" s="17">
        <f t="shared" si="6"/>
        <v>2500</v>
      </c>
      <c r="AK84" s="17">
        <f t="shared" ref="AK84:AL84" si="326">AG84*300</f>
        <v>0</v>
      </c>
      <c r="AL84" s="39">
        <f t="shared" si="326"/>
        <v>6000</v>
      </c>
      <c r="AM84" s="22"/>
      <c r="AN84" s="22"/>
      <c r="AO84" s="22"/>
      <c r="AP84" s="22"/>
      <c r="AQ84" s="22"/>
      <c r="AR84" s="22"/>
      <c r="AS84" s="22"/>
      <c r="AT84" s="22"/>
    </row>
    <row r="85" spans="1:46" ht="14">
      <c r="A85" s="6">
        <v>82</v>
      </c>
      <c r="B85" s="6" t="s">
        <v>108</v>
      </c>
      <c r="F85" s="11"/>
      <c r="G85" s="36"/>
      <c r="H85" s="13">
        <v>25</v>
      </c>
      <c r="I85" s="13">
        <v>0</v>
      </c>
      <c r="J85" s="13">
        <v>20</v>
      </c>
      <c r="K85" s="16"/>
      <c r="L85" s="16">
        <f t="shared" si="0"/>
        <v>2500</v>
      </c>
      <c r="M85" s="16">
        <f t="shared" ref="M85:N85" si="327">I85*300</f>
        <v>0</v>
      </c>
      <c r="N85" s="3">
        <f t="shared" si="327"/>
        <v>6000</v>
      </c>
      <c r="O85" s="6">
        <v>15</v>
      </c>
      <c r="P85" s="6"/>
      <c r="Q85" s="6">
        <v>0</v>
      </c>
      <c r="R85" s="37">
        <v>10</v>
      </c>
      <c r="S85" s="17"/>
      <c r="T85" s="17">
        <f t="shared" si="2"/>
        <v>1500</v>
      </c>
      <c r="U85" s="17">
        <f t="shared" ref="U85:V85" si="328">Q85*300</f>
        <v>0</v>
      </c>
      <c r="V85" s="6">
        <f t="shared" si="328"/>
        <v>3000</v>
      </c>
      <c r="W85" s="6">
        <v>15</v>
      </c>
      <c r="X85" s="6"/>
      <c r="Y85" s="6">
        <v>0</v>
      </c>
      <c r="Z85" s="6">
        <v>15</v>
      </c>
      <c r="AA85" s="17"/>
      <c r="AB85" s="17">
        <f t="shared" si="4"/>
        <v>1500</v>
      </c>
      <c r="AC85" s="17">
        <f t="shared" ref="AC85:AD85" si="329">Y85*300</f>
        <v>0</v>
      </c>
      <c r="AD85" s="6">
        <f t="shared" si="329"/>
        <v>4500</v>
      </c>
      <c r="AE85" s="6">
        <v>24</v>
      </c>
      <c r="AF85" s="6"/>
      <c r="AG85" s="6">
        <v>0</v>
      </c>
      <c r="AH85" s="6">
        <v>20</v>
      </c>
      <c r="AI85" s="17"/>
      <c r="AJ85" s="17">
        <f t="shared" si="6"/>
        <v>2400</v>
      </c>
      <c r="AK85" s="17">
        <f t="shared" ref="AK85:AL85" si="330">AG85*300</f>
        <v>0</v>
      </c>
      <c r="AL85" s="39">
        <f t="shared" si="330"/>
        <v>6000</v>
      </c>
      <c r="AM85" s="22"/>
      <c r="AN85" s="22"/>
      <c r="AO85" s="22"/>
      <c r="AP85" s="22"/>
      <c r="AQ85" s="22"/>
      <c r="AR85" s="22"/>
      <c r="AS85" s="22"/>
      <c r="AT85" s="22"/>
    </row>
    <row r="86" spans="1:46" ht="14">
      <c r="A86" s="6">
        <v>83</v>
      </c>
      <c r="B86" s="6" t="s">
        <v>109</v>
      </c>
      <c r="F86" s="11"/>
      <c r="G86" s="36"/>
      <c r="H86" s="13">
        <v>10</v>
      </c>
      <c r="I86" s="13">
        <v>0</v>
      </c>
      <c r="J86" s="13">
        <v>10</v>
      </c>
      <c r="K86" s="16"/>
      <c r="L86" s="16">
        <f t="shared" si="0"/>
        <v>1000</v>
      </c>
      <c r="M86" s="16">
        <f t="shared" ref="M86:N86" si="331">I86*300</f>
        <v>0</v>
      </c>
      <c r="N86" s="3">
        <f t="shared" si="331"/>
        <v>3000</v>
      </c>
      <c r="O86" s="6">
        <v>0</v>
      </c>
      <c r="P86" s="6"/>
      <c r="Q86" s="6">
        <v>0</v>
      </c>
      <c r="R86" s="6">
        <v>15</v>
      </c>
      <c r="S86" s="17"/>
      <c r="T86" s="17">
        <f t="shared" si="2"/>
        <v>0</v>
      </c>
      <c r="U86" s="17">
        <f t="shared" ref="U86:V86" si="332">Q86*300</f>
        <v>0</v>
      </c>
      <c r="V86" s="6">
        <f t="shared" si="332"/>
        <v>4500</v>
      </c>
      <c r="W86" s="6">
        <v>15</v>
      </c>
      <c r="X86" s="6"/>
      <c r="Y86" s="6">
        <v>0</v>
      </c>
      <c r="Z86" s="6">
        <v>15</v>
      </c>
      <c r="AA86" s="17"/>
      <c r="AB86" s="17">
        <f t="shared" si="4"/>
        <v>1500</v>
      </c>
      <c r="AC86" s="17">
        <f t="shared" ref="AC86:AD86" si="333">Y86*300</f>
        <v>0</v>
      </c>
      <c r="AD86" s="6">
        <f t="shared" si="333"/>
        <v>4500</v>
      </c>
      <c r="AE86" s="6">
        <v>20</v>
      </c>
      <c r="AF86" s="6"/>
      <c r="AG86" s="6">
        <v>0</v>
      </c>
      <c r="AH86" s="6">
        <v>15</v>
      </c>
      <c r="AI86" s="17"/>
      <c r="AJ86" s="17">
        <f t="shared" si="6"/>
        <v>2000</v>
      </c>
      <c r="AK86" s="17">
        <f t="shared" ref="AK86:AL86" si="334">AG86*300</f>
        <v>0</v>
      </c>
      <c r="AL86" s="39">
        <f t="shared" si="334"/>
        <v>4500</v>
      </c>
      <c r="AM86" s="22"/>
      <c r="AN86" s="22"/>
      <c r="AO86" s="22"/>
      <c r="AP86" s="22"/>
      <c r="AQ86" s="22"/>
      <c r="AR86" s="22"/>
      <c r="AS86" s="22"/>
      <c r="AT86" s="22"/>
    </row>
    <row r="87" spans="1:46" ht="14">
      <c r="A87" s="6">
        <v>84</v>
      </c>
      <c r="B87" s="6" t="s">
        <v>110</v>
      </c>
      <c r="F87" s="11"/>
      <c r="G87" s="36"/>
      <c r="H87" s="13">
        <v>45</v>
      </c>
      <c r="I87" s="13">
        <v>10</v>
      </c>
      <c r="J87" s="13">
        <v>0</v>
      </c>
      <c r="K87" s="16"/>
      <c r="L87" s="16">
        <f t="shared" si="0"/>
        <v>4500</v>
      </c>
      <c r="M87" s="16">
        <f t="shared" ref="M87:N87" si="335">I87*300</f>
        <v>3000</v>
      </c>
      <c r="N87" s="3">
        <f t="shared" si="335"/>
        <v>0</v>
      </c>
      <c r="O87" s="6">
        <v>30</v>
      </c>
      <c r="P87" s="6"/>
      <c r="Q87" s="6">
        <v>0</v>
      </c>
      <c r="R87" s="6">
        <v>8</v>
      </c>
      <c r="S87" s="17"/>
      <c r="T87" s="17">
        <f t="shared" si="2"/>
        <v>3000</v>
      </c>
      <c r="U87" s="17">
        <f t="shared" ref="U87:V87" si="336">Q87*300</f>
        <v>0</v>
      </c>
      <c r="V87" s="6">
        <f t="shared" si="336"/>
        <v>2400</v>
      </c>
      <c r="W87" s="6">
        <v>40</v>
      </c>
      <c r="X87" s="6"/>
      <c r="Y87" s="6">
        <v>0</v>
      </c>
      <c r="Z87" s="6">
        <v>10</v>
      </c>
      <c r="AA87" s="17"/>
      <c r="AB87" s="17">
        <f t="shared" si="4"/>
        <v>4000</v>
      </c>
      <c r="AC87" s="17">
        <f t="shared" ref="AC87:AD87" si="337">Y87*300</f>
        <v>0</v>
      </c>
      <c r="AD87" s="6">
        <f t="shared" si="337"/>
        <v>3000</v>
      </c>
      <c r="AE87" s="6">
        <v>25</v>
      </c>
      <c r="AF87" s="6"/>
      <c r="AG87" s="6">
        <v>0</v>
      </c>
      <c r="AH87" s="6">
        <v>5</v>
      </c>
      <c r="AI87" s="17"/>
      <c r="AJ87" s="17">
        <f t="shared" si="6"/>
        <v>2500</v>
      </c>
      <c r="AK87" s="17">
        <f t="shared" ref="AK87:AL87" si="338">AG87*300</f>
        <v>0</v>
      </c>
      <c r="AL87" s="39">
        <f t="shared" si="338"/>
        <v>1500</v>
      </c>
      <c r="AM87" s="22"/>
      <c r="AN87" s="22"/>
      <c r="AO87" s="22"/>
      <c r="AP87" s="22"/>
      <c r="AQ87" s="22"/>
      <c r="AR87" s="22"/>
      <c r="AS87" s="22"/>
      <c r="AT87" s="22"/>
    </row>
    <row r="88" spans="1:46" ht="14">
      <c r="A88" s="6">
        <v>85</v>
      </c>
      <c r="B88" s="6" t="s">
        <v>111</v>
      </c>
      <c r="F88" s="11"/>
      <c r="G88" s="36"/>
      <c r="H88" s="13">
        <v>45</v>
      </c>
      <c r="I88" s="13">
        <v>0</v>
      </c>
      <c r="J88" s="13">
        <v>20</v>
      </c>
      <c r="K88" s="16"/>
      <c r="L88" s="16">
        <f t="shared" si="0"/>
        <v>4500</v>
      </c>
      <c r="M88" s="16">
        <f t="shared" ref="M88:N88" si="339">I88*300</f>
        <v>0</v>
      </c>
      <c r="N88" s="3">
        <f t="shared" si="339"/>
        <v>6000</v>
      </c>
      <c r="O88" s="6">
        <v>38</v>
      </c>
      <c r="P88" s="6"/>
      <c r="Q88" s="6">
        <v>0</v>
      </c>
      <c r="R88" s="6">
        <v>15</v>
      </c>
      <c r="S88" s="17"/>
      <c r="T88" s="17">
        <f t="shared" si="2"/>
        <v>3800</v>
      </c>
      <c r="U88" s="17">
        <f t="shared" ref="U88:V88" si="340">Q88*300</f>
        <v>0</v>
      </c>
      <c r="V88" s="6">
        <f t="shared" si="340"/>
        <v>4500</v>
      </c>
      <c r="W88" s="6">
        <v>40</v>
      </c>
      <c r="X88" s="6"/>
      <c r="Y88" s="6">
        <v>0</v>
      </c>
      <c r="Z88" s="6">
        <v>20</v>
      </c>
      <c r="AA88" s="17"/>
      <c r="AB88" s="17">
        <f t="shared" si="4"/>
        <v>4000</v>
      </c>
      <c r="AC88" s="17">
        <f t="shared" ref="AC88:AD88" si="341">Y88*300</f>
        <v>0</v>
      </c>
      <c r="AD88" s="6">
        <f t="shared" si="341"/>
        <v>6000</v>
      </c>
      <c r="AE88" s="6">
        <v>42</v>
      </c>
      <c r="AF88" s="6"/>
      <c r="AG88" s="6">
        <v>0</v>
      </c>
      <c r="AH88" s="6">
        <v>12</v>
      </c>
      <c r="AI88" s="17"/>
      <c r="AJ88" s="17">
        <f t="shared" si="6"/>
        <v>4200</v>
      </c>
      <c r="AK88" s="17">
        <f t="shared" ref="AK88:AL88" si="342">AG88*300</f>
        <v>0</v>
      </c>
      <c r="AL88" s="39">
        <f t="shared" si="342"/>
        <v>3600</v>
      </c>
      <c r="AM88" s="22"/>
      <c r="AN88" s="22"/>
      <c r="AO88" s="22"/>
      <c r="AP88" s="22"/>
      <c r="AQ88" s="22"/>
      <c r="AR88" s="22"/>
      <c r="AS88" s="22"/>
      <c r="AT88" s="22"/>
    </row>
    <row r="89" spans="1:46" ht="14">
      <c r="A89" s="6">
        <v>86</v>
      </c>
      <c r="B89" s="6" t="s">
        <v>112</v>
      </c>
      <c r="F89" s="11"/>
      <c r="G89" s="36"/>
      <c r="H89" s="13">
        <v>0</v>
      </c>
      <c r="I89" s="13">
        <v>0</v>
      </c>
      <c r="J89" s="13">
        <v>10</v>
      </c>
      <c r="K89" s="16"/>
      <c r="L89" s="16">
        <f t="shared" si="0"/>
        <v>0</v>
      </c>
      <c r="M89" s="16">
        <f t="shared" ref="M89:N89" si="343">I89*300</f>
        <v>0</v>
      </c>
      <c r="N89" s="3">
        <f t="shared" si="343"/>
        <v>3000</v>
      </c>
      <c r="O89" s="6">
        <v>0</v>
      </c>
      <c r="P89" s="6"/>
      <c r="Q89" s="6">
        <v>0</v>
      </c>
      <c r="R89" s="6">
        <v>15</v>
      </c>
      <c r="S89" s="17"/>
      <c r="T89" s="17">
        <f t="shared" si="2"/>
        <v>0</v>
      </c>
      <c r="U89" s="17">
        <f t="shared" ref="U89:V89" si="344">Q89*300</f>
        <v>0</v>
      </c>
      <c r="V89" s="6">
        <f t="shared" si="344"/>
        <v>4500</v>
      </c>
      <c r="W89" s="6">
        <v>0</v>
      </c>
      <c r="X89" s="6"/>
      <c r="Y89" s="6">
        <v>0</v>
      </c>
      <c r="Z89" s="6">
        <v>10</v>
      </c>
      <c r="AA89" s="17"/>
      <c r="AB89" s="17">
        <f t="shared" si="4"/>
        <v>0</v>
      </c>
      <c r="AC89" s="17">
        <f t="shared" ref="AC89:AD89" si="345">Y89*300</f>
        <v>0</v>
      </c>
      <c r="AD89" s="6">
        <f t="shared" si="345"/>
        <v>3000</v>
      </c>
      <c r="AE89" s="6">
        <v>0</v>
      </c>
      <c r="AF89" s="6"/>
      <c r="AG89" s="6">
        <v>30</v>
      </c>
      <c r="AH89" s="6">
        <v>10</v>
      </c>
      <c r="AI89" s="17"/>
      <c r="AJ89" s="17">
        <f t="shared" si="6"/>
        <v>0</v>
      </c>
      <c r="AK89" s="17">
        <f t="shared" ref="AK89:AL89" si="346">AG89*300</f>
        <v>9000</v>
      </c>
      <c r="AL89" s="39">
        <f t="shared" si="346"/>
        <v>3000</v>
      </c>
      <c r="AM89" s="22"/>
      <c r="AN89" s="22"/>
      <c r="AO89" s="22"/>
      <c r="AP89" s="22"/>
      <c r="AQ89" s="22"/>
      <c r="AR89" s="22"/>
      <c r="AS89" s="22"/>
      <c r="AT89" s="22"/>
    </row>
    <row r="90" spans="1:46" ht="14">
      <c r="A90" s="6">
        <v>87</v>
      </c>
      <c r="B90" s="6" t="s">
        <v>113</v>
      </c>
      <c r="F90" s="11"/>
      <c r="G90" s="36"/>
      <c r="H90" s="13">
        <v>50</v>
      </c>
      <c r="I90" s="13">
        <v>0</v>
      </c>
      <c r="J90" s="13">
        <v>10</v>
      </c>
      <c r="K90" s="16"/>
      <c r="L90" s="16">
        <f t="shared" si="0"/>
        <v>5000</v>
      </c>
      <c r="M90" s="16">
        <f t="shared" ref="M90:N90" si="347">I90*300</f>
        <v>0</v>
      </c>
      <c r="N90" s="3">
        <f t="shared" si="347"/>
        <v>3000</v>
      </c>
      <c r="O90" s="6">
        <v>32</v>
      </c>
      <c r="P90" s="6"/>
      <c r="Q90" s="6">
        <v>0</v>
      </c>
      <c r="R90" s="6">
        <v>15</v>
      </c>
      <c r="S90" s="17"/>
      <c r="T90" s="17">
        <f t="shared" si="2"/>
        <v>3200</v>
      </c>
      <c r="U90" s="17">
        <f t="shared" ref="U90:V90" si="348">Q90*300</f>
        <v>0</v>
      </c>
      <c r="V90" s="6">
        <f t="shared" si="348"/>
        <v>4500</v>
      </c>
      <c r="W90" s="6">
        <v>43</v>
      </c>
      <c r="X90" s="6"/>
      <c r="Y90" s="6">
        <v>0</v>
      </c>
      <c r="Z90" s="6">
        <v>10</v>
      </c>
      <c r="AA90" s="17"/>
      <c r="AB90" s="17">
        <f t="shared" si="4"/>
        <v>4300</v>
      </c>
      <c r="AC90" s="17">
        <f t="shared" ref="AC90:AD90" si="349">Y90*300</f>
        <v>0</v>
      </c>
      <c r="AD90" s="6">
        <f t="shared" si="349"/>
        <v>3000</v>
      </c>
      <c r="AE90" s="6">
        <v>40</v>
      </c>
      <c r="AF90" s="6"/>
      <c r="AG90" s="6">
        <v>0</v>
      </c>
      <c r="AH90" s="6">
        <v>15</v>
      </c>
      <c r="AI90" s="17"/>
      <c r="AJ90" s="17">
        <f t="shared" si="6"/>
        <v>4000</v>
      </c>
      <c r="AK90" s="17">
        <f t="shared" ref="AK90:AL90" si="350">AG90*300</f>
        <v>0</v>
      </c>
      <c r="AL90" s="39">
        <f t="shared" si="350"/>
        <v>4500</v>
      </c>
      <c r="AM90" s="22"/>
      <c r="AN90" s="22"/>
      <c r="AO90" s="22"/>
      <c r="AP90" s="22"/>
      <c r="AQ90" s="22"/>
      <c r="AR90" s="22"/>
      <c r="AS90" s="22"/>
      <c r="AT90" s="22"/>
    </row>
    <row r="91" spans="1:46" ht="14">
      <c r="A91" s="6">
        <v>88</v>
      </c>
      <c r="B91" s="6" t="s">
        <v>114</v>
      </c>
      <c r="F91" s="11"/>
      <c r="G91" s="36"/>
      <c r="H91" s="13">
        <v>84</v>
      </c>
      <c r="I91" s="13">
        <v>0</v>
      </c>
      <c r="J91" s="13">
        <v>10</v>
      </c>
      <c r="K91" s="16"/>
      <c r="L91" s="16">
        <f t="shared" si="0"/>
        <v>8400</v>
      </c>
      <c r="M91" s="16">
        <f t="shared" ref="M91:N91" si="351">I91*300</f>
        <v>0</v>
      </c>
      <c r="N91" s="3">
        <f t="shared" si="351"/>
        <v>3000</v>
      </c>
      <c r="O91" s="6">
        <v>55</v>
      </c>
      <c r="P91" s="6"/>
      <c r="Q91" s="6">
        <v>0</v>
      </c>
      <c r="R91" s="37">
        <v>20</v>
      </c>
      <c r="S91" s="17"/>
      <c r="T91" s="17">
        <f t="shared" si="2"/>
        <v>5500</v>
      </c>
      <c r="U91" s="17">
        <f t="shared" ref="U91:V91" si="352">Q91*300</f>
        <v>0</v>
      </c>
      <c r="V91" s="6">
        <f t="shared" si="352"/>
        <v>6000</v>
      </c>
      <c r="W91" s="6">
        <v>70</v>
      </c>
      <c r="X91" s="6"/>
      <c r="Y91" s="6">
        <v>0</v>
      </c>
      <c r="Z91" s="6">
        <v>20</v>
      </c>
      <c r="AA91" s="17"/>
      <c r="AB91" s="17">
        <f t="shared" si="4"/>
        <v>7000</v>
      </c>
      <c r="AC91" s="17">
        <f t="shared" ref="AC91:AD91" si="353">Y91*300</f>
        <v>0</v>
      </c>
      <c r="AD91" s="6">
        <f t="shared" si="353"/>
        <v>6000</v>
      </c>
      <c r="AE91" s="6">
        <v>58</v>
      </c>
      <c r="AF91" s="6"/>
      <c r="AG91" s="6">
        <v>0</v>
      </c>
      <c r="AH91" s="6">
        <v>20</v>
      </c>
      <c r="AI91" s="17"/>
      <c r="AJ91" s="17">
        <f t="shared" si="6"/>
        <v>5800</v>
      </c>
      <c r="AK91" s="17">
        <f t="shared" ref="AK91:AL91" si="354">AG91*300</f>
        <v>0</v>
      </c>
      <c r="AL91" s="39">
        <f t="shared" si="354"/>
        <v>6000</v>
      </c>
      <c r="AM91" s="22"/>
      <c r="AN91" s="22"/>
      <c r="AO91" s="22"/>
      <c r="AP91" s="22"/>
      <c r="AQ91" s="22"/>
      <c r="AR91" s="22"/>
      <c r="AS91" s="22"/>
      <c r="AT91" s="22"/>
    </row>
    <row r="92" spans="1:46" ht="14">
      <c r="A92" s="6">
        <v>89</v>
      </c>
      <c r="B92" s="6" t="s">
        <v>115</v>
      </c>
      <c r="F92" s="11"/>
      <c r="G92" s="36"/>
      <c r="H92" s="13">
        <v>50</v>
      </c>
      <c r="I92" s="13">
        <v>0</v>
      </c>
      <c r="J92" s="13">
        <v>15</v>
      </c>
      <c r="K92" s="16"/>
      <c r="L92" s="16">
        <f t="shared" si="0"/>
        <v>5000</v>
      </c>
      <c r="M92" s="16">
        <f t="shared" ref="M92:N92" si="355">I92*300</f>
        <v>0</v>
      </c>
      <c r="N92" s="3">
        <f t="shared" si="355"/>
        <v>4500</v>
      </c>
      <c r="O92" s="6">
        <v>15</v>
      </c>
      <c r="P92" s="6"/>
      <c r="Q92" s="6">
        <v>0</v>
      </c>
      <c r="R92" s="6">
        <v>20</v>
      </c>
      <c r="S92" s="17"/>
      <c r="T92" s="17">
        <f t="shared" si="2"/>
        <v>1500</v>
      </c>
      <c r="U92" s="17">
        <f t="shared" ref="U92:V92" si="356">Q92*300</f>
        <v>0</v>
      </c>
      <c r="V92" s="6">
        <f t="shared" si="356"/>
        <v>6000</v>
      </c>
      <c r="W92" s="6">
        <v>60</v>
      </c>
      <c r="X92" s="6"/>
      <c r="Y92" s="6">
        <v>0</v>
      </c>
      <c r="Z92" s="6">
        <v>15</v>
      </c>
      <c r="AA92" s="17"/>
      <c r="AB92" s="17">
        <f t="shared" si="4"/>
        <v>6000</v>
      </c>
      <c r="AC92" s="17">
        <f t="shared" ref="AC92:AD92" si="357">Y92*300</f>
        <v>0</v>
      </c>
      <c r="AD92" s="6">
        <f t="shared" si="357"/>
        <v>4500</v>
      </c>
      <c r="AE92" s="6">
        <v>55</v>
      </c>
      <c r="AF92" s="6"/>
      <c r="AG92" s="6">
        <v>0</v>
      </c>
      <c r="AH92" s="6">
        <v>15</v>
      </c>
      <c r="AI92" s="17"/>
      <c r="AJ92" s="17">
        <f t="shared" si="6"/>
        <v>5500</v>
      </c>
      <c r="AK92" s="17">
        <f t="shared" ref="AK92:AL92" si="358">AG92*300</f>
        <v>0</v>
      </c>
      <c r="AL92" s="39">
        <f t="shared" si="358"/>
        <v>4500</v>
      </c>
      <c r="AM92" s="22"/>
      <c r="AN92" s="22"/>
      <c r="AO92" s="22"/>
      <c r="AP92" s="22"/>
      <c r="AQ92" s="22"/>
      <c r="AR92" s="22"/>
      <c r="AS92" s="22"/>
      <c r="AT92" s="22"/>
    </row>
    <row r="93" spans="1:46" ht="14">
      <c r="A93" s="6">
        <v>90</v>
      </c>
      <c r="B93" s="6" t="s">
        <v>116</v>
      </c>
      <c r="F93" s="11"/>
      <c r="G93" s="36"/>
      <c r="H93" s="13">
        <v>36</v>
      </c>
      <c r="I93" s="13">
        <v>0</v>
      </c>
      <c r="J93" s="13">
        <v>20</v>
      </c>
      <c r="K93" s="16"/>
      <c r="L93" s="16">
        <f t="shared" si="0"/>
        <v>3600</v>
      </c>
      <c r="M93" s="16">
        <f t="shared" ref="M93:N93" si="359">I93*300</f>
        <v>0</v>
      </c>
      <c r="N93" s="3">
        <f t="shared" si="359"/>
        <v>6000</v>
      </c>
      <c r="O93" s="6">
        <v>30</v>
      </c>
      <c r="P93" s="6"/>
      <c r="Q93" s="6">
        <v>0</v>
      </c>
      <c r="R93" s="6">
        <v>15</v>
      </c>
      <c r="S93" s="17"/>
      <c r="T93" s="17">
        <f t="shared" si="2"/>
        <v>3000</v>
      </c>
      <c r="U93" s="17">
        <f t="shared" ref="U93:V93" si="360">Q93*300</f>
        <v>0</v>
      </c>
      <c r="V93" s="6">
        <f t="shared" si="360"/>
        <v>4500</v>
      </c>
      <c r="W93" s="6">
        <v>35</v>
      </c>
      <c r="X93" s="6"/>
      <c r="Y93" s="6">
        <v>0</v>
      </c>
      <c r="Z93" s="6">
        <v>10</v>
      </c>
      <c r="AA93" s="17"/>
      <c r="AB93" s="17">
        <f t="shared" si="4"/>
        <v>3500</v>
      </c>
      <c r="AC93" s="17">
        <f t="shared" ref="AC93:AD93" si="361">Y93*300</f>
        <v>0</v>
      </c>
      <c r="AD93" s="6">
        <f t="shared" si="361"/>
        <v>3000</v>
      </c>
      <c r="AE93" s="6">
        <v>30</v>
      </c>
      <c r="AF93" s="6"/>
      <c r="AG93" s="6">
        <v>0</v>
      </c>
      <c r="AH93" s="6">
        <v>20</v>
      </c>
      <c r="AI93" s="17"/>
      <c r="AJ93" s="17">
        <f t="shared" si="6"/>
        <v>3000</v>
      </c>
      <c r="AK93" s="17">
        <f t="shared" ref="AK93:AL93" si="362">AG93*300</f>
        <v>0</v>
      </c>
      <c r="AL93" s="39">
        <f t="shared" si="362"/>
        <v>6000</v>
      </c>
      <c r="AM93" s="22"/>
      <c r="AN93" s="22"/>
      <c r="AO93" s="22"/>
      <c r="AP93" s="22"/>
      <c r="AQ93" s="22"/>
      <c r="AR93" s="22"/>
      <c r="AS93" s="22"/>
      <c r="AT93" s="22"/>
    </row>
    <row r="94" spans="1:46" ht="14">
      <c r="A94" s="6">
        <v>91</v>
      </c>
      <c r="B94" s="6" t="s">
        <v>117</v>
      </c>
      <c r="F94" s="11"/>
      <c r="G94" s="36"/>
      <c r="H94" s="13">
        <v>45</v>
      </c>
      <c r="I94" s="13">
        <v>0</v>
      </c>
      <c r="J94" s="13">
        <v>10</v>
      </c>
      <c r="K94" s="16"/>
      <c r="L94" s="16">
        <f t="shared" si="0"/>
        <v>4500</v>
      </c>
      <c r="M94" s="16">
        <f t="shared" ref="M94:N94" si="363">I94*300</f>
        <v>0</v>
      </c>
      <c r="N94" s="3">
        <f t="shared" si="363"/>
        <v>3000</v>
      </c>
      <c r="O94" s="6">
        <v>45</v>
      </c>
      <c r="P94" s="6"/>
      <c r="Q94" s="6">
        <v>0</v>
      </c>
      <c r="R94" s="37">
        <v>10</v>
      </c>
      <c r="S94" s="17"/>
      <c r="T94" s="17">
        <f t="shared" si="2"/>
        <v>4500</v>
      </c>
      <c r="U94" s="17">
        <f t="shared" ref="U94:V94" si="364">Q94*300</f>
        <v>0</v>
      </c>
      <c r="V94" s="6">
        <f t="shared" si="364"/>
        <v>3000</v>
      </c>
      <c r="W94" s="6">
        <v>30</v>
      </c>
      <c r="X94" s="6"/>
      <c r="Y94" s="6">
        <v>0</v>
      </c>
      <c r="Z94" s="6">
        <v>10</v>
      </c>
      <c r="AA94" s="17"/>
      <c r="AB94" s="17">
        <f t="shared" si="4"/>
        <v>3000</v>
      </c>
      <c r="AC94" s="17">
        <f t="shared" ref="AC94:AD94" si="365">Y94*300</f>
        <v>0</v>
      </c>
      <c r="AD94" s="6">
        <f t="shared" si="365"/>
        <v>3000</v>
      </c>
      <c r="AE94" s="6">
        <v>43</v>
      </c>
      <c r="AF94" s="6"/>
      <c r="AG94" s="6">
        <v>0</v>
      </c>
      <c r="AH94" s="6">
        <v>15</v>
      </c>
      <c r="AI94" s="17"/>
      <c r="AJ94" s="17">
        <f t="shared" si="6"/>
        <v>4300</v>
      </c>
      <c r="AK94" s="17">
        <f t="shared" ref="AK94:AL94" si="366">AG94*300</f>
        <v>0</v>
      </c>
      <c r="AL94" s="39">
        <f t="shared" si="366"/>
        <v>4500</v>
      </c>
      <c r="AM94" s="22"/>
      <c r="AN94" s="22"/>
      <c r="AO94" s="22"/>
      <c r="AP94" s="22"/>
      <c r="AQ94" s="22"/>
      <c r="AR94" s="22"/>
      <c r="AS94" s="22"/>
      <c r="AT94" s="22"/>
    </row>
    <row r="95" spans="1:46" ht="14">
      <c r="A95" s="6">
        <v>92</v>
      </c>
      <c r="B95" s="6" t="s">
        <v>118</v>
      </c>
      <c r="F95" s="11"/>
      <c r="G95" s="36"/>
      <c r="H95" s="13">
        <v>33</v>
      </c>
      <c r="I95" s="13">
        <v>0</v>
      </c>
      <c r="J95" s="13">
        <v>20</v>
      </c>
      <c r="K95" s="16"/>
      <c r="L95" s="16">
        <f t="shared" si="0"/>
        <v>3300</v>
      </c>
      <c r="M95" s="16">
        <f t="shared" ref="M95:N95" si="367">I95*300</f>
        <v>0</v>
      </c>
      <c r="N95" s="3">
        <f t="shared" si="367"/>
        <v>6000</v>
      </c>
      <c r="O95" s="6">
        <v>0</v>
      </c>
      <c r="P95" s="6"/>
      <c r="Q95" s="6">
        <v>0</v>
      </c>
      <c r="R95" s="37">
        <v>20</v>
      </c>
      <c r="S95" s="17"/>
      <c r="T95" s="17">
        <f t="shared" si="2"/>
        <v>0</v>
      </c>
      <c r="U95" s="17">
        <f t="shared" ref="U95:V95" si="368">Q95*300</f>
        <v>0</v>
      </c>
      <c r="V95" s="6">
        <f t="shared" si="368"/>
        <v>6000</v>
      </c>
      <c r="W95" s="6">
        <v>25</v>
      </c>
      <c r="X95" s="6"/>
      <c r="Y95" s="6">
        <v>0</v>
      </c>
      <c r="Z95" s="6">
        <v>15</v>
      </c>
      <c r="AA95" s="17"/>
      <c r="AB95" s="17">
        <f t="shared" si="4"/>
        <v>2500</v>
      </c>
      <c r="AC95" s="17">
        <f t="shared" ref="AC95:AD95" si="369">Y95*300</f>
        <v>0</v>
      </c>
      <c r="AD95" s="6">
        <f t="shared" si="369"/>
        <v>4500</v>
      </c>
      <c r="AE95" s="6">
        <v>25</v>
      </c>
      <c r="AF95" s="6"/>
      <c r="AG95" s="6">
        <v>0</v>
      </c>
      <c r="AH95" s="6">
        <v>20</v>
      </c>
      <c r="AI95" s="17"/>
      <c r="AJ95" s="17">
        <f t="shared" si="6"/>
        <v>2500</v>
      </c>
      <c r="AK95" s="17">
        <f t="shared" ref="AK95:AL95" si="370">AG95*300</f>
        <v>0</v>
      </c>
      <c r="AL95" s="39">
        <f t="shared" si="370"/>
        <v>6000</v>
      </c>
      <c r="AM95" s="22"/>
      <c r="AN95" s="22"/>
      <c r="AO95" s="22"/>
      <c r="AP95" s="22"/>
      <c r="AQ95" s="22"/>
      <c r="AR95" s="22"/>
      <c r="AS95" s="22"/>
      <c r="AT95" s="22"/>
    </row>
    <row r="96" spans="1:46" ht="14">
      <c r="A96" s="6">
        <v>93</v>
      </c>
      <c r="B96" s="6" t="s">
        <v>119</v>
      </c>
      <c r="F96" s="11"/>
      <c r="G96" s="36"/>
      <c r="H96" s="13">
        <v>0</v>
      </c>
      <c r="I96" s="13">
        <v>0</v>
      </c>
      <c r="J96" s="13">
        <v>10</v>
      </c>
      <c r="K96" s="16"/>
      <c r="L96" s="16">
        <f t="shared" si="0"/>
        <v>0</v>
      </c>
      <c r="M96" s="16">
        <f t="shared" ref="M96:N96" si="371">I96*300</f>
        <v>0</v>
      </c>
      <c r="N96" s="3">
        <f t="shared" si="371"/>
        <v>3000</v>
      </c>
      <c r="O96" s="6">
        <v>0</v>
      </c>
      <c r="P96" s="6"/>
      <c r="Q96" s="6">
        <v>0</v>
      </c>
      <c r="R96" s="6">
        <v>15</v>
      </c>
      <c r="S96" s="17"/>
      <c r="T96" s="17">
        <f t="shared" si="2"/>
        <v>0</v>
      </c>
      <c r="U96" s="17">
        <f t="shared" ref="U96:V96" si="372">Q96*300</f>
        <v>0</v>
      </c>
      <c r="V96" s="6">
        <f t="shared" si="372"/>
        <v>4500</v>
      </c>
      <c r="W96" s="6">
        <v>0</v>
      </c>
      <c r="X96" s="6"/>
      <c r="Y96" s="6">
        <v>0</v>
      </c>
      <c r="Z96" s="6">
        <v>15</v>
      </c>
      <c r="AA96" s="17"/>
      <c r="AB96" s="17">
        <f t="shared" si="4"/>
        <v>0</v>
      </c>
      <c r="AC96" s="17">
        <f t="shared" ref="AC96:AD96" si="373">Y96*300</f>
        <v>0</v>
      </c>
      <c r="AD96" s="6">
        <f t="shared" si="373"/>
        <v>4500</v>
      </c>
      <c r="AE96" s="6">
        <v>0</v>
      </c>
      <c r="AF96" s="6"/>
      <c r="AG96" s="6">
        <v>25</v>
      </c>
      <c r="AH96" s="6">
        <v>10</v>
      </c>
      <c r="AI96" s="17"/>
      <c r="AJ96" s="17">
        <f t="shared" si="6"/>
        <v>0</v>
      </c>
      <c r="AK96" s="17">
        <f t="shared" ref="AK96:AL96" si="374">AG96*300</f>
        <v>7500</v>
      </c>
      <c r="AL96" s="39">
        <f t="shared" si="374"/>
        <v>3000</v>
      </c>
      <c r="AM96" s="22"/>
      <c r="AN96" s="22"/>
      <c r="AO96" s="22"/>
      <c r="AP96" s="22"/>
      <c r="AQ96" s="22"/>
      <c r="AR96" s="22"/>
      <c r="AS96" s="22"/>
      <c r="AT96" s="22"/>
    </row>
    <row r="97" spans="1:46" ht="14">
      <c r="A97" s="6">
        <v>94</v>
      </c>
      <c r="B97" s="6" t="s">
        <v>120</v>
      </c>
      <c r="F97" s="11"/>
      <c r="G97" s="36"/>
      <c r="H97" s="13">
        <v>20</v>
      </c>
      <c r="I97" s="13">
        <v>0</v>
      </c>
      <c r="J97" s="13">
        <v>10</v>
      </c>
      <c r="K97" s="16"/>
      <c r="L97" s="16">
        <f t="shared" si="0"/>
        <v>2000</v>
      </c>
      <c r="M97" s="16">
        <f t="shared" ref="M97:N97" si="375">I97*300</f>
        <v>0</v>
      </c>
      <c r="N97" s="3">
        <f t="shared" si="375"/>
        <v>3000</v>
      </c>
      <c r="O97" s="6">
        <v>15</v>
      </c>
      <c r="P97" s="6"/>
      <c r="Q97" s="6">
        <v>0</v>
      </c>
      <c r="R97" s="6">
        <v>15</v>
      </c>
      <c r="S97" s="17"/>
      <c r="T97" s="17">
        <f t="shared" si="2"/>
        <v>1500</v>
      </c>
      <c r="U97" s="17">
        <f t="shared" ref="U97:V97" si="376">Q97*300</f>
        <v>0</v>
      </c>
      <c r="V97" s="6">
        <f t="shared" si="376"/>
        <v>4500</v>
      </c>
      <c r="W97" s="6">
        <v>20</v>
      </c>
      <c r="X97" s="6"/>
      <c r="Y97" s="6">
        <v>0</v>
      </c>
      <c r="Z97" s="6">
        <v>10</v>
      </c>
      <c r="AA97" s="17"/>
      <c r="AB97" s="17">
        <f t="shared" si="4"/>
        <v>2000</v>
      </c>
      <c r="AC97" s="17">
        <f t="shared" ref="AC97:AD97" si="377">Y97*300</f>
        <v>0</v>
      </c>
      <c r="AD97" s="6">
        <f t="shared" si="377"/>
        <v>3000</v>
      </c>
      <c r="AE97" s="6">
        <v>25</v>
      </c>
      <c r="AF97" s="6"/>
      <c r="AG97" s="6">
        <v>15</v>
      </c>
      <c r="AH97" s="6">
        <v>0</v>
      </c>
      <c r="AI97" s="17"/>
      <c r="AJ97" s="17">
        <f t="shared" si="6"/>
        <v>2500</v>
      </c>
      <c r="AK97" s="17">
        <f t="shared" ref="AK97:AL97" si="378">AG97*300</f>
        <v>4500</v>
      </c>
      <c r="AL97" s="39">
        <f t="shared" si="378"/>
        <v>0</v>
      </c>
      <c r="AM97" s="22"/>
      <c r="AN97" s="22"/>
      <c r="AO97" s="22"/>
      <c r="AP97" s="22"/>
      <c r="AQ97" s="22"/>
      <c r="AR97" s="22"/>
      <c r="AS97" s="22"/>
      <c r="AT97" s="22"/>
    </row>
    <row r="98" spans="1:46" ht="14">
      <c r="A98" s="6">
        <v>95</v>
      </c>
      <c r="B98" s="6" t="s">
        <v>121</v>
      </c>
      <c r="F98" s="11"/>
      <c r="G98" s="36"/>
      <c r="H98" s="13">
        <v>35</v>
      </c>
      <c r="I98" s="13">
        <v>0</v>
      </c>
      <c r="J98" s="13">
        <v>20</v>
      </c>
      <c r="K98" s="16"/>
      <c r="L98" s="16">
        <f t="shared" si="0"/>
        <v>3500</v>
      </c>
      <c r="M98" s="16">
        <f t="shared" ref="M98:N98" si="379">I98*300</f>
        <v>0</v>
      </c>
      <c r="N98" s="3">
        <f t="shared" si="379"/>
        <v>6000</v>
      </c>
      <c r="O98" s="6">
        <v>40</v>
      </c>
      <c r="P98" s="6"/>
      <c r="Q98" s="6">
        <v>0</v>
      </c>
      <c r="R98" s="37">
        <v>10</v>
      </c>
      <c r="S98" s="17"/>
      <c r="T98" s="17">
        <f t="shared" si="2"/>
        <v>4000</v>
      </c>
      <c r="U98" s="17">
        <f t="shared" ref="U98:V98" si="380">Q98*300</f>
        <v>0</v>
      </c>
      <c r="V98" s="6">
        <f t="shared" si="380"/>
        <v>3000</v>
      </c>
      <c r="W98" s="6">
        <v>30</v>
      </c>
      <c r="X98" s="6"/>
      <c r="Y98" s="6">
        <v>0</v>
      </c>
      <c r="Z98" s="6">
        <v>5</v>
      </c>
      <c r="AA98" s="17"/>
      <c r="AB98" s="17">
        <f t="shared" si="4"/>
        <v>3000</v>
      </c>
      <c r="AC98" s="17">
        <f t="shared" ref="AC98:AD98" si="381">Y98*300</f>
        <v>0</v>
      </c>
      <c r="AD98" s="6">
        <f t="shared" si="381"/>
        <v>1500</v>
      </c>
      <c r="AE98" s="6">
        <v>35</v>
      </c>
      <c r="AF98" s="6"/>
      <c r="AG98" s="6">
        <v>0</v>
      </c>
      <c r="AH98" s="6">
        <v>20</v>
      </c>
      <c r="AI98" s="17"/>
      <c r="AJ98" s="17">
        <f t="shared" si="6"/>
        <v>3500</v>
      </c>
      <c r="AK98" s="17">
        <f t="shared" ref="AK98:AL98" si="382">AG98*300</f>
        <v>0</v>
      </c>
      <c r="AL98" s="39">
        <f t="shared" si="382"/>
        <v>6000</v>
      </c>
      <c r="AM98" s="22"/>
      <c r="AN98" s="22"/>
      <c r="AO98" s="22"/>
      <c r="AP98" s="22"/>
      <c r="AQ98" s="22"/>
      <c r="AR98" s="22"/>
      <c r="AS98" s="22"/>
      <c r="AT98" s="22"/>
    </row>
    <row r="99" spans="1:46" ht="14">
      <c r="A99" s="6">
        <v>96</v>
      </c>
      <c r="B99" s="6" t="s">
        <v>122</v>
      </c>
      <c r="F99" s="11"/>
      <c r="G99" s="36"/>
      <c r="H99" s="13">
        <v>70</v>
      </c>
      <c r="I99" s="13">
        <v>0</v>
      </c>
      <c r="J99" s="13">
        <v>20</v>
      </c>
      <c r="K99" s="16"/>
      <c r="L99" s="16">
        <f t="shared" si="0"/>
        <v>7000</v>
      </c>
      <c r="M99" s="16">
        <f t="shared" ref="M99:N99" si="383">I99*300</f>
        <v>0</v>
      </c>
      <c r="N99" s="3">
        <f t="shared" si="383"/>
        <v>6000</v>
      </c>
      <c r="O99" s="6">
        <v>42</v>
      </c>
      <c r="P99" s="6"/>
      <c r="Q99" s="6">
        <v>0</v>
      </c>
      <c r="R99" s="6">
        <v>10</v>
      </c>
      <c r="S99" s="17"/>
      <c r="T99" s="17">
        <f t="shared" si="2"/>
        <v>4200</v>
      </c>
      <c r="U99" s="17">
        <f t="shared" ref="U99:V99" si="384">Q99*300</f>
        <v>0</v>
      </c>
      <c r="V99" s="6">
        <f t="shared" si="384"/>
        <v>3000</v>
      </c>
      <c r="W99" s="6">
        <v>60</v>
      </c>
      <c r="X99" s="6"/>
      <c r="Y99" s="6">
        <v>0</v>
      </c>
      <c r="Z99" s="6">
        <v>15</v>
      </c>
      <c r="AA99" s="17"/>
      <c r="AB99" s="17">
        <f t="shared" si="4"/>
        <v>6000</v>
      </c>
      <c r="AC99" s="17">
        <f t="shared" ref="AC99:AD99" si="385">Y99*300</f>
        <v>0</v>
      </c>
      <c r="AD99" s="6">
        <f t="shared" si="385"/>
        <v>4500</v>
      </c>
      <c r="AE99" s="6">
        <v>40</v>
      </c>
      <c r="AF99" s="6"/>
      <c r="AG99" s="6">
        <v>0</v>
      </c>
      <c r="AH99" s="6">
        <v>20</v>
      </c>
      <c r="AI99" s="17"/>
      <c r="AJ99" s="17">
        <f t="shared" si="6"/>
        <v>4000</v>
      </c>
      <c r="AK99" s="17">
        <f t="shared" ref="AK99:AL99" si="386">AG99*300</f>
        <v>0</v>
      </c>
      <c r="AL99" s="39">
        <f t="shared" si="386"/>
        <v>6000</v>
      </c>
      <c r="AM99" s="41"/>
      <c r="AN99" s="41"/>
      <c r="AO99" s="41"/>
      <c r="AP99" s="41"/>
      <c r="AQ99" s="41"/>
      <c r="AR99" s="41"/>
      <c r="AS99" s="41"/>
      <c r="AT99" s="41"/>
    </row>
    <row r="100" spans="1:46" ht="14">
      <c r="A100" s="6">
        <v>97</v>
      </c>
      <c r="B100" s="6" t="s">
        <v>123</v>
      </c>
      <c r="F100" s="11"/>
      <c r="G100" s="36"/>
      <c r="H100" s="13">
        <v>50</v>
      </c>
      <c r="I100" s="13">
        <v>0</v>
      </c>
      <c r="J100" s="13">
        <v>20</v>
      </c>
      <c r="K100" s="16"/>
      <c r="L100" s="16">
        <f t="shared" si="0"/>
        <v>5000</v>
      </c>
      <c r="M100" s="16">
        <f t="shared" ref="M100:N100" si="387">I100*300</f>
        <v>0</v>
      </c>
      <c r="N100" s="3">
        <f t="shared" si="387"/>
        <v>6000</v>
      </c>
      <c r="O100" s="6">
        <v>40</v>
      </c>
      <c r="P100" s="6"/>
      <c r="Q100" s="6">
        <v>0</v>
      </c>
      <c r="R100" s="6">
        <v>15</v>
      </c>
      <c r="S100" s="17"/>
      <c r="T100" s="17">
        <f t="shared" si="2"/>
        <v>4000</v>
      </c>
      <c r="U100" s="17">
        <f t="shared" ref="U100:V100" si="388">Q100*300</f>
        <v>0</v>
      </c>
      <c r="V100" s="6">
        <f t="shared" si="388"/>
        <v>4500</v>
      </c>
      <c r="W100" s="6">
        <v>42</v>
      </c>
      <c r="X100" s="6"/>
      <c r="Y100" s="6">
        <v>0</v>
      </c>
      <c r="Z100" s="6">
        <v>10</v>
      </c>
      <c r="AA100" s="17"/>
      <c r="AB100" s="17">
        <f t="shared" si="4"/>
        <v>4200</v>
      </c>
      <c r="AC100" s="17">
        <f t="shared" ref="AC100:AD100" si="389">Y100*300</f>
        <v>0</v>
      </c>
      <c r="AD100" s="6">
        <f t="shared" si="389"/>
        <v>3000</v>
      </c>
      <c r="AE100" s="6">
        <v>45</v>
      </c>
      <c r="AF100" s="6"/>
      <c r="AG100" s="6">
        <v>0</v>
      </c>
      <c r="AH100" s="6">
        <v>10</v>
      </c>
      <c r="AI100" s="17"/>
      <c r="AJ100" s="17">
        <f t="shared" si="6"/>
        <v>4500</v>
      </c>
      <c r="AK100" s="17">
        <f t="shared" ref="AK100:AL100" si="390">AG100*300</f>
        <v>0</v>
      </c>
      <c r="AL100" s="39">
        <f t="shared" si="390"/>
        <v>3000</v>
      </c>
      <c r="AM100" s="41"/>
      <c r="AN100" s="41"/>
      <c r="AO100" s="41"/>
      <c r="AP100" s="41"/>
      <c r="AQ100" s="41"/>
      <c r="AR100" s="41"/>
      <c r="AS100" s="41"/>
      <c r="AT100" s="41"/>
    </row>
    <row r="101" spans="1:46" ht="14">
      <c r="A101" s="6">
        <v>98</v>
      </c>
      <c r="B101" s="6" t="s">
        <v>124</v>
      </c>
      <c r="F101" s="11"/>
      <c r="G101" s="36"/>
      <c r="H101" s="13">
        <v>60</v>
      </c>
      <c r="I101" s="13">
        <v>0</v>
      </c>
      <c r="J101" s="13">
        <v>20</v>
      </c>
      <c r="K101" s="16"/>
      <c r="L101" s="16">
        <f t="shared" si="0"/>
        <v>6000</v>
      </c>
      <c r="M101" s="16">
        <f t="shared" ref="M101:N101" si="391">I101*300</f>
        <v>0</v>
      </c>
      <c r="N101" s="3">
        <f t="shared" si="391"/>
        <v>6000</v>
      </c>
      <c r="O101" s="6">
        <v>48</v>
      </c>
      <c r="P101" s="6"/>
      <c r="Q101" s="6">
        <v>0</v>
      </c>
      <c r="R101" s="6">
        <v>10</v>
      </c>
      <c r="S101" s="17"/>
      <c r="T101" s="17">
        <f t="shared" si="2"/>
        <v>4800</v>
      </c>
      <c r="U101" s="17">
        <f t="shared" ref="U101:V101" si="392">Q101*300</f>
        <v>0</v>
      </c>
      <c r="V101" s="6">
        <f t="shared" si="392"/>
        <v>3000</v>
      </c>
      <c r="W101" s="6">
        <v>45</v>
      </c>
      <c r="X101" s="6"/>
      <c r="Y101" s="6">
        <v>0</v>
      </c>
      <c r="Z101" s="6">
        <v>10</v>
      </c>
      <c r="AA101" s="17"/>
      <c r="AB101" s="17">
        <f t="shared" si="4"/>
        <v>4500</v>
      </c>
      <c r="AC101" s="17">
        <f t="shared" ref="AC101:AD101" si="393">Y101*300</f>
        <v>0</v>
      </c>
      <c r="AD101" s="6">
        <f t="shared" si="393"/>
        <v>3000</v>
      </c>
      <c r="AE101" s="6">
        <v>40</v>
      </c>
      <c r="AF101" s="6"/>
      <c r="AG101" s="6">
        <v>0</v>
      </c>
      <c r="AH101" s="6">
        <v>15</v>
      </c>
      <c r="AI101" s="17"/>
      <c r="AJ101" s="17">
        <f t="shared" si="6"/>
        <v>4000</v>
      </c>
      <c r="AK101" s="17">
        <f t="shared" ref="AK101:AL101" si="394">AG101*300</f>
        <v>0</v>
      </c>
      <c r="AL101" s="39">
        <f t="shared" si="394"/>
        <v>4500</v>
      </c>
      <c r="AM101" s="41"/>
      <c r="AN101" s="41"/>
      <c r="AO101" s="41"/>
      <c r="AP101" s="41"/>
      <c r="AQ101" s="41"/>
      <c r="AR101" s="41"/>
      <c r="AS101" s="41"/>
      <c r="AT101" s="41"/>
    </row>
    <row r="102" spans="1:46" ht="14">
      <c r="A102" s="6">
        <v>99</v>
      </c>
      <c r="B102" s="6" t="s">
        <v>125</v>
      </c>
      <c r="F102" s="11"/>
      <c r="G102" s="36"/>
      <c r="H102" s="13">
        <v>45</v>
      </c>
      <c r="I102" s="13">
        <v>0</v>
      </c>
      <c r="J102" s="13">
        <v>0</v>
      </c>
      <c r="K102" s="16"/>
      <c r="L102" s="16">
        <f t="shared" si="0"/>
        <v>4500</v>
      </c>
      <c r="M102" s="16">
        <f t="shared" ref="M102:N102" si="395">I102*300</f>
        <v>0</v>
      </c>
      <c r="N102" s="3">
        <f t="shared" si="395"/>
        <v>0</v>
      </c>
      <c r="O102" s="6">
        <v>0</v>
      </c>
      <c r="P102" s="6"/>
      <c r="Q102" s="6">
        <v>0</v>
      </c>
      <c r="R102" s="6">
        <v>20</v>
      </c>
      <c r="S102" s="17"/>
      <c r="T102" s="17">
        <f t="shared" si="2"/>
        <v>0</v>
      </c>
      <c r="U102" s="17">
        <f t="shared" ref="U102:V102" si="396">Q102*300</f>
        <v>0</v>
      </c>
      <c r="V102" s="6">
        <f t="shared" si="396"/>
        <v>6000</v>
      </c>
      <c r="W102" s="6">
        <v>30</v>
      </c>
      <c r="X102" s="6"/>
      <c r="Y102" s="6">
        <v>0</v>
      </c>
      <c r="Z102" s="6">
        <v>15</v>
      </c>
      <c r="AA102" s="17"/>
      <c r="AB102" s="17">
        <f t="shared" si="4"/>
        <v>3000</v>
      </c>
      <c r="AC102" s="17">
        <f t="shared" ref="AC102:AD102" si="397">Y102*300</f>
        <v>0</v>
      </c>
      <c r="AD102" s="6">
        <f t="shared" si="397"/>
        <v>4500</v>
      </c>
      <c r="AE102" s="6">
        <v>27</v>
      </c>
      <c r="AF102" s="6"/>
      <c r="AG102" s="6">
        <v>0</v>
      </c>
      <c r="AH102" s="6">
        <v>20</v>
      </c>
      <c r="AI102" s="17"/>
      <c r="AJ102" s="17">
        <f t="shared" si="6"/>
        <v>2700</v>
      </c>
      <c r="AK102" s="17">
        <f t="shared" ref="AK102:AL102" si="398">AG102*300</f>
        <v>0</v>
      </c>
      <c r="AL102" s="39">
        <f t="shared" si="398"/>
        <v>6000</v>
      </c>
      <c r="AM102" s="41"/>
      <c r="AN102" s="41"/>
      <c r="AO102" s="41"/>
      <c r="AP102" s="41"/>
      <c r="AQ102" s="41"/>
      <c r="AR102" s="41"/>
      <c r="AS102" s="41"/>
      <c r="AT102" s="41"/>
    </row>
    <row r="103" spans="1:46" ht="14">
      <c r="A103" s="6">
        <v>100</v>
      </c>
      <c r="B103" s="6" t="s">
        <v>126</v>
      </c>
      <c r="C103" s="31"/>
      <c r="D103" s="31"/>
      <c r="E103" s="31"/>
      <c r="F103" s="33"/>
      <c r="G103" s="36"/>
      <c r="H103" s="13">
        <v>10</v>
      </c>
      <c r="I103" s="13">
        <v>0</v>
      </c>
      <c r="J103" s="13">
        <v>5</v>
      </c>
      <c r="K103" s="16"/>
      <c r="L103" s="16">
        <f t="shared" si="0"/>
        <v>1000</v>
      </c>
      <c r="M103" s="16">
        <f t="shared" ref="M103:N103" si="399">I103*300</f>
        <v>0</v>
      </c>
      <c r="N103" s="6">
        <f t="shared" si="399"/>
        <v>1500</v>
      </c>
      <c r="O103" s="6">
        <v>10</v>
      </c>
      <c r="P103" s="6"/>
      <c r="Q103" s="6">
        <v>0</v>
      </c>
      <c r="R103" s="6">
        <v>5</v>
      </c>
      <c r="S103" s="17"/>
      <c r="T103" s="17">
        <f t="shared" si="2"/>
        <v>1000</v>
      </c>
      <c r="U103" s="17">
        <f t="shared" ref="U103:V103" si="400">Q103*300</f>
        <v>0</v>
      </c>
      <c r="V103" s="6">
        <f t="shared" si="400"/>
        <v>1500</v>
      </c>
      <c r="W103" s="6">
        <v>15</v>
      </c>
      <c r="X103" s="6"/>
      <c r="Y103" s="6">
        <v>0</v>
      </c>
      <c r="Z103" s="6">
        <v>10</v>
      </c>
      <c r="AA103" s="17"/>
      <c r="AB103" s="17">
        <f t="shared" si="4"/>
        <v>1500</v>
      </c>
      <c r="AC103" s="17">
        <f t="shared" ref="AC103:AD103" si="401">Y103*300</f>
        <v>0</v>
      </c>
      <c r="AD103" s="6">
        <f t="shared" si="401"/>
        <v>3000</v>
      </c>
      <c r="AE103" s="6">
        <v>20</v>
      </c>
      <c r="AF103" s="6"/>
      <c r="AG103" s="6">
        <v>0</v>
      </c>
      <c r="AH103" s="6">
        <v>14</v>
      </c>
      <c r="AI103" s="17"/>
      <c r="AJ103" s="17">
        <f t="shared" si="6"/>
        <v>2000</v>
      </c>
      <c r="AK103" s="17">
        <f t="shared" ref="AK103:AL103" si="402">AG103*300</f>
        <v>0</v>
      </c>
      <c r="AL103" s="39">
        <f t="shared" si="402"/>
        <v>4200</v>
      </c>
      <c r="AM103" s="42"/>
      <c r="AN103" s="42"/>
      <c r="AO103" s="42"/>
      <c r="AP103" s="42"/>
      <c r="AQ103" s="42"/>
      <c r="AR103" s="42"/>
      <c r="AS103" s="42"/>
      <c r="AT103" s="42"/>
    </row>
    <row r="104" spans="1:46" ht="15.75" customHeight="1">
      <c r="A104" s="3"/>
      <c r="B104" s="32" t="s">
        <v>151</v>
      </c>
      <c r="G104" s="40"/>
      <c r="H104" s="3">
        <f t="shared" ref="H104:J104" si="403">SUM(H4:H103)</f>
        <v>3486</v>
      </c>
      <c r="I104" s="3">
        <f t="shared" si="403"/>
        <v>125</v>
      </c>
      <c r="J104" s="3">
        <f t="shared" si="403"/>
        <v>1088</v>
      </c>
      <c r="K104" s="16"/>
      <c r="L104" s="16">
        <f t="shared" ref="L104:O104" si="404">SUM(L4:L103)</f>
        <v>348600</v>
      </c>
      <c r="M104" s="16">
        <f t="shared" si="404"/>
        <v>37500</v>
      </c>
      <c r="N104" s="3">
        <f t="shared" si="404"/>
        <v>326400</v>
      </c>
      <c r="O104" s="6">
        <f t="shared" si="404"/>
        <v>2743</v>
      </c>
      <c r="P104" s="6"/>
      <c r="Q104" s="6">
        <f t="shared" ref="Q104:R104" si="405">SUM(Q4:Q103)</f>
        <v>0</v>
      </c>
      <c r="R104" s="6">
        <f t="shared" si="405"/>
        <v>1174</v>
      </c>
      <c r="S104" s="17"/>
      <c r="T104" s="17">
        <f t="shared" ref="T104:W104" si="406">SUM(T4:T103)</f>
        <v>274300</v>
      </c>
      <c r="U104" s="17">
        <f t="shared" si="406"/>
        <v>0</v>
      </c>
      <c r="V104" s="6">
        <f t="shared" si="406"/>
        <v>352200</v>
      </c>
      <c r="W104" s="6">
        <f t="shared" si="406"/>
        <v>3433</v>
      </c>
      <c r="X104" s="6"/>
      <c r="Y104" s="6">
        <f t="shared" ref="Y104:Z104" si="407">SUM(Y4:Y103)</f>
        <v>0</v>
      </c>
      <c r="Z104" s="6">
        <f t="shared" si="407"/>
        <v>1167</v>
      </c>
      <c r="AA104" s="17"/>
      <c r="AB104" s="17">
        <f t="shared" ref="AB104:AE104" si="408">SUM(AB4:AB103)</f>
        <v>343300</v>
      </c>
      <c r="AC104" s="17">
        <f t="shared" si="408"/>
        <v>0</v>
      </c>
      <c r="AD104" s="6">
        <f t="shared" si="408"/>
        <v>350100</v>
      </c>
      <c r="AE104" s="6">
        <f t="shared" si="408"/>
        <v>3286</v>
      </c>
      <c r="AF104" s="6"/>
      <c r="AG104" s="6">
        <f t="shared" ref="AG104:AH104" si="409">SUM(AG4:AG103)</f>
        <v>280</v>
      </c>
      <c r="AH104" s="6">
        <f t="shared" si="409"/>
        <v>1325.5</v>
      </c>
      <c r="AI104" s="17"/>
      <c r="AJ104" s="17">
        <f t="shared" ref="AJ104:AL104" si="410">SUM(AJ4:AJ103)</f>
        <v>328600</v>
      </c>
      <c r="AK104" s="17">
        <f t="shared" si="410"/>
        <v>84000</v>
      </c>
      <c r="AL104" s="39">
        <f t="shared" si="410"/>
        <v>397650</v>
      </c>
      <c r="AM104" s="41"/>
      <c r="AN104" s="41"/>
      <c r="AO104" s="41"/>
      <c r="AP104" s="41"/>
      <c r="AQ104" s="41"/>
      <c r="AR104" s="41"/>
      <c r="AS104" s="41"/>
      <c r="AT104" s="41"/>
    </row>
    <row r="105" spans="1:46" ht="15.75" customHeight="1">
      <c r="B105" s="18"/>
      <c r="G105" s="34"/>
      <c r="J105" s="18"/>
      <c r="N105" s="18"/>
      <c r="O105" s="1"/>
      <c r="P105" s="1"/>
      <c r="Q105" s="1"/>
      <c r="R105" s="18"/>
      <c r="S105" s="1"/>
      <c r="T105" s="1"/>
      <c r="U105" s="1"/>
      <c r="V105" s="1"/>
      <c r="X105" s="18"/>
      <c r="Y105" s="18"/>
      <c r="Z105" s="35"/>
      <c r="AA105" s="18"/>
      <c r="AB105" s="18"/>
      <c r="AC105" s="18"/>
      <c r="AD105" s="35"/>
      <c r="AH105" s="18"/>
      <c r="AL105" s="18"/>
      <c r="AM105" s="22"/>
      <c r="AN105" s="22"/>
      <c r="AO105" s="22"/>
      <c r="AP105" s="22"/>
      <c r="AQ105" s="22"/>
      <c r="AR105" s="22"/>
      <c r="AS105" s="22"/>
      <c r="AT105" s="22"/>
    </row>
    <row r="106" spans="1:46" ht="15.75" customHeight="1">
      <c r="B106" s="18"/>
      <c r="G106" s="34"/>
      <c r="J106" s="18"/>
      <c r="N106" s="18"/>
      <c r="O106" s="1"/>
      <c r="P106" s="1"/>
      <c r="Q106" s="1"/>
      <c r="R106" s="18"/>
      <c r="S106" s="1"/>
      <c r="T106" s="1"/>
      <c r="U106" s="1"/>
      <c r="V106" s="1"/>
      <c r="X106" s="18"/>
      <c r="Y106" s="18"/>
      <c r="Z106" s="35"/>
      <c r="AA106" s="18"/>
      <c r="AB106" s="18"/>
      <c r="AC106" s="18"/>
      <c r="AD106" s="35"/>
      <c r="AH106" s="18"/>
      <c r="AL106" s="18"/>
      <c r="AM106" s="22"/>
      <c r="AN106" s="22"/>
      <c r="AO106" s="22"/>
      <c r="AP106" s="22"/>
      <c r="AQ106" s="22"/>
      <c r="AR106" s="22"/>
      <c r="AS106" s="22"/>
      <c r="AT106" s="22"/>
    </row>
    <row r="107" spans="1:46" ht="15.75" customHeight="1">
      <c r="B107" s="18"/>
      <c r="G107" s="34"/>
      <c r="J107" s="18"/>
      <c r="N107" s="18"/>
      <c r="O107" s="1"/>
      <c r="P107" s="1"/>
      <c r="Q107" s="1"/>
      <c r="R107" s="18"/>
      <c r="S107" s="1"/>
      <c r="T107" s="1"/>
      <c r="U107" s="1"/>
      <c r="V107" s="1"/>
      <c r="X107" s="18"/>
      <c r="Y107" s="18"/>
      <c r="Z107" s="35"/>
      <c r="AA107" s="18"/>
      <c r="AB107" s="18"/>
      <c r="AC107" s="18"/>
      <c r="AD107" s="35"/>
      <c r="AH107" s="18"/>
      <c r="AL107" s="18"/>
      <c r="AM107" s="22"/>
      <c r="AN107" s="22"/>
      <c r="AO107" s="22"/>
      <c r="AP107" s="22"/>
      <c r="AQ107" s="22"/>
      <c r="AR107" s="22"/>
      <c r="AS107" s="22"/>
      <c r="AT107" s="22"/>
    </row>
    <row r="108" spans="1:46" ht="15.75" customHeight="1">
      <c r="B108" s="18"/>
      <c r="G108" s="34"/>
      <c r="J108" s="18"/>
      <c r="N108" s="18"/>
      <c r="O108" s="1"/>
      <c r="P108" s="1"/>
      <c r="Q108" s="1"/>
      <c r="R108" s="18"/>
      <c r="S108" s="1"/>
      <c r="T108" s="1"/>
      <c r="U108" s="1"/>
      <c r="V108" s="1"/>
      <c r="Z108" s="18"/>
      <c r="AD108" s="18"/>
      <c r="AH108" s="18"/>
      <c r="AL108" s="18"/>
      <c r="AM108" s="22"/>
      <c r="AN108" s="22"/>
      <c r="AO108" s="22"/>
      <c r="AP108" s="22"/>
      <c r="AQ108" s="22"/>
      <c r="AR108" s="22"/>
      <c r="AS108" s="22"/>
      <c r="AT108" s="22"/>
    </row>
    <row r="109" spans="1:46" ht="15.75" customHeight="1">
      <c r="B109" s="18"/>
      <c r="G109" s="34"/>
      <c r="J109" s="18"/>
      <c r="N109" s="18"/>
      <c r="O109" s="1"/>
      <c r="P109" s="1"/>
      <c r="Q109" s="1"/>
      <c r="R109" s="18"/>
      <c r="S109" s="1"/>
      <c r="T109" s="1"/>
      <c r="U109" s="1"/>
      <c r="V109" s="1"/>
      <c r="Z109" s="18"/>
      <c r="AD109" s="18"/>
      <c r="AH109" s="18"/>
      <c r="AL109" s="18"/>
      <c r="AM109" s="22"/>
      <c r="AN109" s="22"/>
      <c r="AO109" s="22"/>
      <c r="AP109" s="22"/>
      <c r="AQ109" s="22"/>
      <c r="AR109" s="22"/>
      <c r="AS109" s="22"/>
      <c r="AT109" s="22"/>
    </row>
    <row r="110" spans="1:46" ht="15.75" customHeight="1">
      <c r="B110" s="18"/>
      <c r="G110" s="34"/>
      <c r="J110" s="18"/>
      <c r="N110" s="18"/>
      <c r="O110" s="1"/>
      <c r="P110" s="1"/>
      <c r="Q110" s="1"/>
      <c r="R110" s="18"/>
      <c r="S110" s="1"/>
      <c r="T110" s="1"/>
      <c r="U110" s="1"/>
      <c r="V110" s="1"/>
      <c r="Z110" s="18"/>
      <c r="AD110" s="18"/>
      <c r="AH110" s="18"/>
      <c r="AL110" s="18"/>
      <c r="AM110" s="22"/>
      <c r="AN110" s="22"/>
      <c r="AO110" s="22"/>
      <c r="AP110" s="22"/>
      <c r="AQ110" s="22"/>
      <c r="AR110" s="22"/>
      <c r="AS110" s="22"/>
      <c r="AT110" s="22"/>
    </row>
    <row r="111" spans="1:46" ht="15.75" customHeight="1">
      <c r="B111" s="18"/>
      <c r="G111" s="34"/>
      <c r="J111" s="18"/>
      <c r="N111" s="18"/>
      <c r="O111" s="1"/>
      <c r="P111" s="1"/>
      <c r="Q111" s="1"/>
      <c r="R111" s="18"/>
      <c r="S111" s="1"/>
      <c r="T111" s="1"/>
      <c r="U111" s="1"/>
      <c r="V111" s="1"/>
      <c r="Z111" s="18"/>
      <c r="AD111" s="18"/>
      <c r="AH111" s="18"/>
      <c r="AL111" s="18"/>
      <c r="AM111" s="22"/>
      <c r="AN111" s="22"/>
      <c r="AO111" s="22"/>
      <c r="AP111" s="22"/>
      <c r="AQ111" s="22"/>
      <c r="AR111" s="22"/>
      <c r="AS111" s="22"/>
      <c r="AT111" s="22"/>
    </row>
    <row r="112" spans="1:46" ht="15.75" customHeight="1">
      <c r="B112" s="18"/>
      <c r="G112" s="34"/>
      <c r="J112" s="18"/>
      <c r="N112" s="18"/>
      <c r="O112" s="1"/>
      <c r="P112" s="1"/>
      <c r="Q112" s="1"/>
      <c r="R112" s="18"/>
      <c r="S112" s="1"/>
      <c r="T112" s="1"/>
      <c r="U112" s="1" t="s">
        <v>152</v>
      </c>
      <c r="V112" s="1"/>
      <c r="Z112" s="18"/>
      <c r="AD112" s="18"/>
      <c r="AH112" s="18"/>
      <c r="AL112" s="18"/>
      <c r="AM112" s="22"/>
      <c r="AN112" s="22"/>
      <c r="AO112" s="22"/>
      <c r="AP112" s="22"/>
      <c r="AQ112" s="22"/>
      <c r="AR112" s="22"/>
      <c r="AS112" s="22"/>
      <c r="AT112" s="22"/>
    </row>
    <row r="113" spans="2:46" ht="15.75" customHeight="1">
      <c r="B113" s="18"/>
      <c r="G113" s="34"/>
      <c r="J113" s="18"/>
      <c r="N113" s="18"/>
      <c r="O113" s="1"/>
      <c r="P113" s="1"/>
      <c r="Q113" s="1"/>
      <c r="R113" s="18"/>
      <c r="S113" s="1"/>
      <c r="T113" s="1"/>
      <c r="U113" s="1"/>
      <c r="V113" s="1"/>
      <c r="Z113" s="18"/>
      <c r="AD113" s="18"/>
      <c r="AH113" s="18"/>
      <c r="AL113" s="18"/>
      <c r="AM113" s="22"/>
      <c r="AN113" s="22"/>
      <c r="AO113" s="22"/>
      <c r="AP113" s="22"/>
      <c r="AQ113" s="22"/>
      <c r="AR113" s="22"/>
      <c r="AS113" s="22"/>
      <c r="AT113" s="22"/>
    </row>
    <row r="114" spans="2:46" ht="15.75" customHeight="1">
      <c r="B114" s="18"/>
      <c r="G114" s="34"/>
      <c r="J114" s="18"/>
      <c r="N114" s="18"/>
      <c r="O114" s="1"/>
      <c r="P114" s="1"/>
      <c r="Q114" s="1"/>
      <c r="R114" s="18"/>
      <c r="S114" s="1"/>
      <c r="T114" s="1"/>
      <c r="U114" s="1"/>
      <c r="V114" s="1"/>
      <c r="Z114" s="18"/>
      <c r="AD114" s="18"/>
      <c r="AH114" s="18"/>
      <c r="AL114" s="18"/>
      <c r="AM114" s="22"/>
      <c r="AN114" s="22"/>
      <c r="AO114" s="22"/>
      <c r="AP114" s="22"/>
      <c r="AQ114" s="22"/>
      <c r="AR114" s="22"/>
      <c r="AS114" s="22"/>
      <c r="AT114" s="22"/>
    </row>
    <row r="115" spans="2:46" ht="15.75" customHeight="1">
      <c r="B115" s="18"/>
      <c r="G115" s="34"/>
      <c r="J115" s="18"/>
      <c r="N115" s="18"/>
      <c r="O115" s="1"/>
      <c r="P115" s="1"/>
      <c r="Q115" s="1"/>
      <c r="R115" s="18"/>
      <c r="S115" s="1"/>
      <c r="T115" s="1"/>
      <c r="U115" s="1"/>
      <c r="V115" s="1"/>
      <c r="Z115" s="18"/>
      <c r="AD115" s="18"/>
      <c r="AH115" s="18"/>
      <c r="AL115" s="18"/>
      <c r="AM115" s="22"/>
      <c r="AN115" s="22"/>
      <c r="AO115" s="22"/>
      <c r="AP115" s="22"/>
      <c r="AQ115" s="22"/>
      <c r="AR115" s="22"/>
      <c r="AS115" s="22"/>
      <c r="AT115" s="22"/>
    </row>
    <row r="116" spans="2:46" ht="13">
      <c r="G116" s="34"/>
      <c r="J116" s="18"/>
      <c r="N116" s="18"/>
      <c r="O116" s="1"/>
      <c r="P116" s="1"/>
      <c r="Q116" s="1"/>
      <c r="R116" s="18"/>
      <c r="S116" s="1"/>
      <c r="T116" s="1"/>
      <c r="U116" s="1"/>
      <c r="V116" s="1"/>
      <c r="Z116" s="18"/>
      <c r="AD116" s="18"/>
      <c r="AH116" s="18"/>
      <c r="AL116" s="18"/>
      <c r="AM116" s="22"/>
      <c r="AN116" s="22"/>
      <c r="AO116" s="22"/>
      <c r="AP116" s="22"/>
      <c r="AQ116" s="22"/>
      <c r="AR116" s="22"/>
      <c r="AS116" s="22"/>
      <c r="AT116" s="22"/>
    </row>
    <row r="117" spans="2:46" ht="13">
      <c r="G117" s="34"/>
      <c r="J117" s="18"/>
      <c r="N117" s="18"/>
      <c r="O117" s="1"/>
      <c r="P117" s="1"/>
      <c r="Q117" s="1"/>
      <c r="R117" s="18"/>
      <c r="S117" s="1"/>
      <c r="T117" s="1"/>
      <c r="U117" s="1"/>
      <c r="V117" s="1"/>
      <c r="Z117" s="18"/>
      <c r="AD117" s="18"/>
      <c r="AH117" s="18"/>
      <c r="AL117" s="18"/>
      <c r="AM117" s="22"/>
      <c r="AN117" s="22"/>
      <c r="AO117" s="22"/>
      <c r="AP117" s="22"/>
      <c r="AQ117" s="22"/>
      <c r="AR117" s="22"/>
      <c r="AS117" s="22"/>
      <c r="AT117" s="22"/>
    </row>
    <row r="118" spans="2:46" ht="13">
      <c r="G118" s="34"/>
      <c r="J118" s="18"/>
      <c r="N118" s="18"/>
      <c r="O118" s="1"/>
      <c r="P118" s="1"/>
      <c r="Q118" s="1"/>
      <c r="R118" s="18"/>
      <c r="S118" s="1"/>
      <c r="T118" s="1"/>
      <c r="U118" s="1"/>
      <c r="V118" s="1"/>
      <c r="Z118" s="18"/>
      <c r="AD118" s="18"/>
      <c r="AH118" s="18"/>
      <c r="AL118" s="18"/>
      <c r="AM118" s="22"/>
      <c r="AN118" s="22"/>
      <c r="AO118" s="22"/>
      <c r="AP118" s="22"/>
      <c r="AQ118" s="22"/>
      <c r="AR118" s="22"/>
      <c r="AS118" s="22"/>
      <c r="AT118" s="22"/>
    </row>
    <row r="119" spans="2:46" ht="13">
      <c r="G119" s="34"/>
      <c r="J119" s="18"/>
      <c r="N119" s="18"/>
      <c r="O119" s="1"/>
      <c r="P119" s="1"/>
      <c r="Q119" s="1"/>
      <c r="R119" s="18"/>
      <c r="S119" s="1"/>
      <c r="T119" s="1"/>
      <c r="U119" s="1"/>
      <c r="V119" s="1"/>
      <c r="Z119" s="18"/>
      <c r="AD119" s="18"/>
      <c r="AH119" s="18"/>
      <c r="AL119" s="18"/>
      <c r="AM119" s="22"/>
      <c r="AN119" s="22"/>
      <c r="AO119" s="22"/>
      <c r="AP119" s="22"/>
      <c r="AQ119" s="22"/>
      <c r="AR119" s="22"/>
      <c r="AS119" s="22"/>
      <c r="AT119" s="22"/>
    </row>
    <row r="120" spans="2:46" ht="13">
      <c r="G120" s="34"/>
      <c r="J120" s="18"/>
      <c r="N120" s="18"/>
      <c r="O120" s="1"/>
      <c r="P120" s="1"/>
      <c r="Q120" s="1"/>
      <c r="R120" s="18"/>
      <c r="S120" s="1"/>
      <c r="T120" s="1"/>
      <c r="U120" s="1"/>
      <c r="V120" s="1"/>
      <c r="Z120" s="18"/>
      <c r="AD120" s="18"/>
      <c r="AH120" s="18"/>
      <c r="AL120" s="18"/>
      <c r="AM120" s="22"/>
      <c r="AN120" s="22"/>
      <c r="AO120" s="22"/>
      <c r="AP120" s="22"/>
      <c r="AQ120" s="22"/>
      <c r="AR120" s="22"/>
      <c r="AS120" s="22"/>
      <c r="AT120" s="22"/>
    </row>
    <row r="121" spans="2:46" ht="13">
      <c r="G121" s="34"/>
      <c r="J121" s="18"/>
      <c r="N121" s="18"/>
      <c r="O121" s="1"/>
      <c r="P121" s="1"/>
      <c r="Q121" s="1"/>
      <c r="R121" s="18"/>
      <c r="S121" s="1"/>
      <c r="T121" s="1"/>
      <c r="U121" s="1"/>
      <c r="V121" s="1"/>
      <c r="Z121" s="18"/>
      <c r="AD121" s="18"/>
      <c r="AH121" s="18"/>
      <c r="AL121" s="18"/>
      <c r="AM121" s="22"/>
      <c r="AN121" s="22"/>
      <c r="AO121" s="22"/>
      <c r="AP121" s="22"/>
      <c r="AQ121" s="22"/>
      <c r="AR121" s="22"/>
      <c r="AS121" s="22"/>
      <c r="AT121" s="22"/>
    </row>
    <row r="122" spans="2:46" ht="13">
      <c r="G122" s="34"/>
      <c r="J122" s="18"/>
      <c r="N122" s="18"/>
      <c r="O122" s="1"/>
      <c r="P122" s="1"/>
      <c r="Q122" s="1"/>
      <c r="R122" s="18"/>
      <c r="S122" s="1"/>
      <c r="T122" s="1"/>
      <c r="U122" s="1"/>
      <c r="V122" s="1"/>
      <c r="Z122" s="18"/>
      <c r="AD122" s="18"/>
      <c r="AH122" s="18"/>
      <c r="AL122" s="18"/>
      <c r="AM122" s="22"/>
      <c r="AN122" s="22"/>
      <c r="AO122" s="22"/>
      <c r="AP122" s="22"/>
      <c r="AQ122" s="22"/>
      <c r="AR122" s="22"/>
      <c r="AS122" s="22"/>
      <c r="AT122" s="22"/>
    </row>
    <row r="123" spans="2:46" ht="13">
      <c r="G123" s="34"/>
      <c r="J123" s="18"/>
      <c r="N123" s="18"/>
      <c r="O123" s="1"/>
      <c r="P123" s="1"/>
      <c r="Q123" s="1"/>
      <c r="R123" s="18"/>
      <c r="S123" s="1"/>
      <c r="T123" s="1"/>
      <c r="U123" s="1"/>
      <c r="V123" s="1"/>
      <c r="Z123" s="18"/>
      <c r="AD123" s="18"/>
      <c r="AH123" s="18"/>
      <c r="AL123" s="18"/>
      <c r="AM123" s="22"/>
      <c r="AN123" s="22"/>
      <c r="AO123" s="22"/>
      <c r="AP123" s="22"/>
      <c r="AQ123" s="22"/>
      <c r="AR123" s="22"/>
      <c r="AS123" s="22"/>
      <c r="AT123" s="22"/>
    </row>
    <row r="124" spans="2:46" ht="13">
      <c r="G124" s="34"/>
      <c r="J124" s="18"/>
      <c r="N124" s="18"/>
      <c r="O124" s="1"/>
      <c r="P124" s="1"/>
      <c r="Q124" s="1"/>
      <c r="R124" s="18"/>
      <c r="S124" s="1"/>
      <c r="T124" s="1"/>
      <c r="U124" s="1"/>
      <c r="V124" s="1"/>
      <c r="Z124" s="18"/>
      <c r="AD124" s="18"/>
      <c r="AH124" s="18"/>
      <c r="AL124" s="18"/>
      <c r="AM124" s="22"/>
      <c r="AN124" s="22"/>
      <c r="AO124" s="22"/>
      <c r="AP124" s="22"/>
      <c r="AQ124" s="22"/>
      <c r="AR124" s="22"/>
      <c r="AS124" s="22"/>
      <c r="AT124" s="22"/>
    </row>
    <row r="125" spans="2:46" ht="13">
      <c r="G125" s="34"/>
      <c r="J125" s="18"/>
      <c r="N125" s="18"/>
      <c r="O125" s="1"/>
      <c r="P125" s="1"/>
      <c r="Q125" s="1"/>
      <c r="R125" s="18"/>
      <c r="S125" s="1"/>
      <c r="T125" s="1"/>
      <c r="U125" s="1"/>
      <c r="V125" s="1"/>
      <c r="Z125" s="18"/>
      <c r="AD125" s="18"/>
      <c r="AH125" s="18"/>
      <c r="AL125" s="18"/>
      <c r="AM125" s="22"/>
      <c r="AN125" s="22"/>
      <c r="AO125" s="22"/>
      <c r="AP125" s="22"/>
      <c r="AQ125" s="22"/>
      <c r="AR125" s="22"/>
      <c r="AS125" s="22"/>
      <c r="AT125" s="22"/>
    </row>
    <row r="126" spans="2:46" ht="13">
      <c r="G126" s="34"/>
      <c r="J126" s="18"/>
      <c r="N126" s="18"/>
      <c r="O126" s="1"/>
      <c r="P126" s="1"/>
      <c r="Q126" s="1"/>
      <c r="R126" s="18"/>
      <c r="S126" s="1"/>
      <c r="T126" s="1"/>
      <c r="U126" s="1"/>
      <c r="V126" s="1"/>
      <c r="Z126" s="18"/>
      <c r="AD126" s="18"/>
      <c r="AH126" s="18"/>
      <c r="AL126" s="18"/>
      <c r="AM126" s="22"/>
      <c r="AN126" s="22"/>
      <c r="AO126" s="22"/>
      <c r="AP126" s="22"/>
      <c r="AQ126" s="22"/>
      <c r="AR126" s="22"/>
      <c r="AS126" s="22"/>
      <c r="AT126" s="22"/>
    </row>
    <row r="127" spans="2:46" ht="13">
      <c r="G127" s="34"/>
      <c r="J127" s="18"/>
      <c r="N127" s="18"/>
      <c r="O127" s="1"/>
      <c r="P127" s="1"/>
      <c r="Q127" s="1"/>
      <c r="R127" s="18"/>
      <c r="S127" s="1"/>
      <c r="T127" s="1"/>
      <c r="U127" s="1"/>
      <c r="V127" s="1"/>
      <c r="Z127" s="18"/>
      <c r="AD127" s="18"/>
      <c r="AH127" s="18"/>
      <c r="AL127" s="18"/>
      <c r="AM127" s="22"/>
      <c r="AN127" s="22"/>
      <c r="AO127" s="22"/>
      <c r="AP127" s="22"/>
      <c r="AQ127" s="22"/>
      <c r="AR127" s="22"/>
      <c r="AS127" s="22"/>
      <c r="AT127" s="22"/>
    </row>
    <row r="128" spans="2:46" ht="13">
      <c r="G128" s="34"/>
      <c r="J128" s="18"/>
      <c r="N128" s="18"/>
      <c r="O128" s="1"/>
      <c r="P128" s="1"/>
      <c r="Q128" s="1"/>
      <c r="R128" s="18"/>
      <c r="S128" s="1"/>
      <c r="T128" s="1"/>
      <c r="U128" s="1"/>
      <c r="V128" s="1"/>
      <c r="Z128" s="18"/>
      <c r="AD128" s="18"/>
      <c r="AH128" s="18"/>
      <c r="AL128" s="18"/>
      <c r="AM128" s="22"/>
      <c r="AN128" s="22"/>
      <c r="AO128" s="22"/>
      <c r="AP128" s="22"/>
      <c r="AQ128" s="22"/>
      <c r="AR128" s="22"/>
      <c r="AS128" s="22"/>
      <c r="AT128" s="22"/>
    </row>
    <row r="129" spans="7:46" ht="13">
      <c r="G129" s="34"/>
      <c r="J129" s="18"/>
      <c r="N129" s="18"/>
      <c r="O129" s="1"/>
      <c r="P129" s="1"/>
      <c r="Q129" s="1"/>
      <c r="R129" s="18"/>
      <c r="S129" s="1"/>
      <c r="T129" s="1"/>
      <c r="U129" s="1"/>
      <c r="V129" s="1"/>
      <c r="Z129" s="18"/>
      <c r="AD129" s="18"/>
      <c r="AH129" s="18"/>
      <c r="AL129" s="18"/>
      <c r="AM129" s="22"/>
      <c r="AN129" s="22"/>
      <c r="AO129" s="22"/>
      <c r="AP129" s="22"/>
      <c r="AQ129" s="22"/>
      <c r="AR129" s="22"/>
      <c r="AS129" s="22"/>
      <c r="AT129" s="22"/>
    </row>
    <row r="130" spans="7:46" ht="13">
      <c r="G130" s="34"/>
      <c r="J130" s="18"/>
      <c r="N130" s="18"/>
      <c r="O130" s="1"/>
      <c r="P130" s="1"/>
      <c r="Q130" s="1"/>
      <c r="R130" s="18"/>
      <c r="S130" s="1"/>
      <c r="T130" s="1"/>
      <c r="U130" s="1"/>
      <c r="V130" s="1"/>
      <c r="Z130" s="18"/>
      <c r="AD130" s="18"/>
      <c r="AH130" s="18"/>
      <c r="AL130" s="18"/>
      <c r="AM130" s="22"/>
      <c r="AN130" s="22"/>
      <c r="AO130" s="22"/>
      <c r="AP130" s="22"/>
      <c r="AQ130" s="22"/>
      <c r="AR130" s="22"/>
      <c r="AS130" s="22"/>
      <c r="AT130" s="22"/>
    </row>
    <row r="131" spans="7:46" ht="13">
      <c r="G131" s="34"/>
      <c r="J131" s="18"/>
      <c r="N131" s="18"/>
      <c r="O131" s="1"/>
      <c r="P131" s="1"/>
      <c r="Q131" s="1"/>
      <c r="R131" s="18"/>
      <c r="S131" s="1"/>
      <c r="T131" s="1"/>
      <c r="U131" s="1"/>
      <c r="V131" s="1"/>
      <c r="Z131" s="18"/>
      <c r="AD131" s="18"/>
      <c r="AH131" s="18"/>
      <c r="AL131" s="18"/>
      <c r="AM131" s="22"/>
      <c r="AN131" s="22"/>
      <c r="AO131" s="22"/>
      <c r="AP131" s="22"/>
      <c r="AQ131" s="22"/>
      <c r="AR131" s="22"/>
      <c r="AS131" s="22"/>
      <c r="AT131" s="22"/>
    </row>
    <row r="132" spans="7:46" ht="13">
      <c r="G132" s="34"/>
      <c r="J132" s="18"/>
      <c r="N132" s="18"/>
      <c r="O132" s="1"/>
      <c r="P132" s="1"/>
      <c r="Q132" s="1"/>
      <c r="R132" s="18"/>
      <c r="S132" s="1"/>
      <c r="T132" s="1"/>
      <c r="U132" s="1"/>
      <c r="V132" s="1"/>
      <c r="Z132" s="18"/>
      <c r="AD132" s="18"/>
      <c r="AH132" s="18"/>
      <c r="AL132" s="18"/>
      <c r="AM132" s="22"/>
      <c r="AN132" s="22"/>
      <c r="AO132" s="22"/>
      <c r="AP132" s="22"/>
      <c r="AQ132" s="22"/>
      <c r="AR132" s="22"/>
      <c r="AS132" s="22"/>
      <c r="AT132" s="22"/>
    </row>
    <row r="133" spans="7:46" ht="13">
      <c r="G133" s="34"/>
      <c r="J133" s="18"/>
      <c r="N133" s="18"/>
      <c r="O133" s="1"/>
      <c r="P133" s="1"/>
      <c r="Q133" s="1"/>
      <c r="R133" s="18"/>
      <c r="S133" s="1"/>
      <c r="T133" s="1"/>
      <c r="U133" s="1"/>
      <c r="V133" s="1"/>
      <c r="Z133" s="18"/>
      <c r="AD133" s="18"/>
      <c r="AH133" s="18"/>
      <c r="AL133" s="18"/>
      <c r="AM133" s="22"/>
      <c r="AN133" s="22"/>
      <c r="AO133" s="22"/>
      <c r="AP133" s="22"/>
      <c r="AQ133" s="22"/>
      <c r="AR133" s="22"/>
      <c r="AS133" s="22"/>
      <c r="AT133" s="22"/>
    </row>
    <row r="134" spans="7:46" ht="13">
      <c r="G134" s="34"/>
      <c r="J134" s="18"/>
      <c r="N134" s="18"/>
      <c r="O134" s="1"/>
      <c r="P134" s="1"/>
      <c r="Q134" s="1"/>
      <c r="R134" s="18"/>
      <c r="S134" s="1"/>
      <c r="T134" s="1"/>
      <c r="U134" s="1"/>
      <c r="V134" s="1"/>
      <c r="Z134" s="18"/>
      <c r="AD134" s="18"/>
      <c r="AH134" s="18"/>
      <c r="AL134" s="18"/>
      <c r="AM134" s="22"/>
      <c r="AN134" s="22"/>
      <c r="AO134" s="22"/>
      <c r="AP134" s="22"/>
      <c r="AQ134" s="22"/>
      <c r="AR134" s="22"/>
      <c r="AS134" s="22"/>
      <c r="AT134" s="22"/>
    </row>
    <row r="135" spans="7:46" ht="13">
      <c r="G135" s="34"/>
      <c r="J135" s="18"/>
      <c r="N135" s="18"/>
      <c r="O135" s="1"/>
      <c r="P135" s="1"/>
      <c r="Q135" s="1"/>
      <c r="R135" s="18"/>
      <c r="S135" s="1"/>
      <c r="T135" s="1"/>
      <c r="U135" s="1"/>
      <c r="V135" s="1"/>
      <c r="Z135" s="18"/>
      <c r="AD135" s="18"/>
      <c r="AH135" s="18"/>
      <c r="AL135" s="18"/>
      <c r="AM135" s="22"/>
      <c r="AN135" s="22"/>
      <c r="AO135" s="22"/>
      <c r="AP135" s="22"/>
      <c r="AQ135" s="22"/>
      <c r="AR135" s="22"/>
      <c r="AS135" s="22"/>
      <c r="AT135" s="22"/>
    </row>
    <row r="136" spans="7:46" ht="13">
      <c r="G136" s="34"/>
      <c r="J136" s="18"/>
      <c r="N136" s="18"/>
      <c r="O136" s="1"/>
      <c r="P136" s="1"/>
      <c r="Q136" s="1"/>
      <c r="R136" s="18"/>
      <c r="S136" s="1"/>
      <c r="T136" s="1"/>
      <c r="U136" s="1"/>
      <c r="V136" s="1"/>
      <c r="Z136" s="18"/>
      <c r="AD136" s="18"/>
      <c r="AH136" s="18"/>
      <c r="AL136" s="18"/>
      <c r="AM136" s="22"/>
      <c r="AN136" s="22"/>
      <c r="AO136" s="22"/>
      <c r="AP136" s="22"/>
      <c r="AQ136" s="22"/>
      <c r="AR136" s="22"/>
      <c r="AS136" s="22"/>
      <c r="AT136" s="22"/>
    </row>
    <row r="137" spans="7:46" ht="13">
      <c r="G137" s="34"/>
      <c r="J137" s="18"/>
      <c r="N137" s="18"/>
      <c r="O137" s="1"/>
      <c r="P137" s="1"/>
      <c r="Q137" s="1"/>
      <c r="R137" s="18"/>
      <c r="S137" s="1"/>
      <c r="T137" s="1"/>
      <c r="U137" s="1"/>
      <c r="V137" s="1"/>
      <c r="Z137" s="18"/>
      <c r="AD137" s="18"/>
      <c r="AH137" s="18"/>
      <c r="AL137" s="18"/>
      <c r="AM137" s="22"/>
      <c r="AN137" s="22"/>
      <c r="AO137" s="22"/>
      <c r="AP137" s="22"/>
      <c r="AQ137" s="22"/>
      <c r="AR137" s="22"/>
      <c r="AS137" s="22"/>
      <c r="AT137" s="22"/>
    </row>
    <row r="138" spans="7:46" ht="13">
      <c r="G138" s="34"/>
      <c r="J138" s="18"/>
      <c r="N138" s="18"/>
      <c r="O138" s="1"/>
      <c r="P138" s="1"/>
      <c r="Q138" s="1"/>
      <c r="R138" s="18"/>
      <c r="S138" s="1"/>
      <c r="T138" s="1"/>
      <c r="U138" s="1"/>
      <c r="V138" s="1"/>
      <c r="Z138" s="18"/>
      <c r="AD138" s="18"/>
      <c r="AH138" s="18"/>
      <c r="AL138" s="18"/>
      <c r="AM138" s="22"/>
      <c r="AN138" s="22"/>
      <c r="AO138" s="22"/>
      <c r="AP138" s="22"/>
      <c r="AQ138" s="22"/>
      <c r="AR138" s="22"/>
      <c r="AS138" s="22"/>
      <c r="AT138" s="22"/>
    </row>
    <row r="139" spans="7:46" ht="13">
      <c r="G139" s="34"/>
      <c r="J139" s="18"/>
      <c r="N139" s="18"/>
      <c r="O139" s="1"/>
      <c r="P139" s="1"/>
      <c r="Q139" s="1"/>
      <c r="R139" s="18"/>
      <c r="S139" s="1"/>
      <c r="T139" s="1"/>
      <c r="U139" s="1"/>
      <c r="V139" s="1"/>
      <c r="Z139" s="18"/>
      <c r="AD139" s="18"/>
      <c r="AH139" s="18"/>
      <c r="AL139" s="18"/>
      <c r="AM139" s="22"/>
      <c r="AN139" s="22"/>
      <c r="AO139" s="22"/>
      <c r="AP139" s="22"/>
      <c r="AQ139" s="22"/>
      <c r="AR139" s="22"/>
      <c r="AS139" s="22"/>
      <c r="AT139" s="22"/>
    </row>
    <row r="140" spans="7:46" ht="13">
      <c r="G140" s="34"/>
      <c r="J140" s="18"/>
      <c r="N140" s="18"/>
      <c r="O140" s="1"/>
      <c r="P140" s="1"/>
      <c r="Q140" s="1"/>
      <c r="R140" s="18"/>
      <c r="S140" s="1"/>
      <c r="T140" s="1"/>
      <c r="U140" s="1"/>
      <c r="V140" s="1"/>
      <c r="Z140" s="18"/>
      <c r="AD140" s="18"/>
      <c r="AH140" s="18"/>
      <c r="AL140" s="18"/>
      <c r="AM140" s="22"/>
      <c r="AN140" s="22"/>
      <c r="AO140" s="22"/>
      <c r="AP140" s="22"/>
      <c r="AQ140" s="22"/>
      <c r="AR140" s="22"/>
      <c r="AS140" s="22"/>
      <c r="AT140" s="22"/>
    </row>
    <row r="141" spans="7:46" ht="13">
      <c r="G141" s="34"/>
      <c r="J141" s="18"/>
      <c r="N141" s="18"/>
      <c r="O141" s="1"/>
      <c r="P141" s="1"/>
      <c r="Q141" s="1"/>
      <c r="R141" s="18"/>
      <c r="S141" s="1"/>
      <c r="T141" s="1"/>
      <c r="U141" s="1"/>
      <c r="V141" s="1"/>
      <c r="Z141" s="18"/>
      <c r="AD141" s="18"/>
      <c r="AH141" s="18"/>
      <c r="AL141" s="18"/>
      <c r="AM141" s="22"/>
      <c r="AN141" s="22"/>
      <c r="AO141" s="22"/>
      <c r="AP141" s="22"/>
      <c r="AQ141" s="22"/>
      <c r="AR141" s="22"/>
      <c r="AS141" s="22"/>
      <c r="AT141" s="22"/>
    </row>
    <row r="142" spans="7:46" ht="13">
      <c r="G142" s="34"/>
      <c r="J142" s="18"/>
      <c r="N142" s="18"/>
      <c r="O142" s="1"/>
      <c r="P142" s="1"/>
      <c r="Q142" s="1"/>
      <c r="R142" s="18"/>
      <c r="S142" s="1"/>
      <c r="T142" s="1"/>
      <c r="U142" s="1"/>
      <c r="V142" s="1"/>
      <c r="Z142" s="18"/>
      <c r="AD142" s="18"/>
      <c r="AH142" s="18"/>
      <c r="AL142" s="18"/>
      <c r="AM142" s="22"/>
      <c r="AN142" s="22"/>
      <c r="AO142" s="22"/>
      <c r="AP142" s="22"/>
      <c r="AQ142" s="22"/>
      <c r="AR142" s="22"/>
      <c r="AS142" s="22"/>
      <c r="AT142" s="22"/>
    </row>
    <row r="143" spans="7:46" ht="13">
      <c r="G143" s="34"/>
      <c r="J143" s="18"/>
      <c r="N143" s="18"/>
      <c r="O143" s="1"/>
      <c r="P143" s="1"/>
      <c r="Q143" s="1"/>
      <c r="R143" s="18"/>
      <c r="S143" s="1"/>
      <c r="T143" s="1"/>
      <c r="U143" s="1"/>
      <c r="V143" s="1"/>
      <c r="Z143" s="18"/>
      <c r="AD143" s="18"/>
      <c r="AH143" s="18"/>
      <c r="AL143" s="18"/>
      <c r="AM143" s="22"/>
      <c r="AN143" s="22"/>
      <c r="AO143" s="22"/>
      <c r="AP143" s="22"/>
      <c r="AQ143" s="22"/>
      <c r="AR143" s="22"/>
      <c r="AS143" s="22"/>
      <c r="AT143" s="22"/>
    </row>
    <row r="144" spans="7:46" ht="13">
      <c r="G144" s="34"/>
      <c r="J144" s="18"/>
      <c r="N144" s="18"/>
      <c r="O144" s="1"/>
      <c r="P144" s="1"/>
      <c r="Q144" s="1"/>
      <c r="R144" s="18"/>
      <c r="S144" s="1"/>
      <c r="T144" s="1"/>
      <c r="U144" s="1"/>
      <c r="V144" s="1"/>
      <c r="Z144" s="18"/>
      <c r="AD144" s="18"/>
      <c r="AH144" s="18"/>
      <c r="AL144" s="18"/>
      <c r="AM144" s="22"/>
      <c r="AN144" s="22"/>
      <c r="AO144" s="22"/>
      <c r="AP144" s="22"/>
      <c r="AQ144" s="22"/>
      <c r="AR144" s="22"/>
      <c r="AS144" s="22"/>
      <c r="AT144" s="22"/>
    </row>
    <row r="145" spans="7:46" ht="13">
      <c r="G145" s="34"/>
      <c r="J145" s="18"/>
      <c r="N145" s="18"/>
      <c r="O145" s="1"/>
      <c r="P145" s="1"/>
      <c r="Q145" s="1"/>
      <c r="R145" s="18"/>
      <c r="S145" s="1"/>
      <c r="T145" s="1"/>
      <c r="U145" s="1"/>
      <c r="V145" s="1"/>
      <c r="Z145" s="18"/>
      <c r="AD145" s="18"/>
      <c r="AH145" s="18"/>
      <c r="AL145" s="18"/>
      <c r="AM145" s="22"/>
      <c r="AN145" s="22"/>
      <c r="AO145" s="22"/>
      <c r="AP145" s="22"/>
      <c r="AQ145" s="22"/>
      <c r="AR145" s="22"/>
      <c r="AS145" s="22"/>
      <c r="AT145" s="22"/>
    </row>
    <row r="146" spans="7:46" ht="13">
      <c r="G146" s="34"/>
      <c r="J146" s="18"/>
      <c r="N146" s="18"/>
      <c r="O146" s="1"/>
      <c r="P146" s="1"/>
      <c r="Q146" s="1"/>
      <c r="R146" s="18"/>
      <c r="S146" s="1"/>
      <c r="T146" s="1"/>
      <c r="U146" s="1"/>
      <c r="V146" s="1"/>
      <c r="Z146" s="18"/>
      <c r="AD146" s="18"/>
      <c r="AH146" s="18"/>
      <c r="AL146" s="18"/>
      <c r="AM146" s="22"/>
      <c r="AN146" s="22"/>
      <c r="AO146" s="22"/>
      <c r="AP146" s="22"/>
      <c r="AQ146" s="22"/>
      <c r="AR146" s="22"/>
      <c r="AS146" s="22"/>
      <c r="AT146" s="22"/>
    </row>
    <row r="147" spans="7:46" ht="13">
      <c r="G147" s="34"/>
      <c r="J147" s="18"/>
      <c r="N147" s="18"/>
      <c r="O147" s="1"/>
      <c r="P147" s="1"/>
      <c r="Q147" s="1"/>
      <c r="R147" s="18"/>
      <c r="S147" s="1"/>
      <c r="T147" s="1"/>
      <c r="U147" s="1"/>
      <c r="V147" s="1"/>
      <c r="Z147" s="18"/>
      <c r="AD147" s="18"/>
      <c r="AH147" s="18"/>
      <c r="AL147" s="18"/>
      <c r="AM147" s="22"/>
      <c r="AN147" s="22"/>
      <c r="AO147" s="22"/>
      <c r="AP147" s="22"/>
      <c r="AQ147" s="22"/>
      <c r="AR147" s="22"/>
      <c r="AS147" s="22"/>
      <c r="AT147" s="22"/>
    </row>
    <row r="148" spans="7:46" ht="13">
      <c r="G148" s="34"/>
      <c r="J148" s="18"/>
      <c r="N148" s="18"/>
      <c r="O148" s="1"/>
      <c r="P148" s="1"/>
      <c r="Q148" s="1"/>
      <c r="R148" s="18"/>
      <c r="S148" s="1"/>
      <c r="T148" s="1"/>
      <c r="U148" s="1"/>
      <c r="V148" s="1"/>
      <c r="Z148" s="18"/>
      <c r="AD148" s="18"/>
      <c r="AH148" s="18"/>
      <c r="AL148" s="18"/>
      <c r="AM148" s="22"/>
      <c r="AN148" s="22"/>
      <c r="AO148" s="22"/>
      <c r="AP148" s="22"/>
      <c r="AQ148" s="22"/>
      <c r="AR148" s="22"/>
      <c r="AS148" s="22"/>
      <c r="AT148" s="22"/>
    </row>
    <row r="149" spans="7:46" ht="13">
      <c r="G149" s="34"/>
      <c r="J149" s="18"/>
      <c r="N149" s="18"/>
      <c r="O149" s="1"/>
      <c r="P149" s="1"/>
      <c r="Q149" s="1"/>
      <c r="R149" s="18"/>
      <c r="S149" s="1"/>
      <c r="T149" s="1"/>
      <c r="U149" s="1"/>
      <c r="V149" s="1"/>
      <c r="Z149" s="18"/>
      <c r="AD149" s="18"/>
      <c r="AH149" s="18"/>
      <c r="AL149" s="18"/>
      <c r="AM149" s="22"/>
      <c r="AN149" s="22"/>
      <c r="AO149" s="22"/>
      <c r="AP149" s="22"/>
      <c r="AQ149" s="22"/>
      <c r="AR149" s="22"/>
      <c r="AS149" s="22"/>
      <c r="AT149" s="22"/>
    </row>
    <row r="150" spans="7:46" ht="13">
      <c r="G150" s="34"/>
      <c r="J150" s="18"/>
      <c r="N150" s="18"/>
      <c r="O150" s="1"/>
      <c r="P150" s="1"/>
      <c r="Q150" s="1"/>
      <c r="R150" s="18"/>
      <c r="S150" s="1"/>
      <c r="T150" s="1"/>
      <c r="U150" s="1"/>
      <c r="V150" s="1"/>
      <c r="Z150" s="18"/>
      <c r="AD150" s="18"/>
      <c r="AH150" s="18"/>
      <c r="AL150" s="18"/>
      <c r="AM150" s="22"/>
      <c r="AN150" s="22"/>
      <c r="AO150" s="22"/>
      <c r="AP150" s="22"/>
      <c r="AQ150" s="22"/>
      <c r="AR150" s="22"/>
      <c r="AS150" s="22"/>
      <c r="AT150" s="22"/>
    </row>
    <row r="151" spans="7:46" ht="13">
      <c r="G151" s="34"/>
      <c r="J151" s="18"/>
      <c r="N151" s="18"/>
      <c r="O151" s="1"/>
      <c r="P151" s="1"/>
      <c r="Q151" s="1"/>
      <c r="R151" s="18"/>
      <c r="S151" s="1"/>
      <c r="T151" s="1"/>
      <c r="U151" s="1"/>
      <c r="V151" s="1"/>
      <c r="Z151" s="18"/>
      <c r="AD151" s="18"/>
      <c r="AH151" s="18"/>
      <c r="AL151" s="18"/>
      <c r="AM151" s="22"/>
      <c r="AN151" s="22"/>
      <c r="AO151" s="22"/>
      <c r="AP151" s="22"/>
      <c r="AQ151" s="22"/>
      <c r="AR151" s="22"/>
      <c r="AS151" s="22"/>
      <c r="AT151" s="22"/>
    </row>
    <row r="152" spans="7:46" ht="13">
      <c r="G152" s="34"/>
      <c r="J152" s="18"/>
      <c r="N152" s="18"/>
      <c r="O152" s="1"/>
      <c r="P152" s="1"/>
      <c r="Q152" s="1"/>
      <c r="R152" s="18"/>
      <c r="S152" s="1"/>
      <c r="T152" s="1"/>
      <c r="U152" s="1"/>
      <c r="V152" s="1"/>
      <c r="Z152" s="18"/>
      <c r="AD152" s="18"/>
      <c r="AH152" s="18"/>
      <c r="AL152" s="18"/>
      <c r="AM152" s="22"/>
      <c r="AN152" s="22"/>
      <c r="AO152" s="22"/>
      <c r="AP152" s="22"/>
      <c r="AQ152" s="22"/>
      <c r="AR152" s="22"/>
      <c r="AS152" s="22"/>
      <c r="AT152" s="22"/>
    </row>
    <row r="153" spans="7:46" ht="13">
      <c r="G153" s="34"/>
      <c r="J153" s="18"/>
      <c r="N153" s="18"/>
      <c r="O153" s="1"/>
      <c r="P153" s="1"/>
      <c r="Q153" s="1"/>
      <c r="R153" s="18"/>
      <c r="S153" s="1"/>
      <c r="T153" s="1"/>
      <c r="U153" s="1"/>
      <c r="V153" s="1"/>
      <c r="Z153" s="18"/>
      <c r="AD153" s="18"/>
      <c r="AH153" s="18"/>
      <c r="AL153" s="18"/>
      <c r="AM153" s="22"/>
      <c r="AN153" s="22"/>
      <c r="AO153" s="22"/>
      <c r="AP153" s="22"/>
      <c r="AQ153" s="22"/>
      <c r="AR153" s="22"/>
      <c r="AS153" s="22"/>
      <c r="AT153" s="22"/>
    </row>
    <row r="154" spans="7:46" ht="13">
      <c r="G154" s="34"/>
      <c r="J154" s="18"/>
      <c r="N154" s="18"/>
      <c r="O154" s="1"/>
      <c r="P154" s="1"/>
      <c r="Q154" s="1"/>
      <c r="R154" s="18"/>
      <c r="S154" s="1"/>
      <c r="T154" s="1"/>
      <c r="U154" s="1"/>
      <c r="V154" s="1"/>
      <c r="Z154" s="18"/>
      <c r="AD154" s="18"/>
      <c r="AH154" s="18"/>
      <c r="AL154" s="18"/>
      <c r="AM154" s="22"/>
      <c r="AN154" s="22"/>
      <c r="AO154" s="22"/>
      <c r="AP154" s="22"/>
      <c r="AQ154" s="22"/>
      <c r="AR154" s="22"/>
      <c r="AS154" s="22"/>
      <c r="AT154" s="22"/>
    </row>
    <row r="155" spans="7:46" ht="13">
      <c r="G155" s="34"/>
      <c r="J155" s="18"/>
      <c r="N155" s="18"/>
      <c r="O155" s="1"/>
      <c r="P155" s="1"/>
      <c r="Q155" s="1"/>
      <c r="R155" s="18"/>
      <c r="S155" s="1"/>
      <c r="T155" s="1"/>
      <c r="U155" s="1"/>
      <c r="V155" s="1"/>
      <c r="Z155" s="18"/>
      <c r="AD155" s="18"/>
      <c r="AH155" s="18"/>
      <c r="AL155" s="18"/>
      <c r="AM155" s="22"/>
      <c r="AN155" s="22"/>
      <c r="AO155" s="22"/>
      <c r="AP155" s="22"/>
      <c r="AQ155" s="22"/>
      <c r="AR155" s="22"/>
      <c r="AS155" s="22"/>
      <c r="AT155" s="22"/>
    </row>
    <row r="156" spans="7:46" ht="13">
      <c r="G156" s="34"/>
      <c r="J156" s="18"/>
      <c r="N156" s="18"/>
      <c r="O156" s="1"/>
      <c r="P156" s="1"/>
      <c r="Q156" s="1"/>
      <c r="R156" s="18"/>
      <c r="S156" s="1"/>
      <c r="T156" s="1"/>
      <c r="U156" s="1"/>
      <c r="V156" s="1"/>
      <c r="Z156" s="18"/>
      <c r="AD156" s="18"/>
      <c r="AH156" s="18"/>
      <c r="AL156" s="18"/>
      <c r="AM156" s="22"/>
      <c r="AN156" s="22"/>
      <c r="AO156" s="22"/>
      <c r="AP156" s="22"/>
      <c r="AQ156" s="22"/>
      <c r="AR156" s="22"/>
      <c r="AS156" s="22"/>
      <c r="AT156" s="22"/>
    </row>
    <row r="157" spans="7:46" ht="13">
      <c r="G157" s="34"/>
      <c r="J157" s="18"/>
      <c r="N157" s="18"/>
      <c r="O157" s="1"/>
      <c r="P157" s="1"/>
      <c r="Q157" s="1"/>
      <c r="R157" s="18"/>
      <c r="S157" s="1"/>
      <c r="T157" s="1"/>
      <c r="U157" s="1"/>
      <c r="V157" s="1"/>
      <c r="Z157" s="18"/>
      <c r="AD157" s="18"/>
      <c r="AH157" s="18"/>
      <c r="AL157" s="18"/>
      <c r="AM157" s="22"/>
      <c r="AN157" s="22"/>
      <c r="AO157" s="22"/>
      <c r="AP157" s="22"/>
      <c r="AQ157" s="22"/>
      <c r="AR157" s="22"/>
      <c r="AS157" s="22"/>
      <c r="AT157" s="22"/>
    </row>
    <row r="158" spans="7:46" ht="13">
      <c r="G158" s="34"/>
      <c r="J158" s="18"/>
      <c r="N158" s="18"/>
      <c r="O158" s="1"/>
      <c r="P158" s="1"/>
      <c r="Q158" s="1"/>
      <c r="R158" s="18"/>
      <c r="S158" s="1"/>
      <c r="T158" s="1"/>
      <c r="U158" s="1"/>
      <c r="V158" s="1"/>
      <c r="Z158" s="18"/>
      <c r="AD158" s="18"/>
      <c r="AH158" s="18"/>
      <c r="AL158" s="18"/>
      <c r="AM158" s="22"/>
      <c r="AN158" s="22"/>
      <c r="AO158" s="22"/>
      <c r="AP158" s="22"/>
      <c r="AQ158" s="22"/>
      <c r="AR158" s="22"/>
      <c r="AS158" s="22"/>
      <c r="AT158" s="22"/>
    </row>
    <row r="159" spans="7:46" ht="13">
      <c r="G159" s="34"/>
      <c r="J159" s="18"/>
      <c r="N159" s="18"/>
      <c r="O159" s="1"/>
      <c r="P159" s="1"/>
      <c r="Q159" s="1"/>
      <c r="R159" s="18"/>
      <c r="S159" s="1"/>
      <c r="T159" s="1"/>
      <c r="U159" s="1"/>
      <c r="V159" s="1"/>
      <c r="Z159" s="18"/>
      <c r="AD159" s="18"/>
      <c r="AH159" s="18"/>
      <c r="AL159" s="18"/>
      <c r="AM159" s="22"/>
      <c r="AN159" s="22"/>
      <c r="AO159" s="22"/>
      <c r="AP159" s="22"/>
      <c r="AQ159" s="22"/>
      <c r="AR159" s="22"/>
      <c r="AS159" s="22"/>
      <c r="AT159" s="22"/>
    </row>
    <row r="160" spans="7:46" ht="13">
      <c r="G160" s="34"/>
      <c r="J160" s="18"/>
      <c r="N160" s="18"/>
      <c r="O160" s="1"/>
      <c r="P160" s="1"/>
      <c r="Q160" s="1"/>
      <c r="R160" s="18"/>
      <c r="S160" s="1"/>
      <c r="T160" s="1"/>
      <c r="U160" s="1"/>
      <c r="V160" s="1"/>
      <c r="Z160" s="18"/>
      <c r="AD160" s="18"/>
      <c r="AH160" s="18"/>
      <c r="AL160" s="18"/>
      <c r="AM160" s="22"/>
      <c r="AN160" s="22"/>
      <c r="AO160" s="22"/>
      <c r="AP160" s="22"/>
      <c r="AQ160" s="22"/>
      <c r="AR160" s="22"/>
      <c r="AS160" s="22"/>
      <c r="AT160" s="22"/>
    </row>
    <row r="161" spans="7:46" ht="13">
      <c r="G161" s="34"/>
      <c r="J161" s="18"/>
      <c r="N161" s="18"/>
      <c r="O161" s="1"/>
      <c r="P161" s="1"/>
      <c r="Q161" s="1"/>
      <c r="R161" s="18"/>
      <c r="S161" s="1"/>
      <c r="T161" s="1"/>
      <c r="U161" s="1"/>
      <c r="V161" s="1"/>
      <c r="Z161" s="18"/>
      <c r="AD161" s="18"/>
      <c r="AH161" s="18"/>
      <c r="AL161" s="18"/>
      <c r="AM161" s="22"/>
      <c r="AN161" s="22"/>
      <c r="AO161" s="22"/>
      <c r="AP161" s="22"/>
      <c r="AQ161" s="22"/>
      <c r="AR161" s="22"/>
      <c r="AS161" s="22"/>
      <c r="AT161" s="22"/>
    </row>
    <row r="162" spans="7:46" ht="13">
      <c r="G162" s="34"/>
      <c r="J162" s="18"/>
      <c r="N162" s="18"/>
      <c r="O162" s="1"/>
      <c r="P162" s="1"/>
      <c r="Q162" s="1"/>
      <c r="R162" s="18"/>
      <c r="S162" s="1"/>
      <c r="T162" s="1"/>
      <c r="U162" s="1"/>
      <c r="V162" s="1"/>
      <c r="Z162" s="18"/>
      <c r="AD162" s="18"/>
      <c r="AH162" s="18"/>
      <c r="AL162" s="18"/>
      <c r="AM162" s="22"/>
      <c r="AN162" s="22"/>
      <c r="AO162" s="22"/>
      <c r="AP162" s="22"/>
      <c r="AQ162" s="22"/>
      <c r="AR162" s="22"/>
      <c r="AS162" s="22"/>
      <c r="AT162" s="22"/>
    </row>
    <row r="163" spans="7:46" ht="13">
      <c r="G163" s="34"/>
      <c r="J163" s="18"/>
      <c r="N163" s="18"/>
      <c r="O163" s="1"/>
      <c r="P163" s="1"/>
      <c r="Q163" s="1"/>
      <c r="R163" s="18"/>
      <c r="S163" s="1"/>
      <c r="T163" s="1"/>
      <c r="U163" s="1"/>
      <c r="V163" s="1"/>
      <c r="Z163" s="18"/>
      <c r="AD163" s="18"/>
      <c r="AH163" s="18"/>
      <c r="AL163" s="18"/>
      <c r="AM163" s="22"/>
      <c r="AN163" s="22"/>
      <c r="AO163" s="22"/>
      <c r="AP163" s="22"/>
      <c r="AQ163" s="22"/>
      <c r="AR163" s="22"/>
      <c r="AS163" s="22"/>
      <c r="AT163" s="22"/>
    </row>
    <row r="164" spans="7:46" ht="13">
      <c r="G164" s="34"/>
      <c r="J164" s="18"/>
      <c r="N164" s="18"/>
      <c r="O164" s="1"/>
      <c r="P164" s="1"/>
      <c r="Q164" s="1"/>
      <c r="R164" s="18"/>
      <c r="S164" s="1"/>
      <c r="T164" s="1"/>
      <c r="U164" s="1"/>
      <c r="V164" s="1"/>
      <c r="Z164" s="18"/>
      <c r="AD164" s="18"/>
      <c r="AH164" s="18"/>
      <c r="AL164" s="18"/>
      <c r="AM164" s="22"/>
      <c r="AN164" s="22"/>
      <c r="AO164" s="22"/>
      <c r="AP164" s="22"/>
      <c r="AQ164" s="22"/>
      <c r="AR164" s="22"/>
      <c r="AS164" s="22"/>
      <c r="AT164" s="22"/>
    </row>
    <row r="165" spans="7:46" ht="13">
      <c r="G165" s="34"/>
      <c r="J165" s="18"/>
      <c r="N165" s="18"/>
      <c r="O165" s="1"/>
      <c r="P165" s="1"/>
      <c r="Q165" s="1"/>
      <c r="R165" s="18"/>
      <c r="S165" s="1"/>
      <c r="T165" s="1"/>
      <c r="U165" s="1"/>
      <c r="V165" s="1"/>
      <c r="Z165" s="18"/>
      <c r="AD165" s="18"/>
      <c r="AH165" s="18"/>
      <c r="AL165" s="18"/>
      <c r="AM165" s="22"/>
      <c r="AN165" s="22"/>
      <c r="AO165" s="22"/>
      <c r="AP165" s="22"/>
      <c r="AQ165" s="22"/>
      <c r="AR165" s="22"/>
      <c r="AS165" s="22"/>
      <c r="AT165" s="22"/>
    </row>
    <row r="166" spans="7:46" ht="13">
      <c r="G166" s="34"/>
      <c r="J166" s="18"/>
      <c r="N166" s="18"/>
      <c r="O166" s="1"/>
      <c r="P166" s="1"/>
      <c r="Q166" s="1"/>
      <c r="R166" s="18"/>
      <c r="S166" s="1"/>
      <c r="T166" s="1"/>
      <c r="U166" s="1"/>
      <c r="V166" s="1"/>
      <c r="Z166" s="18"/>
      <c r="AD166" s="18"/>
      <c r="AH166" s="18"/>
      <c r="AL166" s="18"/>
      <c r="AM166" s="22"/>
      <c r="AN166" s="22"/>
      <c r="AO166" s="22"/>
      <c r="AP166" s="22"/>
      <c r="AQ166" s="22"/>
      <c r="AR166" s="22"/>
      <c r="AS166" s="22"/>
      <c r="AT166" s="22"/>
    </row>
    <row r="167" spans="7:46" ht="13">
      <c r="G167" s="34"/>
      <c r="J167" s="18"/>
      <c r="N167" s="18"/>
      <c r="O167" s="1"/>
      <c r="P167" s="1"/>
      <c r="Q167" s="1"/>
      <c r="R167" s="18"/>
      <c r="S167" s="1"/>
      <c r="T167" s="1"/>
      <c r="U167" s="1"/>
      <c r="V167" s="1"/>
      <c r="Z167" s="18"/>
      <c r="AD167" s="18"/>
      <c r="AH167" s="18"/>
      <c r="AL167" s="18"/>
      <c r="AM167" s="22"/>
      <c r="AN167" s="22"/>
      <c r="AO167" s="22"/>
      <c r="AP167" s="22"/>
      <c r="AQ167" s="22"/>
      <c r="AR167" s="22"/>
      <c r="AS167" s="22"/>
      <c r="AT167" s="22"/>
    </row>
    <row r="168" spans="7:46" ht="13">
      <c r="G168" s="34"/>
      <c r="J168" s="18"/>
      <c r="N168" s="18"/>
      <c r="O168" s="1"/>
      <c r="P168" s="1"/>
      <c r="Q168" s="1"/>
      <c r="R168" s="18"/>
      <c r="S168" s="1"/>
      <c r="T168" s="1"/>
      <c r="U168" s="1"/>
      <c r="V168" s="1"/>
      <c r="Z168" s="18"/>
      <c r="AD168" s="18"/>
      <c r="AH168" s="18"/>
      <c r="AL168" s="18"/>
      <c r="AM168" s="22"/>
      <c r="AN168" s="22"/>
      <c r="AO168" s="22"/>
      <c r="AP168" s="22"/>
      <c r="AQ168" s="22"/>
      <c r="AR168" s="22"/>
      <c r="AS168" s="22"/>
      <c r="AT168" s="22"/>
    </row>
    <row r="169" spans="7:46" ht="13">
      <c r="G169" s="34"/>
      <c r="J169" s="18"/>
      <c r="N169" s="18"/>
      <c r="O169" s="1"/>
      <c r="P169" s="1"/>
      <c r="Q169" s="1"/>
      <c r="R169" s="18"/>
      <c r="S169" s="1"/>
      <c r="T169" s="1"/>
      <c r="U169" s="1"/>
      <c r="V169" s="1"/>
      <c r="Z169" s="18"/>
      <c r="AD169" s="18"/>
      <c r="AH169" s="18"/>
      <c r="AL169" s="18"/>
      <c r="AM169" s="22"/>
      <c r="AN169" s="22"/>
      <c r="AO169" s="22"/>
      <c r="AP169" s="22"/>
      <c r="AQ169" s="22"/>
      <c r="AR169" s="22"/>
      <c r="AS169" s="22"/>
      <c r="AT169" s="22"/>
    </row>
    <row r="170" spans="7:46" ht="13">
      <c r="G170" s="34"/>
      <c r="J170" s="18"/>
      <c r="N170" s="18"/>
      <c r="O170" s="1"/>
      <c r="P170" s="1"/>
      <c r="Q170" s="1"/>
      <c r="R170" s="18"/>
      <c r="S170" s="1"/>
      <c r="T170" s="1"/>
      <c r="U170" s="1"/>
      <c r="V170" s="1"/>
      <c r="Z170" s="18"/>
      <c r="AD170" s="18"/>
      <c r="AH170" s="18"/>
      <c r="AL170" s="18"/>
      <c r="AM170" s="22"/>
      <c r="AN170" s="22"/>
      <c r="AO170" s="22"/>
      <c r="AP170" s="22"/>
      <c r="AQ170" s="22"/>
      <c r="AR170" s="22"/>
      <c r="AS170" s="22"/>
      <c r="AT170" s="22"/>
    </row>
    <row r="171" spans="7:46" ht="13">
      <c r="G171" s="34"/>
      <c r="J171" s="18"/>
      <c r="N171" s="18"/>
      <c r="O171" s="1"/>
      <c r="P171" s="1"/>
      <c r="Q171" s="1"/>
      <c r="R171" s="18"/>
      <c r="S171" s="1"/>
      <c r="T171" s="1"/>
      <c r="U171" s="1"/>
      <c r="V171" s="1"/>
      <c r="Z171" s="18"/>
      <c r="AD171" s="18"/>
      <c r="AH171" s="18"/>
      <c r="AL171" s="18"/>
      <c r="AM171" s="22"/>
      <c r="AN171" s="22"/>
      <c r="AO171" s="22"/>
      <c r="AP171" s="22"/>
      <c r="AQ171" s="22"/>
      <c r="AR171" s="22"/>
      <c r="AS171" s="22"/>
      <c r="AT171" s="22"/>
    </row>
    <row r="172" spans="7:46" ht="13">
      <c r="G172" s="34"/>
      <c r="J172" s="18"/>
      <c r="N172" s="18"/>
      <c r="O172" s="1"/>
      <c r="P172" s="1"/>
      <c r="Q172" s="1"/>
      <c r="R172" s="18"/>
      <c r="S172" s="1"/>
      <c r="T172" s="1"/>
      <c r="U172" s="1"/>
      <c r="V172" s="1"/>
      <c r="Z172" s="18"/>
      <c r="AD172" s="18"/>
      <c r="AH172" s="18"/>
      <c r="AL172" s="18"/>
      <c r="AM172" s="22"/>
      <c r="AN172" s="22"/>
      <c r="AO172" s="22"/>
      <c r="AP172" s="22"/>
      <c r="AQ172" s="22"/>
      <c r="AR172" s="22"/>
      <c r="AS172" s="22"/>
      <c r="AT172" s="22"/>
    </row>
    <row r="173" spans="7:46" ht="13">
      <c r="G173" s="34"/>
      <c r="J173" s="18"/>
      <c r="N173" s="18"/>
      <c r="O173" s="1"/>
      <c r="P173" s="1"/>
      <c r="Q173" s="1"/>
      <c r="R173" s="18"/>
      <c r="S173" s="1"/>
      <c r="T173" s="1"/>
      <c r="U173" s="1"/>
      <c r="V173" s="1"/>
      <c r="Z173" s="18"/>
      <c r="AD173" s="18"/>
      <c r="AH173" s="18"/>
      <c r="AL173" s="18"/>
      <c r="AM173" s="22"/>
      <c r="AN173" s="22"/>
      <c r="AO173" s="22"/>
      <c r="AP173" s="22"/>
      <c r="AQ173" s="22"/>
      <c r="AR173" s="22"/>
      <c r="AS173" s="22"/>
      <c r="AT173" s="22"/>
    </row>
    <row r="174" spans="7:46" ht="13">
      <c r="G174" s="34"/>
      <c r="J174" s="18"/>
      <c r="N174" s="18"/>
      <c r="O174" s="1"/>
      <c r="P174" s="1"/>
      <c r="Q174" s="1"/>
      <c r="R174" s="18"/>
      <c r="S174" s="1"/>
      <c r="T174" s="1"/>
      <c r="U174" s="1"/>
      <c r="V174" s="1"/>
      <c r="Z174" s="18"/>
      <c r="AD174" s="18"/>
      <c r="AH174" s="18"/>
      <c r="AL174" s="18"/>
      <c r="AM174" s="22"/>
      <c r="AN174" s="22"/>
      <c r="AO174" s="22"/>
      <c r="AP174" s="22"/>
      <c r="AQ174" s="22"/>
      <c r="AR174" s="22"/>
      <c r="AS174" s="22"/>
      <c r="AT174" s="22"/>
    </row>
    <row r="175" spans="7:46" ht="13">
      <c r="G175" s="34"/>
      <c r="J175" s="18"/>
      <c r="N175" s="18"/>
      <c r="O175" s="1"/>
      <c r="P175" s="1"/>
      <c r="Q175" s="1"/>
      <c r="R175" s="18"/>
      <c r="S175" s="1"/>
      <c r="T175" s="1"/>
      <c r="U175" s="1"/>
      <c r="V175" s="1"/>
      <c r="Z175" s="18"/>
      <c r="AD175" s="18"/>
      <c r="AH175" s="18"/>
      <c r="AL175" s="18"/>
      <c r="AM175" s="22"/>
      <c r="AN175" s="22"/>
      <c r="AO175" s="22"/>
      <c r="AP175" s="22"/>
      <c r="AQ175" s="22"/>
      <c r="AR175" s="22"/>
      <c r="AS175" s="22"/>
      <c r="AT175" s="22"/>
    </row>
    <row r="176" spans="7:46" ht="13">
      <c r="G176" s="34"/>
      <c r="J176" s="18"/>
      <c r="N176" s="18"/>
      <c r="O176" s="1"/>
      <c r="P176" s="1"/>
      <c r="Q176" s="1"/>
      <c r="R176" s="18"/>
      <c r="S176" s="1"/>
      <c r="T176" s="1"/>
      <c r="U176" s="1"/>
      <c r="V176" s="1"/>
      <c r="Z176" s="18"/>
      <c r="AD176" s="18"/>
      <c r="AH176" s="18"/>
      <c r="AL176" s="18"/>
      <c r="AM176" s="22"/>
      <c r="AN176" s="22"/>
      <c r="AO176" s="22"/>
      <c r="AP176" s="22"/>
      <c r="AQ176" s="22"/>
      <c r="AR176" s="22"/>
      <c r="AS176" s="22"/>
      <c r="AT176" s="22"/>
    </row>
    <row r="177" spans="7:46" ht="13">
      <c r="G177" s="34"/>
      <c r="J177" s="18"/>
      <c r="N177" s="18"/>
      <c r="O177" s="1"/>
      <c r="P177" s="1"/>
      <c r="Q177" s="1"/>
      <c r="R177" s="18"/>
      <c r="S177" s="1"/>
      <c r="T177" s="1"/>
      <c r="U177" s="1"/>
      <c r="V177" s="1"/>
      <c r="Z177" s="18"/>
      <c r="AD177" s="18"/>
      <c r="AH177" s="18"/>
      <c r="AL177" s="18"/>
      <c r="AM177" s="22"/>
      <c r="AN177" s="22"/>
      <c r="AO177" s="22"/>
      <c r="AP177" s="22"/>
      <c r="AQ177" s="22"/>
      <c r="AR177" s="22"/>
      <c r="AS177" s="22"/>
      <c r="AT177" s="22"/>
    </row>
    <row r="178" spans="7:46" ht="13">
      <c r="G178" s="34"/>
      <c r="J178" s="18"/>
      <c r="N178" s="18"/>
      <c r="O178" s="1"/>
      <c r="P178" s="1"/>
      <c r="Q178" s="1"/>
      <c r="R178" s="18"/>
      <c r="S178" s="1"/>
      <c r="T178" s="1"/>
      <c r="U178" s="1"/>
      <c r="V178" s="1"/>
      <c r="Z178" s="18"/>
      <c r="AD178" s="18"/>
      <c r="AH178" s="18"/>
      <c r="AL178" s="18"/>
      <c r="AM178" s="22"/>
      <c r="AN178" s="22"/>
      <c r="AO178" s="22"/>
      <c r="AP178" s="22"/>
      <c r="AQ178" s="22"/>
      <c r="AR178" s="22"/>
      <c r="AS178" s="22"/>
      <c r="AT178" s="22"/>
    </row>
    <row r="179" spans="7:46" ht="13">
      <c r="G179" s="34"/>
      <c r="J179" s="18"/>
      <c r="N179" s="18"/>
      <c r="O179" s="1"/>
      <c r="P179" s="1"/>
      <c r="Q179" s="1"/>
      <c r="R179" s="18"/>
      <c r="S179" s="1"/>
      <c r="T179" s="1"/>
      <c r="U179" s="1"/>
      <c r="V179" s="1"/>
      <c r="Z179" s="18"/>
      <c r="AD179" s="18"/>
      <c r="AH179" s="18"/>
      <c r="AL179" s="18"/>
      <c r="AM179" s="22"/>
      <c r="AN179" s="22"/>
      <c r="AO179" s="22"/>
      <c r="AP179" s="22"/>
      <c r="AQ179" s="22"/>
      <c r="AR179" s="22"/>
      <c r="AS179" s="22"/>
      <c r="AT179" s="22"/>
    </row>
    <row r="180" spans="7:46" ht="13">
      <c r="G180" s="34"/>
      <c r="J180" s="18"/>
      <c r="N180" s="18"/>
      <c r="O180" s="1"/>
      <c r="P180" s="1"/>
      <c r="Q180" s="1"/>
      <c r="R180" s="18"/>
      <c r="S180" s="1"/>
      <c r="T180" s="1"/>
      <c r="U180" s="1"/>
      <c r="V180" s="1"/>
      <c r="Z180" s="18"/>
      <c r="AD180" s="18"/>
      <c r="AH180" s="18"/>
      <c r="AL180" s="18"/>
      <c r="AM180" s="22"/>
      <c r="AN180" s="22"/>
      <c r="AO180" s="22"/>
      <c r="AP180" s="22"/>
      <c r="AQ180" s="22"/>
      <c r="AR180" s="22"/>
      <c r="AS180" s="22"/>
      <c r="AT180" s="22"/>
    </row>
    <row r="181" spans="7:46" ht="13">
      <c r="G181" s="34"/>
      <c r="J181" s="18"/>
      <c r="N181" s="18"/>
      <c r="O181" s="1"/>
      <c r="P181" s="1"/>
      <c r="Q181" s="1"/>
      <c r="R181" s="18"/>
      <c r="S181" s="1"/>
      <c r="T181" s="1"/>
      <c r="U181" s="1"/>
      <c r="V181" s="1"/>
      <c r="Z181" s="18"/>
      <c r="AD181" s="18"/>
      <c r="AH181" s="18"/>
      <c r="AL181" s="18"/>
      <c r="AM181" s="22"/>
      <c r="AN181" s="22"/>
      <c r="AO181" s="22"/>
      <c r="AP181" s="22"/>
      <c r="AQ181" s="22"/>
      <c r="AR181" s="22"/>
      <c r="AS181" s="22"/>
      <c r="AT181" s="22"/>
    </row>
    <row r="182" spans="7:46" ht="13">
      <c r="G182" s="34"/>
      <c r="J182" s="18"/>
      <c r="N182" s="18"/>
      <c r="O182" s="1"/>
      <c r="P182" s="1"/>
      <c r="Q182" s="1"/>
      <c r="R182" s="18"/>
      <c r="S182" s="1"/>
      <c r="T182" s="1"/>
      <c r="U182" s="1"/>
      <c r="V182" s="1"/>
      <c r="Z182" s="18"/>
      <c r="AD182" s="18"/>
      <c r="AH182" s="18"/>
      <c r="AL182" s="18"/>
      <c r="AM182" s="22"/>
      <c r="AN182" s="22"/>
      <c r="AO182" s="22"/>
      <c r="AP182" s="22"/>
      <c r="AQ182" s="22"/>
      <c r="AR182" s="22"/>
      <c r="AS182" s="22"/>
      <c r="AT182" s="22"/>
    </row>
    <row r="183" spans="7:46" ht="13">
      <c r="G183" s="34"/>
      <c r="J183" s="18"/>
      <c r="N183" s="18"/>
      <c r="O183" s="1"/>
      <c r="P183" s="1"/>
      <c r="Q183" s="1"/>
      <c r="R183" s="18"/>
      <c r="S183" s="1"/>
      <c r="T183" s="1"/>
      <c r="U183" s="1"/>
      <c r="V183" s="1"/>
      <c r="Z183" s="18"/>
      <c r="AD183" s="18"/>
      <c r="AH183" s="18"/>
      <c r="AL183" s="18"/>
      <c r="AM183" s="22"/>
      <c r="AN183" s="22"/>
      <c r="AO183" s="22"/>
      <c r="AP183" s="22"/>
      <c r="AQ183" s="22"/>
      <c r="AR183" s="22"/>
      <c r="AS183" s="22"/>
      <c r="AT183" s="22"/>
    </row>
    <row r="184" spans="7:46" ht="13">
      <c r="G184" s="34"/>
      <c r="J184" s="18"/>
      <c r="N184" s="18"/>
      <c r="O184" s="1"/>
      <c r="P184" s="1"/>
      <c r="Q184" s="1"/>
      <c r="R184" s="18"/>
      <c r="S184" s="1"/>
      <c r="T184" s="1"/>
      <c r="U184" s="1"/>
      <c r="V184" s="1"/>
      <c r="Z184" s="18"/>
      <c r="AD184" s="18"/>
      <c r="AH184" s="18"/>
      <c r="AL184" s="18"/>
      <c r="AM184" s="22"/>
      <c r="AN184" s="22"/>
      <c r="AO184" s="22"/>
      <c r="AP184" s="22"/>
      <c r="AQ184" s="22"/>
      <c r="AR184" s="22"/>
      <c r="AS184" s="22"/>
      <c r="AT184" s="22"/>
    </row>
    <row r="185" spans="7:46" ht="13">
      <c r="G185" s="34"/>
      <c r="J185" s="18"/>
      <c r="N185" s="18"/>
      <c r="O185" s="1"/>
      <c r="P185" s="1"/>
      <c r="Q185" s="1"/>
      <c r="R185" s="18"/>
      <c r="S185" s="1"/>
      <c r="T185" s="1"/>
      <c r="U185" s="1"/>
      <c r="V185" s="1"/>
      <c r="Z185" s="18"/>
      <c r="AD185" s="18"/>
      <c r="AH185" s="18"/>
      <c r="AL185" s="18"/>
      <c r="AM185" s="22"/>
      <c r="AN185" s="22"/>
      <c r="AO185" s="22"/>
      <c r="AP185" s="22"/>
      <c r="AQ185" s="22"/>
      <c r="AR185" s="22"/>
      <c r="AS185" s="22"/>
      <c r="AT185" s="22"/>
    </row>
    <row r="186" spans="7:46" ht="13">
      <c r="G186" s="34"/>
      <c r="J186" s="18"/>
      <c r="N186" s="18"/>
      <c r="O186" s="1"/>
      <c r="P186" s="1"/>
      <c r="Q186" s="1"/>
      <c r="R186" s="18"/>
      <c r="S186" s="1"/>
      <c r="T186" s="1"/>
      <c r="U186" s="1"/>
      <c r="V186" s="1"/>
      <c r="Z186" s="18"/>
      <c r="AD186" s="18"/>
      <c r="AH186" s="18"/>
      <c r="AL186" s="18"/>
      <c r="AM186" s="22"/>
      <c r="AN186" s="22"/>
      <c r="AO186" s="22"/>
      <c r="AP186" s="22"/>
      <c r="AQ186" s="22"/>
      <c r="AR186" s="22"/>
      <c r="AS186" s="22"/>
      <c r="AT186" s="22"/>
    </row>
    <row r="187" spans="7:46" ht="13">
      <c r="G187" s="34"/>
      <c r="J187" s="18"/>
      <c r="N187" s="18"/>
      <c r="O187" s="1"/>
      <c r="P187" s="1"/>
      <c r="Q187" s="1"/>
      <c r="R187" s="18"/>
      <c r="S187" s="1"/>
      <c r="T187" s="1"/>
      <c r="U187" s="1"/>
      <c r="V187" s="1"/>
      <c r="Z187" s="18"/>
      <c r="AD187" s="18"/>
      <c r="AH187" s="18"/>
      <c r="AL187" s="18"/>
      <c r="AM187" s="22"/>
      <c r="AN187" s="22"/>
      <c r="AO187" s="22"/>
      <c r="AP187" s="22"/>
      <c r="AQ187" s="22"/>
      <c r="AR187" s="22"/>
      <c r="AS187" s="22"/>
      <c r="AT187" s="22"/>
    </row>
    <row r="188" spans="7:46" ht="13">
      <c r="G188" s="34"/>
      <c r="J188" s="18"/>
      <c r="N188" s="18"/>
      <c r="O188" s="1"/>
      <c r="P188" s="1"/>
      <c r="Q188" s="1"/>
      <c r="R188" s="18"/>
      <c r="S188" s="1"/>
      <c r="T188" s="1"/>
      <c r="U188" s="1"/>
      <c r="V188" s="1"/>
      <c r="Z188" s="18"/>
      <c r="AD188" s="18"/>
      <c r="AH188" s="18"/>
      <c r="AL188" s="18"/>
      <c r="AM188" s="22"/>
      <c r="AN188" s="22"/>
      <c r="AO188" s="22"/>
      <c r="AP188" s="22"/>
      <c r="AQ188" s="22"/>
      <c r="AR188" s="22"/>
      <c r="AS188" s="22"/>
      <c r="AT188" s="22"/>
    </row>
    <row r="189" spans="7:46" ht="13">
      <c r="G189" s="34"/>
      <c r="J189" s="18"/>
      <c r="N189" s="18"/>
      <c r="O189" s="1"/>
      <c r="P189" s="1"/>
      <c r="Q189" s="1"/>
      <c r="R189" s="18"/>
      <c r="S189" s="1"/>
      <c r="T189" s="1"/>
      <c r="U189" s="1"/>
      <c r="V189" s="1"/>
      <c r="Z189" s="18"/>
      <c r="AD189" s="18"/>
      <c r="AH189" s="18"/>
      <c r="AL189" s="18"/>
      <c r="AM189" s="22"/>
      <c r="AN189" s="22"/>
      <c r="AO189" s="22"/>
      <c r="AP189" s="22"/>
      <c r="AQ189" s="22"/>
      <c r="AR189" s="22"/>
      <c r="AS189" s="22"/>
      <c r="AT189" s="22"/>
    </row>
    <row r="190" spans="7:46" ht="13">
      <c r="G190" s="34"/>
      <c r="J190" s="18"/>
      <c r="N190" s="18"/>
      <c r="O190" s="1"/>
      <c r="P190" s="1"/>
      <c r="Q190" s="1"/>
      <c r="R190" s="18"/>
      <c r="S190" s="1"/>
      <c r="T190" s="1"/>
      <c r="U190" s="1"/>
      <c r="V190" s="1"/>
      <c r="Z190" s="18"/>
      <c r="AD190" s="18"/>
      <c r="AH190" s="18"/>
      <c r="AL190" s="18"/>
      <c r="AM190" s="22"/>
      <c r="AN190" s="22"/>
      <c r="AO190" s="22"/>
      <c r="AP190" s="22"/>
      <c r="AQ190" s="22"/>
      <c r="AR190" s="22"/>
      <c r="AS190" s="22"/>
      <c r="AT190" s="22"/>
    </row>
    <row r="191" spans="7:46" ht="13">
      <c r="G191" s="34"/>
      <c r="J191" s="18"/>
      <c r="N191" s="18"/>
      <c r="O191" s="1"/>
      <c r="P191" s="1"/>
      <c r="Q191" s="1"/>
      <c r="R191" s="18"/>
      <c r="S191" s="1"/>
      <c r="T191" s="1"/>
      <c r="U191" s="1"/>
      <c r="V191" s="1"/>
      <c r="Z191" s="18"/>
      <c r="AD191" s="18"/>
      <c r="AH191" s="18"/>
      <c r="AL191" s="18"/>
      <c r="AM191" s="22"/>
      <c r="AN191" s="22"/>
      <c r="AO191" s="22"/>
      <c r="AP191" s="22"/>
      <c r="AQ191" s="22"/>
      <c r="AR191" s="22"/>
      <c r="AS191" s="22"/>
      <c r="AT191" s="22"/>
    </row>
    <row r="192" spans="7:46" ht="13">
      <c r="G192" s="34"/>
      <c r="J192" s="18"/>
      <c r="N192" s="18"/>
      <c r="O192" s="1"/>
      <c r="P192" s="1"/>
      <c r="Q192" s="1"/>
      <c r="R192" s="18"/>
      <c r="S192" s="1"/>
      <c r="T192" s="1"/>
      <c r="U192" s="1"/>
      <c r="V192" s="1"/>
      <c r="Z192" s="18"/>
      <c r="AD192" s="18"/>
      <c r="AH192" s="18"/>
      <c r="AL192" s="18"/>
      <c r="AM192" s="22"/>
      <c r="AN192" s="22"/>
      <c r="AO192" s="22"/>
      <c r="AP192" s="22"/>
      <c r="AQ192" s="22"/>
      <c r="AR192" s="22"/>
      <c r="AS192" s="22"/>
      <c r="AT192" s="22"/>
    </row>
    <row r="193" spans="7:46" ht="13">
      <c r="G193" s="34"/>
      <c r="J193" s="18"/>
      <c r="N193" s="18"/>
      <c r="O193" s="1"/>
      <c r="P193" s="1"/>
      <c r="Q193" s="1"/>
      <c r="R193" s="18"/>
      <c r="S193" s="1"/>
      <c r="T193" s="1"/>
      <c r="U193" s="1"/>
      <c r="V193" s="1"/>
      <c r="Z193" s="18"/>
      <c r="AD193" s="18"/>
      <c r="AH193" s="18"/>
      <c r="AL193" s="18"/>
      <c r="AM193" s="22"/>
      <c r="AN193" s="22"/>
      <c r="AO193" s="22"/>
      <c r="AP193" s="22"/>
      <c r="AQ193" s="22"/>
      <c r="AR193" s="22"/>
      <c r="AS193" s="22"/>
      <c r="AT193" s="22"/>
    </row>
    <row r="194" spans="7:46" ht="13">
      <c r="G194" s="34"/>
      <c r="J194" s="18"/>
      <c r="N194" s="18"/>
      <c r="O194" s="1"/>
      <c r="P194" s="1"/>
      <c r="Q194" s="1"/>
      <c r="R194" s="18"/>
      <c r="S194" s="1"/>
      <c r="T194" s="1"/>
      <c r="U194" s="1"/>
      <c r="V194" s="1"/>
      <c r="Z194" s="18"/>
      <c r="AD194" s="18"/>
      <c r="AH194" s="18"/>
      <c r="AL194" s="18"/>
      <c r="AM194" s="22"/>
      <c r="AN194" s="22"/>
      <c r="AO194" s="22"/>
      <c r="AP194" s="22"/>
      <c r="AQ194" s="22"/>
      <c r="AR194" s="22"/>
      <c r="AS194" s="22"/>
      <c r="AT194" s="22"/>
    </row>
    <row r="195" spans="7:46" ht="13">
      <c r="G195" s="34"/>
      <c r="J195" s="18"/>
      <c r="N195" s="18"/>
      <c r="O195" s="1"/>
      <c r="P195" s="1"/>
      <c r="Q195" s="1"/>
      <c r="R195" s="18"/>
      <c r="S195" s="1"/>
      <c r="T195" s="1"/>
      <c r="U195" s="1"/>
      <c r="V195" s="1"/>
      <c r="Z195" s="18"/>
      <c r="AD195" s="18"/>
      <c r="AH195" s="18"/>
      <c r="AL195" s="18"/>
      <c r="AM195" s="22"/>
      <c r="AN195" s="22"/>
      <c r="AO195" s="22"/>
      <c r="AP195" s="22"/>
      <c r="AQ195" s="22"/>
      <c r="AR195" s="22"/>
      <c r="AS195" s="22"/>
      <c r="AT195" s="22"/>
    </row>
    <row r="196" spans="7:46" ht="13">
      <c r="G196" s="34"/>
      <c r="J196" s="18"/>
      <c r="N196" s="18"/>
      <c r="O196" s="1"/>
      <c r="P196" s="1"/>
      <c r="Q196" s="1"/>
      <c r="R196" s="18"/>
      <c r="S196" s="1"/>
      <c r="T196" s="1"/>
      <c r="U196" s="1"/>
      <c r="V196" s="1"/>
      <c r="Z196" s="18"/>
      <c r="AD196" s="18"/>
      <c r="AH196" s="18"/>
      <c r="AL196" s="18"/>
      <c r="AM196" s="22"/>
      <c r="AN196" s="22"/>
      <c r="AO196" s="22"/>
      <c r="AP196" s="22"/>
      <c r="AQ196" s="22"/>
      <c r="AR196" s="22"/>
      <c r="AS196" s="22"/>
      <c r="AT196" s="22"/>
    </row>
    <row r="197" spans="7:46" ht="13">
      <c r="G197" s="34"/>
      <c r="J197" s="18"/>
      <c r="N197" s="18"/>
      <c r="O197" s="1"/>
      <c r="P197" s="1"/>
      <c r="Q197" s="1"/>
      <c r="R197" s="18"/>
      <c r="S197" s="1"/>
      <c r="T197" s="1"/>
      <c r="U197" s="1"/>
      <c r="V197" s="1"/>
      <c r="Z197" s="18"/>
      <c r="AD197" s="18"/>
      <c r="AH197" s="18"/>
      <c r="AL197" s="18"/>
      <c r="AM197" s="22"/>
      <c r="AN197" s="22"/>
      <c r="AO197" s="22"/>
      <c r="AP197" s="22"/>
      <c r="AQ197" s="22"/>
      <c r="AR197" s="22"/>
      <c r="AS197" s="22"/>
      <c r="AT197" s="22"/>
    </row>
    <row r="198" spans="7:46" ht="13">
      <c r="G198" s="34"/>
      <c r="J198" s="18"/>
      <c r="N198" s="18"/>
      <c r="O198" s="1"/>
      <c r="P198" s="1"/>
      <c r="Q198" s="1"/>
      <c r="R198" s="18"/>
      <c r="S198" s="1"/>
      <c r="T198" s="1"/>
      <c r="U198" s="1"/>
      <c r="V198" s="1"/>
      <c r="Z198" s="18"/>
      <c r="AD198" s="18"/>
      <c r="AH198" s="18"/>
      <c r="AL198" s="18"/>
      <c r="AM198" s="22"/>
      <c r="AN198" s="22"/>
      <c r="AO198" s="22"/>
      <c r="AP198" s="22"/>
      <c r="AQ198" s="22"/>
      <c r="AR198" s="22"/>
      <c r="AS198" s="22"/>
      <c r="AT198" s="22"/>
    </row>
    <row r="199" spans="7:46" ht="13">
      <c r="G199" s="34"/>
      <c r="J199" s="18"/>
      <c r="N199" s="18"/>
      <c r="O199" s="1"/>
      <c r="P199" s="1"/>
      <c r="Q199" s="1"/>
      <c r="R199" s="18"/>
      <c r="S199" s="1"/>
      <c r="T199" s="1"/>
      <c r="U199" s="1"/>
      <c r="V199" s="1"/>
      <c r="Z199" s="18"/>
      <c r="AD199" s="18"/>
      <c r="AH199" s="18"/>
      <c r="AL199" s="18"/>
      <c r="AM199" s="22"/>
      <c r="AN199" s="22"/>
      <c r="AO199" s="22"/>
      <c r="AP199" s="22"/>
      <c r="AQ199" s="22"/>
      <c r="AR199" s="22"/>
      <c r="AS199" s="22"/>
      <c r="AT199" s="22"/>
    </row>
    <row r="200" spans="7:46" ht="13">
      <c r="G200" s="34"/>
      <c r="J200" s="18"/>
      <c r="N200" s="18"/>
      <c r="O200" s="1"/>
      <c r="P200" s="1"/>
      <c r="Q200" s="1"/>
      <c r="R200" s="18"/>
      <c r="S200" s="1"/>
      <c r="T200" s="1"/>
      <c r="U200" s="1"/>
      <c r="V200" s="1"/>
      <c r="Z200" s="18"/>
      <c r="AD200" s="18"/>
      <c r="AH200" s="18"/>
      <c r="AL200" s="18"/>
      <c r="AM200" s="22"/>
      <c r="AN200" s="22"/>
      <c r="AO200" s="22"/>
      <c r="AP200" s="22"/>
      <c r="AQ200" s="22"/>
      <c r="AR200" s="22"/>
      <c r="AS200" s="22"/>
      <c r="AT200" s="22"/>
    </row>
    <row r="201" spans="7:46" ht="13">
      <c r="G201" s="34"/>
      <c r="J201" s="18"/>
      <c r="N201" s="18"/>
      <c r="O201" s="1"/>
      <c r="P201" s="1"/>
      <c r="Q201" s="1"/>
      <c r="R201" s="18"/>
      <c r="S201" s="1"/>
      <c r="T201" s="1"/>
      <c r="U201" s="1"/>
      <c r="V201" s="1"/>
      <c r="Z201" s="18"/>
      <c r="AD201" s="18"/>
      <c r="AH201" s="18"/>
      <c r="AL201" s="18"/>
      <c r="AM201" s="22"/>
      <c r="AN201" s="22"/>
      <c r="AO201" s="22"/>
      <c r="AP201" s="22"/>
      <c r="AQ201" s="22"/>
      <c r="AR201" s="22"/>
      <c r="AS201" s="22"/>
      <c r="AT201" s="22"/>
    </row>
    <row r="202" spans="7:46" ht="13">
      <c r="G202" s="34"/>
      <c r="J202" s="18"/>
      <c r="N202" s="18"/>
      <c r="O202" s="1"/>
      <c r="P202" s="1"/>
      <c r="Q202" s="1"/>
      <c r="R202" s="18"/>
      <c r="S202" s="1"/>
      <c r="T202" s="1"/>
      <c r="U202" s="1"/>
      <c r="V202" s="1"/>
      <c r="Z202" s="18"/>
      <c r="AD202" s="18"/>
      <c r="AH202" s="18"/>
      <c r="AL202" s="18"/>
      <c r="AM202" s="22"/>
      <c r="AN202" s="22"/>
      <c r="AO202" s="22"/>
      <c r="AP202" s="22"/>
      <c r="AQ202" s="22"/>
      <c r="AR202" s="22"/>
      <c r="AS202" s="22"/>
      <c r="AT202" s="22"/>
    </row>
    <row r="203" spans="7:46" ht="13">
      <c r="G203" s="34"/>
      <c r="J203" s="18"/>
      <c r="N203" s="18"/>
      <c r="O203" s="1"/>
      <c r="P203" s="1"/>
      <c r="Q203" s="1"/>
      <c r="R203" s="18"/>
      <c r="S203" s="1"/>
      <c r="T203" s="1"/>
      <c r="U203" s="1"/>
      <c r="V203" s="1"/>
      <c r="Z203" s="18"/>
      <c r="AD203" s="18"/>
      <c r="AH203" s="18"/>
      <c r="AL203" s="18"/>
      <c r="AM203" s="22"/>
      <c r="AN203" s="22"/>
      <c r="AO203" s="22"/>
      <c r="AP203" s="22"/>
      <c r="AQ203" s="22"/>
      <c r="AR203" s="22"/>
      <c r="AS203" s="22"/>
      <c r="AT203" s="22"/>
    </row>
    <row r="204" spans="7:46" ht="13">
      <c r="G204" s="34"/>
      <c r="J204" s="18"/>
      <c r="N204" s="18"/>
      <c r="O204" s="1"/>
      <c r="P204" s="1"/>
      <c r="Q204" s="1"/>
      <c r="R204" s="18"/>
      <c r="S204" s="1"/>
      <c r="T204" s="1"/>
      <c r="U204" s="1"/>
      <c r="V204" s="1"/>
      <c r="Z204" s="18"/>
      <c r="AD204" s="18"/>
      <c r="AH204" s="18"/>
      <c r="AL204" s="18"/>
      <c r="AM204" s="22"/>
      <c r="AN204" s="22"/>
      <c r="AO204" s="22"/>
      <c r="AP204" s="22"/>
      <c r="AQ204" s="22"/>
      <c r="AR204" s="22"/>
      <c r="AS204" s="22"/>
      <c r="AT204" s="22"/>
    </row>
    <row r="205" spans="7:46" ht="13">
      <c r="G205" s="34"/>
      <c r="J205" s="18"/>
      <c r="N205" s="18"/>
      <c r="O205" s="1"/>
      <c r="P205" s="1"/>
      <c r="Q205" s="1"/>
      <c r="R205" s="18"/>
      <c r="S205" s="1"/>
      <c r="T205" s="1"/>
      <c r="U205" s="1"/>
      <c r="V205" s="1"/>
      <c r="Z205" s="18"/>
      <c r="AD205" s="18"/>
      <c r="AH205" s="18"/>
      <c r="AL205" s="18"/>
      <c r="AM205" s="22"/>
      <c r="AN205" s="22"/>
      <c r="AO205" s="22"/>
      <c r="AP205" s="22"/>
      <c r="AQ205" s="22"/>
      <c r="AR205" s="22"/>
      <c r="AS205" s="22"/>
      <c r="AT205" s="22"/>
    </row>
    <row r="206" spans="7:46" ht="13">
      <c r="G206" s="34"/>
      <c r="J206" s="18"/>
      <c r="N206" s="18"/>
      <c r="O206" s="1"/>
      <c r="P206" s="1"/>
      <c r="Q206" s="1"/>
      <c r="R206" s="18"/>
      <c r="S206" s="1"/>
      <c r="T206" s="1"/>
      <c r="U206" s="1"/>
      <c r="V206" s="1"/>
      <c r="Z206" s="18"/>
      <c r="AD206" s="18"/>
      <c r="AH206" s="18"/>
      <c r="AL206" s="18"/>
      <c r="AM206" s="22"/>
      <c r="AN206" s="22"/>
      <c r="AO206" s="22"/>
      <c r="AP206" s="22"/>
      <c r="AQ206" s="22"/>
      <c r="AR206" s="22"/>
      <c r="AS206" s="22"/>
      <c r="AT206" s="22"/>
    </row>
    <row r="207" spans="7:46" ht="13">
      <c r="G207" s="34"/>
      <c r="J207" s="18"/>
      <c r="N207" s="18"/>
      <c r="O207" s="1"/>
      <c r="P207" s="1"/>
      <c r="Q207" s="1"/>
      <c r="R207" s="18"/>
      <c r="S207" s="1"/>
      <c r="T207" s="1"/>
      <c r="U207" s="1"/>
      <c r="V207" s="1"/>
      <c r="Z207" s="18"/>
      <c r="AD207" s="18"/>
      <c r="AH207" s="18"/>
      <c r="AL207" s="18"/>
      <c r="AM207" s="22"/>
      <c r="AN207" s="22"/>
      <c r="AO207" s="22"/>
      <c r="AP207" s="22"/>
      <c r="AQ207" s="22"/>
      <c r="AR207" s="22"/>
      <c r="AS207" s="22"/>
      <c r="AT207" s="22"/>
    </row>
    <row r="208" spans="7:46" ht="13">
      <c r="G208" s="34"/>
      <c r="J208" s="18"/>
      <c r="N208" s="18"/>
      <c r="O208" s="1"/>
      <c r="P208" s="1"/>
      <c r="Q208" s="1"/>
      <c r="R208" s="18"/>
      <c r="S208" s="1"/>
      <c r="T208" s="1"/>
      <c r="U208" s="1"/>
      <c r="V208" s="1"/>
      <c r="Z208" s="18"/>
      <c r="AD208" s="18"/>
      <c r="AH208" s="18"/>
      <c r="AL208" s="18"/>
      <c r="AM208" s="22"/>
      <c r="AN208" s="22"/>
      <c r="AO208" s="22"/>
      <c r="AP208" s="22"/>
      <c r="AQ208" s="22"/>
      <c r="AR208" s="22"/>
      <c r="AS208" s="22"/>
      <c r="AT208" s="22"/>
    </row>
    <row r="209" spans="7:46" ht="13">
      <c r="G209" s="34"/>
      <c r="J209" s="18"/>
      <c r="N209" s="18"/>
      <c r="O209" s="1"/>
      <c r="P209" s="1"/>
      <c r="Q209" s="1"/>
      <c r="R209" s="18"/>
      <c r="S209" s="1"/>
      <c r="T209" s="1"/>
      <c r="U209" s="1"/>
      <c r="V209" s="1"/>
      <c r="Z209" s="18"/>
      <c r="AD209" s="18"/>
      <c r="AH209" s="18"/>
      <c r="AL209" s="18"/>
      <c r="AM209" s="22"/>
      <c r="AN209" s="22"/>
      <c r="AO209" s="22"/>
      <c r="AP209" s="22"/>
      <c r="AQ209" s="22"/>
      <c r="AR209" s="22"/>
      <c r="AS209" s="22"/>
      <c r="AT209" s="22"/>
    </row>
    <row r="210" spans="7:46" ht="13">
      <c r="G210" s="34"/>
      <c r="J210" s="18"/>
      <c r="N210" s="18"/>
      <c r="O210" s="1"/>
      <c r="P210" s="1"/>
      <c r="Q210" s="1"/>
      <c r="R210" s="18"/>
      <c r="S210" s="1"/>
      <c r="T210" s="1"/>
      <c r="U210" s="1"/>
      <c r="V210" s="1"/>
      <c r="Z210" s="18"/>
      <c r="AD210" s="18"/>
      <c r="AH210" s="18"/>
      <c r="AL210" s="18"/>
      <c r="AM210" s="22"/>
      <c r="AN210" s="22"/>
      <c r="AO210" s="22"/>
      <c r="AP210" s="22"/>
      <c r="AQ210" s="22"/>
      <c r="AR210" s="22"/>
      <c r="AS210" s="22"/>
      <c r="AT210" s="22"/>
    </row>
    <row r="211" spans="7:46" ht="13">
      <c r="G211" s="34"/>
      <c r="J211" s="18"/>
      <c r="N211" s="18"/>
      <c r="O211" s="1"/>
      <c r="P211" s="1"/>
      <c r="Q211" s="1"/>
      <c r="R211" s="18"/>
      <c r="S211" s="1"/>
      <c r="T211" s="1"/>
      <c r="U211" s="1"/>
      <c r="V211" s="1"/>
      <c r="Z211" s="18"/>
      <c r="AD211" s="18"/>
      <c r="AH211" s="18"/>
      <c r="AL211" s="18"/>
      <c r="AM211" s="22"/>
      <c r="AN211" s="22"/>
      <c r="AO211" s="22"/>
      <c r="AP211" s="22"/>
      <c r="AQ211" s="22"/>
      <c r="AR211" s="22"/>
      <c r="AS211" s="22"/>
      <c r="AT211" s="22"/>
    </row>
    <row r="212" spans="7:46" ht="13">
      <c r="G212" s="34"/>
      <c r="J212" s="18"/>
      <c r="N212" s="18"/>
      <c r="O212" s="1"/>
      <c r="P212" s="1"/>
      <c r="Q212" s="1"/>
      <c r="R212" s="18"/>
      <c r="S212" s="1"/>
      <c r="T212" s="1"/>
      <c r="U212" s="1"/>
      <c r="V212" s="1"/>
      <c r="Z212" s="18"/>
      <c r="AD212" s="18"/>
      <c r="AH212" s="18"/>
      <c r="AL212" s="18"/>
      <c r="AM212" s="22"/>
      <c r="AN212" s="22"/>
      <c r="AO212" s="22"/>
      <c r="AP212" s="22"/>
      <c r="AQ212" s="22"/>
      <c r="AR212" s="22"/>
      <c r="AS212" s="22"/>
      <c r="AT212" s="22"/>
    </row>
    <row r="213" spans="7:46" ht="13">
      <c r="G213" s="34"/>
      <c r="J213" s="18"/>
      <c r="N213" s="18"/>
      <c r="O213" s="1"/>
      <c r="P213" s="1"/>
      <c r="Q213" s="1"/>
      <c r="R213" s="18"/>
      <c r="S213" s="1"/>
      <c r="T213" s="1"/>
      <c r="U213" s="1"/>
      <c r="V213" s="1"/>
      <c r="Z213" s="18"/>
      <c r="AD213" s="18"/>
      <c r="AH213" s="18"/>
      <c r="AL213" s="18"/>
      <c r="AM213" s="22"/>
      <c r="AN213" s="22"/>
      <c r="AO213" s="22"/>
      <c r="AP213" s="22"/>
      <c r="AQ213" s="22"/>
      <c r="AR213" s="22"/>
      <c r="AS213" s="22"/>
      <c r="AT213" s="22"/>
    </row>
    <row r="214" spans="7:46" ht="13">
      <c r="G214" s="34"/>
      <c r="J214" s="18"/>
      <c r="N214" s="18"/>
      <c r="O214" s="1"/>
      <c r="P214" s="1"/>
      <c r="Q214" s="1"/>
      <c r="R214" s="18"/>
      <c r="S214" s="1"/>
      <c r="T214" s="1"/>
      <c r="U214" s="1"/>
      <c r="V214" s="1"/>
      <c r="Z214" s="18"/>
      <c r="AD214" s="18"/>
      <c r="AH214" s="18"/>
      <c r="AL214" s="18"/>
      <c r="AM214" s="22"/>
      <c r="AN214" s="22"/>
      <c r="AO214" s="22"/>
      <c r="AP214" s="22"/>
      <c r="AQ214" s="22"/>
      <c r="AR214" s="22"/>
      <c r="AS214" s="22"/>
      <c r="AT214" s="22"/>
    </row>
    <row r="215" spans="7:46" ht="13">
      <c r="G215" s="34"/>
      <c r="J215" s="18"/>
      <c r="N215" s="18"/>
      <c r="O215" s="1"/>
      <c r="P215" s="1"/>
      <c r="Q215" s="1"/>
      <c r="R215" s="18"/>
      <c r="S215" s="1"/>
      <c r="T215" s="1"/>
      <c r="U215" s="1"/>
      <c r="V215" s="1"/>
      <c r="Z215" s="18"/>
      <c r="AD215" s="18"/>
      <c r="AH215" s="18"/>
      <c r="AL215" s="18"/>
      <c r="AM215" s="22"/>
      <c r="AN215" s="22"/>
      <c r="AO215" s="22"/>
      <c r="AP215" s="22"/>
      <c r="AQ215" s="22"/>
      <c r="AR215" s="22"/>
      <c r="AS215" s="22"/>
      <c r="AT215" s="22"/>
    </row>
    <row r="216" spans="7:46" ht="13">
      <c r="G216" s="34"/>
      <c r="J216" s="18"/>
      <c r="N216" s="18"/>
      <c r="O216" s="1"/>
      <c r="P216" s="1"/>
      <c r="Q216" s="1"/>
      <c r="R216" s="18"/>
      <c r="S216" s="1"/>
      <c r="T216" s="1"/>
      <c r="U216" s="1"/>
      <c r="V216" s="1"/>
      <c r="Z216" s="18"/>
      <c r="AD216" s="18"/>
      <c r="AH216" s="18"/>
      <c r="AL216" s="18"/>
      <c r="AM216" s="22"/>
      <c r="AN216" s="22"/>
      <c r="AO216" s="22"/>
      <c r="AP216" s="22"/>
      <c r="AQ216" s="22"/>
      <c r="AR216" s="22"/>
      <c r="AS216" s="22"/>
      <c r="AT216" s="22"/>
    </row>
    <row r="217" spans="7:46" ht="13">
      <c r="G217" s="34"/>
      <c r="J217" s="18"/>
      <c r="N217" s="18"/>
      <c r="O217" s="1"/>
      <c r="P217" s="1"/>
      <c r="Q217" s="1"/>
      <c r="R217" s="18"/>
      <c r="S217" s="1"/>
      <c r="T217" s="1"/>
      <c r="U217" s="1"/>
      <c r="V217" s="1"/>
      <c r="Z217" s="18"/>
      <c r="AD217" s="18"/>
      <c r="AH217" s="18"/>
      <c r="AL217" s="18"/>
      <c r="AM217" s="22"/>
      <c r="AN217" s="22"/>
      <c r="AO217" s="22"/>
      <c r="AP217" s="22"/>
      <c r="AQ217" s="22"/>
      <c r="AR217" s="22"/>
      <c r="AS217" s="22"/>
      <c r="AT217" s="22"/>
    </row>
    <row r="218" spans="7:46" ht="13">
      <c r="G218" s="34"/>
      <c r="J218" s="18"/>
      <c r="N218" s="18"/>
      <c r="O218" s="1"/>
      <c r="P218" s="1"/>
      <c r="Q218" s="1"/>
      <c r="R218" s="18"/>
      <c r="S218" s="1"/>
      <c r="T218" s="1"/>
      <c r="U218" s="1"/>
      <c r="V218" s="1"/>
      <c r="Z218" s="18"/>
      <c r="AD218" s="18"/>
      <c r="AH218" s="18"/>
      <c r="AL218" s="18"/>
      <c r="AM218" s="22"/>
      <c r="AN218" s="22"/>
      <c r="AO218" s="22"/>
      <c r="AP218" s="22"/>
      <c r="AQ218" s="22"/>
      <c r="AR218" s="22"/>
      <c r="AS218" s="22"/>
      <c r="AT218" s="22"/>
    </row>
    <row r="219" spans="7:46" ht="13">
      <c r="G219" s="34"/>
      <c r="J219" s="18"/>
      <c r="N219" s="18"/>
      <c r="O219" s="1"/>
      <c r="P219" s="1"/>
      <c r="Q219" s="1"/>
      <c r="R219" s="18"/>
      <c r="S219" s="1"/>
      <c r="T219" s="1"/>
      <c r="U219" s="1"/>
      <c r="V219" s="1"/>
      <c r="Z219" s="18"/>
      <c r="AD219" s="18"/>
      <c r="AH219" s="18"/>
      <c r="AL219" s="18"/>
      <c r="AM219" s="22"/>
      <c r="AN219" s="22"/>
      <c r="AO219" s="22"/>
      <c r="AP219" s="22"/>
      <c r="AQ219" s="22"/>
      <c r="AR219" s="22"/>
      <c r="AS219" s="22"/>
      <c r="AT219" s="22"/>
    </row>
    <row r="220" spans="7:46" ht="13">
      <c r="G220" s="34"/>
      <c r="J220" s="18"/>
      <c r="N220" s="18"/>
      <c r="O220" s="1"/>
      <c r="P220" s="1"/>
      <c r="Q220" s="1"/>
      <c r="R220" s="18"/>
      <c r="S220" s="1"/>
      <c r="T220" s="1"/>
      <c r="U220" s="1"/>
      <c r="V220" s="1"/>
      <c r="Z220" s="18"/>
      <c r="AD220" s="18"/>
      <c r="AH220" s="18"/>
      <c r="AL220" s="18"/>
      <c r="AM220" s="22"/>
      <c r="AN220" s="22"/>
      <c r="AO220" s="22"/>
      <c r="AP220" s="22"/>
      <c r="AQ220" s="22"/>
      <c r="AR220" s="22"/>
      <c r="AS220" s="22"/>
      <c r="AT220" s="22"/>
    </row>
    <row r="221" spans="7:46" ht="13">
      <c r="G221" s="34"/>
      <c r="J221" s="18"/>
      <c r="N221" s="18"/>
      <c r="O221" s="1"/>
      <c r="P221" s="1"/>
      <c r="Q221" s="1"/>
      <c r="R221" s="18"/>
      <c r="S221" s="1"/>
      <c r="T221" s="1"/>
      <c r="U221" s="1"/>
      <c r="V221" s="1"/>
      <c r="Z221" s="18"/>
      <c r="AD221" s="18"/>
      <c r="AH221" s="18"/>
      <c r="AL221" s="18"/>
      <c r="AM221" s="22"/>
      <c r="AN221" s="22"/>
      <c r="AO221" s="22"/>
      <c r="AP221" s="22"/>
      <c r="AQ221" s="22"/>
      <c r="AR221" s="22"/>
      <c r="AS221" s="22"/>
      <c r="AT221" s="22"/>
    </row>
    <row r="222" spans="7:46" ht="13">
      <c r="G222" s="34"/>
      <c r="J222" s="18"/>
      <c r="N222" s="18"/>
      <c r="O222" s="1"/>
      <c r="P222" s="1"/>
      <c r="Q222" s="1"/>
      <c r="R222" s="18"/>
      <c r="S222" s="1"/>
      <c r="T222" s="1"/>
      <c r="U222" s="1"/>
      <c r="V222" s="1"/>
      <c r="Z222" s="18"/>
      <c r="AD222" s="18"/>
      <c r="AH222" s="18"/>
      <c r="AL222" s="18"/>
      <c r="AM222" s="22"/>
      <c r="AN222" s="22"/>
      <c r="AO222" s="22"/>
      <c r="AP222" s="22"/>
      <c r="AQ222" s="22"/>
      <c r="AR222" s="22"/>
      <c r="AS222" s="22"/>
      <c r="AT222" s="22"/>
    </row>
    <row r="223" spans="7:46" ht="13">
      <c r="G223" s="34"/>
      <c r="J223" s="18"/>
      <c r="N223" s="18"/>
      <c r="O223" s="1"/>
      <c r="P223" s="1"/>
      <c r="Q223" s="1"/>
      <c r="R223" s="18"/>
      <c r="S223" s="1"/>
      <c r="T223" s="1"/>
      <c r="U223" s="1"/>
      <c r="V223" s="1"/>
      <c r="Z223" s="18"/>
      <c r="AD223" s="18"/>
      <c r="AH223" s="18"/>
      <c r="AL223" s="18"/>
      <c r="AM223" s="22"/>
      <c r="AN223" s="22"/>
      <c r="AO223" s="22"/>
      <c r="AP223" s="22"/>
      <c r="AQ223" s="22"/>
      <c r="AR223" s="22"/>
      <c r="AS223" s="22"/>
      <c r="AT223" s="22"/>
    </row>
    <row r="224" spans="7:46" ht="13">
      <c r="G224" s="34"/>
      <c r="J224" s="18"/>
      <c r="N224" s="18"/>
      <c r="O224" s="1"/>
      <c r="P224" s="1"/>
      <c r="Q224" s="1"/>
      <c r="R224" s="18"/>
      <c r="S224" s="1"/>
      <c r="T224" s="1"/>
      <c r="U224" s="1"/>
      <c r="V224" s="1"/>
      <c r="Z224" s="18"/>
      <c r="AD224" s="18"/>
      <c r="AH224" s="18"/>
      <c r="AL224" s="18"/>
      <c r="AM224" s="22"/>
      <c r="AN224" s="22"/>
      <c r="AO224" s="22"/>
      <c r="AP224" s="22"/>
      <c r="AQ224" s="22"/>
      <c r="AR224" s="22"/>
      <c r="AS224" s="22"/>
      <c r="AT224" s="22"/>
    </row>
    <row r="225" spans="7:46" ht="13">
      <c r="G225" s="34"/>
      <c r="J225" s="18"/>
      <c r="N225" s="18"/>
      <c r="O225" s="1"/>
      <c r="P225" s="1"/>
      <c r="Q225" s="1"/>
      <c r="R225" s="18"/>
      <c r="S225" s="1"/>
      <c r="T225" s="1"/>
      <c r="U225" s="1"/>
      <c r="V225" s="1"/>
      <c r="Z225" s="18"/>
      <c r="AD225" s="18"/>
      <c r="AH225" s="18"/>
      <c r="AL225" s="18"/>
      <c r="AM225" s="22"/>
      <c r="AN225" s="22"/>
      <c r="AO225" s="22"/>
      <c r="AP225" s="22"/>
      <c r="AQ225" s="22"/>
      <c r="AR225" s="22"/>
      <c r="AS225" s="22"/>
      <c r="AT225" s="22"/>
    </row>
    <row r="226" spans="7:46" ht="13">
      <c r="G226" s="34"/>
      <c r="J226" s="18"/>
      <c r="N226" s="18"/>
      <c r="O226" s="1"/>
      <c r="P226" s="1"/>
      <c r="Q226" s="1"/>
      <c r="R226" s="18"/>
      <c r="S226" s="1"/>
      <c r="T226" s="1"/>
      <c r="U226" s="1"/>
      <c r="V226" s="1"/>
      <c r="Z226" s="18"/>
      <c r="AD226" s="18"/>
      <c r="AH226" s="18"/>
      <c r="AL226" s="18"/>
      <c r="AM226" s="22"/>
      <c r="AN226" s="22"/>
      <c r="AO226" s="22"/>
      <c r="AP226" s="22"/>
      <c r="AQ226" s="22"/>
      <c r="AR226" s="22"/>
      <c r="AS226" s="22"/>
      <c r="AT226" s="22"/>
    </row>
    <row r="227" spans="7:46" ht="13">
      <c r="G227" s="34"/>
      <c r="J227" s="18"/>
      <c r="N227" s="18"/>
      <c r="O227" s="1"/>
      <c r="P227" s="1"/>
      <c r="Q227" s="1"/>
      <c r="R227" s="18"/>
      <c r="S227" s="1"/>
      <c r="T227" s="1"/>
      <c r="U227" s="1"/>
      <c r="V227" s="1"/>
      <c r="Z227" s="18"/>
      <c r="AD227" s="18"/>
      <c r="AH227" s="18"/>
      <c r="AL227" s="18"/>
      <c r="AM227" s="22"/>
      <c r="AN227" s="22"/>
      <c r="AO227" s="22"/>
      <c r="AP227" s="22"/>
      <c r="AQ227" s="22"/>
      <c r="AR227" s="22"/>
      <c r="AS227" s="22"/>
      <c r="AT227" s="22"/>
    </row>
    <row r="228" spans="7:46" ht="13">
      <c r="G228" s="34"/>
      <c r="J228" s="18"/>
      <c r="N228" s="18"/>
      <c r="O228" s="1"/>
      <c r="P228" s="1"/>
      <c r="Q228" s="1"/>
      <c r="R228" s="18"/>
      <c r="S228" s="1"/>
      <c r="T228" s="1"/>
      <c r="U228" s="1"/>
      <c r="V228" s="1"/>
      <c r="Z228" s="18"/>
      <c r="AD228" s="18"/>
      <c r="AH228" s="18"/>
      <c r="AL228" s="18"/>
      <c r="AM228" s="22"/>
      <c r="AN228" s="22"/>
      <c r="AO228" s="22"/>
      <c r="AP228" s="22"/>
      <c r="AQ228" s="22"/>
      <c r="AR228" s="22"/>
      <c r="AS228" s="22"/>
      <c r="AT228" s="22"/>
    </row>
    <row r="229" spans="7:46" ht="13">
      <c r="G229" s="34"/>
      <c r="J229" s="18"/>
      <c r="N229" s="18"/>
      <c r="O229" s="1"/>
      <c r="P229" s="1"/>
      <c r="Q229" s="1"/>
      <c r="R229" s="18"/>
      <c r="S229" s="1"/>
      <c r="T229" s="1"/>
      <c r="U229" s="1"/>
      <c r="V229" s="1"/>
      <c r="Z229" s="18"/>
      <c r="AD229" s="18"/>
      <c r="AH229" s="18"/>
      <c r="AL229" s="18"/>
      <c r="AM229" s="22"/>
      <c r="AN229" s="22"/>
      <c r="AO229" s="22"/>
      <c r="AP229" s="22"/>
      <c r="AQ229" s="22"/>
      <c r="AR229" s="22"/>
      <c r="AS229" s="22"/>
      <c r="AT229" s="22"/>
    </row>
    <row r="230" spans="7:46" ht="13">
      <c r="G230" s="34"/>
      <c r="J230" s="18"/>
      <c r="N230" s="18"/>
      <c r="O230" s="1"/>
      <c r="P230" s="1"/>
      <c r="Q230" s="1"/>
      <c r="R230" s="18"/>
      <c r="S230" s="1"/>
      <c r="T230" s="1"/>
      <c r="U230" s="1"/>
      <c r="V230" s="1"/>
      <c r="Z230" s="18"/>
      <c r="AD230" s="18"/>
      <c r="AH230" s="18"/>
      <c r="AL230" s="18"/>
      <c r="AM230" s="22"/>
      <c r="AN230" s="22"/>
      <c r="AO230" s="22"/>
      <c r="AP230" s="22"/>
      <c r="AQ230" s="22"/>
      <c r="AR230" s="22"/>
      <c r="AS230" s="22"/>
      <c r="AT230" s="22"/>
    </row>
    <row r="231" spans="7:46" ht="13">
      <c r="G231" s="34"/>
      <c r="J231" s="18"/>
      <c r="N231" s="18"/>
      <c r="O231" s="1"/>
      <c r="P231" s="1"/>
      <c r="Q231" s="1"/>
      <c r="R231" s="18"/>
      <c r="S231" s="1"/>
      <c r="T231" s="1"/>
      <c r="U231" s="1"/>
      <c r="V231" s="1"/>
      <c r="Z231" s="18"/>
      <c r="AD231" s="18"/>
      <c r="AH231" s="18"/>
      <c r="AL231" s="18"/>
      <c r="AM231" s="22"/>
      <c r="AN231" s="22"/>
      <c r="AO231" s="22"/>
      <c r="AP231" s="22"/>
      <c r="AQ231" s="22"/>
      <c r="AR231" s="22"/>
      <c r="AS231" s="22"/>
      <c r="AT231" s="22"/>
    </row>
    <row r="232" spans="7:46" ht="13">
      <c r="G232" s="34"/>
      <c r="J232" s="18"/>
      <c r="N232" s="18"/>
      <c r="O232" s="1"/>
      <c r="P232" s="1"/>
      <c r="Q232" s="1"/>
      <c r="R232" s="18"/>
      <c r="S232" s="1"/>
      <c r="T232" s="1"/>
      <c r="U232" s="1"/>
      <c r="V232" s="1"/>
      <c r="Z232" s="18"/>
      <c r="AD232" s="18"/>
      <c r="AH232" s="18"/>
      <c r="AL232" s="18"/>
      <c r="AM232" s="22"/>
      <c r="AN232" s="22"/>
      <c r="AO232" s="22"/>
      <c r="AP232" s="22"/>
      <c r="AQ232" s="22"/>
      <c r="AR232" s="22"/>
      <c r="AS232" s="22"/>
      <c r="AT232" s="22"/>
    </row>
    <row r="233" spans="7:46" ht="13">
      <c r="G233" s="34"/>
      <c r="J233" s="18"/>
      <c r="N233" s="18"/>
      <c r="O233" s="1"/>
      <c r="P233" s="1"/>
      <c r="Q233" s="1"/>
      <c r="R233" s="18"/>
      <c r="S233" s="1"/>
      <c r="T233" s="1"/>
      <c r="U233" s="1"/>
      <c r="V233" s="1"/>
      <c r="Z233" s="18"/>
      <c r="AD233" s="18"/>
      <c r="AH233" s="18"/>
      <c r="AL233" s="18"/>
      <c r="AM233" s="22"/>
      <c r="AN233" s="22"/>
      <c r="AO233" s="22"/>
      <c r="AP233" s="22"/>
      <c r="AQ233" s="22"/>
      <c r="AR233" s="22"/>
      <c r="AS233" s="22"/>
      <c r="AT233" s="22"/>
    </row>
    <row r="234" spans="7:46" ht="13">
      <c r="G234" s="34"/>
      <c r="J234" s="18"/>
      <c r="N234" s="18"/>
      <c r="O234" s="1"/>
      <c r="P234" s="1"/>
      <c r="Q234" s="1"/>
      <c r="R234" s="18"/>
      <c r="S234" s="1"/>
      <c r="T234" s="1"/>
      <c r="U234" s="1"/>
      <c r="V234" s="1"/>
      <c r="Z234" s="18"/>
      <c r="AD234" s="18"/>
      <c r="AH234" s="18"/>
      <c r="AL234" s="18"/>
      <c r="AM234" s="22"/>
      <c r="AN234" s="22"/>
      <c r="AO234" s="22"/>
      <c r="AP234" s="22"/>
      <c r="AQ234" s="22"/>
      <c r="AR234" s="22"/>
      <c r="AS234" s="22"/>
      <c r="AT234" s="22"/>
    </row>
    <row r="235" spans="7:46" ht="13">
      <c r="G235" s="34"/>
      <c r="J235" s="18"/>
      <c r="N235" s="18"/>
      <c r="O235" s="1"/>
      <c r="P235" s="1"/>
      <c r="Q235" s="1"/>
      <c r="R235" s="18"/>
      <c r="S235" s="1"/>
      <c r="T235" s="1"/>
      <c r="U235" s="1"/>
      <c r="V235" s="1"/>
      <c r="Z235" s="18"/>
      <c r="AD235" s="18"/>
      <c r="AH235" s="18"/>
      <c r="AL235" s="18"/>
      <c r="AM235" s="22"/>
      <c r="AN235" s="22"/>
      <c r="AO235" s="22"/>
      <c r="AP235" s="22"/>
      <c r="AQ235" s="22"/>
      <c r="AR235" s="22"/>
      <c r="AS235" s="22"/>
      <c r="AT235" s="22"/>
    </row>
    <row r="236" spans="7:46" ht="13">
      <c r="G236" s="34"/>
      <c r="J236" s="18"/>
      <c r="N236" s="18"/>
      <c r="O236" s="1"/>
      <c r="P236" s="1"/>
      <c r="Q236" s="1"/>
      <c r="R236" s="18"/>
      <c r="S236" s="1"/>
      <c r="T236" s="1"/>
      <c r="U236" s="1"/>
      <c r="V236" s="1"/>
      <c r="Z236" s="18"/>
      <c r="AD236" s="18"/>
      <c r="AH236" s="18"/>
      <c r="AL236" s="18"/>
      <c r="AM236" s="22"/>
      <c r="AN236" s="22"/>
      <c r="AO236" s="22"/>
      <c r="AP236" s="22"/>
      <c r="AQ236" s="22"/>
      <c r="AR236" s="22"/>
      <c r="AS236" s="22"/>
      <c r="AT236" s="22"/>
    </row>
    <row r="237" spans="7:46" ht="13">
      <c r="G237" s="34"/>
      <c r="J237" s="18"/>
      <c r="N237" s="18"/>
      <c r="O237" s="1"/>
      <c r="P237" s="1"/>
      <c r="Q237" s="1"/>
      <c r="R237" s="18"/>
      <c r="S237" s="1"/>
      <c r="T237" s="1"/>
      <c r="U237" s="1"/>
      <c r="V237" s="1"/>
      <c r="Z237" s="18"/>
      <c r="AD237" s="18"/>
      <c r="AH237" s="18"/>
      <c r="AL237" s="18"/>
      <c r="AM237" s="22"/>
      <c r="AN237" s="22"/>
      <c r="AO237" s="22"/>
      <c r="AP237" s="22"/>
      <c r="AQ237" s="22"/>
      <c r="AR237" s="22"/>
      <c r="AS237" s="22"/>
      <c r="AT237" s="22"/>
    </row>
    <row r="238" spans="7:46" ht="13">
      <c r="G238" s="34"/>
      <c r="J238" s="18"/>
      <c r="N238" s="18"/>
      <c r="O238" s="1"/>
      <c r="P238" s="1"/>
      <c r="Q238" s="1"/>
      <c r="R238" s="18"/>
      <c r="S238" s="1"/>
      <c r="T238" s="1"/>
      <c r="U238" s="1"/>
      <c r="V238" s="1"/>
      <c r="Z238" s="18"/>
      <c r="AD238" s="18"/>
      <c r="AH238" s="18"/>
      <c r="AL238" s="18"/>
      <c r="AM238" s="22"/>
      <c r="AN238" s="22"/>
      <c r="AO238" s="22"/>
      <c r="AP238" s="22"/>
      <c r="AQ238" s="22"/>
      <c r="AR238" s="22"/>
      <c r="AS238" s="22"/>
      <c r="AT238" s="22"/>
    </row>
    <row r="239" spans="7:46" ht="13">
      <c r="G239" s="34"/>
      <c r="J239" s="18"/>
      <c r="N239" s="18"/>
      <c r="O239" s="1"/>
      <c r="P239" s="1"/>
      <c r="Q239" s="1"/>
      <c r="R239" s="18"/>
      <c r="S239" s="1"/>
      <c r="T239" s="1"/>
      <c r="U239" s="1"/>
      <c r="V239" s="1"/>
      <c r="Z239" s="18"/>
      <c r="AD239" s="18"/>
      <c r="AH239" s="18"/>
      <c r="AL239" s="18"/>
      <c r="AM239" s="22"/>
      <c r="AN239" s="22"/>
      <c r="AO239" s="22"/>
      <c r="AP239" s="22"/>
      <c r="AQ239" s="22"/>
      <c r="AR239" s="22"/>
      <c r="AS239" s="22"/>
      <c r="AT239" s="22"/>
    </row>
    <row r="240" spans="7:46" ht="13">
      <c r="G240" s="34"/>
      <c r="J240" s="18"/>
      <c r="N240" s="18"/>
      <c r="O240" s="1"/>
      <c r="P240" s="1"/>
      <c r="Q240" s="1"/>
      <c r="R240" s="18"/>
      <c r="S240" s="1"/>
      <c r="T240" s="1"/>
      <c r="U240" s="1"/>
      <c r="V240" s="1"/>
      <c r="Z240" s="18"/>
      <c r="AD240" s="18"/>
      <c r="AH240" s="18"/>
      <c r="AL240" s="18"/>
      <c r="AM240" s="22"/>
      <c r="AN240" s="22"/>
      <c r="AO240" s="22"/>
      <c r="AP240" s="22"/>
      <c r="AQ240" s="22"/>
      <c r="AR240" s="22"/>
      <c r="AS240" s="22"/>
      <c r="AT240" s="22"/>
    </row>
    <row r="241" spans="7:46" ht="13">
      <c r="G241" s="34"/>
      <c r="J241" s="18"/>
      <c r="N241" s="18"/>
      <c r="O241" s="1"/>
      <c r="P241" s="1"/>
      <c r="Q241" s="1"/>
      <c r="R241" s="18"/>
      <c r="S241" s="1"/>
      <c r="T241" s="1"/>
      <c r="U241" s="1"/>
      <c r="V241" s="1"/>
      <c r="Z241" s="18"/>
      <c r="AD241" s="18"/>
      <c r="AH241" s="18"/>
      <c r="AL241" s="18"/>
      <c r="AM241" s="22"/>
      <c r="AN241" s="22"/>
      <c r="AO241" s="22"/>
      <c r="AP241" s="22"/>
      <c r="AQ241" s="22"/>
      <c r="AR241" s="22"/>
      <c r="AS241" s="22"/>
      <c r="AT241" s="22"/>
    </row>
    <row r="242" spans="7:46" ht="13">
      <c r="G242" s="34"/>
      <c r="J242" s="18"/>
      <c r="N242" s="18"/>
      <c r="O242" s="1"/>
      <c r="P242" s="1"/>
      <c r="Q242" s="1"/>
      <c r="R242" s="18"/>
      <c r="S242" s="1"/>
      <c r="T242" s="1"/>
      <c r="U242" s="1"/>
      <c r="V242" s="1"/>
      <c r="Z242" s="18"/>
      <c r="AD242" s="18"/>
      <c r="AH242" s="18"/>
      <c r="AL242" s="18"/>
      <c r="AM242" s="22"/>
      <c r="AN242" s="22"/>
      <c r="AO242" s="22"/>
      <c r="AP242" s="22"/>
      <c r="AQ242" s="22"/>
      <c r="AR242" s="22"/>
      <c r="AS242" s="22"/>
      <c r="AT242" s="22"/>
    </row>
    <row r="243" spans="7:46" ht="13">
      <c r="G243" s="34"/>
      <c r="J243" s="18"/>
      <c r="N243" s="18"/>
      <c r="O243" s="1"/>
      <c r="P243" s="1"/>
      <c r="Q243" s="1"/>
      <c r="R243" s="18"/>
      <c r="S243" s="1"/>
      <c r="T243" s="1"/>
      <c r="U243" s="1"/>
      <c r="V243" s="1"/>
      <c r="Z243" s="18"/>
      <c r="AD243" s="18"/>
      <c r="AH243" s="18"/>
      <c r="AL243" s="18"/>
      <c r="AM243" s="22"/>
      <c r="AN243" s="22"/>
      <c r="AO243" s="22"/>
      <c r="AP243" s="22"/>
      <c r="AQ243" s="22"/>
      <c r="AR243" s="22"/>
      <c r="AS243" s="22"/>
      <c r="AT243" s="22"/>
    </row>
    <row r="244" spans="7:46" ht="13">
      <c r="G244" s="34"/>
      <c r="J244" s="18"/>
      <c r="N244" s="18"/>
      <c r="O244" s="1"/>
      <c r="P244" s="1"/>
      <c r="Q244" s="1"/>
      <c r="R244" s="18"/>
      <c r="S244" s="1"/>
      <c r="T244" s="1"/>
      <c r="U244" s="1"/>
      <c r="V244" s="1"/>
      <c r="Z244" s="18"/>
      <c r="AD244" s="18"/>
      <c r="AH244" s="18"/>
      <c r="AL244" s="18"/>
      <c r="AM244" s="22"/>
      <c r="AN244" s="22"/>
      <c r="AO244" s="22"/>
      <c r="AP244" s="22"/>
      <c r="AQ244" s="22"/>
      <c r="AR244" s="22"/>
      <c r="AS244" s="22"/>
      <c r="AT244" s="22"/>
    </row>
    <row r="245" spans="7:46" ht="13">
      <c r="G245" s="34"/>
      <c r="J245" s="18"/>
      <c r="N245" s="18"/>
      <c r="O245" s="1"/>
      <c r="P245" s="1"/>
      <c r="Q245" s="1"/>
      <c r="R245" s="18"/>
      <c r="S245" s="1"/>
      <c r="T245" s="1"/>
      <c r="U245" s="1"/>
      <c r="V245" s="1"/>
      <c r="Z245" s="18"/>
      <c r="AD245" s="18"/>
      <c r="AH245" s="18"/>
      <c r="AL245" s="18"/>
      <c r="AM245" s="22"/>
      <c r="AN245" s="22"/>
      <c r="AO245" s="22"/>
      <c r="AP245" s="22"/>
      <c r="AQ245" s="22"/>
      <c r="AR245" s="22"/>
      <c r="AS245" s="22"/>
      <c r="AT245" s="22"/>
    </row>
    <row r="246" spans="7:46" ht="13">
      <c r="G246" s="34"/>
      <c r="J246" s="18"/>
      <c r="N246" s="18"/>
      <c r="O246" s="1"/>
      <c r="P246" s="1"/>
      <c r="Q246" s="1"/>
      <c r="R246" s="18"/>
      <c r="S246" s="1"/>
      <c r="T246" s="1"/>
      <c r="U246" s="1"/>
      <c r="V246" s="1"/>
      <c r="Z246" s="18"/>
      <c r="AD246" s="18"/>
      <c r="AH246" s="18"/>
      <c r="AL246" s="18"/>
      <c r="AM246" s="22"/>
      <c r="AN246" s="22"/>
      <c r="AO246" s="22"/>
      <c r="AP246" s="22"/>
      <c r="AQ246" s="22"/>
      <c r="AR246" s="22"/>
      <c r="AS246" s="22"/>
      <c r="AT246" s="22"/>
    </row>
    <row r="247" spans="7:46" ht="13">
      <c r="G247" s="34"/>
      <c r="J247" s="18"/>
      <c r="N247" s="18"/>
      <c r="O247" s="1"/>
      <c r="P247" s="1"/>
      <c r="Q247" s="1"/>
      <c r="R247" s="18"/>
      <c r="S247" s="1"/>
      <c r="T247" s="1"/>
      <c r="U247" s="1"/>
      <c r="V247" s="1"/>
      <c r="Z247" s="18"/>
      <c r="AD247" s="18"/>
      <c r="AH247" s="18"/>
      <c r="AL247" s="18"/>
      <c r="AM247" s="22"/>
      <c r="AN247" s="22"/>
      <c r="AO247" s="22"/>
      <c r="AP247" s="22"/>
      <c r="AQ247" s="22"/>
      <c r="AR247" s="22"/>
      <c r="AS247" s="22"/>
      <c r="AT247" s="22"/>
    </row>
    <row r="248" spans="7:46" ht="13">
      <c r="G248" s="34"/>
      <c r="J248" s="18"/>
      <c r="N248" s="18"/>
      <c r="O248" s="1"/>
      <c r="P248" s="1"/>
      <c r="Q248" s="1"/>
      <c r="R248" s="18"/>
      <c r="S248" s="1"/>
      <c r="T248" s="1"/>
      <c r="U248" s="1"/>
      <c r="V248" s="1"/>
      <c r="Z248" s="18"/>
      <c r="AD248" s="18"/>
      <c r="AH248" s="18"/>
      <c r="AL248" s="18"/>
      <c r="AM248" s="22"/>
      <c r="AN248" s="22"/>
      <c r="AO248" s="22"/>
      <c r="AP248" s="22"/>
      <c r="AQ248" s="22"/>
      <c r="AR248" s="22"/>
      <c r="AS248" s="22"/>
      <c r="AT248" s="22"/>
    </row>
    <row r="249" spans="7:46" ht="13">
      <c r="G249" s="34"/>
      <c r="J249" s="18"/>
      <c r="N249" s="18"/>
      <c r="O249" s="1"/>
      <c r="P249" s="1"/>
      <c r="Q249" s="1"/>
      <c r="R249" s="18"/>
      <c r="S249" s="1"/>
      <c r="T249" s="1"/>
      <c r="U249" s="1"/>
      <c r="V249" s="1"/>
      <c r="Z249" s="18"/>
      <c r="AD249" s="18"/>
      <c r="AH249" s="18"/>
      <c r="AL249" s="18"/>
      <c r="AM249" s="22"/>
      <c r="AN249" s="22"/>
      <c r="AO249" s="22"/>
      <c r="AP249" s="22"/>
      <c r="AQ249" s="22"/>
      <c r="AR249" s="22"/>
      <c r="AS249" s="22"/>
      <c r="AT249" s="22"/>
    </row>
    <row r="250" spans="7:46" ht="13">
      <c r="G250" s="34"/>
      <c r="J250" s="18"/>
      <c r="N250" s="18"/>
      <c r="O250" s="1"/>
      <c r="P250" s="1"/>
      <c r="Q250" s="1"/>
      <c r="R250" s="18"/>
      <c r="S250" s="1"/>
      <c r="T250" s="1"/>
      <c r="U250" s="1"/>
      <c r="V250" s="1"/>
      <c r="Z250" s="18"/>
      <c r="AD250" s="18"/>
      <c r="AH250" s="18"/>
      <c r="AL250" s="18"/>
      <c r="AM250" s="22"/>
      <c r="AN250" s="22"/>
      <c r="AO250" s="22"/>
      <c r="AP250" s="22"/>
      <c r="AQ250" s="22"/>
      <c r="AR250" s="22"/>
      <c r="AS250" s="22"/>
      <c r="AT250" s="22"/>
    </row>
    <row r="251" spans="7:46" ht="13">
      <c r="G251" s="34"/>
      <c r="J251" s="18"/>
      <c r="N251" s="18"/>
      <c r="O251" s="1"/>
      <c r="P251" s="1"/>
      <c r="Q251" s="1"/>
      <c r="R251" s="18"/>
      <c r="S251" s="1"/>
      <c r="T251" s="1"/>
      <c r="U251" s="1"/>
      <c r="V251" s="1"/>
      <c r="Z251" s="18"/>
      <c r="AD251" s="18"/>
      <c r="AH251" s="18"/>
      <c r="AL251" s="18"/>
      <c r="AM251" s="22"/>
      <c r="AN251" s="22"/>
      <c r="AO251" s="22"/>
      <c r="AP251" s="22"/>
      <c r="AQ251" s="22"/>
      <c r="AR251" s="22"/>
      <c r="AS251" s="22"/>
      <c r="AT251" s="22"/>
    </row>
    <row r="252" spans="7:46" ht="13">
      <c r="G252" s="34"/>
      <c r="J252" s="18"/>
      <c r="N252" s="18"/>
      <c r="O252" s="1"/>
      <c r="P252" s="1"/>
      <c r="Q252" s="1"/>
      <c r="R252" s="18"/>
      <c r="S252" s="1"/>
      <c r="T252" s="1"/>
      <c r="U252" s="1"/>
      <c r="V252" s="1"/>
      <c r="Z252" s="18"/>
      <c r="AD252" s="18"/>
      <c r="AH252" s="18"/>
      <c r="AL252" s="18"/>
      <c r="AM252" s="22"/>
      <c r="AN252" s="22"/>
      <c r="AO252" s="22"/>
      <c r="AP252" s="22"/>
      <c r="AQ252" s="22"/>
      <c r="AR252" s="22"/>
      <c r="AS252" s="22"/>
      <c r="AT252" s="22"/>
    </row>
    <row r="253" spans="7:46" ht="13">
      <c r="G253" s="34"/>
      <c r="J253" s="18"/>
      <c r="N253" s="18"/>
      <c r="O253" s="1"/>
      <c r="P253" s="1"/>
      <c r="Q253" s="1"/>
      <c r="R253" s="18"/>
      <c r="S253" s="1"/>
      <c r="T253" s="1"/>
      <c r="U253" s="1"/>
      <c r="V253" s="1"/>
      <c r="Z253" s="18"/>
      <c r="AD253" s="18"/>
      <c r="AH253" s="18"/>
      <c r="AL253" s="18"/>
      <c r="AM253" s="22"/>
      <c r="AN253" s="22"/>
      <c r="AO253" s="22"/>
      <c r="AP253" s="22"/>
      <c r="AQ253" s="22"/>
      <c r="AR253" s="22"/>
      <c r="AS253" s="22"/>
      <c r="AT253" s="22"/>
    </row>
    <row r="254" spans="7:46" ht="13">
      <c r="G254" s="34"/>
      <c r="J254" s="18"/>
      <c r="N254" s="18"/>
      <c r="O254" s="1"/>
      <c r="P254" s="1"/>
      <c r="Q254" s="1"/>
      <c r="R254" s="18"/>
      <c r="S254" s="1"/>
      <c r="T254" s="1"/>
      <c r="U254" s="1"/>
      <c r="V254" s="1"/>
      <c r="Z254" s="18"/>
      <c r="AD254" s="18"/>
      <c r="AH254" s="18"/>
      <c r="AL254" s="18"/>
      <c r="AM254" s="22"/>
      <c r="AN254" s="22"/>
      <c r="AO254" s="22"/>
      <c r="AP254" s="22"/>
      <c r="AQ254" s="22"/>
      <c r="AR254" s="22"/>
      <c r="AS254" s="22"/>
      <c r="AT254" s="22"/>
    </row>
    <row r="255" spans="7:46" ht="13">
      <c r="G255" s="34"/>
      <c r="J255" s="18"/>
      <c r="N255" s="18"/>
      <c r="O255" s="1"/>
      <c r="P255" s="1"/>
      <c r="Q255" s="1"/>
      <c r="R255" s="18"/>
      <c r="S255" s="1"/>
      <c r="T255" s="1"/>
      <c r="U255" s="1"/>
      <c r="V255" s="1"/>
      <c r="Z255" s="18"/>
      <c r="AD255" s="18"/>
      <c r="AH255" s="18"/>
      <c r="AL255" s="18"/>
      <c r="AM255" s="22"/>
      <c r="AN255" s="22"/>
      <c r="AO255" s="22"/>
      <c r="AP255" s="22"/>
      <c r="AQ255" s="22"/>
      <c r="AR255" s="22"/>
      <c r="AS255" s="22"/>
      <c r="AT255" s="22"/>
    </row>
    <row r="256" spans="7:46" ht="13">
      <c r="G256" s="34"/>
      <c r="J256" s="18"/>
      <c r="N256" s="18"/>
      <c r="O256" s="1"/>
      <c r="P256" s="1"/>
      <c r="Q256" s="1"/>
      <c r="R256" s="18"/>
      <c r="S256" s="1"/>
      <c r="T256" s="1"/>
      <c r="U256" s="1"/>
      <c r="V256" s="1"/>
      <c r="Z256" s="18"/>
      <c r="AD256" s="18"/>
      <c r="AH256" s="18"/>
      <c r="AL256" s="18"/>
      <c r="AM256" s="22"/>
      <c r="AN256" s="22"/>
      <c r="AO256" s="22"/>
      <c r="AP256" s="22"/>
      <c r="AQ256" s="22"/>
      <c r="AR256" s="22"/>
      <c r="AS256" s="22"/>
      <c r="AT256" s="22"/>
    </row>
    <row r="257" spans="7:46" ht="13">
      <c r="G257" s="34"/>
      <c r="J257" s="18"/>
      <c r="N257" s="18"/>
      <c r="O257" s="1"/>
      <c r="P257" s="1"/>
      <c r="Q257" s="1"/>
      <c r="R257" s="18"/>
      <c r="S257" s="1"/>
      <c r="T257" s="1"/>
      <c r="U257" s="1"/>
      <c r="V257" s="1"/>
      <c r="Z257" s="18"/>
      <c r="AD257" s="18"/>
      <c r="AH257" s="18"/>
      <c r="AL257" s="18"/>
      <c r="AM257" s="22"/>
      <c r="AN257" s="22"/>
      <c r="AO257" s="22"/>
      <c r="AP257" s="22"/>
      <c r="AQ257" s="22"/>
      <c r="AR257" s="22"/>
      <c r="AS257" s="22"/>
      <c r="AT257" s="22"/>
    </row>
    <row r="258" spans="7:46" ht="13">
      <c r="G258" s="34"/>
      <c r="J258" s="18"/>
      <c r="N258" s="18"/>
      <c r="O258" s="1"/>
      <c r="P258" s="1"/>
      <c r="Q258" s="1"/>
      <c r="R258" s="18"/>
      <c r="S258" s="1"/>
      <c r="T258" s="1"/>
      <c r="U258" s="1"/>
      <c r="V258" s="1"/>
      <c r="Z258" s="18"/>
      <c r="AD258" s="18"/>
      <c r="AH258" s="18"/>
      <c r="AL258" s="18"/>
      <c r="AM258" s="22"/>
      <c r="AN258" s="22"/>
      <c r="AO258" s="22"/>
      <c r="AP258" s="22"/>
      <c r="AQ258" s="22"/>
      <c r="AR258" s="22"/>
      <c r="AS258" s="22"/>
      <c r="AT258" s="22"/>
    </row>
    <row r="259" spans="7:46" ht="13">
      <c r="G259" s="34"/>
      <c r="J259" s="18"/>
      <c r="N259" s="18"/>
      <c r="O259" s="1"/>
      <c r="P259" s="1"/>
      <c r="Q259" s="1"/>
      <c r="R259" s="18"/>
      <c r="S259" s="1"/>
      <c r="T259" s="1"/>
      <c r="U259" s="1"/>
      <c r="V259" s="1"/>
      <c r="Z259" s="18"/>
      <c r="AD259" s="18"/>
      <c r="AH259" s="18"/>
      <c r="AL259" s="18"/>
      <c r="AM259" s="22"/>
      <c r="AN259" s="22"/>
      <c r="AO259" s="22"/>
      <c r="AP259" s="22"/>
      <c r="AQ259" s="22"/>
      <c r="AR259" s="22"/>
      <c r="AS259" s="22"/>
      <c r="AT259" s="22"/>
    </row>
    <row r="260" spans="7:46" ht="13">
      <c r="G260" s="34"/>
      <c r="J260" s="18"/>
      <c r="N260" s="18"/>
      <c r="O260" s="1"/>
      <c r="P260" s="1"/>
      <c r="Q260" s="1"/>
      <c r="R260" s="18"/>
      <c r="S260" s="1"/>
      <c r="T260" s="1"/>
      <c r="U260" s="1"/>
      <c r="V260" s="1"/>
      <c r="Z260" s="18"/>
      <c r="AD260" s="18"/>
      <c r="AH260" s="18"/>
      <c r="AL260" s="18"/>
      <c r="AM260" s="22"/>
      <c r="AN260" s="22"/>
      <c r="AO260" s="22"/>
      <c r="AP260" s="22"/>
      <c r="AQ260" s="22"/>
      <c r="AR260" s="22"/>
      <c r="AS260" s="22"/>
      <c r="AT260" s="22"/>
    </row>
    <row r="261" spans="7:46" ht="13">
      <c r="G261" s="34"/>
      <c r="J261" s="18"/>
      <c r="N261" s="18"/>
      <c r="O261" s="1"/>
      <c r="P261" s="1"/>
      <c r="Q261" s="1"/>
      <c r="R261" s="18"/>
      <c r="S261" s="1"/>
      <c r="T261" s="1"/>
      <c r="U261" s="1"/>
      <c r="V261" s="1"/>
      <c r="Z261" s="18"/>
      <c r="AD261" s="18"/>
      <c r="AH261" s="18"/>
      <c r="AL261" s="18"/>
      <c r="AM261" s="22"/>
      <c r="AN261" s="22"/>
      <c r="AO261" s="22"/>
      <c r="AP261" s="22"/>
      <c r="AQ261" s="22"/>
      <c r="AR261" s="22"/>
      <c r="AS261" s="22"/>
      <c r="AT261" s="22"/>
    </row>
    <row r="262" spans="7:46" ht="13">
      <c r="G262" s="34"/>
      <c r="J262" s="18"/>
      <c r="N262" s="18"/>
      <c r="O262" s="1"/>
      <c r="P262" s="1"/>
      <c r="Q262" s="1"/>
      <c r="R262" s="18"/>
      <c r="S262" s="1"/>
      <c r="T262" s="1"/>
      <c r="U262" s="1"/>
      <c r="V262" s="1"/>
      <c r="Z262" s="18"/>
      <c r="AD262" s="18"/>
      <c r="AH262" s="18"/>
      <c r="AL262" s="18"/>
      <c r="AM262" s="22"/>
      <c r="AN262" s="22"/>
      <c r="AO262" s="22"/>
      <c r="AP262" s="22"/>
      <c r="AQ262" s="22"/>
      <c r="AR262" s="22"/>
      <c r="AS262" s="22"/>
      <c r="AT262" s="22"/>
    </row>
    <row r="263" spans="7:46" ht="13">
      <c r="G263" s="34"/>
      <c r="J263" s="18"/>
      <c r="N263" s="18"/>
      <c r="O263" s="1"/>
      <c r="P263" s="1"/>
      <c r="Q263" s="1"/>
      <c r="R263" s="18"/>
      <c r="S263" s="1"/>
      <c r="T263" s="1"/>
      <c r="U263" s="1"/>
      <c r="V263" s="1"/>
      <c r="Z263" s="18"/>
      <c r="AD263" s="18"/>
      <c r="AH263" s="18"/>
      <c r="AL263" s="18"/>
      <c r="AM263" s="22"/>
      <c r="AN263" s="22"/>
      <c r="AO263" s="22"/>
      <c r="AP263" s="22"/>
      <c r="AQ263" s="22"/>
      <c r="AR263" s="22"/>
      <c r="AS263" s="22"/>
      <c r="AT263" s="22"/>
    </row>
    <row r="264" spans="7:46" ht="13">
      <c r="G264" s="34"/>
      <c r="J264" s="18"/>
      <c r="N264" s="18"/>
      <c r="O264" s="1"/>
      <c r="P264" s="1"/>
      <c r="Q264" s="1"/>
      <c r="R264" s="18"/>
      <c r="S264" s="1"/>
      <c r="T264" s="1"/>
      <c r="U264" s="1"/>
      <c r="V264" s="1"/>
      <c r="Z264" s="18"/>
      <c r="AD264" s="18"/>
      <c r="AH264" s="18"/>
      <c r="AL264" s="18"/>
      <c r="AM264" s="22"/>
      <c r="AN264" s="22"/>
      <c r="AO264" s="22"/>
      <c r="AP264" s="22"/>
      <c r="AQ264" s="22"/>
      <c r="AR264" s="22"/>
      <c r="AS264" s="22"/>
      <c r="AT264" s="22"/>
    </row>
    <row r="265" spans="7:46" ht="13">
      <c r="G265" s="34"/>
      <c r="J265" s="18"/>
      <c r="N265" s="18"/>
      <c r="O265" s="1"/>
      <c r="P265" s="1"/>
      <c r="Q265" s="1"/>
      <c r="R265" s="18"/>
      <c r="S265" s="1"/>
      <c r="T265" s="1"/>
      <c r="U265" s="1"/>
      <c r="V265" s="1"/>
      <c r="Z265" s="18"/>
      <c r="AD265" s="18"/>
      <c r="AH265" s="18"/>
      <c r="AL265" s="18"/>
      <c r="AM265" s="22"/>
      <c r="AN265" s="22"/>
      <c r="AO265" s="22"/>
      <c r="AP265" s="22"/>
      <c r="AQ265" s="22"/>
      <c r="AR265" s="22"/>
      <c r="AS265" s="22"/>
      <c r="AT265" s="22"/>
    </row>
    <row r="266" spans="7:46" ht="13">
      <c r="G266" s="34"/>
      <c r="J266" s="18"/>
      <c r="N266" s="18"/>
      <c r="O266" s="1"/>
      <c r="P266" s="1"/>
      <c r="Q266" s="1"/>
      <c r="R266" s="18"/>
      <c r="S266" s="1"/>
      <c r="T266" s="1"/>
      <c r="U266" s="1"/>
      <c r="V266" s="1"/>
      <c r="Z266" s="18"/>
      <c r="AD266" s="18"/>
      <c r="AH266" s="18"/>
      <c r="AL266" s="18"/>
      <c r="AM266" s="22"/>
      <c r="AN266" s="22"/>
      <c r="AO266" s="22"/>
      <c r="AP266" s="22"/>
      <c r="AQ266" s="22"/>
      <c r="AR266" s="22"/>
      <c r="AS266" s="22"/>
      <c r="AT266" s="22"/>
    </row>
    <row r="267" spans="7:46" ht="13">
      <c r="G267" s="34"/>
      <c r="J267" s="18"/>
      <c r="N267" s="18"/>
      <c r="O267" s="1"/>
      <c r="P267" s="1"/>
      <c r="Q267" s="1"/>
      <c r="R267" s="18"/>
      <c r="S267" s="1"/>
      <c r="T267" s="1"/>
      <c r="U267" s="1"/>
      <c r="V267" s="1"/>
      <c r="Z267" s="18"/>
      <c r="AD267" s="18"/>
      <c r="AH267" s="18"/>
      <c r="AL267" s="18"/>
      <c r="AM267" s="22"/>
      <c r="AN267" s="22"/>
      <c r="AO267" s="22"/>
      <c r="AP267" s="22"/>
      <c r="AQ267" s="22"/>
      <c r="AR267" s="22"/>
      <c r="AS267" s="22"/>
      <c r="AT267" s="22"/>
    </row>
    <row r="268" spans="7:46" ht="13">
      <c r="G268" s="34"/>
      <c r="J268" s="18"/>
      <c r="N268" s="18"/>
      <c r="O268" s="1"/>
      <c r="P268" s="1"/>
      <c r="Q268" s="1"/>
      <c r="R268" s="18"/>
      <c r="S268" s="1"/>
      <c r="T268" s="1"/>
      <c r="U268" s="1"/>
      <c r="V268" s="1"/>
      <c r="Z268" s="18"/>
      <c r="AD268" s="18"/>
      <c r="AH268" s="18"/>
      <c r="AL268" s="18"/>
      <c r="AM268" s="22"/>
      <c r="AN268" s="22"/>
      <c r="AO268" s="22"/>
      <c r="AP268" s="22"/>
      <c r="AQ268" s="22"/>
      <c r="AR268" s="22"/>
      <c r="AS268" s="22"/>
      <c r="AT268" s="22"/>
    </row>
    <row r="269" spans="7:46" ht="13">
      <c r="G269" s="34"/>
      <c r="J269" s="18"/>
      <c r="N269" s="18"/>
      <c r="O269" s="1"/>
      <c r="P269" s="1"/>
      <c r="Q269" s="1"/>
      <c r="R269" s="18"/>
      <c r="S269" s="1"/>
      <c r="T269" s="1"/>
      <c r="U269" s="1"/>
      <c r="V269" s="1"/>
      <c r="Z269" s="18"/>
      <c r="AD269" s="18"/>
      <c r="AH269" s="18"/>
      <c r="AL269" s="18"/>
      <c r="AM269" s="22"/>
      <c r="AN269" s="22"/>
      <c r="AO269" s="22"/>
      <c r="AP269" s="22"/>
      <c r="AQ269" s="22"/>
      <c r="AR269" s="22"/>
      <c r="AS269" s="22"/>
      <c r="AT269" s="22"/>
    </row>
    <row r="270" spans="7:46" ht="13">
      <c r="G270" s="34"/>
      <c r="J270" s="18"/>
      <c r="N270" s="18"/>
      <c r="O270" s="1"/>
      <c r="P270" s="1"/>
      <c r="Q270" s="1"/>
      <c r="R270" s="18"/>
      <c r="S270" s="1"/>
      <c r="T270" s="1"/>
      <c r="U270" s="1"/>
      <c r="V270" s="1"/>
      <c r="Z270" s="18"/>
      <c r="AD270" s="18"/>
      <c r="AH270" s="18"/>
      <c r="AL270" s="18"/>
      <c r="AM270" s="22"/>
      <c r="AN270" s="22"/>
      <c r="AO270" s="22"/>
      <c r="AP270" s="22"/>
      <c r="AQ270" s="22"/>
      <c r="AR270" s="22"/>
      <c r="AS270" s="22"/>
      <c r="AT270" s="22"/>
    </row>
    <row r="271" spans="7:46" ht="13">
      <c r="G271" s="34"/>
      <c r="J271" s="18"/>
      <c r="N271" s="18"/>
      <c r="O271" s="1"/>
      <c r="P271" s="1"/>
      <c r="Q271" s="1"/>
      <c r="R271" s="18"/>
      <c r="S271" s="1"/>
      <c r="T271" s="1"/>
      <c r="U271" s="1"/>
      <c r="V271" s="1"/>
      <c r="Z271" s="18"/>
      <c r="AD271" s="18"/>
      <c r="AH271" s="18"/>
      <c r="AL271" s="18"/>
      <c r="AM271" s="22"/>
      <c r="AN271" s="22"/>
      <c r="AO271" s="22"/>
      <c r="AP271" s="22"/>
      <c r="AQ271" s="22"/>
      <c r="AR271" s="22"/>
      <c r="AS271" s="22"/>
      <c r="AT271" s="22"/>
    </row>
    <row r="272" spans="7:46" ht="13">
      <c r="G272" s="34"/>
      <c r="J272" s="18"/>
      <c r="N272" s="18"/>
      <c r="O272" s="1"/>
      <c r="P272" s="1"/>
      <c r="Q272" s="1"/>
      <c r="R272" s="18"/>
      <c r="S272" s="1"/>
      <c r="T272" s="1"/>
      <c r="U272" s="1"/>
      <c r="V272" s="1"/>
      <c r="Z272" s="18"/>
      <c r="AD272" s="18"/>
      <c r="AH272" s="18"/>
      <c r="AL272" s="18"/>
      <c r="AM272" s="22"/>
      <c r="AN272" s="22"/>
      <c r="AO272" s="22"/>
      <c r="AP272" s="22"/>
      <c r="AQ272" s="22"/>
      <c r="AR272" s="22"/>
      <c r="AS272" s="22"/>
      <c r="AT272" s="22"/>
    </row>
    <row r="273" spans="7:46" ht="13">
      <c r="G273" s="34"/>
      <c r="J273" s="18"/>
      <c r="N273" s="18"/>
      <c r="O273" s="1"/>
      <c r="P273" s="1"/>
      <c r="Q273" s="1"/>
      <c r="R273" s="18"/>
      <c r="S273" s="1"/>
      <c r="T273" s="1"/>
      <c r="U273" s="1"/>
      <c r="V273" s="1"/>
      <c r="Z273" s="18"/>
      <c r="AD273" s="18"/>
      <c r="AH273" s="18"/>
      <c r="AL273" s="18"/>
      <c r="AM273" s="22"/>
      <c r="AN273" s="22"/>
      <c r="AO273" s="22"/>
      <c r="AP273" s="22"/>
      <c r="AQ273" s="22"/>
      <c r="AR273" s="22"/>
      <c r="AS273" s="22"/>
      <c r="AT273" s="22"/>
    </row>
    <row r="274" spans="7:46" ht="13">
      <c r="G274" s="34"/>
      <c r="J274" s="18"/>
      <c r="N274" s="18"/>
      <c r="O274" s="1"/>
      <c r="P274" s="1"/>
      <c r="Q274" s="1"/>
      <c r="R274" s="18"/>
      <c r="S274" s="1"/>
      <c r="T274" s="1"/>
      <c r="U274" s="1"/>
      <c r="V274" s="1"/>
      <c r="Z274" s="18"/>
      <c r="AD274" s="18"/>
      <c r="AH274" s="18"/>
      <c r="AL274" s="18"/>
      <c r="AM274" s="22"/>
      <c r="AN274" s="22"/>
      <c r="AO274" s="22"/>
      <c r="AP274" s="22"/>
      <c r="AQ274" s="22"/>
      <c r="AR274" s="22"/>
      <c r="AS274" s="22"/>
      <c r="AT274" s="22"/>
    </row>
    <row r="275" spans="7:46" ht="13">
      <c r="G275" s="34"/>
      <c r="J275" s="18"/>
      <c r="N275" s="18"/>
      <c r="O275" s="1"/>
      <c r="P275" s="1"/>
      <c r="Q275" s="1"/>
      <c r="R275" s="18"/>
      <c r="S275" s="1"/>
      <c r="T275" s="1"/>
      <c r="U275" s="1"/>
      <c r="V275" s="1"/>
      <c r="Z275" s="18"/>
      <c r="AD275" s="18"/>
      <c r="AH275" s="18"/>
      <c r="AL275" s="18"/>
      <c r="AM275" s="22"/>
      <c r="AN275" s="22"/>
      <c r="AO275" s="22"/>
      <c r="AP275" s="22"/>
      <c r="AQ275" s="22"/>
      <c r="AR275" s="22"/>
      <c r="AS275" s="22"/>
      <c r="AT275" s="22"/>
    </row>
    <row r="276" spans="7:46" ht="13">
      <c r="G276" s="34"/>
      <c r="J276" s="18"/>
      <c r="N276" s="18"/>
      <c r="O276" s="1"/>
      <c r="P276" s="1"/>
      <c r="Q276" s="1"/>
      <c r="R276" s="18"/>
      <c r="S276" s="1"/>
      <c r="T276" s="1"/>
      <c r="U276" s="1"/>
      <c r="V276" s="1"/>
      <c r="Z276" s="18"/>
      <c r="AD276" s="18"/>
      <c r="AH276" s="18"/>
      <c r="AL276" s="18"/>
      <c r="AM276" s="22"/>
      <c r="AN276" s="22"/>
      <c r="AO276" s="22"/>
      <c r="AP276" s="22"/>
      <c r="AQ276" s="22"/>
      <c r="AR276" s="22"/>
      <c r="AS276" s="22"/>
      <c r="AT276" s="22"/>
    </row>
    <row r="277" spans="7:46" ht="13">
      <c r="G277" s="34"/>
      <c r="J277" s="18"/>
      <c r="N277" s="18"/>
      <c r="O277" s="1"/>
      <c r="P277" s="1"/>
      <c r="Q277" s="1"/>
      <c r="R277" s="18"/>
      <c r="S277" s="1"/>
      <c r="T277" s="1"/>
      <c r="U277" s="1"/>
      <c r="V277" s="1"/>
      <c r="Z277" s="18"/>
      <c r="AD277" s="18"/>
      <c r="AH277" s="18"/>
      <c r="AL277" s="18"/>
      <c r="AM277" s="22"/>
      <c r="AN277" s="22"/>
      <c r="AO277" s="22"/>
      <c r="AP277" s="22"/>
      <c r="AQ277" s="22"/>
      <c r="AR277" s="22"/>
      <c r="AS277" s="22"/>
      <c r="AT277" s="22"/>
    </row>
    <row r="278" spans="7:46" ht="13">
      <c r="G278" s="34"/>
      <c r="J278" s="18"/>
      <c r="N278" s="18"/>
      <c r="O278" s="1"/>
      <c r="P278" s="1"/>
      <c r="Q278" s="1"/>
      <c r="R278" s="18"/>
      <c r="S278" s="1"/>
      <c r="T278" s="1"/>
      <c r="U278" s="1"/>
      <c r="V278" s="1"/>
      <c r="Z278" s="18"/>
      <c r="AD278" s="18"/>
      <c r="AH278" s="18"/>
      <c r="AL278" s="18"/>
      <c r="AM278" s="22"/>
      <c r="AN278" s="22"/>
      <c r="AO278" s="22"/>
      <c r="AP278" s="22"/>
      <c r="AQ278" s="22"/>
      <c r="AR278" s="22"/>
      <c r="AS278" s="22"/>
      <c r="AT278" s="22"/>
    </row>
    <row r="279" spans="7:46" ht="13">
      <c r="G279" s="34"/>
      <c r="J279" s="18"/>
      <c r="N279" s="18"/>
      <c r="O279" s="1"/>
      <c r="P279" s="1"/>
      <c r="Q279" s="1"/>
      <c r="R279" s="18"/>
      <c r="S279" s="1"/>
      <c r="T279" s="1"/>
      <c r="U279" s="1"/>
      <c r="V279" s="1"/>
      <c r="Z279" s="18"/>
      <c r="AD279" s="18"/>
      <c r="AH279" s="18"/>
      <c r="AL279" s="18"/>
      <c r="AM279" s="22"/>
      <c r="AN279" s="22"/>
      <c r="AO279" s="22"/>
      <c r="AP279" s="22"/>
      <c r="AQ279" s="22"/>
      <c r="AR279" s="22"/>
      <c r="AS279" s="22"/>
      <c r="AT279" s="22"/>
    </row>
    <row r="280" spans="7:46" ht="13">
      <c r="G280" s="34"/>
      <c r="J280" s="18"/>
      <c r="N280" s="18"/>
      <c r="O280" s="1"/>
      <c r="P280" s="1"/>
      <c r="Q280" s="1"/>
      <c r="R280" s="18"/>
      <c r="S280" s="1"/>
      <c r="T280" s="1"/>
      <c r="U280" s="1"/>
      <c r="V280" s="1"/>
      <c r="Z280" s="18"/>
      <c r="AD280" s="18"/>
      <c r="AH280" s="18"/>
      <c r="AL280" s="18"/>
      <c r="AM280" s="22"/>
      <c r="AN280" s="22"/>
      <c r="AO280" s="22"/>
      <c r="AP280" s="22"/>
      <c r="AQ280" s="22"/>
      <c r="AR280" s="22"/>
      <c r="AS280" s="22"/>
      <c r="AT280" s="22"/>
    </row>
    <row r="281" spans="7:46" ht="13">
      <c r="G281" s="34"/>
      <c r="J281" s="18"/>
      <c r="N281" s="18"/>
      <c r="O281" s="1"/>
      <c r="P281" s="1"/>
      <c r="Q281" s="1"/>
      <c r="R281" s="18"/>
      <c r="S281" s="1"/>
      <c r="T281" s="1"/>
      <c r="U281" s="1"/>
      <c r="V281" s="1"/>
      <c r="Z281" s="18"/>
      <c r="AD281" s="18"/>
      <c r="AH281" s="18"/>
      <c r="AL281" s="18"/>
      <c r="AM281" s="22"/>
      <c r="AN281" s="22"/>
      <c r="AO281" s="22"/>
      <c r="AP281" s="22"/>
      <c r="AQ281" s="22"/>
      <c r="AR281" s="22"/>
      <c r="AS281" s="22"/>
      <c r="AT281" s="22"/>
    </row>
    <row r="282" spans="7:46" ht="13">
      <c r="G282" s="34"/>
      <c r="J282" s="18"/>
      <c r="N282" s="18"/>
      <c r="O282" s="1"/>
      <c r="P282" s="1"/>
      <c r="Q282" s="1"/>
      <c r="R282" s="18"/>
      <c r="S282" s="1"/>
      <c r="T282" s="1"/>
      <c r="U282" s="1"/>
      <c r="V282" s="1"/>
      <c r="Z282" s="18"/>
      <c r="AD282" s="18"/>
      <c r="AH282" s="18"/>
      <c r="AL282" s="18"/>
      <c r="AM282" s="22"/>
      <c r="AN282" s="22"/>
      <c r="AO282" s="22"/>
      <c r="AP282" s="22"/>
      <c r="AQ282" s="22"/>
      <c r="AR282" s="22"/>
      <c r="AS282" s="22"/>
      <c r="AT282" s="22"/>
    </row>
    <row r="283" spans="7:46" ht="13">
      <c r="G283" s="34"/>
      <c r="J283" s="18"/>
      <c r="N283" s="18"/>
      <c r="O283" s="1"/>
      <c r="P283" s="1"/>
      <c r="Q283" s="1"/>
      <c r="R283" s="18"/>
      <c r="S283" s="1"/>
      <c r="T283" s="1"/>
      <c r="U283" s="1"/>
      <c r="V283" s="1"/>
      <c r="Z283" s="18"/>
      <c r="AD283" s="18"/>
      <c r="AH283" s="18"/>
      <c r="AL283" s="18"/>
      <c r="AM283" s="22"/>
      <c r="AN283" s="22"/>
      <c r="AO283" s="22"/>
      <c r="AP283" s="22"/>
      <c r="AQ283" s="22"/>
      <c r="AR283" s="22"/>
      <c r="AS283" s="22"/>
      <c r="AT283" s="22"/>
    </row>
    <row r="284" spans="7:46" ht="13">
      <c r="G284" s="34"/>
      <c r="J284" s="18"/>
      <c r="N284" s="18"/>
      <c r="O284" s="1"/>
      <c r="P284" s="1"/>
      <c r="Q284" s="1"/>
      <c r="R284" s="18"/>
      <c r="S284" s="1"/>
      <c r="T284" s="1"/>
      <c r="U284" s="1"/>
      <c r="V284" s="1"/>
      <c r="Z284" s="18"/>
      <c r="AD284" s="18"/>
      <c r="AH284" s="18"/>
      <c r="AL284" s="18"/>
      <c r="AM284" s="22"/>
      <c r="AN284" s="22"/>
      <c r="AO284" s="22"/>
      <c r="AP284" s="22"/>
      <c r="AQ284" s="22"/>
      <c r="AR284" s="22"/>
      <c r="AS284" s="22"/>
      <c r="AT284" s="22"/>
    </row>
    <row r="285" spans="7:46" ht="13">
      <c r="G285" s="34"/>
      <c r="J285" s="18"/>
      <c r="N285" s="18"/>
      <c r="O285" s="1"/>
      <c r="P285" s="1"/>
      <c r="Q285" s="1"/>
      <c r="R285" s="18"/>
      <c r="S285" s="1"/>
      <c r="T285" s="1"/>
      <c r="U285" s="1"/>
      <c r="V285" s="1"/>
      <c r="Z285" s="18"/>
      <c r="AD285" s="18"/>
      <c r="AH285" s="18"/>
      <c r="AL285" s="18"/>
      <c r="AM285" s="22"/>
      <c r="AN285" s="22"/>
      <c r="AO285" s="22"/>
      <c r="AP285" s="22"/>
      <c r="AQ285" s="22"/>
      <c r="AR285" s="22"/>
      <c r="AS285" s="22"/>
      <c r="AT285" s="22"/>
    </row>
    <row r="286" spans="7:46" ht="13">
      <c r="G286" s="34"/>
      <c r="J286" s="18"/>
      <c r="N286" s="18"/>
      <c r="O286" s="1"/>
      <c r="P286" s="1"/>
      <c r="Q286" s="1"/>
      <c r="R286" s="18"/>
      <c r="S286" s="1"/>
      <c r="T286" s="1"/>
      <c r="U286" s="1"/>
      <c r="V286" s="1"/>
      <c r="Z286" s="18"/>
      <c r="AD286" s="18"/>
      <c r="AH286" s="18"/>
      <c r="AL286" s="18"/>
      <c r="AM286" s="22"/>
      <c r="AN286" s="22"/>
      <c r="AO286" s="22"/>
      <c r="AP286" s="22"/>
      <c r="AQ286" s="22"/>
      <c r="AR286" s="22"/>
      <c r="AS286" s="22"/>
      <c r="AT286" s="22"/>
    </row>
    <row r="287" spans="7:46" ht="13">
      <c r="G287" s="34"/>
      <c r="J287" s="18"/>
      <c r="N287" s="18"/>
      <c r="O287" s="1"/>
      <c r="P287" s="1"/>
      <c r="Q287" s="1"/>
      <c r="R287" s="18"/>
      <c r="S287" s="1"/>
      <c r="T287" s="1"/>
      <c r="U287" s="1"/>
      <c r="V287" s="1"/>
      <c r="Z287" s="18"/>
      <c r="AD287" s="18"/>
      <c r="AH287" s="18"/>
      <c r="AL287" s="18"/>
      <c r="AM287" s="22"/>
      <c r="AN287" s="22"/>
      <c r="AO287" s="22"/>
      <c r="AP287" s="22"/>
      <c r="AQ287" s="22"/>
      <c r="AR287" s="22"/>
      <c r="AS287" s="22"/>
      <c r="AT287" s="22"/>
    </row>
    <row r="288" spans="7:46" ht="13">
      <c r="G288" s="34"/>
      <c r="J288" s="18"/>
      <c r="N288" s="18"/>
      <c r="O288" s="1"/>
      <c r="P288" s="1"/>
      <c r="Q288" s="1"/>
      <c r="R288" s="18"/>
      <c r="S288" s="1"/>
      <c r="T288" s="1"/>
      <c r="U288" s="1"/>
      <c r="V288" s="1"/>
      <c r="Z288" s="18"/>
      <c r="AD288" s="18"/>
      <c r="AH288" s="18"/>
      <c r="AL288" s="18"/>
      <c r="AM288" s="22"/>
      <c r="AN288" s="22"/>
      <c r="AO288" s="22"/>
      <c r="AP288" s="22"/>
      <c r="AQ288" s="22"/>
      <c r="AR288" s="22"/>
      <c r="AS288" s="22"/>
      <c r="AT288" s="22"/>
    </row>
    <row r="289" spans="7:46" ht="13">
      <c r="G289" s="34"/>
      <c r="J289" s="18"/>
      <c r="N289" s="18"/>
      <c r="O289" s="1"/>
      <c r="P289" s="1"/>
      <c r="Q289" s="1"/>
      <c r="R289" s="18"/>
      <c r="S289" s="1"/>
      <c r="T289" s="1"/>
      <c r="U289" s="1"/>
      <c r="V289" s="1"/>
      <c r="Z289" s="18"/>
      <c r="AD289" s="18"/>
      <c r="AH289" s="18"/>
      <c r="AL289" s="18"/>
      <c r="AM289" s="22"/>
      <c r="AN289" s="22"/>
      <c r="AO289" s="22"/>
      <c r="AP289" s="22"/>
      <c r="AQ289" s="22"/>
      <c r="AR289" s="22"/>
      <c r="AS289" s="22"/>
      <c r="AT289" s="22"/>
    </row>
    <row r="290" spans="7:46" ht="13">
      <c r="G290" s="34"/>
      <c r="J290" s="18"/>
      <c r="N290" s="18"/>
      <c r="O290" s="1"/>
      <c r="P290" s="1"/>
      <c r="Q290" s="1"/>
      <c r="R290" s="18"/>
      <c r="S290" s="1"/>
      <c r="T290" s="1"/>
      <c r="U290" s="1"/>
      <c r="V290" s="1"/>
      <c r="Z290" s="18"/>
      <c r="AD290" s="18"/>
      <c r="AH290" s="18"/>
      <c r="AL290" s="18"/>
      <c r="AM290" s="22"/>
      <c r="AN290" s="22"/>
      <c r="AO290" s="22"/>
      <c r="AP290" s="22"/>
      <c r="AQ290" s="22"/>
      <c r="AR290" s="22"/>
      <c r="AS290" s="22"/>
      <c r="AT290" s="22"/>
    </row>
    <row r="291" spans="7:46" ht="13">
      <c r="G291" s="34"/>
      <c r="J291" s="18"/>
      <c r="N291" s="18"/>
      <c r="O291" s="1"/>
      <c r="P291" s="1"/>
      <c r="Q291" s="1"/>
      <c r="R291" s="18"/>
      <c r="S291" s="1"/>
      <c r="T291" s="1"/>
      <c r="U291" s="1"/>
      <c r="V291" s="1"/>
      <c r="Z291" s="18"/>
      <c r="AD291" s="18"/>
      <c r="AH291" s="18"/>
      <c r="AL291" s="18"/>
      <c r="AM291" s="22"/>
      <c r="AN291" s="22"/>
      <c r="AO291" s="22"/>
      <c r="AP291" s="22"/>
      <c r="AQ291" s="22"/>
      <c r="AR291" s="22"/>
      <c r="AS291" s="22"/>
      <c r="AT291" s="22"/>
    </row>
    <row r="292" spans="7:46" ht="13">
      <c r="G292" s="34"/>
      <c r="J292" s="18"/>
      <c r="N292" s="18"/>
      <c r="O292" s="1"/>
      <c r="P292" s="1"/>
      <c r="Q292" s="1"/>
      <c r="R292" s="18"/>
      <c r="S292" s="1"/>
      <c r="T292" s="1"/>
      <c r="U292" s="1"/>
      <c r="V292" s="1"/>
      <c r="Z292" s="18"/>
      <c r="AD292" s="18"/>
      <c r="AH292" s="18"/>
      <c r="AL292" s="18"/>
      <c r="AM292" s="22"/>
      <c r="AN292" s="22"/>
      <c r="AO292" s="22"/>
      <c r="AP292" s="22"/>
      <c r="AQ292" s="22"/>
      <c r="AR292" s="22"/>
      <c r="AS292" s="22"/>
      <c r="AT292" s="22"/>
    </row>
    <row r="293" spans="7:46" ht="13">
      <c r="G293" s="34"/>
      <c r="J293" s="18"/>
      <c r="N293" s="18"/>
      <c r="O293" s="1"/>
      <c r="P293" s="1"/>
      <c r="Q293" s="1"/>
      <c r="R293" s="18"/>
      <c r="S293" s="1"/>
      <c r="T293" s="1"/>
      <c r="U293" s="1"/>
      <c r="V293" s="1"/>
      <c r="Z293" s="18"/>
      <c r="AD293" s="18"/>
      <c r="AH293" s="18"/>
      <c r="AL293" s="18"/>
      <c r="AM293" s="22"/>
      <c r="AN293" s="22"/>
      <c r="AO293" s="22"/>
      <c r="AP293" s="22"/>
      <c r="AQ293" s="22"/>
      <c r="AR293" s="22"/>
      <c r="AS293" s="22"/>
      <c r="AT293" s="22"/>
    </row>
    <row r="294" spans="7:46" ht="13">
      <c r="G294" s="34"/>
      <c r="J294" s="18"/>
      <c r="N294" s="18"/>
      <c r="O294" s="1"/>
      <c r="P294" s="1"/>
      <c r="Q294" s="1"/>
      <c r="R294" s="18"/>
      <c r="S294" s="1"/>
      <c r="T294" s="1"/>
      <c r="U294" s="1"/>
      <c r="V294" s="1"/>
      <c r="Z294" s="18"/>
      <c r="AD294" s="18"/>
      <c r="AH294" s="18"/>
      <c r="AL294" s="18"/>
      <c r="AM294" s="22"/>
      <c r="AN294" s="22"/>
      <c r="AO294" s="22"/>
      <c r="AP294" s="22"/>
      <c r="AQ294" s="22"/>
      <c r="AR294" s="22"/>
      <c r="AS294" s="22"/>
      <c r="AT294" s="22"/>
    </row>
    <row r="295" spans="7:46" ht="13">
      <c r="G295" s="34"/>
      <c r="J295" s="18"/>
      <c r="N295" s="18"/>
      <c r="O295" s="1"/>
      <c r="P295" s="1"/>
      <c r="Q295" s="1"/>
      <c r="R295" s="18"/>
      <c r="S295" s="1"/>
      <c r="T295" s="1"/>
      <c r="U295" s="1"/>
      <c r="V295" s="1"/>
      <c r="Z295" s="18"/>
      <c r="AD295" s="18"/>
      <c r="AH295" s="18"/>
      <c r="AL295" s="18"/>
      <c r="AM295" s="22"/>
      <c r="AN295" s="22"/>
      <c r="AO295" s="22"/>
      <c r="AP295" s="22"/>
      <c r="AQ295" s="22"/>
      <c r="AR295" s="22"/>
      <c r="AS295" s="22"/>
      <c r="AT295" s="22"/>
    </row>
    <row r="296" spans="7:46" ht="13">
      <c r="G296" s="34"/>
      <c r="J296" s="18"/>
      <c r="N296" s="18"/>
      <c r="O296" s="1"/>
      <c r="P296" s="1"/>
      <c r="Q296" s="1"/>
      <c r="R296" s="18"/>
      <c r="S296" s="1"/>
      <c r="T296" s="1"/>
      <c r="U296" s="1"/>
      <c r="V296" s="1"/>
      <c r="Z296" s="18"/>
      <c r="AD296" s="18"/>
      <c r="AH296" s="18"/>
      <c r="AL296" s="18"/>
      <c r="AM296" s="22"/>
      <c r="AN296" s="22"/>
      <c r="AO296" s="22"/>
      <c r="AP296" s="22"/>
      <c r="AQ296" s="22"/>
      <c r="AR296" s="22"/>
      <c r="AS296" s="22"/>
      <c r="AT296" s="22"/>
    </row>
    <row r="297" spans="7:46" ht="13">
      <c r="G297" s="34"/>
      <c r="J297" s="18"/>
      <c r="N297" s="18"/>
      <c r="O297" s="1"/>
      <c r="P297" s="1"/>
      <c r="Q297" s="1"/>
      <c r="R297" s="18"/>
      <c r="S297" s="1"/>
      <c r="T297" s="1"/>
      <c r="U297" s="1"/>
      <c r="V297" s="1"/>
      <c r="Z297" s="18"/>
      <c r="AD297" s="18"/>
      <c r="AH297" s="18"/>
      <c r="AL297" s="18"/>
      <c r="AM297" s="22"/>
      <c r="AN297" s="22"/>
      <c r="AO297" s="22"/>
      <c r="AP297" s="22"/>
      <c r="AQ297" s="22"/>
      <c r="AR297" s="22"/>
      <c r="AS297" s="22"/>
      <c r="AT297" s="22"/>
    </row>
    <row r="298" spans="7:46" ht="13">
      <c r="G298" s="34"/>
      <c r="J298" s="18"/>
      <c r="N298" s="18"/>
      <c r="O298" s="1"/>
      <c r="P298" s="1"/>
      <c r="Q298" s="1"/>
      <c r="R298" s="18"/>
      <c r="S298" s="1"/>
      <c r="T298" s="1"/>
      <c r="U298" s="1"/>
      <c r="V298" s="1"/>
      <c r="Z298" s="18"/>
      <c r="AD298" s="18"/>
      <c r="AH298" s="18"/>
      <c r="AL298" s="18"/>
      <c r="AM298" s="22"/>
      <c r="AN298" s="22"/>
      <c r="AO298" s="22"/>
      <c r="AP298" s="22"/>
      <c r="AQ298" s="22"/>
      <c r="AR298" s="22"/>
      <c r="AS298" s="22"/>
      <c r="AT298" s="22"/>
    </row>
    <row r="299" spans="7:46" ht="13">
      <c r="G299" s="34"/>
      <c r="J299" s="18"/>
      <c r="N299" s="18"/>
      <c r="O299" s="1"/>
      <c r="P299" s="1"/>
      <c r="Q299" s="1"/>
      <c r="R299" s="18"/>
      <c r="S299" s="1"/>
      <c r="T299" s="1"/>
      <c r="U299" s="1"/>
      <c r="V299" s="1"/>
      <c r="Z299" s="18"/>
      <c r="AD299" s="18"/>
      <c r="AH299" s="18"/>
      <c r="AL299" s="18"/>
      <c r="AM299" s="22"/>
      <c r="AN299" s="22"/>
      <c r="AO299" s="22"/>
      <c r="AP299" s="22"/>
      <c r="AQ299" s="22"/>
      <c r="AR299" s="22"/>
      <c r="AS299" s="22"/>
      <c r="AT299" s="22"/>
    </row>
    <row r="300" spans="7:46" ht="13">
      <c r="G300" s="34"/>
      <c r="J300" s="18"/>
      <c r="N300" s="18"/>
      <c r="O300" s="1"/>
      <c r="P300" s="1"/>
      <c r="Q300" s="1"/>
      <c r="R300" s="18"/>
      <c r="S300" s="1"/>
      <c r="T300" s="1"/>
      <c r="U300" s="1"/>
      <c r="V300" s="1"/>
      <c r="Z300" s="18"/>
      <c r="AD300" s="18"/>
      <c r="AH300" s="18"/>
      <c r="AL300" s="18"/>
      <c r="AM300" s="22"/>
      <c r="AN300" s="22"/>
      <c r="AO300" s="22"/>
      <c r="AP300" s="22"/>
      <c r="AQ300" s="22"/>
      <c r="AR300" s="22"/>
      <c r="AS300" s="22"/>
      <c r="AT300" s="22"/>
    </row>
    <row r="301" spans="7:46" ht="13">
      <c r="G301" s="34"/>
      <c r="J301" s="18"/>
      <c r="N301" s="18"/>
      <c r="O301" s="1"/>
      <c r="P301" s="1"/>
      <c r="Q301" s="1"/>
      <c r="R301" s="18"/>
      <c r="S301" s="1"/>
      <c r="T301" s="1"/>
      <c r="U301" s="1"/>
      <c r="V301" s="1"/>
      <c r="Z301" s="18"/>
      <c r="AD301" s="18"/>
      <c r="AH301" s="18"/>
      <c r="AL301" s="18"/>
      <c r="AM301" s="22"/>
      <c r="AN301" s="22"/>
      <c r="AO301" s="22"/>
      <c r="AP301" s="22"/>
      <c r="AQ301" s="22"/>
      <c r="AR301" s="22"/>
      <c r="AS301" s="22"/>
      <c r="AT301" s="22"/>
    </row>
    <row r="302" spans="7:46" ht="13">
      <c r="G302" s="34"/>
      <c r="J302" s="18"/>
      <c r="N302" s="18"/>
      <c r="O302" s="1"/>
      <c r="P302" s="1"/>
      <c r="Q302" s="1"/>
      <c r="R302" s="18"/>
      <c r="S302" s="1"/>
      <c r="T302" s="1"/>
      <c r="U302" s="1"/>
      <c r="V302" s="1"/>
      <c r="Z302" s="18"/>
      <c r="AD302" s="18"/>
      <c r="AH302" s="18"/>
      <c r="AL302" s="18"/>
      <c r="AM302" s="22"/>
      <c r="AN302" s="22"/>
      <c r="AO302" s="22"/>
      <c r="AP302" s="22"/>
      <c r="AQ302" s="22"/>
      <c r="AR302" s="22"/>
      <c r="AS302" s="22"/>
      <c r="AT302" s="22"/>
    </row>
    <row r="303" spans="7:46" ht="13">
      <c r="G303" s="34"/>
      <c r="J303" s="18"/>
      <c r="N303" s="18"/>
      <c r="O303" s="1"/>
      <c r="P303" s="1"/>
      <c r="Q303" s="1"/>
      <c r="R303" s="18"/>
      <c r="S303" s="1"/>
      <c r="T303" s="1"/>
      <c r="U303" s="1"/>
      <c r="V303" s="1"/>
      <c r="Z303" s="18"/>
      <c r="AD303" s="18"/>
      <c r="AH303" s="18"/>
      <c r="AL303" s="18"/>
      <c r="AM303" s="22"/>
      <c r="AN303" s="22"/>
      <c r="AO303" s="22"/>
      <c r="AP303" s="22"/>
      <c r="AQ303" s="22"/>
      <c r="AR303" s="22"/>
      <c r="AS303" s="22"/>
      <c r="AT303" s="22"/>
    </row>
    <row r="304" spans="7:46" ht="13">
      <c r="G304" s="34"/>
      <c r="J304" s="18"/>
      <c r="N304" s="18"/>
      <c r="O304" s="1"/>
      <c r="P304" s="1"/>
      <c r="Q304" s="1"/>
      <c r="R304" s="18"/>
      <c r="S304" s="1"/>
      <c r="T304" s="1"/>
      <c r="U304" s="1"/>
      <c r="V304" s="1"/>
      <c r="Z304" s="18"/>
      <c r="AD304" s="18"/>
      <c r="AH304" s="18"/>
      <c r="AL304" s="18"/>
      <c r="AM304" s="22"/>
      <c r="AN304" s="22"/>
      <c r="AO304" s="22"/>
      <c r="AP304" s="22"/>
      <c r="AQ304" s="22"/>
      <c r="AR304" s="22"/>
      <c r="AS304" s="22"/>
      <c r="AT304" s="22"/>
    </row>
    <row r="305" spans="7:46" ht="13">
      <c r="G305" s="34"/>
      <c r="J305" s="18"/>
      <c r="N305" s="18"/>
      <c r="O305" s="1"/>
      <c r="P305" s="1"/>
      <c r="Q305" s="1"/>
      <c r="R305" s="18"/>
      <c r="S305" s="1"/>
      <c r="T305" s="1"/>
      <c r="U305" s="1"/>
      <c r="V305" s="1"/>
      <c r="Z305" s="18"/>
      <c r="AD305" s="18"/>
      <c r="AH305" s="18"/>
      <c r="AL305" s="18"/>
      <c r="AM305" s="22"/>
      <c r="AN305" s="22"/>
      <c r="AO305" s="22"/>
      <c r="AP305" s="22"/>
      <c r="AQ305" s="22"/>
      <c r="AR305" s="22"/>
      <c r="AS305" s="22"/>
      <c r="AT305" s="22"/>
    </row>
    <row r="306" spans="7:46" ht="13">
      <c r="G306" s="34"/>
      <c r="J306" s="18"/>
      <c r="N306" s="18"/>
      <c r="O306" s="1"/>
      <c r="P306" s="1"/>
      <c r="Q306" s="1"/>
      <c r="R306" s="18"/>
      <c r="S306" s="1"/>
      <c r="T306" s="1"/>
      <c r="U306" s="1"/>
      <c r="V306" s="1"/>
      <c r="Z306" s="18"/>
      <c r="AD306" s="18"/>
      <c r="AH306" s="18"/>
      <c r="AL306" s="18"/>
      <c r="AM306" s="22"/>
      <c r="AN306" s="22"/>
      <c r="AO306" s="22"/>
      <c r="AP306" s="22"/>
      <c r="AQ306" s="22"/>
      <c r="AR306" s="22"/>
      <c r="AS306" s="22"/>
      <c r="AT306" s="22"/>
    </row>
    <row r="307" spans="7:46" ht="13">
      <c r="G307" s="34"/>
      <c r="J307" s="18"/>
      <c r="N307" s="18"/>
      <c r="O307" s="1"/>
      <c r="P307" s="1"/>
      <c r="Q307" s="1"/>
      <c r="R307" s="18"/>
      <c r="S307" s="1"/>
      <c r="T307" s="1"/>
      <c r="U307" s="1"/>
      <c r="V307" s="1"/>
      <c r="Z307" s="18"/>
      <c r="AD307" s="18"/>
      <c r="AH307" s="18"/>
      <c r="AL307" s="18"/>
      <c r="AM307" s="22"/>
      <c r="AN307" s="22"/>
      <c r="AO307" s="22"/>
      <c r="AP307" s="22"/>
      <c r="AQ307" s="22"/>
      <c r="AR307" s="22"/>
      <c r="AS307" s="22"/>
      <c r="AT307" s="22"/>
    </row>
    <row r="308" spans="7:46" ht="13">
      <c r="G308" s="34"/>
      <c r="J308" s="18"/>
      <c r="N308" s="18"/>
      <c r="O308" s="1"/>
      <c r="P308" s="1"/>
      <c r="Q308" s="1"/>
      <c r="R308" s="18"/>
      <c r="S308" s="1"/>
      <c r="T308" s="1"/>
      <c r="U308" s="1"/>
      <c r="V308" s="1"/>
      <c r="Z308" s="18"/>
      <c r="AD308" s="18"/>
      <c r="AH308" s="18"/>
      <c r="AL308" s="18"/>
      <c r="AM308" s="22"/>
      <c r="AN308" s="22"/>
      <c r="AO308" s="22"/>
      <c r="AP308" s="22"/>
      <c r="AQ308" s="22"/>
      <c r="AR308" s="22"/>
      <c r="AS308" s="22"/>
      <c r="AT308" s="22"/>
    </row>
    <row r="309" spans="7:46" ht="13">
      <c r="G309" s="34"/>
      <c r="J309" s="18"/>
      <c r="N309" s="18"/>
      <c r="O309" s="1"/>
      <c r="P309" s="1"/>
      <c r="Q309" s="1"/>
      <c r="R309" s="18"/>
      <c r="S309" s="1"/>
      <c r="T309" s="1"/>
      <c r="U309" s="1"/>
      <c r="V309" s="1"/>
      <c r="Z309" s="18"/>
      <c r="AD309" s="18"/>
      <c r="AH309" s="18"/>
      <c r="AL309" s="18"/>
      <c r="AM309" s="22"/>
      <c r="AN309" s="22"/>
      <c r="AO309" s="22"/>
      <c r="AP309" s="22"/>
      <c r="AQ309" s="22"/>
      <c r="AR309" s="22"/>
      <c r="AS309" s="22"/>
      <c r="AT309" s="22"/>
    </row>
    <row r="310" spans="7:46" ht="13">
      <c r="G310" s="34"/>
      <c r="J310" s="18"/>
      <c r="N310" s="18"/>
      <c r="O310" s="1"/>
      <c r="P310" s="1"/>
      <c r="Q310" s="1"/>
      <c r="R310" s="18"/>
      <c r="S310" s="1"/>
      <c r="T310" s="1"/>
      <c r="U310" s="1"/>
      <c r="V310" s="1"/>
      <c r="Z310" s="18"/>
      <c r="AD310" s="18"/>
      <c r="AH310" s="18"/>
      <c r="AL310" s="18"/>
      <c r="AM310" s="22"/>
      <c r="AN310" s="22"/>
      <c r="AO310" s="22"/>
      <c r="AP310" s="22"/>
      <c r="AQ310" s="22"/>
      <c r="AR310" s="22"/>
      <c r="AS310" s="22"/>
      <c r="AT310" s="22"/>
    </row>
    <row r="311" spans="7:46" ht="13">
      <c r="G311" s="34"/>
      <c r="J311" s="18"/>
      <c r="N311" s="18"/>
      <c r="O311" s="1"/>
      <c r="P311" s="1"/>
      <c r="Q311" s="1"/>
      <c r="R311" s="18"/>
      <c r="S311" s="1"/>
      <c r="T311" s="1"/>
      <c r="U311" s="1"/>
      <c r="V311" s="1"/>
      <c r="Z311" s="18"/>
      <c r="AD311" s="18"/>
      <c r="AH311" s="18"/>
      <c r="AL311" s="18"/>
      <c r="AM311" s="22"/>
      <c r="AN311" s="22"/>
      <c r="AO311" s="22"/>
      <c r="AP311" s="22"/>
      <c r="AQ311" s="22"/>
      <c r="AR311" s="22"/>
      <c r="AS311" s="22"/>
      <c r="AT311" s="22"/>
    </row>
    <row r="312" spans="7:46" ht="13">
      <c r="G312" s="34"/>
      <c r="J312" s="18"/>
      <c r="N312" s="18"/>
      <c r="O312" s="1"/>
      <c r="P312" s="1"/>
      <c r="Q312" s="1"/>
      <c r="R312" s="18"/>
      <c r="S312" s="1"/>
      <c r="T312" s="1"/>
      <c r="U312" s="1"/>
      <c r="V312" s="1"/>
      <c r="Z312" s="18"/>
      <c r="AD312" s="18"/>
      <c r="AH312" s="18"/>
      <c r="AL312" s="18"/>
      <c r="AM312" s="22"/>
      <c r="AN312" s="22"/>
      <c r="AO312" s="22"/>
      <c r="AP312" s="22"/>
      <c r="AQ312" s="22"/>
      <c r="AR312" s="22"/>
      <c r="AS312" s="22"/>
      <c r="AT312" s="22"/>
    </row>
    <row r="313" spans="7:46" ht="13">
      <c r="G313" s="34"/>
      <c r="J313" s="18"/>
      <c r="N313" s="18"/>
      <c r="O313" s="1"/>
      <c r="P313" s="1"/>
      <c r="Q313" s="1"/>
      <c r="R313" s="18"/>
      <c r="S313" s="1"/>
      <c r="T313" s="1"/>
      <c r="U313" s="1"/>
      <c r="V313" s="1"/>
      <c r="Z313" s="18"/>
      <c r="AD313" s="18"/>
      <c r="AH313" s="18"/>
      <c r="AL313" s="18"/>
      <c r="AM313" s="22"/>
      <c r="AN313" s="22"/>
      <c r="AO313" s="22"/>
      <c r="AP313" s="22"/>
      <c r="AQ313" s="22"/>
      <c r="AR313" s="22"/>
      <c r="AS313" s="22"/>
      <c r="AT313" s="22"/>
    </row>
    <row r="314" spans="7:46" ht="13">
      <c r="G314" s="34"/>
      <c r="J314" s="18"/>
      <c r="N314" s="18"/>
      <c r="O314" s="1"/>
      <c r="P314" s="1"/>
      <c r="Q314" s="1"/>
      <c r="R314" s="18"/>
      <c r="S314" s="1"/>
      <c r="T314" s="1"/>
      <c r="U314" s="1"/>
      <c r="V314" s="1"/>
      <c r="Z314" s="18"/>
      <c r="AD314" s="18"/>
      <c r="AH314" s="18"/>
      <c r="AL314" s="18"/>
      <c r="AM314" s="22"/>
      <c r="AN314" s="22"/>
      <c r="AO314" s="22"/>
      <c r="AP314" s="22"/>
      <c r="AQ314" s="22"/>
      <c r="AR314" s="22"/>
      <c r="AS314" s="22"/>
      <c r="AT314" s="22"/>
    </row>
    <row r="315" spans="7:46" ht="13">
      <c r="G315" s="34"/>
      <c r="J315" s="18"/>
      <c r="N315" s="18"/>
      <c r="O315" s="1"/>
      <c r="P315" s="1"/>
      <c r="Q315" s="1"/>
      <c r="R315" s="18"/>
      <c r="S315" s="1"/>
      <c r="T315" s="1"/>
      <c r="U315" s="1"/>
      <c r="V315" s="1"/>
      <c r="Z315" s="18"/>
      <c r="AD315" s="18"/>
      <c r="AH315" s="18"/>
      <c r="AL315" s="18"/>
      <c r="AM315" s="22"/>
      <c r="AN315" s="22"/>
      <c r="AO315" s="22"/>
      <c r="AP315" s="22"/>
      <c r="AQ315" s="22"/>
      <c r="AR315" s="22"/>
      <c r="AS315" s="22"/>
      <c r="AT315" s="22"/>
    </row>
    <row r="316" spans="7:46" ht="13">
      <c r="G316" s="34"/>
      <c r="J316" s="18"/>
      <c r="N316" s="18"/>
      <c r="O316" s="1"/>
      <c r="P316" s="1"/>
      <c r="Q316" s="1"/>
      <c r="R316" s="18"/>
      <c r="S316" s="1"/>
      <c r="T316" s="1"/>
      <c r="U316" s="1"/>
      <c r="V316" s="1"/>
      <c r="Z316" s="18"/>
      <c r="AD316" s="18"/>
      <c r="AH316" s="18"/>
      <c r="AL316" s="18"/>
      <c r="AM316" s="22"/>
      <c r="AN316" s="22"/>
      <c r="AO316" s="22"/>
      <c r="AP316" s="22"/>
      <c r="AQ316" s="22"/>
      <c r="AR316" s="22"/>
      <c r="AS316" s="22"/>
      <c r="AT316" s="22"/>
    </row>
    <row r="317" spans="7:46" ht="13">
      <c r="G317" s="34"/>
      <c r="J317" s="18"/>
      <c r="N317" s="18"/>
      <c r="O317" s="1"/>
      <c r="P317" s="1"/>
      <c r="Q317" s="1"/>
      <c r="R317" s="18"/>
      <c r="S317" s="1"/>
      <c r="T317" s="1"/>
      <c r="U317" s="1"/>
      <c r="V317" s="1"/>
      <c r="Z317" s="18"/>
      <c r="AD317" s="18"/>
      <c r="AH317" s="18"/>
      <c r="AL317" s="18"/>
      <c r="AM317" s="22"/>
      <c r="AN317" s="22"/>
      <c r="AO317" s="22"/>
      <c r="AP317" s="22"/>
      <c r="AQ317" s="22"/>
      <c r="AR317" s="22"/>
      <c r="AS317" s="22"/>
      <c r="AT317" s="22"/>
    </row>
    <row r="318" spans="7:46" ht="13">
      <c r="G318" s="34"/>
      <c r="J318" s="18"/>
      <c r="N318" s="18"/>
      <c r="O318" s="1"/>
      <c r="P318" s="1"/>
      <c r="Q318" s="1"/>
      <c r="R318" s="18"/>
      <c r="S318" s="1"/>
      <c r="T318" s="1"/>
      <c r="U318" s="1"/>
      <c r="V318" s="1"/>
      <c r="Z318" s="18"/>
      <c r="AD318" s="18"/>
      <c r="AH318" s="18"/>
      <c r="AL318" s="18"/>
      <c r="AM318" s="22"/>
      <c r="AN318" s="22"/>
      <c r="AO318" s="22"/>
      <c r="AP318" s="22"/>
      <c r="AQ318" s="22"/>
      <c r="AR318" s="22"/>
      <c r="AS318" s="22"/>
      <c r="AT318" s="22"/>
    </row>
    <row r="319" spans="7:46" ht="13">
      <c r="G319" s="34"/>
      <c r="J319" s="18"/>
      <c r="N319" s="18"/>
      <c r="O319" s="1"/>
      <c r="P319" s="1"/>
      <c r="Q319" s="1"/>
      <c r="R319" s="18"/>
      <c r="S319" s="1"/>
      <c r="T319" s="1"/>
      <c r="U319" s="1"/>
      <c r="V319" s="1"/>
      <c r="Z319" s="18"/>
      <c r="AD319" s="18"/>
      <c r="AH319" s="18"/>
      <c r="AL319" s="18"/>
      <c r="AM319" s="22"/>
      <c r="AN319" s="22"/>
      <c r="AO319" s="22"/>
      <c r="AP319" s="22"/>
      <c r="AQ319" s="22"/>
      <c r="AR319" s="22"/>
      <c r="AS319" s="22"/>
      <c r="AT319" s="22"/>
    </row>
    <row r="320" spans="7:46" ht="13">
      <c r="G320" s="34"/>
      <c r="J320" s="18"/>
      <c r="N320" s="18"/>
      <c r="O320" s="1"/>
      <c r="P320" s="1"/>
      <c r="Q320" s="1"/>
      <c r="R320" s="18"/>
      <c r="S320" s="1"/>
      <c r="T320" s="1"/>
      <c r="U320" s="1"/>
      <c r="V320" s="1"/>
      <c r="Z320" s="18"/>
      <c r="AD320" s="18"/>
      <c r="AH320" s="18"/>
      <c r="AL320" s="18"/>
      <c r="AM320" s="22"/>
      <c r="AN320" s="22"/>
      <c r="AO320" s="22"/>
      <c r="AP320" s="22"/>
      <c r="AQ320" s="22"/>
      <c r="AR320" s="22"/>
      <c r="AS320" s="22"/>
      <c r="AT320" s="22"/>
    </row>
    <row r="321" spans="7:46" ht="13">
      <c r="G321" s="34"/>
      <c r="J321" s="18"/>
      <c r="N321" s="18"/>
      <c r="O321" s="1"/>
      <c r="P321" s="1"/>
      <c r="Q321" s="1"/>
      <c r="R321" s="18"/>
      <c r="S321" s="1"/>
      <c r="T321" s="1"/>
      <c r="U321" s="1"/>
      <c r="V321" s="1"/>
      <c r="Z321" s="18"/>
      <c r="AD321" s="18"/>
      <c r="AH321" s="18"/>
      <c r="AL321" s="18"/>
      <c r="AM321" s="22"/>
      <c r="AN321" s="22"/>
      <c r="AO321" s="22"/>
      <c r="AP321" s="22"/>
      <c r="AQ321" s="22"/>
      <c r="AR321" s="22"/>
      <c r="AS321" s="22"/>
      <c r="AT321" s="22"/>
    </row>
    <row r="322" spans="7:46" ht="13">
      <c r="G322" s="34"/>
      <c r="J322" s="18"/>
      <c r="N322" s="18"/>
      <c r="O322" s="1"/>
      <c r="P322" s="1"/>
      <c r="Q322" s="1"/>
      <c r="R322" s="18"/>
      <c r="S322" s="1"/>
      <c r="T322" s="1"/>
      <c r="U322" s="1"/>
      <c r="V322" s="1"/>
      <c r="Z322" s="18"/>
      <c r="AD322" s="18"/>
      <c r="AH322" s="18"/>
      <c r="AL322" s="18"/>
      <c r="AM322" s="22"/>
      <c r="AN322" s="22"/>
      <c r="AO322" s="22"/>
      <c r="AP322" s="22"/>
      <c r="AQ322" s="22"/>
      <c r="AR322" s="22"/>
      <c r="AS322" s="22"/>
      <c r="AT322" s="22"/>
    </row>
    <row r="323" spans="7:46" ht="13">
      <c r="G323" s="34"/>
      <c r="J323" s="18"/>
      <c r="N323" s="18"/>
      <c r="O323" s="1"/>
      <c r="P323" s="1"/>
      <c r="Q323" s="1"/>
      <c r="R323" s="18"/>
      <c r="S323" s="1"/>
      <c r="T323" s="1"/>
      <c r="U323" s="1"/>
      <c r="V323" s="1"/>
      <c r="Z323" s="18"/>
      <c r="AD323" s="18"/>
      <c r="AH323" s="18"/>
      <c r="AL323" s="18"/>
      <c r="AM323" s="22"/>
      <c r="AN323" s="22"/>
      <c r="AO323" s="22"/>
      <c r="AP323" s="22"/>
      <c r="AQ323" s="22"/>
      <c r="AR323" s="22"/>
      <c r="AS323" s="22"/>
      <c r="AT323" s="22"/>
    </row>
    <row r="324" spans="7:46" ht="13">
      <c r="G324" s="34"/>
      <c r="J324" s="18"/>
      <c r="N324" s="18"/>
      <c r="O324" s="1"/>
      <c r="P324" s="1"/>
      <c r="Q324" s="1"/>
      <c r="R324" s="18"/>
      <c r="S324" s="1"/>
      <c r="T324" s="1"/>
      <c r="U324" s="1"/>
      <c r="V324" s="1"/>
      <c r="Z324" s="18"/>
      <c r="AD324" s="18"/>
      <c r="AH324" s="18"/>
      <c r="AL324" s="18"/>
      <c r="AM324" s="22"/>
      <c r="AN324" s="22"/>
      <c r="AO324" s="22"/>
      <c r="AP324" s="22"/>
      <c r="AQ324" s="22"/>
      <c r="AR324" s="22"/>
      <c r="AS324" s="22"/>
      <c r="AT324" s="22"/>
    </row>
    <row r="325" spans="7:46" ht="13">
      <c r="G325" s="34"/>
      <c r="J325" s="18"/>
      <c r="N325" s="18"/>
      <c r="O325" s="1"/>
      <c r="P325" s="1"/>
      <c r="Q325" s="1"/>
      <c r="R325" s="18"/>
      <c r="S325" s="1"/>
      <c r="T325" s="1"/>
      <c r="U325" s="1"/>
      <c r="V325" s="1"/>
      <c r="Z325" s="18"/>
      <c r="AD325" s="18"/>
      <c r="AH325" s="18"/>
      <c r="AL325" s="18"/>
      <c r="AM325" s="22"/>
      <c r="AN325" s="22"/>
      <c r="AO325" s="22"/>
      <c r="AP325" s="22"/>
      <c r="AQ325" s="22"/>
      <c r="AR325" s="22"/>
      <c r="AS325" s="22"/>
      <c r="AT325" s="22"/>
    </row>
    <row r="326" spans="7:46" ht="13">
      <c r="G326" s="34"/>
      <c r="J326" s="18"/>
      <c r="N326" s="18"/>
      <c r="O326" s="1"/>
      <c r="P326" s="1"/>
      <c r="Q326" s="1"/>
      <c r="R326" s="18"/>
      <c r="S326" s="1"/>
      <c r="T326" s="1"/>
      <c r="U326" s="1"/>
      <c r="V326" s="1"/>
      <c r="Z326" s="18"/>
      <c r="AD326" s="18"/>
      <c r="AH326" s="18"/>
      <c r="AL326" s="18"/>
      <c r="AM326" s="22"/>
      <c r="AN326" s="22"/>
      <c r="AO326" s="22"/>
      <c r="AP326" s="22"/>
      <c r="AQ326" s="22"/>
      <c r="AR326" s="22"/>
      <c r="AS326" s="22"/>
      <c r="AT326" s="22"/>
    </row>
    <row r="327" spans="7:46" ht="13">
      <c r="G327" s="34"/>
      <c r="J327" s="18"/>
      <c r="N327" s="18"/>
      <c r="O327" s="1"/>
      <c r="P327" s="1"/>
      <c r="Q327" s="1"/>
      <c r="R327" s="18"/>
      <c r="S327" s="1"/>
      <c r="T327" s="1"/>
      <c r="U327" s="1"/>
      <c r="V327" s="1"/>
      <c r="Z327" s="18"/>
      <c r="AD327" s="18"/>
      <c r="AH327" s="18"/>
      <c r="AL327" s="18"/>
      <c r="AM327" s="22"/>
      <c r="AN327" s="22"/>
      <c r="AO327" s="22"/>
      <c r="AP327" s="22"/>
      <c r="AQ327" s="22"/>
      <c r="AR327" s="22"/>
      <c r="AS327" s="22"/>
      <c r="AT327" s="22"/>
    </row>
    <row r="328" spans="7:46" ht="13">
      <c r="G328" s="34"/>
      <c r="J328" s="18"/>
      <c r="N328" s="18"/>
      <c r="O328" s="1"/>
      <c r="P328" s="1"/>
      <c r="Q328" s="1"/>
      <c r="R328" s="18"/>
      <c r="S328" s="1"/>
      <c r="T328" s="1"/>
      <c r="U328" s="1"/>
      <c r="V328" s="1"/>
      <c r="Z328" s="18"/>
      <c r="AD328" s="18"/>
      <c r="AH328" s="18"/>
      <c r="AL328" s="18"/>
      <c r="AM328" s="22"/>
      <c r="AN328" s="22"/>
      <c r="AO328" s="22"/>
      <c r="AP328" s="22"/>
      <c r="AQ328" s="22"/>
      <c r="AR328" s="22"/>
      <c r="AS328" s="22"/>
      <c r="AT328" s="22"/>
    </row>
    <row r="329" spans="7:46" ht="13">
      <c r="G329" s="34"/>
      <c r="J329" s="18"/>
      <c r="N329" s="18"/>
      <c r="O329" s="1"/>
      <c r="P329" s="1"/>
      <c r="Q329" s="1"/>
      <c r="R329" s="18"/>
      <c r="S329" s="1"/>
      <c r="T329" s="1"/>
      <c r="U329" s="1"/>
      <c r="V329" s="1"/>
      <c r="Z329" s="18"/>
      <c r="AD329" s="18"/>
      <c r="AH329" s="18"/>
      <c r="AL329" s="18"/>
      <c r="AM329" s="22"/>
      <c r="AN329" s="22"/>
      <c r="AO329" s="22"/>
      <c r="AP329" s="22"/>
      <c r="AQ329" s="22"/>
      <c r="AR329" s="22"/>
      <c r="AS329" s="22"/>
      <c r="AT329" s="22"/>
    </row>
    <row r="330" spans="7:46" ht="13">
      <c r="G330" s="34"/>
      <c r="J330" s="18"/>
      <c r="N330" s="18"/>
      <c r="O330" s="1"/>
      <c r="P330" s="1"/>
      <c r="Q330" s="1"/>
      <c r="R330" s="18"/>
      <c r="S330" s="1"/>
      <c r="T330" s="1"/>
      <c r="U330" s="1"/>
      <c r="V330" s="1"/>
      <c r="Z330" s="18"/>
      <c r="AD330" s="18"/>
      <c r="AH330" s="18"/>
      <c r="AL330" s="18"/>
      <c r="AM330" s="22"/>
      <c r="AN330" s="22"/>
      <c r="AO330" s="22"/>
      <c r="AP330" s="22"/>
      <c r="AQ330" s="22"/>
      <c r="AR330" s="22"/>
      <c r="AS330" s="22"/>
      <c r="AT330" s="22"/>
    </row>
    <row r="331" spans="7:46" ht="13">
      <c r="G331" s="34"/>
      <c r="J331" s="18"/>
      <c r="N331" s="18"/>
      <c r="O331" s="1"/>
      <c r="P331" s="1"/>
      <c r="Q331" s="1"/>
      <c r="R331" s="18"/>
      <c r="S331" s="1"/>
      <c r="T331" s="1"/>
      <c r="U331" s="1"/>
      <c r="V331" s="1"/>
      <c r="Z331" s="18"/>
      <c r="AD331" s="18"/>
      <c r="AH331" s="18"/>
      <c r="AL331" s="18"/>
      <c r="AM331" s="22"/>
      <c r="AN331" s="22"/>
      <c r="AO331" s="22"/>
      <c r="AP331" s="22"/>
      <c r="AQ331" s="22"/>
      <c r="AR331" s="22"/>
      <c r="AS331" s="22"/>
      <c r="AT331" s="22"/>
    </row>
    <row r="332" spans="7:46" ht="13">
      <c r="G332" s="34"/>
      <c r="J332" s="18"/>
      <c r="N332" s="18"/>
      <c r="O332" s="1"/>
      <c r="P332" s="1"/>
      <c r="Q332" s="1"/>
      <c r="R332" s="18"/>
      <c r="S332" s="1"/>
      <c r="T332" s="1"/>
      <c r="U332" s="1"/>
      <c r="V332" s="1"/>
      <c r="Z332" s="18"/>
      <c r="AD332" s="18"/>
      <c r="AH332" s="18"/>
      <c r="AL332" s="18"/>
      <c r="AM332" s="22"/>
      <c r="AN332" s="22"/>
      <c r="AO332" s="22"/>
      <c r="AP332" s="22"/>
      <c r="AQ332" s="22"/>
      <c r="AR332" s="22"/>
      <c r="AS332" s="22"/>
      <c r="AT332" s="22"/>
    </row>
    <row r="333" spans="7:46" ht="13">
      <c r="G333" s="34"/>
      <c r="J333" s="18"/>
      <c r="N333" s="18"/>
      <c r="O333" s="1"/>
      <c r="P333" s="1"/>
      <c r="Q333" s="1"/>
      <c r="R333" s="18"/>
      <c r="S333" s="1"/>
      <c r="T333" s="1"/>
      <c r="U333" s="1"/>
      <c r="V333" s="1"/>
      <c r="Z333" s="18"/>
      <c r="AD333" s="18"/>
      <c r="AH333" s="18"/>
      <c r="AL333" s="18"/>
      <c r="AM333" s="22"/>
      <c r="AN333" s="22"/>
      <c r="AO333" s="22"/>
      <c r="AP333" s="22"/>
      <c r="AQ333" s="22"/>
      <c r="AR333" s="22"/>
      <c r="AS333" s="22"/>
      <c r="AT333" s="22"/>
    </row>
    <row r="334" spans="7:46" ht="13">
      <c r="G334" s="34"/>
      <c r="J334" s="18"/>
      <c r="N334" s="18"/>
      <c r="O334" s="1"/>
      <c r="P334" s="1"/>
      <c r="Q334" s="1"/>
      <c r="R334" s="18"/>
      <c r="S334" s="1"/>
      <c r="T334" s="1"/>
      <c r="U334" s="1"/>
      <c r="V334" s="1"/>
      <c r="Z334" s="18"/>
      <c r="AD334" s="18"/>
      <c r="AH334" s="18"/>
      <c r="AL334" s="18"/>
      <c r="AM334" s="22"/>
      <c r="AN334" s="22"/>
      <c r="AO334" s="22"/>
      <c r="AP334" s="22"/>
      <c r="AQ334" s="22"/>
      <c r="AR334" s="22"/>
      <c r="AS334" s="22"/>
      <c r="AT334" s="22"/>
    </row>
    <row r="335" spans="7:46" ht="13">
      <c r="G335" s="34"/>
      <c r="J335" s="18"/>
      <c r="N335" s="18"/>
      <c r="O335" s="1"/>
      <c r="P335" s="1"/>
      <c r="Q335" s="1"/>
      <c r="R335" s="18"/>
      <c r="S335" s="1"/>
      <c r="T335" s="1"/>
      <c r="U335" s="1"/>
      <c r="V335" s="1"/>
      <c r="Z335" s="18"/>
      <c r="AD335" s="18"/>
      <c r="AH335" s="18"/>
      <c r="AL335" s="18"/>
      <c r="AM335" s="22"/>
      <c r="AN335" s="22"/>
      <c r="AO335" s="22"/>
      <c r="AP335" s="22"/>
      <c r="AQ335" s="22"/>
      <c r="AR335" s="22"/>
      <c r="AS335" s="22"/>
      <c r="AT335" s="22"/>
    </row>
    <row r="336" spans="7:46" ht="13">
      <c r="G336" s="34"/>
      <c r="J336" s="18"/>
      <c r="N336" s="18"/>
      <c r="O336" s="1"/>
      <c r="P336" s="1"/>
      <c r="Q336" s="1"/>
      <c r="R336" s="18"/>
      <c r="S336" s="1"/>
      <c r="T336" s="1"/>
      <c r="U336" s="1"/>
      <c r="V336" s="1"/>
      <c r="Z336" s="18"/>
      <c r="AD336" s="18"/>
      <c r="AH336" s="18"/>
      <c r="AL336" s="18"/>
      <c r="AM336" s="22"/>
      <c r="AN336" s="22"/>
      <c r="AO336" s="22"/>
      <c r="AP336" s="22"/>
      <c r="AQ336" s="22"/>
      <c r="AR336" s="22"/>
      <c r="AS336" s="22"/>
      <c r="AT336" s="22"/>
    </row>
    <row r="337" spans="7:46" ht="13">
      <c r="G337" s="34"/>
      <c r="J337" s="18"/>
      <c r="N337" s="18"/>
      <c r="O337" s="1"/>
      <c r="P337" s="1"/>
      <c r="Q337" s="1"/>
      <c r="R337" s="18"/>
      <c r="S337" s="1"/>
      <c r="T337" s="1"/>
      <c r="U337" s="1"/>
      <c r="V337" s="1"/>
      <c r="Z337" s="18"/>
      <c r="AD337" s="18"/>
      <c r="AH337" s="18"/>
      <c r="AL337" s="18"/>
      <c r="AM337" s="22"/>
      <c r="AN337" s="22"/>
      <c r="AO337" s="22"/>
      <c r="AP337" s="22"/>
      <c r="AQ337" s="22"/>
      <c r="AR337" s="22"/>
      <c r="AS337" s="22"/>
      <c r="AT337" s="22"/>
    </row>
    <row r="338" spans="7:46" ht="13">
      <c r="G338" s="34"/>
      <c r="J338" s="18"/>
      <c r="N338" s="18"/>
      <c r="O338" s="1"/>
      <c r="P338" s="1"/>
      <c r="Q338" s="1"/>
      <c r="R338" s="18"/>
      <c r="S338" s="1"/>
      <c r="T338" s="1"/>
      <c r="U338" s="1"/>
      <c r="V338" s="1"/>
      <c r="Z338" s="18"/>
      <c r="AD338" s="18"/>
      <c r="AH338" s="18"/>
      <c r="AL338" s="18"/>
      <c r="AM338" s="22"/>
      <c r="AN338" s="22"/>
      <c r="AO338" s="22"/>
      <c r="AP338" s="22"/>
      <c r="AQ338" s="22"/>
      <c r="AR338" s="22"/>
      <c r="AS338" s="22"/>
      <c r="AT338" s="22"/>
    </row>
    <row r="339" spans="7:46" ht="13">
      <c r="G339" s="34"/>
      <c r="J339" s="18"/>
      <c r="N339" s="18"/>
      <c r="O339" s="1"/>
      <c r="P339" s="1"/>
      <c r="Q339" s="1"/>
      <c r="R339" s="18"/>
      <c r="S339" s="1"/>
      <c r="T339" s="1"/>
      <c r="U339" s="1"/>
      <c r="V339" s="1"/>
      <c r="Z339" s="18"/>
      <c r="AD339" s="18"/>
      <c r="AH339" s="18"/>
      <c r="AL339" s="18"/>
      <c r="AM339" s="22"/>
      <c r="AN339" s="22"/>
      <c r="AO339" s="22"/>
      <c r="AP339" s="22"/>
      <c r="AQ339" s="22"/>
      <c r="AR339" s="22"/>
      <c r="AS339" s="22"/>
      <c r="AT339" s="22"/>
    </row>
    <row r="340" spans="7:46" ht="13">
      <c r="G340" s="34"/>
      <c r="J340" s="18"/>
      <c r="N340" s="18"/>
      <c r="O340" s="1"/>
      <c r="P340" s="1"/>
      <c r="Q340" s="1"/>
      <c r="R340" s="18"/>
      <c r="S340" s="1"/>
      <c r="T340" s="1"/>
      <c r="U340" s="1"/>
      <c r="V340" s="1"/>
      <c r="Z340" s="18"/>
      <c r="AD340" s="18"/>
      <c r="AH340" s="18"/>
      <c r="AL340" s="18"/>
      <c r="AM340" s="22"/>
      <c r="AN340" s="22"/>
      <c r="AO340" s="22"/>
      <c r="AP340" s="22"/>
      <c r="AQ340" s="22"/>
      <c r="AR340" s="22"/>
      <c r="AS340" s="22"/>
      <c r="AT340" s="22"/>
    </row>
    <row r="341" spans="7:46" ht="13">
      <c r="G341" s="34"/>
      <c r="J341" s="18"/>
      <c r="N341" s="18"/>
      <c r="O341" s="1"/>
      <c r="P341" s="1"/>
      <c r="Q341" s="1"/>
      <c r="R341" s="18"/>
      <c r="S341" s="1"/>
      <c r="T341" s="1"/>
      <c r="U341" s="1"/>
      <c r="V341" s="1"/>
      <c r="Z341" s="18"/>
      <c r="AD341" s="18"/>
      <c r="AH341" s="18"/>
      <c r="AL341" s="18"/>
      <c r="AM341" s="22"/>
      <c r="AN341" s="22"/>
      <c r="AO341" s="22"/>
      <c r="AP341" s="22"/>
      <c r="AQ341" s="22"/>
      <c r="AR341" s="22"/>
      <c r="AS341" s="22"/>
      <c r="AT341" s="22"/>
    </row>
    <row r="342" spans="7:46" ht="13">
      <c r="G342" s="34"/>
      <c r="J342" s="18"/>
      <c r="N342" s="18"/>
      <c r="O342" s="1"/>
      <c r="P342" s="1"/>
      <c r="Q342" s="1"/>
      <c r="R342" s="18"/>
      <c r="S342" s="1"/>
      <c r="T342" s="1"/>
      <c r="U342" s="1"/>
      <c r="V342" s="1"/>
      <c r="Z342" s="18"/>
      <c r="AD342" s="18"/>
      <c r="AH342" s="18"/>
      <c r="AL342" s="18"/>
      <c r="AM342" s="22"/>
      <c r="AN342" s="22"/>
      <c r="AO342" s="22"/>
      <c r="AP342" s="22"/>
      <c r="AQ342" s="22"/>
      <c r="AR342" s="22"/>
      <c r="AS342" s="22"/>
      <c r="AT342" s="22"/>
    </row>
    <row r="343" spans="7:46" ht="13">
      <c r="G343" s="34"/>
      <c r="J343" s="18"/>
      <c r="N343" s="18"/>
      <c r="O343" s="1"/>
      <c r="P343" s="1"/>
      <c r="Q343" s="1"/>
      <c r="R343" s="18"/>
      <c r="S343" s="1"/>
      <c r="T343" s="1"/>
      <c r="U343" s="1"/>
      <c r="V343" s="1"/>
      <c r="Z343" s="18"/>
      <c r="AD343" s="18"/>
      <c r="AH343" s="18"/>
      <c r="AL343" s="18"/>
      <c r="AM343" s="22"/>
      <c r="AN343" s="22"/>
      <c r="AO343" s="22"/>
      <c r="AP343" s="22"/>
      <c r="AQ343" s="22"/>
      <c r="AR343" s="22"/>
      <c r="AS343" s="22"/>
      <c r="AT343" s="22"/>
    </row>
    <row r="344" spans="7:46" ht="13">
      <c r="G344" s="34"/>
      <c r="J344" s="18"/>
      <c r="N344" s="18"/>
      <c r="O344" s="1"/>
      <c r="P344" s="1"/>
      <c r="Q344" s="1"/>
      <c r="R344" s="18"/>
      <c r="S344" s="1"/>
      <c r="T344" s="1"/>
      <c r="U344" s="1"/>
      <c r="V344" s="1"/>
      <c r="Z344" s="18"/>
      <c r="AD344" s="18"/>
      <c r="AH344" s="18"/>
      <c r="AL344" s="18"/>
      <c r="AM344" s="22"/>
      <c r="AN344" s="22"/>
      <c r="AO344" s="22"/>
      <c r="AP344" s="22"/>
      <c r="AQ344" s="22"/>
      <c r="AR344" s="22"/>
      <c r="AS344" s="22"/>
      <c r="AT344" s="22"/>
    </row>
    <row r="345" spans="7:46" ht="13">
      <c r="G345" s="34"/>
      <c r="J345" s="18"/>
      <c r="N345" s="18"/>
      <c r="O345" s="1"/>
      <c r="P345" s="1"/>
      <c r="Q345" s="1"/>
      <c r="R345" s="18"/>
      <c r="S345" s="1"/>
      <c r="T345" s="1"/>
      <c r="U345" s="1"/>
      <c r="V345" s="1"/>
      <c r="Z345" s="18"/>
      <c r="AD345" s="18"/>
      <c r="AH345" s="18"/>
      <c r="AL345" s="18"/>
      <c r="AM345" s="22"/>
      <c r="AN345" s="22"/>
      <c r="AO345" s="22"/>
      <c r="AP345" s="22"/>
      <c r="AQ345" s="22"/>
      <c r="AR345" s="22"/>
      <c r="AS345" s="22"/>
      <c r="AT345" s="22"/>
    </row>
    <row r="346" spans="7:46" ht="13">
      <c r="G346" s="34"/>
      <c r="J346" s="18"/>
      <c r="N346" s="18"/>
      <c r="O346" s="1"/>
      <c r="P346" s="1"/>
      <c r="Q346" s="1"/>
      <c r="R346" s="18"/>
      <c r="S346" s="1"/>
      <c r="T346" s="1"/>
      <c r="U346" s="1"/>
      <c r="V346" s="1"/>
      <c r="Z346" s="18"/>
      <c r="AD346" s="18"/>
      <c r="AH346" s="18"/>
      <c r="AL346" s="18"/>
      <c r="AM346" s="22"/>
      <c r="AN346" s="22"/>
      <c r="AO346" s="22"/>
      <c r="AP346" s="22"/>
      <c r="AQ346" s="22"/>
      <c r="AR346" s="22"/>
      <c r="AS346" s="22"/>
      <c r="AT346" s="22"/>
    </row>
    <row r="347" spans="7:46" ht="13">
      <c r="G347" s="34"/>
      <c r="J347" s="18"/>
      <c r="N347" s="18"/>
      <c r="O347" s="1"/>
      <c r="P347" s="1"/>
      <c r="Q347" s="1"/>
      <c r="R347" s="18"/>
      <c r="S347" s="1"/>
      <c r="T347" s="1"/>
      <c r="U347" s="1"/>
      <c r="V347" s="1"/>
      <c r="Z347" s="18"/>
      <c r="AD347" s="18"/>
      <c r="AH347" s="18"/>
      <c r="AL347" s="18"/>
      <c r="AM347" s="22"/>
      <c r="AN347" s="22"/>
      <c r="AO347" s="22"/>
      <c r="AP347" s="22"/>
      <c r="AQ347" s="22"/>
      <c r="AR347" s="22"/>
      <c r="AS347" s="22"/>
      <c r="AT347" s="22"/>
    </row>
    <row r="348" spans="7:46" ht="13">
      <c r="G348" s="34"/>
      <c r="J348" s="18"/>
      <c r="N348" s="18"/>
      <c r="O348" s="1"/>
      <c r="P348" s="1"/>
      <c r="Q348" s="1"/>
      <c r="R348" s="18"/>
      <c r="S348" s="1"/>
      <c r="T348" s="1"/>
      <c r="U348" s="1"/>
      <c r="V348" s="1"/>
      <c r="Z348" s="18"/>
      <c r="AD348" s="18"/>
      <c r="AH348" s="18"/>
      <c r="AL348" s="18"/>
      <c r="AM348" s="22"/>
      <c r="AN348" s="22"/>
      <c r="AO348" s="22"/>
      <c r="AP348" s="22"/>
      <c r="AQ348" s="22"/>
      <c r="AR348" s="22"/>
      <c r="AS348" s="22"/>
      <c r="AT348" s="22"/>
    </row>
    <row r="349" spans="7:46" ht="13">
      <c r="G349" s="34"/>
      <c r="J349" s="18"/>
      <c r="N349" s="18"/>
      <c r="O349" s="1"/>
      <c r="P349" s="1"/>
      <c r="Q349" s="1"/>
      <c r="R349" s="18"/>
      <c r="S349" s="1"/>
      <c r="T349" s="1"/>
      <c r="U349" s="1"/>
      <c r="V349" s="1"/>
      <c r="Z349" s="18"/>
      <c r="AD349" s="18"/>
      <c r="AH349" s="18"/>
      <c r="AL349" s="18"/>
      <c r="AM349" s="22"/>
      <c r="AN349" s="22"/>
      <c r="AO349" s="22"/>
      <c r="AP349" s="22"/>
      <c r="AQ349" s="22"/>
      <c r="AR349" s="22"/>
      <c r="AS349" s="22"/>
      <c r="AT349" s="22"/>
    </row>
    <row r="350" spans="7:46" ht="13">
      <c r="G350" s="34"/>
      <c r="J350" s="18"/>
      <c r="N350" s="18"/>
      <c r="O350" s="1"/>
      <c r="P350" s="1"/>
      <c r="Q350" s="1"/>
      <c r="R350" s="18"/>
      <c r="S350" s="1"/>
      <c r="T350" s="1"/>
      <c r="U350" s="1"/>
      <c r="V350" s="1"/>
      <c r="Z350" s="18"/>
      <c r="AD350" s="18"/>
      <c r="AH350" s="18"/>
      <c r="AL350" s="18"/>
      <c r="AM350" s="22"/>
      <c r="AN350" s="22"/>
      <c r="AO350" s="22"/>
      <c r="AP350" s="22"/>
      <c r="AQ350" s="22"/>
      <c r="AR350" s="22"/>
      <c r="AS350" s="22"/>
      <c r="AT350" s="22"/>
    </row>
    <row r="351" spans="7:46" ht="13">
      <c r="G351" s="34"/>
      <c r="J351" s="18"/>
      <c r="N351" s="18"/>
      <c r="O351" s="1"/>
      <c r="P351" s="1"/>
      <c r="Q351" s="1"/>
      <c r="R351" s="18"/>
      <c r="S351" s="1"/>
      <c r="T351" s="1"/>
      <c r="U351" s="1"/>
      <c r="V351" s="1"/>
      <c r="Z351" s="18"/>
      <c r="AD351" s="18"/>
      <c r="AH351" s="18"/>
      <c r="AL351" s="18"/>
      <c r="AM351" s="22"/>
      <c r="AN351" s="22"/>
      <c r="AO351" s="22"/>
      <c r="AP351" s="22"/>
      <c r="AQ351" s="22"/>
      <c r="AR351" s="22"/>
      <c r="AS351" s="22"/>
      <c r="AT351" s="22"/>
    </row>
    <row r="352" spans="7:46" ht="13">
      <c r="G352" s="34"/>
      <c r="J352" s="18"/>
      <c r="N352" s="18"/>
      <c r="O352" s="1"/>
      <c r="P352" s="1"/>
      <c r="Q352" s="1"/>
      <c r="R352" s="18"/>
      <c r="S352" s="1"/>
      <c r="T352" s="1"/>
      <c r="U352" s="1"/>
      <c r="V352" s="1"/>
      <c r="Z352" s="18"/>
      <c r="AD352" s="18"/>
      <c r="AH352" s="18"/>
      <c r="AL352" s="18"/>
      <c r="AM352" s="22"/>
      <c r="AN352" s="22"/>
      <c r="AO352" s="22"/>
      <c r="AP352" s="22"/>
      <c r="AQ352" s="22"/>
      <c r="AR352" s="22"/>
      <c r="AS352" s="22"/>
      <c r="AT352" s="22"/>
    </row>
    <row r="353" spans="7:46" ht="13">
      <c r="G353" s="34"/>
      <c r="J353" s="18"/>
      <c r="N353" s="18"/>
      <c r="O353" s="1"/>
      <c r="P353" s="1"/>
      <c r="Q353" s="1"/>
      <c r="R353" s="18"/>
      <c r="S353" s="1"/>
      <c r="T353" s="1"/>
      <c r="U353" s="1"/>
      <c r="V353" s="1"/>
      <c r="Z353" s="18"/>
      <c r="AD353" s="18"/>
      <c r="AH353" s="18"/>
      <c r="AL353" s="18"/>
      <c r="AM353" s="22"/>
      <c r="AN353" s="22"/>
      <c r="AO353" s="22"/>
      <c r="AP353" s="22"/>
      <c r="AQ353" s="22"/>
      <c r="AR353" s="22"/>
      <c r="AS353" s="22"/>
      <c r="AT353" s="22"/>
    </row>
    <row r="354" spans="7:46" ht="13">
      <c r="G354" s="34"/>
      <c r="J354" s="18"/>
      <c r="N354" s="18"/>
      <c r="O354" s="1"/>
      <c r="P354" s="1"/>
      <c r="Q354" s="1"/>
      <c r="R354" s="18"/>
      <c r="S354" s="1"/>
      <c r="T354" s="1"/>
      <c r="U354" s="1"/>
      <c r="V354" s="1"/>
      <c r="Z354" s="18"/>
      <c r="AD354" s="18"/>
      <c r="AH354" s="18"/>
      <c r="AL354" s="18"/>
      <c r="AM354" s="22"/>
      <c r="AN354" s="22"/>
      <c r="AO354" s="22"/>
      <c r="AP354" s="22"/>
      <c r="AQ354" s="22"/>
      <c r="AR354" s="22"/>
      <c r="AS354" s="22"/>
      <c r="AT354" s="22"/>
    </row>
    <row r="355" spans="7:46" ht="13">
      <c r="G355" s="34"/>
      <c r="J355" s="18"/>
      <c r="N355" s="18"/>
      <c r="O355" s="1"/>
      <c r="P355" s="1"/>
      <c r="Q355" s="1"/>
      <c r="R355" s="18"/>
      <c r="S355" s="1"/>
      <c r="T355" s="1"/>
      <c r="U355" s="1"/>
      <c r="V355" s="1"/>
      <c r="Z355" s="18"/>
      <c r="AD355" s="18"/>
      <c r="AH355" s="18"/>
      <c r="AL355" s="18"/>
      <c r="AM355" s="22"/>
      <c r="AN355" s="22"/>
      <c r="AO355" s="22"/>
      <c r="AP355" s="22"/>
      <c r="AQ355" s="22"/>
      <c r="AR355" s="22"/>
      <c r="AS355" s="22"/>
      <c r="AT355" s="22"/>
    </row>
    <row r="356" spans="7:46" ht="13">
      <c r="G356" s="34"/>
      <c r="J356" s="18"/>
      <c r="N356" s="18"/>
      <c r="O356" s="1"/>
      <c r="P356" s="1"/>
      <c r="Q356" s="1"/>
      <c r="R356" s="18"/>
      <c r="S356" s="1"/>
      <c r="T356" s="1"/>
      <c r="U356" s="1"/>
      <c r="V356" s="1"/>
      <c r="Z356" s="18"/>
      <c r="AD356" s="18"/>
      <c r="AH356" s="18"/>
      <c r="AL356" s="18"/>
      <c r="AM356" s="22"/>
      <c r="AN356" s="22"/>
      <c r="AO356" s="22"/>
      <c r="AP356" s="22"/>
      <c r="AQ356" s="22"/>
      <c r="AR356" s="22"/>
      <c r="AS356" s="22"/>
      <c r="AT356" s="22"/>
    </row>
    <row r="357" spans="7:46" ht="13">
      <c r="G357" s="34"/>
      <c r="J357" s="18"/>
      <c r="N357" s="18"/>
      <c r="O357" s="1"/>
      <c r="P357" s="1"/>
      <c r="Q357" s="1"/>
      <c r="R357" s="18"/>
      <c r="S357" s="1"/>
      <c r="T357" s="1"/>
      <c r="U357" s="1"/>
      <c r="V357" s="1"/>
      <c r="Z357" s="18"/>
      <c r="AD357" s="18"/>
      <c r="AH357" s="18"/>
      <c r="AL357" s="18"/>
      <c r="AM357" s="22"/>
      <c r="AN357" s="22"/>
      <c r="AO357" s="22"/>
      <c r="AP357" s="22"/>
      <c r="AQ357" s="22"/>
      <c r="AR357" s="22"/>
      <c r="AS357" s="22"/>
      <c r="AT357" s="22"/>
    </row>
    <row r="358" spans="7:46" ht="13">
      <c r="G358" s="34"/>
      <c r="J358" s="18"/>
      <c r="N358" s="18"/>
      <c r="O358" s="1"/>
      <c r="P358" s="1"/>
      <c r="Q358" s="1"/>
      <c r="R358" s="18"/>
      <c r="S358" s="1"/>
      <c r="T358" s="1"/>
      <c r="U358" s="1"/>
      <c r="V358" s="1"/>
      <c r="Z358" s="18"/>
      <c r="AD358" s="18"/>
      <c r="AH358" s="18"/>
      <c r="AL358" s="18"/>
      <c r="AM358" s="22"/>
      <c r="AN358" s="22"/>
      <c r="AO358" s="22"/>
      <c r="AP358" s="22"/>
      <c r="AQ358" s="22"/>
      <c r="AR358" s="22"/>
      <c r="AS358" s="22"/>
      <c r="AT358" s="22"/>
    </row>
    <row r="359" spans="7:46" ht="13">
      <c r="G359" s="34"/>
      <c r="J359" s="18"/>
      <c r="N359" s="18"/>
      <c r="O359" s="1"/>
      <c r="P359" s="1"/>
      <c r="Q359" s="1"/>
      <c r="R359" s="18"/>
      <c r="S359" s="1"/>
      <c r="T359" s="1"/>
      <c r="U359" s="1"/>
      <c r="V359" s="1"/>
      <c r="Z359" s="18"/>
      <c r="AD359" s="18"/>
      <c r="AH359" s="18"/>
      <c r="AL359" s="18"/>
      <c r="AM359" s="22"/>
      <c r="AN359" s="22"/>
      <c r="AO359" s="22"/>
      <c r="AP359" s="22"/>
      <c r="AQ359" s="22"/>
      <c r="AR359" s="22"/>
      <c r="AS359" s="22"/>
      <c r="AT359" s="22"/>
    </row>
    <row r="360" spans="7:46" ht="13">
      <c r="G360" s="34"/>
      <c r="J360" s="18"/>
      <c r="N360" s="18"/>
      <c r="O360" s="1"/>
      <c r="P360" s="1"/>
      <c r="Q360" s="1"/>
      <c r="R360" s="18"/>
      <c r="S360" s="1"/>
      <c r="T360" s="1"/>
      <c r="U360" s="1"/>
      <c r="V360" s="1"/>
      <c r="Z360" s="18"/>
      <c r="AD360" s="18"/>
      <c r="AH360" s="18"/>
      <c r="AL360" s="18"/>
      <c r="AM360" s="22"/>
      <c r="AN360" s="22"/>
      <c r="AO360" s="22"/>
      <c r="AP360" s="22"/>
      <c r="AQ360" s="22"/>
      <c r="AR360" s="22"/>
      <c r="AS360" s="22"/>
      <c r="AT360" s="22"/>
    </row>
    <row r="361" spans="7:46" ht="13">
      <c r="G361" s="34"/>
      <c r="J361" s="18"/>
      <c r="N361" s="18"/>
      <c r="O361" s="1"/>
      <c r="P361" s="1"/>
      <c r="Q361" s="1"/>
      <c r="R361" s="18"/>
      <c r="S361" s="1"/>
      <c r="T361" s="1"/>
      <c r="U361" s="1"/>
      <c r="V361" s="1"/>
      <c r="Z361" s="18"/>
      <c r="AD361" s="18"/>
      <c r="AH361" s="18"/>
      <c r="AL361" s="18"/>
      <c r="AM361" s="22"/>
      <c r="AN361" s="22"/>
      <c r="AO361" s="22"/>
      <c r="AP361" s="22"/>
      <c r="AQ361" s="22"/>
      <c r="AR361" s="22"/>
      <c r="AS361" s="22"/>
      <c r="AT361" s="22"/>
    </row>
    <row r="362" spans="7:46" ht="13">
      <c r="G362" s="34"/>
      <c r="J362" s="18"/>
      <c r="N362" s="18"/>
      <c r="O362" s="1"/>
      <c r="P362" s="1"/>
      <c r="Q362" s="1"/>
      <c r="R362" s="18"/>
      <c r="S362" s="1"/>
      <c r="T362" s="1"/>
      <c r="U362" s="1"/>
      <c r="V362" s="1"/>
      <c r="Z362" s="18"/>
      <c r="AD362" s="18"/>
      <c r="AH362" s="18"/>
      <c r="AL362" s="18"/>
      <c r="AM362" s="22"/>
      <c r="AN362" s="22"/>
      <c r="AO362" s="22"/>
      <c r="AP362" s="22"/>
      <c r="AQ362" s="22"/>
      <c r="AR362" s="22"/>
      <c r="AS362" s="22"/>
      <c r="AT362" s="22"/>
    </row>
    <row r="363" spans="7:46" ht="13">
      <c r="G363" s="34"/>
      <c r="J363" s="18"/>
      <c r="N363" s="18"/>
      <c r="O363" s="1"/>
      <c r="P363" s="1"/>
      <c r="Q363" s="1"/>
      <c r="R363" s="18"/>
      <c r="S363" s="1"/>
      <c r="T363" s="1"/>
      <c r="U363" s="1"/>
      <c r="V363" s="1"/>
      <c r="Z363" s="18"/>
      <c r="AD363" s="18"/>
      <c r="AH363" s="18"/>
      <c r="AL363" s="18"/>
      <c r="AM363" s="22"/>
      <c r="AN363" s="22"/>
      <c r="AO363" s="22"/>
      <c r="AP363" s="22"/>
      <c r="AQ363" s="22"/>
      <c r="AR363" s="22"/>
      <c r="AS363" s="22"/>
      <c r="AT363" s="22"/>
    </row>
    <row r="364" spans="7:46" ht="13">
      <c r="G364" s="34"/>
      <c r="J364" s="18"/>
      <c r="N364" s="18"/>
      <c r="O364" s="1"/>
      <c r="P364" s="1"/>
      <c r="Q364" s="1"/>
      <c r="R364" s="18"/>
      <c r="S364" s="1"/>
      <c r="T364" s="1"/>
      <c r="U364" s="1"/>
      <c r="V364" s="1"/>
      <c r="Z364" s="18"/>
      <c r="AD364" s="18"/>
      <c r="AH364" s="18"/>
      <c r="AL364" s="18"/>
      <c r="AM364" s="22"/>
      <c r="AN364" s="22"/>
      <c r="AO364" s="22"/>
      <c r="AP364" s="22"/>
      <c r="AQ364" s="22"/>
      <c r="AR364" s="22"/>
      <c r="AS364" s="22"/>
      <c r="AT364" s="22"/>
    </row>
    <row r="365" spans="7:46" ht="13">
      <c r="G365" s="34"/>
      <c r="J365" s="18"/>
      <c r="N365" s="18"/>
      <c r="O365" s="1"/>
      <c r="P365" s="1"/>
      <c r="Q365" s="1"/>
      <c r="R365" s="18"/>
      <c r="S365" s="1"/>
      <c r="T365" s="1"/>
      <c r="U365" s="1"/>
      <c r="V365" s="1"/>
      <c r="Z365" s="18"/>
      <c r="AD365" s="18"/>
      <c r="AH365" s="18"/>
      <c r="AL365" s="18"/>
      <c r="AM365" s="22"/>
      <c r="AN365" s="22"/>
      <c r="AO365" s="22"/>
      <c r="AP365" s="22"/>
      <c r="AQ365" s="22"/>
      <c r="AR365" s="22"/>
      <c r="AS365" s="22"/>
      <c r="AT365" s="22"/>
    </row>
    <row r="366" spans="7:46" ht="13">
      <c r="G366" s="34"/>
      <c r="J366" s="18"/>
      <c r="N366" s="18"/>
      <c r="O366" s="1"/>
      <c r="P366" s="1"/>
      <c r="Q366" s="1"/>
      <c r="R366" s="18"/>
      <c r="S366" s="1"/>
      <c r="T366" s="1"/>
      <c r="U366" s="1"/>
      <c r="V366" s="1"/>
      <c r="Z366" s="18"/>
      <c r="AD366" s="18"/>
      <c r="AH366" s="18"/>
      <c r="AL366" s="18"/>
      <c r="AM366" s="22"/>
      <c r="AN366" s="22"/>
      <c r="AO366" s="22"/>
      <c r="AP366" s="22"/>
      <c r="AQ366" s="22"/>
      <c r="AR366" s="22"/>
      <c r="AS366" s="22"/>
      <c r="AT366" s="22"/>
    </row>
    <row r="367" spans="7:46" ht="13">
      <c r="G367" s="34"/>
      <c r="J367" s="18"/>
      <c r="N367" s="18"/>
      <c r="O367" s="1"/>
      <c r="P367" s="1"/>
      <c r="Q367" s="1"/>
      <c r="R367" s="18"/>
      <c r="S367" s="1"/>
      <c r="T367" s="1"/>
      <c r="U367" s="1"/>
      <c r="V367" s="1"/>
      <c r="Z367" s="18"/>
      <c r="AD367" s="18"/>
      <c r="AH367" s="18"/>
      <c r="AL367" s="18"/>
      <c r="AM367" s="22"/>
      <c r="AN367" s="22"/>
      <c r="AO367" s="22"/>
      <c r="AP367" s="22"/>
      <c r="AQ367" s="22"/>
      <c r="AR367" s="22"/>
      <c r="AS367" s="22"/>
      <c r="AT367" s="22"/>
    </row>
    <row r="368" spans="7:46" ht="13">
      <c r="G368" s="34"/>
      <c r="J368" s="18"/>
      <c r="N368" s="18"/>
      <c r="O368" s="1"/>
      <c r="P368" s="1"/>
      <c r="Q368" s="1"/>
      <c r="R368" s="18"/>
      <c r="S368" s="1"/>
      <c r="T368" s="1"/>
      <c r="U368" s="1"/>
      <c r="V368" s="1"/>
      <c r="Z368" s="18"/>
      <c r="AD368" s="18"/>
      <c r="AH368" s="18"/>
      <c r="AL368" s="18"/>
      <c r="AM368" s="22"/>
      <c r="AN368" s="22"/>
      <c r="AO368" s="22"/>
      <c r="AP368" s="22"/>
      <c r="AQ368" s="22"/>
      <c r="AR368" s="22"/>
      <c r="AS368" s="22"/>
      <c r="AT368" s="22"/>
    </row>
    <row r="369" spans="7:46" ht="13">
      <c r="G369" s="34"/>
      <c r="J369" s="18"/>
      <c r="N369" s="18"/>
      <c r="O369" s="1"/>
      <c r="P369" s="1"/>
      <c r="Q369" s="1"/>
      <c r="R369" s="18"/>
      <c r="S369" s="1"/>
      <c r="T369" s="1"/>
      <c r="U369" s="1"/>
      <c r="V369" s="1"/>
      <c r="Z369" s="18"/>
      <c r="AD369" s="18"/>
      <c r="AH369" s="18"/>
      <c r="AL369" s="18"/>
      <c r="AM369" s="22"/>
      <c r="AN369" s="22"/>
      <c r="AO369" s="22"/>
      <c r="AP369" s="22"/>
      <c r="AQ369" s="22"/>
      <c r="AR369" s="22"/>
      <c r="AS369" s="22"/>
      <c r="AT369" s="22"/>
    </row>
    <row r="370" spans="7:46" ht="13">
      <c r="G370" s="34"/>
      <c r="J370" s="18"/>
      <c r="N370" s="18"/>
      <c r="O370" s="1"/>
      <c r="P370" s="1"/>
      <c r="Q370" s="1"/>
      <c r="R370" s="18"/>
      <c r="S370" s="1"/>
      <c r="T370" s="1"/>
      <c r="U370" s="1"/>
      <c r="V370" s="1"/>
      <c r="Z370" s="18"/>
      <c r="AD370" s="18"/>
      <c r="AH370" s="18"/>
      <c r="AL370" s="18"/>
      <c r="AM370" s="22"/>
      <c r="AN370" s="22"/>
      <c r="AO370" s="22"/>
      <c r="AP370" s="22"/>
      <c r="AQ370" s="22"/>
      <c r="AR370" s="22"/>
      <c r="AS370" s="22"/>
      <c r="AT370" s="22"/>
    </row>
    <row r="371" spans="7:46" ht="13">
      <c r="G371" s="34"/>
      <c r="J371" s="18"/>
      <c r="N371" s="18"/>
      <c r="O371" s="1"/>
      <c r="P371" s="1"/>
      <c r="Q371" s="1"/>
      <c r="R371" s="18"/>
      <c r="S371" s="1"/>
      <c r="T371" s="1"/>
      <c r="U371" s="1"/>
      <c r="V371" s="1"/>
      <c r="Z371" s="18"/>
      <c r="AD371" s="18"/>
      <c r="AH371" s="18"/>
      <c r="AL371" s="18"/>
      <c r="AM371" s="22"/>
      <c r="AN371" s="22"/>
      <c r="AO371" s="22"/>
      <c r="AP371" s="22"/>
      <c r="AQ371" s="22"/>
      <c r="AR371" s="22"/>
      <c r="AS371" s="22"/>
      <c r="AT371" s="22"/>
    </row>
    <row r="372" spans="7:46" ht="13">
      <c r="G372" s="34"/>
      <c r="J372" s="18"/>
      <c r="N372" s="18"/>
      <c r="O372" s="1"/>
      <c r="P372" s="1"/>
      <c r="Q372" s="1"/>
      <c r="R372" s="18"/>
      <c r="S372" s="1"/>
      <c r="T372" s="1"/>
      <c r="U372" s="1"/>
      <c r="V372" s="1"/>
      <c r="Z372" s="18"/>
      <c r="AD372" s="18"/>
      <c r="AH372" s="18"/>
      <c r="AL372" s="18"/>
      <c r="AM372" s="22"/>
      <c r="AN372" s="22"/>
      <c r="AO372" s="22"/>
      <c r="AP372" s="22"/>
      <c r="AQ372" s="22"/>
      <c r="AR372" s="22"/>
      <c r="AS372" s="22"/>
      <c r="AT372" s="22"/>
    </row>
    <row r="373" spans="7:46" ht="13">
      <c r="G373" s="34"/>
      <c r="J373" s="18"/>
      <c r="N373" s="18"/>
      <c r="O373" s="1"/>
      <c r="P373" s="1"/>
      <c r="Q373" s="1"/>
      <c r="R373" s="18"/>
      <c r="S373" s="1"/>
      <c r="T373" s="1"/>
      <c r="U373" s="1"/>
      <c r="V373" s="1"/>
      <c r="Z373" s="18"/>
      <c r="AD373" s="18"/>
      <c r="AH373" s="18"/>
      <c r="AL373" s="18"/>
      <c r="AM373" s="22"/>
      <c r="AN373" s="22"/>
      <c r="AO373" s="22"/>
      <c r="AP373" s="22"/>
      <c r="AQ373" s="22"/>
      <c r="AR373" s="22"/>
      <c r="AS373" s="22"/>
      <c r="AT373" s="22"/>
    </row>
    <row r="374" spans="7:46" ht="13">
      <c r="G374" s="34"/>
      <c r="J374" s="18"/>
      <c r="N374" s="18"/>
      <c r="O374" s="1"/>
      <c r="P374" s="1"/>
      <c r="Q374" s="1"/>
      <c r="R374" s="18"/>
      <c r="S374" s="1"/>
      <c r="T374" s="1"/>
      <c r="U374" s="1"/>
      <c r="V374" s="1"/>
      <c r="Z374" s="18"/>
      <c r="AD374" s="18"/>
      <c r="AH374" s="18"/>
      <c r="AL374" s="18"/>
      <c r="AM374" s="22"/>
      <c r="AN374" s="22"/>
      <c r="AO374" s="22"/>
      <c r="AP374" s="22"/>
      <c r="AQ374" s="22"/>
      <c r="AR374" s="22"/>
      <c r="AS374" s="22"/>
      <c r="AT374" s="22"/>
    </row>
    <row r="375" spans="7:46" ht="13">
      <c r="G375" s="34"/>
      <c r="J375" s="18"/>
      <c r="N375" s="18"/>
      <c r="O375" s="1"/>
      <c r="P375" s="1"/>
      <c r="Q375" s="1"/>
      <c r="R375" s="18"/>
      <c r="S375" s="1"/>
      <c r="T375" s="1"/>
      <c r="U375" s="1"/>
      <c r="V375" s="1"/>
      <c r="Z375" s="18"/>
      <c r="AD375" s="18"/>
      <c r="AH375" s="18"/>
      <c r="AL375" s="18"/>
      <c r="AM375" s="22"/>
      <c r="AN375" s="22"/>
      <c r="AO375" s="22"/>
      <c r="AP375" s="22"/>
      <c r="AQ375" s="22"/>
      <c r="AR375" s="22"/>
      <c r="AS375" s="22"/>
      <c r="AT375" s="22"/>
    </row>
    <row r="376" spans="7:46" ht="13">
      <c r="G376" s="34"/>
      <c r="J376" s="18"/>
      <c r="N376" s="18"/>
      <c r="O376" s="1"/>
      <c r="P376" s="1"/>
      <c r="Q376" s="1"/>
      <c r="R376" s="18"/>
      <c r="S376" s="1"/>
      <c r="T376" s="1"/>
      <c r="U376" s="1"/>
      <c r="V376" s="1"/>
      <c r="Z376" s="18"/>
      <c r="AD376" s="18"/>
      <c r="AH376" s="18"/>
      <c r="AL376" s="18"/>
      <c r="AM376" s="22"/>
      <c r="AN376" s="22"/>
      <c r="AO376" s="22"/>
      <c r="AP376" s="22"/>
      <c r="AQ376" s="22"/>
      <c r="AR376" s="22"/>
      <c r="AS376" s="22"/>
      <c r="AT376" s="22"/>
    </row>
    <row r="377" spans="7:46" ht="13">
      <c r="G377" s="34"/>
      <c r="J377" s="18"/>
      <c r="N377" s="18"/>
      <c r="O377" s="1"/>
      <c r="P377" s="1"/>
      <c r="Q377" s="1"/>
      <c r="R377" s="18"/>
      <c r="S377" s="1"/>
      <c r="T377" s="1"/>
      <c r="U377" s="1"/>
      <c r="V377" s="1"/>
      <c r="Z377" s="18"/>
      <c r="AD377" s="18"/>
      <c r="AH377" s="18"/>
      <c r="AL377" s="18"/>
      <c r="AM377" s="22"/>
      <c r="AN377" s="22"/>
      <c r="AO377" s="22"/>
      <c r="AP377" s="22"/>
      <c r="AQ377" s="22"/>
      <c r="AR377" s="22"/>
      <c r="AS377" s="22"/>
      <c r="AT377" s="22"/>
    </row>
    <row r="378" spans="7:46" ht="13">
      <c r="G378" s="34"/>
      <c r="J378" s="18"/>
      <c r="N378" s="18"/>
      <c r="O378" s="1"/>
      <c r="P378" s="1"/>
      <c r="Q378" s="1"/>
      <c r="R378" s="18"/>
      <c r="S378" s="1"/>
      <c r="T378" s="1"/>
      <c r="U378" s="1"/>
      <c r="V378" s="1"/>
      <c r="Z378" s="18"/>
      <c r="AD378" s="18"/>
      <c r="AH378" s="18"/>
      <c r="AL378" s="18"/>
      <c r="AM378" s="22"/>
      <c r="AN378" s="22"/>
      <c r="AO378" s="22"/>
      <c r="AP378" s="22"/>
      <c r="AQ378" s="22"/>
      <c r="AR378" s="22"/>
      <c r="AS378" s="22"/>
      <c r="AT378" s="22"/>
    </row>
    <row r="379" spans="7:46" ht="13">
      <c r="G379" s="34"/>
      <c r="J379" s="18"/>
      <c r="N379" s="18"/>
      <c r="O379" s="1"/>
      <c r="P379" s="1"/>
      <c r="Q379" s="1"/>
      <c r="R379" s="18"/>
      <c r="S379" s="1"/>
      <c r="T379" s="1"/>
      <c r="U379" s="1"/>
      <c r="V379" s="1"/>
      <c r="Z379" s="18"/>
      <c r="AD379" s="18"/>
      <c r="AH379" s="18"/>
      <c r="AL379" s="18"/>
      <c r="AM379" s="22"/>
      <c r="AN379" s="22"/>
      <c r="AO379" s="22"/>
      <c r="AP379" s="22"/>
      <c r="AQ379" s="22"/>
      <c r="AR379" s="22"/>
      <c r="AS379" s="22"/>
      <c r="AT379" s="22"/>
    </row>
    <row r="380" spans="7:46" ht="13">
      <c r="G380" s="34"/>
      <c r="J380" s="18"/>
      <c r="N380" s="18"/>
      <c r="O380" s="1"/>
      <c r="P380" s="1"/>
      <c r="Q380" s="1"/>
      <c r="R380" s="18"/>
      <c r="S380" s="1"/>
      <c r="T380" s="1"/>
      <c r="U380" s="1"/>
      <c r="V380" s="1"/>
      <c r="Z380" s="18"/>
      <c r="AD380" s="18"/>
      <c r="AH380" s="18"/>
      <c r="AL380" s="18"/>
      <c r="AM380" s="22"/>
      <c r="AN380" s="22"/>
      <c r="AO380" s="22"/>
      <c r="AP380" s="22"/>
      <c r="AQ380" s="22"/>
      <c r="AR380" s="22"/>
      <c r="AS380" s="22"/>
      <c r="AT380" s="22"/>
    </row>
    <row r="381" spans="7:46" ht="13">
      <c r="G381" s="34"/>
      <c r="J381" s="18"/>
      <c r="N381" s="18"/>
      <c r="O381" s="1"/>
      <c r="P381" s="1"/>
      <c r="Q381" s="1"/>
      <c r="R381" s="18"/>
      <c r="S381" s="1"/>
      <c r="T381" s="1"/>
      <c r="U381" s="1"/>
      <c r="V381" s="1"/>
      <c r="Z381" s="18"/>
      <c r="AD381" s="18"/>
      <c r="AH381" s="18"/>
      <c r="AL381" s="18"/>
      <c r="AM381" s="22"/>
      <c r="AN381" s="22"/>
      <c r="AO381" s="22"/>
      <c r="AP381" s="22"/>
      <c r="AQ381" s="22"/>
      <c r="AR381" s="22"/>
      <c r="AS381" s="22"/>
      <c r="AT381" s="22"/>
    </row>
    <row r="382" spans="7:46" ht="13">
      <c r="G382" s="34"/>
      <c r="J382" s="18"/>
      <c r="N382" s="18"/>
      <c r="O382" s="1"/>
      <c r="P382" s="1"/>
      <c r="Q382" s="1"/>
      <c r="R382" s="18"/>
      <c r="S382" s="1"/>
      <c r="T382" s="1"/>
      <c r="U382" s="1"/>
      <c r="V382" s="1"/>
      <c r="Z382" s="18"/>
      <c r="AD382" s="18"/>
      <c r="AH382" s="18"/>
      <c r="AL382" s="18"/>
      <c r="AM382" s="22"/>
      <c r="AN382" s="22"/>
      <c r="AO382" s="22"/>
      <c r="AP382" s="22"/>
      <c r="AQ382" s="22"/>
      <c r="AR382" s="22"/>
      <c r="AS382" s="22"/>
      <c r="AT382" s="22"/>
    </row>
    <row r="383" spans="7:46" ht="13">
      <c r="G383" s="34"/>
      <c r="J383" s="18"/>
      <c r="N383" s="18"/>
      <c r="O383" s="1"/>
      <c r="P383" s="1"/>
      <c r="Q383" s="1"/>
      <c r="R383" s="18"/>
      <c r="S383" s="1"/>
      <c r="T383" s="1"/>
      <c r="U383" s="1"/>
      <c r="V383" s="1"/>
      <c r="Z383" s="18"/>
      <c r="AD383" s="18"/>
      <c r="AH383" s="18"/>
      <c r="AL383" s="18"/>
      <c r="AM383" s="22"/>
      <c r="AN383" s="22"/>
      <c r="AO383" s="22"/>
      <c r="AP383" s="22"/>
      <c r="AQ383" s="22"/>
      <c r="AR383" s="22"/>
      <c r="AS383" s="22"/>
      <c r="AT383" s="22"/>
    </row>
    <row r="384" spans="7:46" ht="13">
      <c r="G384" s="34"/>
      <c r="J384" s="18"/>
      <c r="N384" s="18"/>
      <c r="O384" s="1"/>
      <c r="P384" s="1"/>
      <c r="Q384" s="1"/>
      <c r="R384" s="18"/>
      <c r="S384" s="1"/>
      <c r="T384" s="1"/>
      <c r="U384" s="1"/>
      <c r="V384" s="1"/>
      <c r="Z384" s="18"/>
      <c r="AD384" s="18"/>
      <c r="AH384" s="18"/>
      <c r="AL384" s="18"/>
      <c r="AM384" s="22"/>
      <c r="AN384" s="22"/>
      <c r="AO384" s="22"/>
      <c r="AP384" s="22"/>
      <c r="AQ384" s="22"/>
      <c r="AR384" s="22"/>
      <c r="AS384" s="22"/>
      <c r="AT384" s="22"/>
    </row>
    <row r="385" spans="7:46" ht="13">
      <c r="G385" s="34"/>
      <c r="J385" s="18"/>
      <c r="N385" s="18"/>
      <c r="O385" s="1"/>
      <c r="P385" s="1"/>
      <c r="Q385" s="1"/>
      <c r="R385" s="18"/>
      <c r="S385" s="1"/>
      <c r="T385" s="1"/>
      <c r="U385" s="1"/>
      <c r="V385" s="1"/>
      <c r="Z385" s="18"/>
      <c r="AD385" s="18"/>
      <c r="AH385" s="18"/>
      <c r="AL385" s="18"/>
      <c r="AM385" s="22"/>
      <c r="AN385" s="22"/>
      <c r="AO385" s="22"/>
      <c r="AP385" s="22"/>
      <c r="AQ385" s="22"/>
      <c r="AR385" s="22"/>
      <c r="AS385" s="22"/>
      <c r="AT385" s="22"/>
    </row>
    <row r="386" spans="7:46" ht="13">
      <c r="G386" s="34"/>
      <c r="J386" s="18"/>
      <c r="N386" s="18"/>
      <c r="O386" s="1"/>
      <c r="P386" s="1"/>
      <c r="Q386" s="1"/>
      <c r="R386" s="18"/>
      <c r="S386" s="1"/>
      <c r="T386" s="1"/>
      <c r="U386" s="1"/>
      <c r="V386" s="1"/>
      <c r="Z386" s="18"/>
      <c r="AD386" s="18"/>
      <c r="AH386" s="18"/>
      <c r="AL386" s="18"/>
      <c r="AM386" s="22"/>
      <c r="AN386" s="22"/>
      <c r="AO386" s="22"/>
      <c r="AP386" s="22"/>
      <c r="AQ386" s="22"/>
      <c r="AR386" s="22"/>
      <c r="AS386" s="22"/>
      <c r="AT386" s="22"/>
    </row>
    <row r="387" spans="7:46" ht="13">
      <c r="G387" s="34"/>
      <c r="J387" s="18"/>
      <c r="N387" s="18"/>
      <c r="O387" s="1"/>
      <c r="P387" s="1"/>
      <c r="Q387" s="1"/>
      <c r="R387" s="18"/>
      <c r="S387" s="1"/>
      <c r="T387" s="1"/>
      <c r="U387" s="1"/>
      <c r="V387" s="1"/>
      <c r="Z387" s="18"/>
      <c r="AD387" s="18"/>
      <c r="AH387" s="18"/>
      <c r="AL387" s="18"/>
      <c r="AM387" s="22"/>
      <c r="AN387" s="22"/>
      <c r="AO387" s="22"/>
      <c r="AP387" s="22"/>
      <c r="AQ387" s="22"/>
      <c r="AR387" s="22"/>
      <c r="AS387" s="22"/>
      <c r="AT387" s="22"/>
    </row>
    <row r="388" spans="7:46" ht="13">
      <c r="G388" s="34"/>
      <c r="J388" s="18"/>
      <c r="N388" s="18"/>
      <c r="O388" s="1"/>
      <c r="P388" s="1"/>
      <c r="Q388" s="1"/>
      <c r="R388" s="18"/>
      <c r="S388" s="1"/>
      <c r="T388" s="1"/>
      <c r="U388" s="1"/>
      <c r="V388" s="1"/>
      <c r="Z388" s="18"/>
      <c r="AD388" s="18"/>
      <c r="AH388" s="18"/>
      <c r="AL388" s="18"/>
      <c r="AM388" s="22"/>
      <c r="AN388" s="22"/>
      <c r="AO388" s="22"/>
      <c r="AP388" s="22"/>
      <c r="AQ388" s="22"/>
      <c r="AR388" s="22"/>
      <c r="AS388" s="22"/>
      <c r="AT388" s="22"/>
    </row>
    <row r="389" spans="7:46" ht="13">
      <c r="G389" s="34"/>
      <c r="J389" s="18"/>
      <c r="N389" s="18"/>
      <c r="O389" s="1"/>
      <c r="P389" s="1"/>
      <c r="Q389" s="1"/>
      <c r="R389" s="18"/>
      <c r="S389" s="1"/>
      <c r="T389" s="1"/>
      <c r="U389" s="1"/>
      <c r="V389" s="1"/>
      <c r="Z389" s="18"/>
      <c r="AD389" s="18"/>
      <c r="AH389" s="18"/>
      <c r="AL389" s="18"/>
      <c r="AM389" s="22"/>
      <c r="AN389" s="22"/>
      <c r="AO389" s="22"/>
      <c r="AP389" s="22"/>
      <c r="AQ389" s="22"/>
      <c r="AR389" s="22"/>
      <c r="AS389" s="22"/>
      <c r="AT389" s="22"/>
    </row>
    <row r="390" spans="7:46" ht="13">
      <c r="G390" s="34"/>
      <c r="J390" s="18"/>
      <c r="N390" s="18"/>
      <c r="O390" s="1"/>
      <c r="P390" s="1"/>
      <c r="Q390" s="1"/>
      <c r="R390" s="18"/>
      <c r="S390" s="1"/>
      <c r="T390" s="1"/>
      <c r="U390" s="1"/>
      <c r="V390" s="1"/>
      <c r="Z390" s="18"/>
      <c r="AD390" s="18"/>
      <c r="AH390" s="18"/>
      <c r="AL390" s="18"/>
      <c r="AM390" s="22"/>
      <c r="AN390" s="22"/>
      <c r="AO390" s="22"/>
      <c r="AP390" s="22"/>
      <c r="AQ390" s="22"/>
      <c r="AR390" s="22"/>
      <c r="AS390" s="22"/>
      <c r="AT390" s="22"/>
    </row>
    <row r="391" spans="7:46" ht="13">
      <c r="G391" s="34"/>
      <c r="J391" s="18"/>
      <c r="N391" s="18"/>
      <c r="O391" s="1"/>
      <c r="P391" s="1"/>
      <c r="Q391" s="1"/>
      <c r="R391" s="18"/>
      <c r="S391" s="1"/>
      <c r="T391" s="1"/>
      <c r="U391" s="1"/>
      <c r="V391" s="1"/>
      <c r="Z391" s="18"/>
      <c r="AD391" s="18"/>
      <c r="AH391" s="18"/>
      <c r="AL391" s="18"/>
      <c r="AM391" s="22"/>
      <c r="AN391" s="22"/>
      <c r="AO391" s="22"/>
      <c r="AP391" s="22"/>
      <c r="AQ391" s="22"/>
      <c r="AR391" s="22"/>
      <c r="AS391" s="22"/>
      <c r="AT391" s="22"/>
    </row>
    <row r="392" spans="7:46" ht="13">
      <c r="G392" s="34"/>
      <c r="J392" s="18"/>
      <c r="N392" s="18"/>
      <c r="O392" s="1"/>
      <c r="P392" s="1"/>
      <c r="Q392" s="1"/>
      <c r="R392" s="18"/>
      <c r="S392" s="1"/>
      <c r="T392" s="1"/>
      <c r="U392" s="1"/>
      <c r="V392" s="1"/>
      <c r="Z392" s="18"/>
      <c r="AD392" s="18"/>
      <c r="AH392" s="18"/>
      <c r="AL392" s="18"/>
      <c r="AM392" s="22"/>
      <c r="AN392" s="22"/>
      <c r="AO392" s="22"/>
      <c r="AP392" s="22"/>
      <c r="AQ392" s="22"/>
      <c r="AR392" s="22"/>
      <c r="AS392" s="22"/>
      <c r="AT392" s="22"/>
    </row>
    <row r="393" spans="7:46" ht="13">
      <c r="G393" s="34"/>
      <c r="J393" s="18"/>
      <c r="N393" s="18"/>
      <c r="O393" s="1"/>
      <c r="P393" s="1"/>
      <c r="Q393" s="1"/>
      <c r="R393" s="18"/>
      <c r="S393" s="1"/>
      <c r="T393" s="1"/>
      <c r="U393" s="1"/>
      <c r="V393" s="1"/>
      <c r="Z393" s="18"/>
      <c r="AD393" s="18"/>
      <c r="AH393" s="18"/>
      <c r="AL393" s="18"/>
      <c r="AM393" s="22"/>
      <c r="AN393" s="22"/>
      <c r="AO393" s="22"/>
      <c r="AP393" s="22"/>
      <c r="AQ393" s="22"/>
      <c r="AR393" s="22"/>
      <c r="AS393" s="22"/>
      <c r="AT393" s="22"/>
    </row>
    <row r="394" spans="7:46" ht="13">
      <c r="G394" s="34"/>
      <c r="J394" s="18"/>
      <c r="N394" s="18"/>
      <c r="O394" s="1"/>
      <c r="P394" s="1"/>
      <c r="Q394" s="1"/>
      <c r="R394" s="18"/>
      <c r="S394" s="1"/>
      <c r="T394" s="1"/>
      <c r="U394" s="1"/>
      <c r="V394" s="1"/>
      <c r="Z394" s="18"/>
      <c r="AD394" s="18"/>
      <c r="AH394" s="18"/>
      <c r="AL394" s="18"/>
      <c r="AM394" s="22"/>
      <c r="AN394" s="22"/>
      <c r="AO394" s="22"/>
      <c r="AP394" s="22"/>
      <c r="AQ394" s="22"/>
      <c r="AR394" s="22"/>
      <c r="AS394" s="22"/>
      <c r="AT394" s="22"/>
    </row>
    <row r="395" spans="7:46" ht="13">
      <c r="G395" s="34"/>
      <c r="J395" s="18"/>
      <c r="N395" s="18"/>
      <c r="O395" s="1"/>
      <c r="P395" s="1"/>
      <c r="Q395" s="1"/>
      <c r="R395" s="18"/>
      <c r="S395" s="1"/>
      <c r="T395" s="1"/>
      <c r="U395" s="1"/>
      <c r="V395" s="1"/>
      <c r="Z395" s="18"/>
      <c r="AD395" s="18"/>
      <c r="AH395" s="18"/>
      <c r="AL395" s="18"/>
      <c r="AM395" s="22"/>
      <c r="AN395" s="22"/>
      <c r="AO395" s="22"/>
      <c r="AP395" s="22"/>
      <c r="AQ395" s="22"/>
      <c r="AR395" s="22"/>
      <c r="AS395" s="22"/>
      <c r="AT395" s="22"/>
    </row>
    <row r="396" spans="7:46" ht="13">
      <c r="G396" s="34"/>
      <c r="J396" s="18"/>
      <c r="N396" s="18"/>
      <c r="O396" s="1"/>
      <c r="P396" s="1"/>
      <c r="Q396" s="1"/>
      <c r="R396" s="18"/>
      <c r="S396" s="1"/>
      <c r="T396" s="1"/>
      <c r="U396" s="1"/>
      <c r="V396" s="1"/>
      <c r="Z396" s="18"/>
      <c r="AD396" s="18"/>
      <c r="AH396" s="18"/>
      <c r="AL396" s="18"/>
      <c r="AM396" s="22"/>
      <c r="AN396" s="22"/>
      <c r="AO396" s="22"/>
      <c r="AP396" s="22"/>
      <c r="AQ396" s="22"/>
      <c r="AR396" s="22"/>
      <c r="AS396" s="22"/>
      <c r="AT396" s="22"/>
    </row>
    <row r="397" spans="7:46" ht="13">
      <c r="G397" s="34"/>
      <c r="J397" s="18"/>
      <c r="N397" s="18"/>
      <c r="O397" s="1"/>
      <c r="P397" s="1"/>
      <c r="Q397" s="1"/>
      <c r="R397" s="18"/>
      <c r="S397" s="1"/>
      <c r="T397" s="1"/>
      <c r="U397" s="1"/>
      <c r="V397" s="1"/>
      <c r="Z397" s="18"/>
      <c r="AD397" s="18"/>
      <c r="AH397" s="18"/>
      <c r="AL397" s="18"/>
      <c r="AM397" s="22"/>
      <c r="AN397" s="22"/>
      <c r="AO397" s="22"/>
      <c r="AP397" s="22"/>
      <c r="AQ397" s="22"/>
      <c r="AR397" s="22"/>
      <c r="AS397" s="22"/>
      <c r="AT397" s="22"/>
    </row>
    <row r="398" spans="7:46" ht="13">
      <c r="G398" s="34"/>
      <c r="J398" s="18"/>
      <c r="N398" s="18"/>
      <c r="O398" s="1"/>
      <c r="P398" s="1"/>
      <c r="Q398" s="1"/>
      <c r="R398" s="18"/>
      <c r="S398" s="1"/>
      <c r="T398" s="1"/>
      <c r="U398" s="1"/>
      <c r="V398" s="1"/>
      <c r="Z398" s="18"/>
      <c r="AD398" s="18"/>
      <c r="AH398" s="18"/>
      <c r="AL398" s="18"/>
      <c r="AM398" s="22"/>
      <c r="AN398" s="22"/>
      <c r="AO398" s="22"/>
      <c r="AP398" s="22"/>
      <c r="AQ398" s="22"/>
      <c r="AR398" s="22"/>
      <c r="AS398" s="22"/>
      <c r="AT398" s="22"/>
    </row>
    <row r="399" spans="7:46" ht="13">
      <c r="G399" s="34"/>
      <c r="J399" s="18"/>
      <c r="N399" s="18"/>
      <c r="O399" s="1"/>
      <c r="P399" s="1"/>
      <c r="Q399" s="1"/>
      <c r="R399" s="18"/>
      <c r="S399" s="1"/>
      <c r="T399" s="1"/>
      <c r="U399" s="1"/>
      <c r="V399" s="1"/>
      <c r="Z399" s="18"/>
      <c r="AD399" s="18"/>
      <c r="AH399" s="18"/>
      <c r="AL399" s="18"/>
      <c r="AM399" s="22"/>
      <c r="AN399" s="22"/>
      <c r="AO399" s="22"/>
      <c r="AP399" s="22"/>
      <c r="AQ399" s="22"/>
      <c r="AR399" s="22"/>
      <c r="AS399" s="22"/>
      <c r="AT399" s="22"/>
    </row>
    <row r="400" spans="7:46" ht="13">
      <c r="G400" s="34"/>
      <c r="J400" s="18"/>
      <c r="N400" s="18"/>
      <c r="O400" s="1"/>
      <c r="P400" s="1"/>
      <c r="Q400" s="1"/>
      <c r="R400" s="18"/>
      <c r="S400" s="1"/>
      <c r="T400" s="1"/>
      <c r="U400" s="1"/>
      <c r="V400" s="1"/>
      <c r="Z400" s="18"/>
      <c r="AD400" s="18"/>
      <c r="AH400" s="18"/>
      <c r="AL400" s="18"/>
      <c r="AM400" s="22"/>
      <c r="AN400" s="22"/>
      <c r="AO400" s="22"/>
      <c r="AP400" s="22"/>
      <c r="AQ400" s="22"/>
      <c r="AR400" s="22"/>
      <c r="AS400" s="22"/>
      <c r="AT400" s="22"/>
    </row>
    <row r="401" spans="7:46" ht="13">
      <c r="G401" s="34"/>
      <c r="J401" s="18"/>
      <c r="N401" s="18"/>
      <c r="O401" s="1"/>
      <c r="P401" s="1"/>
      <c r="Q401" s="1"/>
      <c r="R401" s="18"/>
      <c r="S401" s="1"/>
      <c r="T401" s="1"/>
      <c r="U401" s="1"/>
      <c r="V401" s="1"/>
      <c r="Z401" s="18"/>
      <c r="AD401" s="18"/>
      <c r="AH401" s="18"/>
      <c r="AL401" s="18"/>
      <c r="AM401" s="22"/>
      <c r="AN401" s="22"/>
      <c r="AO401" s="22"/>
      <c r="AP401" s="22"/>
      <c r="AQ401" s="22"/>
      <c r="AR401" s="22"/>
      <c r="AS401" s="22"/>
      <c r="AT401" s="22"/>
    </row>
    <row r="402" spans="7:46" ht="13">
      <c r="G402" s="34"/>
      <c r="J402" s="18"/>
      <c r="N402" s="18"/>
      <c r="O402" s="1"/>
      <c r="P402" s="1"/>
      <c r="Q402" s="1"/>
      <c r="R402" s="18"/>
      <c r="S402" s="1"/>
      <c r="T402" s="1"/>
      <c r="U402" s="1"/>
      <c r="V402" s="1"/>
      <c r="Z402" s="18"/>
      <c r="AD402" s="18"/>
      <c r="AH402" s="18"/>
      <c r="AL402" s="18"/>
      <c r="AM402" s="22"/>
      <c r="AN402" s="22"/>
      <c r="AO402" s="22"/>
      <c r="AP402" s="22"/>
      <c r="AQ402" s="22"/>
      <c r="AR402" s="22"/>
      <c r="AS402" s="22"/>
      <c r="AT402" s="22"/>
    </row>
    <row r="403" spans="7:46" ht="13">
      <c r="G403" s="34"/>
      <c r="J403" s="18"/>
      <c r="N403" s="18"/>
      <c r="O403" s="1"/>
      <c r="P403" s="1"/>
      <c r="Q403" s="1"/>
      <c r="R403" s="18"/>
      <c r="S403" s="1"/>
      <c r="T403" s="1"/>
      <c r="U403" s="1"/>
      <c r="V403" s="1"/>
      <c r="Z403" s="18"/>
      <c r="AD403" s="18"/>
      <c r="AH403" s="18"/>
      <c r="AL403" s="18"/>
      <c r="AM403" s="22"/>
      <c r="AN403" s="22"/>
      <c r="AO403" s="22"/>
      <c r="AP403" s="22"/>
      <c r="AQ403" s="22"/>
      <c r="AR403" s="22"/>
      <c r="AS403" s="22"/>
      <c r="AT403" s="22"/>
    </row>
    <row r="404" spans="7:46" ht="13">
      <c r="G404" s="34"/>
      <c r="J404" s="18"/>
      <c r="N404" s="18"/>
      <c r="O404" s="1"/>
      <c r="P404" s="1"/>
      <c r="Q404" s="1"/>
      <c r="R404" s="18"/>
      <c r="S404" s="1"/>
      <c r="T404" s="1"/>
      <c r="U404" s="1"/>
      <c r="V404" s="1"/>
      <c r="Z404" s="18"/>
      <c r="AD404" s="18"/>
      <c r="AH404" s="18"/>
      <c r="AL404" s="18"/>
      <c r="AM404" s="22"/>
      <c r="AN404" s="22"/>
      <c r="AO404" s="22"/>
      <c r="AP404" s="22"/>
      <c r="AQ404" s="22"/>
      <c r="AR404" s="22"/>
      <c r="AS404" s="22"/>
      <c r="AT404" s="22"/>
    </row>
    <row r="405" spans="7:46" ht="13">
      <c r="G405" s="34"/>
      <c r="J405" s="18"/>
      <c r="N405" s="18"/>
      <c r="O405" s="1"/>
      <c r="P405" s="1"/>
      <c r="Q405" s="1"/>
      <c r="R405" s="18"/>
      <c r="S405" s="1"/>
      <c r="T405" s="1"/>
      <c r="U405" s="1"/>
      <c r="V405" s="1"/>
      <c r="Z405" s="18"/>
      <c r="AD405" s="18"/>
      <c r="AH405" s="18"/>
      <c r="AL405" s="18"/>
      <c r="AM405" s="22"/>
      <c r="AN405" s="22"/>
      <c r="AO405" s="22"/>
      <c r="AP405" s="22"/>
      <c r="AQ405" s="22"/>
      <c r="AR405" s="22"/>
      <c r="AS405" s="22"/>
      <c r="AT405" s="22"/>
    </row>
    <row r="406" spans="7:46" ht="13">
      <c r="G406" s="34"/>
      <c r="J406" s="18"/>
      <c r="N406" s="18"/>
      <c r="O406" s="1"/>
      <c r="P406" s="1"/>
      <c r="Q406" s="1"/>
      <c r="R406" s="18"/>
      <c r="S406" s="1"/>
      <c r="T406" s="1"/>
      <c r="U406" s="1"/>
      <c r="V406" s="1"/>
      <c r="Z406" s="18"/>
      <c r="AD406" s="18"/>
      <c r="AH406" s="18"/>
      <c r="AL406" s="18"/>
      <c r="AM406" s="22"/>
      <c r="AN406" s="22"/>
      <c r="AO406" s="22"/>
      <c r="AP406" s="22"/>
      <c r="AQ406" s="22"/>
      <c r="AR406" s="22"/>
      <c r="AS406" s="22"/>
      <c r="AT406" s="22"/>
    </row>
    <row r="407" spans="7:46" ht="13">
      <c r="G407" s="34"/>
      <c r="J407" s="18"/>
      <c r="N407" s="18"/>
      <c r="O407" s="1"/>
      <c r="P407" s="1"/>
      <c r="Q407" s="1"/>
      <c r="R407" s="18"/>
      <c r="S407" s="1"/>
      <c r="T407" s="1"/>
      <c r="U407" s="1"/>
      <c r="V407" s="1"/>
      <c r="Z407" s="18"/>
      <c r="AD407" s="18"/>
      <c r="AH407" s="18"/>
      <c r="AL407" s="18"/>
      <c r="AM407" s="22"/>
      <c r="AN407" s="22"/>
      <c r="AO407" s="22"/>
      <c r="AP407" s="22"/>
      <c r="AQ407" s="22"/>
      <c r="AR407" s="22"/>
      <c r="AS407" s="22"/>
      <c r="AT407" s="22"/>
    </row>
    <row r="408" spans="7:46" ht="13">
      <c r="G408" s="34"/>
      <c r="J408" s="18"/>
      <c r="N408" s="18"/>
      <c r="O408" s="1"/>
      <c r="P408" s="1"/>
      <c r="Q408" s="1"/>
      <c r="R408" s="18"/>
      <c r="S408" s="1"/>
      <c r="T408" s="1"/>
      <c r="U408" s="1"/>
      <c r="V408" s="1"/>
      <c r="Z408" s="18"/>
      <c r="AD408" s="18"/>
      <c r="AH408" s="18"/>
      <c r="AL408" s="18"/>
      <c r="AM408" s="22"/>
      <c r="AN408" s="22"/>
      <c r="AO408" s="22"/>
      <c r="AP408" s="22"/>
      <c r="AQ408" s="22"/>
      <c r="AR408" s="22"/>
      <c r="AS408" s="22"/>
      <c r="AT408" s="22"/>
    </row>
    <row r="409" spans="7:46" ht="13">
      <c r="G409" s="34"/>
      <c r="J409" s="18"/>
      <c r="N409" s="18"/>
      <c r="O409" s="1"/>
      <c r="P409" s="1"/>
      <c r="Q409" s="1"/>
      <c r="R409" s="18"/>
      <c r="S409" s="1"/>
      <c r="T409" s="1"/>
      <c r="U409" s="1"/>
      <c r="V409" s="1"/>
      <c r="Z409" s="18"/>
      <c r="AD409" s="18"/>
      <c r="AH409" s="18"/>
      <c r="AL409" s="18"/>
      <c r="AM409" s="22"/>
      <c r="AN409" s="22"/>
      <c r="AO409" s="22"/>
      <c r="AP409" s="22"/>
      <c r="AQ409" s="22"/>
      <c r="AR409" s="22"/>
      <c r="AS409" s="22"/>
      <c r="AT409" s="22"/>
    </row>
    <row r="410" spans="7:46" ht="13">
      <c r="G410" s="34"/>
      <c r="J410" s="18"/>
      <c r="N410" s="18"/>
      <c r="O410" s="1"/>
      <c r="P410" s="1"/>
      <c r="Q410" s="1"/>
      <c r="R410" s="18"/>
      <c r="S410" s="1"/>
      <c r="T410" s="1"/>
      <c r="U410" s="1"/>
      <c r="V410" s="1"/>
      <c r="Z410" s="18"/>
      <c r="AD410" s="18"/>
      <c r="AH410" s="18"/>
      <c r="AL410" s="18"/>
      <c r="AM410" s="22"/>
      <c r="AN410" s="22"/>
      <c r="AO410" s="22"/>
      <c r="AP410" s="22"/>
      <c r="AQ410" s="22"/>
      <c r="AR410" s="22"/>
      <c r="AS410" s="22"/>
      <c r="AT410" s="22"/>
    </row>
    <row r="411" spans="7:46" ht="13">
      <c r="G411" s="34"/>
      <c r="J411" s="18"/>
      <c r="N411" s="18"/>
      <c r="O411" s="1"/>
      <c r="P411" s="1"/>
      <c r="Q411" s="1"/>
      <c r="R411" s="18"/>
      <c r="S411" s="1"/>
      <c r="T411" s="1"/>
      <c r="U411" s="1"/>
      <c r="V411" s="1"/>
      <c r="Z411" s="18"/>
      <c r="AD411" s="18"/>
      <c r="AH411" s="18"/>
      <c r="AL411" s="18"/>
      <c r="AM411" s="22"/>
      <c r="AN411" s="22"/>
      <c r="AO411" s="22"/>
      <c r="AP411" s="22"/>
      <c r="AQ411" s="22"/>
      <c r="AR411" s="22"/>
      <c r="AS411" s="22"/>
      <c r="AT411" s="22"/>
    </row>
    <row r="412" spans="7:46" ht="13">
      <c r="G412" s="34"/>
      <c r="J412" s="18"/>
      <c r="N412" s="18"/>
      <c r="O412" s="1"/>
      <c r="P412" s="1"/>
      <c r="Q412" s="1"/>
      <c r="R412" s="18"/>
      <c r="S412" s="1"/>
      <c r="T412" s="1"/>
      <c r="U412" s="1"/>
      <c r="V412" s="1"/>
      <c r="Z412" s="18"/>
      <c r="AD412" s="18"/>
      <c r="AH412" s="18"/>
      <c r="AL412" s="18"/>
      <c r="AM412" s="22"/>
      <c r="AN412" s="22"/>
      <c r="AO412" s="22"/>
      <c r="AP412" s="22"/>
      <c r="AQ412" s="22"/>
      <c r="AR412" s="22"/>
      <c r="AS412" s="22"/>
      <c r="AT412" s="22"/>
    </row>
    <row r="413" spans="7:46" ht="13">
      <c r="G413" s="34"/>
      <c r="J413" s="18"/>
      <c r="N413" s="18"/>
      <c r="O413" s="1"/>
      <c r="P413" s="1"/>
      <c r="Q413" s="1"/>
      <c r="R413" s="18"/>
      <c r="S413" s="1"/>
      <c r="T413" s="1"/>
      <c r="U413" s="1"/>
      <c r="V413" s="1"/>
      <c r="Z413" s="18"/>
      <c r="AD413" s="18"/>
      <c r="AH413" s="18"/>
      <c r="AL413" s="18"/>
      <c r="AM413" s="22"/>
      <c r="AN413" s="22"/>
      <c r="AO413" s="22"/>
      <c r="AP413" s="22"/>
      <c r="AQ413" s="22"/>
      <c r="AR413" s="22"/>
      <c r="AS413" s="22"/>
      <c r="AT413" s="22"/>
    </row>
    <row r="414" spans="7:46" ht="13">
      <c r="G414" s="34"/>
      <c r="J414" s="18"/>
      <c r="N414" s="18"/>
      <c r="O414" s="1"/>
      <c r="P414" s="1"/>
      <c r="Q414" s="1"/>
      <c r="R414" s="18"/>
      <c r="S414" s="1"/>
      <c r="T414" s="1"/>
      <c r="U414" s="1"/>
      <c r="V414" s="1"/>
      <c r="Z414" s="18"/>
      <c r="AD414" s="18"/>
      <c r="AH414" s="18"/>
      <c r="AL414" s="18"/>
      <c r="AM414" s="22"/>
      <c r="AN414" s="22"/>
      <c r="AO414" s="22"/>
      <c r="AP414" s="22"/>
      <c r="AQ414" s="22"/>
      <c r="AR414" s="22"/>
      <c r="AS414" s="22"/>
      <c r="AT414" s="22"/>
    </row>
    <row r="415" spans="7:46" ht="13">
      <c r="G415" s="34"/>
      <c r="J415" s="18"/>
      <c r="N415" s="18"/>
      <c r="O415" s="1"/>
      <c r="P415" s="1"/>
      <c r="Q415" s="1"/>
      <c r="R415" s="18"/>
      <c r="S415" s="1"/>
      <c r="T415" s="1"/>
      <c r="U415" s="1"/>
      <c r="V415" s="1"/>
      <c r="Z415" s="18"/>
      <c r="AD415" s="18"/>
      <c r="AH415" s="18"/>
      <c r="AL415" s="18"/>
      <c r="AM415" s="22"/>
      <c r="AN415" s="22"/>
      <c r="AO415" s="22"/>
      <c r="AP415" s="22"/>
      <c r="AQ415" s="22"/>
      <c r="AR415" s="22"/>
      <c r="AS415" s="22"/>
      <c r="AT415" s="22"/>
    </row>
    <row r="416" spans="7:46" ht="13">
      <c r="G416" s="34"/>
      <c r="J416" s="18"/>
      <c r="N416" s="18"/>
      <c r="O416" s="1"/>
      <c r="P416" s="1"/>
      <c r="Q416" s="1"/>
      <c r="R416" s="18"/>
      <c r="S416" s="1"/>
      <c r="T416" s="1"/>
      <c r="U416" s="1"/>
      <c r="V416" s="1"/>
      <c r="Z416" s="18"/>
      <c r="AD416" s="18"/>
      <c r="AH416" s="18"/>
      <c r="AL416" s="18"/>
      <c r="AM416" s="22"/>
      <c r="AN416" s="22"/>
      <c r="AO416" s="22"/>
      <c r="AP416" s="22"/>
      <c r="AQ416" s="22"/>
      <c r="AR416" s="22"/>
      <c r="AS416" s="22"/>
      <c r="AT416" s="22"/>
    </row>
    <row r="417" spans="7:46" ht="13">
      <c r="G417" s="34"/>
      <c r="J417" s="18"/>
      <c r="N417" s="18"/>
      <c r="O417" s="1"/>
      <c r="P417" s="1"/>
      <c r="Q417" s="1"/>
      <c r="R417" s="18"/>
      <c r="S417" s="1"/>
      <c r="T417" s="1"/>
      <c r="U417" s="1"/>
      <c r="V417" s="1"/>
      <c r="Z417" s="18"/>
      <c r="AD417" s="18"/>
      <c r="AH417" s="18"/>
      <c r="AL417" s="18"/>
      <c r="AM417" s="22"/>
      <c r="AN417" s="22"/>
      <c r="AO417" s="22"/>
      <c r="AP417" s="22"/>
      <c r="AQ417" s="22"/>
      <c r="AR417" s="22"/>
      <c r="AS417" s="22"/>
      <c r="AT417" s="22"/>
    </row>
    <row r="418" spans="7:46" ht="13">
      <c r="G418" s="34"/>
      <c r="J418" s="18"/>
      <c r="N418" s="18"/>
      <c r="O418" s="1"/>
      <c r="P418" s="1"/>
      <c r="Q418" s="1"/>
      <c r="R418" s="18"/>
      <c r="S418" s="1"/>
      <c r="T418" s="1"/>
      <c r="U418" s="1"/>
      <c r="V418" s="1"/>
      <c r="Z418" s="18"/>
      <c r="AD418" s="18"/>
      <c r="AH418" s="18"/>
      <c r="AL418" s="18"/>
      <c r="AM418" s="22"/>
      <c r="AN418" s="22"/>
      <c r="AO418" s="22"/>
      <c r="AP418" s="22"/>
      <c r="AQ418" s="22"/>
      <c r="AR418" s="22"/>
      <c r="AS418" s="22"/>
      <c r="AT418" s="22"/>
    </row>
    <row r="419" spans="7:46" ht="13">
      <c r="G419" s="34"/>
      <c r="J419" s="18"/>
      <c r="N419" s="18"/>
      <c r="O419" s="1"/>
      <c r="P419" s="1"/>
      <c r="Q419" s="1"/>
      <c r="R419" s="18"/>
      <c r="S419" s="1"/>
      <c r="T419" s="1"/>
      <c r="U419" s="1"/>
      <c r="V419" s="1"/>
      <c r="Z419" s="18"/>
      <c r="AD419" s="18"/>
      <c r="AH419" s="18"/>
      <c r="AL419" s="18"/>
      <c r="AM419" s="22"/>
      <c r="AN419" s="22"/>
      <c r="AO419" s="22"/>
      <c r="AP419" s="22"/>
      <c r="AQ419" s="22"/>
      <c r="AR419" s="22"/>
      <c r="AS419" s="22"/>
      <c r="AT419" s="22"/>
    </row>
    <row r="420" spans="7:46" ht="13">
      <c r="G420" s="34"/>
      <c r="J420" s="18"/>
      <c r="N420" s="18"/>
      <c r="O420" s="1"/>
      <c r="P420" s="1"/>
      <c r="Q420" s="1"/>
      <c r="R420" s="18"/>
      <c r="S420" s="1"/>
      <c r="T420" s="1"/>
      <c r="U420" s="1"/>
      <c r="V420" s="1"/>
      <c r="Z420" s="18"/>
      <c r="AD420" s="18"/>
      <c r="AH420" s="18"/>
      <c r="AL420" s="18"/>
      <c r="AM420" s="22"/>
      <c r="AN420" s="22"/>
      <c r="AO420" s="22"/>
      <c r="AP420" s="22"/>
      <c r="AQ420" s="22"/>
      <c r="AR420" s="22"/>
      <c r="AS420" s="22"/>
      <c r="AT420" s="22"/>
    </row>
    <row r="421" spans="7:46" ht="13">
      <c r="G421" s="34"/>
      <c r="J421" s="18"/>
      <c r="N421" s="18"/>
      <c r="O421" s="1"/>
      <c r="P421" s="1"/>
      <c r="Q421" s="1"/>
      <c r="R421" s="18"/>
      <c r="S421" s="1"/>
      <c r="T421" s="1"/>
      <c r="U421" s="1"/>
      <c r="V421" s="1"/>
      <c r="Z421" s="18"/>
      <c r="AD421" s="18"/>
      <c r="AH421" s="18"/>
      <c r="AL421" s="18"/>
      <c r="AM421" s="22"/>
      <c r="AN421" s="22"/>
      <c r="AO421" s="22"/>
      <c r="AP421" s="22"/>
      <c r="AQ421" s="22"/>
      <c r="AR421" s="22"/>
      <c r="AS421" s="22"/>
      <c r="AT421" s="22"/>
    </row>
    <row r="422" spans="7:46" ht="13">
      <c r="G422" s="34"/>
      <c r="J422" s="18"/>
      <c r="N422" s="18"/>
      <c r="O422" s="1"/>
      <c r="P422" s="1"/>
      <c r="Q422" s="1"/>
      <c r="R422" s="18"/>
      <c r="S422" s="1"/>
      <c r="T422" s="1"/>
      <c r="U422" s="1"/>
      <c r="V422" s="1"/>
      <c r="Z422" s="18"/>
      <c r="AD422" s="18"/>
      <c r="AH422" s="18"/>
      <c r="AL422" s="18"/>
      <c r="AM422" s="22"/>
      <c r="AN422" s="22"/>
      <c r="AO422" s="22"/>
      <c r="AP422" s="22"/>
      <c r="AQ422" s="22"/>
      <c r="AR422" s="22"/>
      <c r="AS422" s="22"/>
      <c r="AT422" s="22"/>
    </row>
    <row r="423" spans="7:46" ht="13">
      <c r="G423" s="34"/>
      <c r="J423" s="18"/>
      <c r="N423" s="18"/>
      <c r="O423" s="1"/>
      <c r="P423" s="1"/>
      <c r="Q423" s="1"/>
      <c r="R423" s="18"/>
      <c r="S423" s="1"/>
      <c r="T423" s="1"/>
      <c r="U423" s="1"/>
      <c r="V423" s="1"/>
      <c r="Z423" s="18"/>
      <c r="AD423" s="18"/>
      <c r="AH423" s="18"/>
      <c r="AL423" s="18"/>
      <c r="AM423" s="22"/>
      <c r="AN423" s="22"/>
      <c r="AO423" s="22"/>
      <c r="AP423" s="22"/>
      <c r="AQ423" s="22"/>
      <c r="AR423" s="22"/>
      <c r="AS423" s="22"/>
      <c r="AT423" s="22"/>
    </row>
    <row r="424" spans="7:46" ht="13">
      <c r="G424" s="34"/>
      <c r="J424" s="18"/>
      <c r="N424" s="18"/>
      <c r="O424" s="1"/>
      <c r="P424" s="1"/>
      <c r="Q424" s="1"/>
      <c r="R424" s="18"/>
      <c r="S424" s="1"/>
      <c r="T424" s="1"/>
      <c r="U424" s="1"/>
      <c r="V424" s="1"/>
      <c r="Z424" s="18"/>
      <c r="AD424" s="18"/>
      <c r="AH424" s="18"/>
      <c r="AL424" s="18"/>
      <c r="AM424" s="22"/>
      <c r="AN424" s="22"/>
      <c r="AO424" s="22"/>
      <c r="AP424" s="22"/>
      <c r="AQ424" s="22"/>
      <c r="AR424" s="22"/>
      <c r="AS424" s="22"/>
      <c r="AT424" s="22"/>
    </row>
    <row r="425" spans="7:46" ht="13">
      <c r="G425" s="34"/>
      <c r="J425" s="18"/>
      <c r="N425" s="18"/>
      <c r="O425" s="1"/>
      <c r="P425" s="1"/>
      <c r="Q425" s="1"/>
      <c r="R425" s="18"/>
      <c r="S425" s="1"/>
      <c r="T425" s="1"/>
      <c r="U425" s="1"/>
      <c r="V425" s="1"/>
      <c r="Z425" s="18"/>
      <c r="AD425" s="18"/>
      <c r="AH425" s="18"/>
      <c r="AL425" s="18"/>
      <c r="AM425" s="22"/>
      <c r="AN425" s="22"/>
      <c r="AO425" s="22"/>
      <c r="AP425" s="22"/>
      <c r="AQ425" s="22"/>
      <c r="AR425" s="22"/>
      <c r="AS425" s="22"/>
      <c r="AT425" s="22"/>
    </row>
    <row r="426" spans="7:46" ht="13">
      <c r="G426" s="34"/>
      <c r="J426" s="18"/>
      <c r="N426" s="18"/>
      <c r="O426" s="1"/>
      <c r="P426" s="1"/>
      <c r="Q426" s="1"/>
      <c r="R426" s="18"/>
      <c r="S426" s="1"/>
      <c r="T426" s="1"/>
      <c r="U426" s="1"/>
      <c r="V426" s="1"/>
      <c r="Z426" s="18"/>
      <c r="AD426" s="18"/>
      <c r="AH426" s="18"/>
      <c r="AL426" s="18"/>
      <c r="AM426" s="22"/>
      <c r="AN426" s="22"/>
      <c r="AO426" s="22"/>
      <c r="AP426" s="22"/>
      <c r="AQ426" s="22"/>
      <c r="AR426" s="22"/>
      <c r="AS426" s="22"/>
      <c r="AT426" s="22"/>
    </row>
    <row r="427" spans="7:46" ht="13">
      <c r="G427" s="34"/>
      <c r="J427" s="18"/>
      <c r="N427" s="18"/>
      <c r="O427" s="1"/>
      <c r="P427" s="1"/>
      <c r="Q427" s="1"/>
      <c r="R427" s="18"/>
      <c r="S427" s="1"/>
      <c r="T427" s="1"/>
      <c r="U427" s="1"/>
      <c r="V427" s="1"/>
      <c r="Z427" s="18"/>
      <c r="AD427" s="18"/>
      <c r="AH427" s="18"/>
      <c r="AL427" s="18"/>
      <c r="AM427" s="22"/>
      <c r="AN427" s="22"/>
      <c r="AO427" s="22"/>
      <c r="AP427" s="22"/>
      <c r="AQ427" s="22"/>
      <c r="AR427" s="22"/>
      <c r="AS427" s="22"/>
      <c r="AT427" s="22"/>
    </row>
    <row r="428" spans="7:46" ht="13">
      <c r="G428" s="34"/>
      <c r="J428" s="18"/>
      <c r="N428" s="18"/>
      <c r="O428" s="1"/>
      <c r="P428" s="1"/>
      <c r="Q428" s="1"/>
      <c r="R428" s="18"/>
      <c r="S428" s="1"/>
      <c r="T428" s="1"/>
      <c r="U428" s="1"/>
      <c r="V428" s="1"/>
      <c r="Z428" s="18"/>
      <c r="AD428" s="18"/>
      <c r="AH428" s="18"/>
      <c r="AL428" s="18"/>
      <c r="AM428" s="22"/>
      <c r="AN428" s="22"/>
      <c r="AO428" s="22"/>
      <c r="AP428" s="22"/>
      <c r="AQ428" s="22"/>
      <c r="AR428" s="22"/>
      <c r="AS428" s="22"/>
      <c r="AT428" s="22"/>
    </row>
    <row r="429" spans="7:46" ht="13">
      <c r="G429" s="34"/>
      <c r="J429" s="18"/>
      <c r="N429" s="18"/>
      <c r="O429" s="1"/>
      <c r="P429" s="1"/>
      <c r="Q429" s="1"/>
      <c r="R429" s="18"/>
      <c r="S429" s="1"/>
      <c r="T429" s="1"/>
      <c r="U429" s="1"/>
      <c r="V429" s="1"/>
      <c r="Z429" s="18"/>
      <c r="AD429" s="18"/>
      <c r="AH429" s="18"/>
      <c r="AL429" s="18"/>
      <c r="AM429" s="22"/>
      <c r="AN429" s="22"/>
      <c r="AO429" s="22"/>
      <c r="AP429" s="22"/>
      <c r="AQ429" s="22"/>
      <c r="AR429" s="22"/>
      <c r="AS429" s="22"/>
      <c r="AT429" s="22"/>
    </row>
    <row r="430" spans="7:46" ht="13">
      <c r="G430" s="34"/>
      <c r="J430" s="18"/>
      <c r="N430" s="18"/>
      <c r="O430" s="1"/>
      <c r="P430" s="1"/>
      <c r="Q430" s="1"/>
      <c r="R430" s="18"/>
      <c r="S430" s="1"/>
      <c r="T430" s="1"/>
      <c r="U430" s="1"/>
      <c r="V430" s="1"/>
      <c r="Z430" s="18"/>
      <c r="AD430" s="18"/>
      <c r="AH430" s="18"/>
      <c r="AL430" s="18"/>
      <c r="AM430" s="22"/>
      <c r="AN430" s="22"/>
      <c r="AO430" s="22"/>
      <c r="AP430" s="22"/>
      <c r="AQ430" s="22"/>
      <c r="AR430" s="22"/>
      <c r="AS430" s="22"/>
      <c r="AT430" s="22"/>
    </row>
    <row r="431" spans="7:46" ht="13">
      <c r="G431" s="34"/>
      <c r="J431" s="18"/>
      <c r="N431" s="18"/>
      <c r="O431" s="1"/>
      <c r="P431" s="1"/>
      <c r="Q431" s="1"/>
      <c r="R431" s="18"/>
      <c r="S431" s="1"/>
      <c r="T431" s="1"/>
      <c r="U431" s="1"/>
      <c r="V431" s="1"/>
      <c r="Z431" s="18"/>
      <c r="AD431" s="18"/>
      <c r="AH431" s="18"/>
      <c r="AL431" s="18"/>
      <c r="AM431" s="22"/>
      <c r="AN431" s="22"/>
      <c r="AO431" s="22"/>
      <c r="AP431" s="22"/>
      <c r="AQ431" s="22"/>
      <c r="AR431" s="22"/>
      <c r="AS431" s="22"/>
      <c r="AT431" s="22"/>
    </row>
    <row r="432" spans="7:46" ht="13">
      <c r="G432" s="34"/>
      <c r="J432" s="18"/>
      <c r="N432" s="18"/>
      <c r="O432" s="1"/>
      <c r="P432" s="1"/>
      <c r="Q432" s="1"/>
      <c r="R432" s="18"/>
      <c r="S432" s="1"/>
      <c r="T432" s="1"/>
      <c r="U432" s="1"/>
      <c r="V432" s="1"/>
      <c r="Z432" s="18"/>
      <c r="AD432" s="18"/>
      <c r="AH432" s="18"/>
      <c r="AL432" s="18"/>
      <c r="AM432" s="22"/>
      <c r="AN432" s="22"/>
      <c r="AO432" s="22"/>
      <c r="AP432" s="22"/>
      <c r="AQ432" s="22"/>
      <c r="AR432" s="22"/>
      <c r="AS432" s="22"/>
      <c r="AT432" s="22"/>
    </row>
    <row r="433" spans="7:46" ht="13">
      <c r="G433" s="34"/>
      <c r="J433" s="18"/>
      <c r="N433" s="18"/>
      <c r="O433" s="1"/>
      <c r="P433" s="1"/>
      <c r="Q433" s="1"/>
      <c r="R433" s="18"/>
      <c r="S433" s="1"/>
      <c r="T433" s="1"/>
      <c r="U433" s="1"/>
      <c r="V433" s="1"/>
      <c r="Z433" s="18"/>
      <c r="AD433" s="18"/>
      <c r="AH433" s="18"/>
      <c r="AL433" s="18"/>
      <c r="AM433" s="22"/>
      <c r="AN433" s="22"/>
      <c r="AO433" s="22"/>
      <c r="AP433" s="22"/>
      <c r="AQ433" s="22"/>
      <c r="AR433" s="22"/>
      <c r="AS433" s="22"/>
      <c r="AT433" s="22"/>
    </row>
    <row r="434" spans="7:46" ht="13">
      <c r="G434" s="34"/>
      <c r="J434" s="18"/>
      <c r="N434" s="18"/>
      <c r="O434" s="1"/>
      <c r="P434" s="1"/>
      <c r="Q434" s="1"/>
      <c r="R434" s="18"/>
      <c r="S434" s="1"/>
      <c r="T434" s="1"/>
      <c r="U434" s="1"/>
      <c r="V434" s="1"/>
      <c r="Z434" s="18"/>
      <c r="AD434" s="18"/>
      <c r="AH434" s="18"/>
      <c r="AL434" s="18"/>
      <c r="AM434" s="22"/>
      <c r="AN434" s="22"/>
      <c r="AO434" s="22"/>
      <c r="AP434" s="22"/>
      <c r="AQ434" s="22"/>
      <c r="AR434" s="22"/>
      <c r="AS434" s="22"/>
      <c r="AT434" s="22"/>
    </row>
    <row r="435" spans="7:46" ht="13">
      <c r="G435" s="34"/>
      <c r="J435" s="18"/>
      <c r="N435" s="18"/>
      <c r="O435" s="1"/>
      <c r="P435" s="1"/>
      <c r="Q435" s="1"/>
      <c r="R435" s="18"/>
      <c r="S435" s="1"/>
      <c r="T435" s="1"/>
      <c r="U435" s="1"/>
      <c r="V435" s="1"/>
      <c r="Z435" s="18"/>
      <c r="AD435" s="18"/>
      <c r="AH435" s="18"/>
      <c r="AL435" s="18"/>
      <c r="AM435" s="22"/>
      <c r="AN435" s="22"/>
      <c r="AO435" s="22"/>
      <c r="AP435" s="22"/>
      <c r="AQ435" s="22"/>
      <c r="AR435" s="22"/>
      <c r="AS435" s="22"/>
      <c r="AT435" s="22"/>
    </row>
    <row r="436" spans="7:46" ht="13">
      <c r="G436" s="34"/>
      <c r="J436" s="18"/>
      <c r="N436" s="18"/>
      <c r="O436" s="1"/>
      <c r="P436" s="1"/>
      <c r="Q436" s="1"/>
      <c r="R436" s="18"/>
      <c r="S436" s="1"/>
      <c r="T436" s="1"/>
      <c r="U436" s="1"/>
      <c r="V436" s="1"/>
      <c r="Z436" s="18"/>
      <c r="AD436" s="18"/>
      <c r="AH436" s="18"/>
      <c r="AL436" s="18"/>
      <c r="AM436" s="22"/>
      <c r="AN436" s="22"/>
      <c r="AO436" s="22"/>
      <c r="AP436" s="22"/>
      <c r="AQ436" s="22"/>
      <c r="AR436" s="22"/>
      <c r="AS436" s="22"/>
      <c r="AT436" s="22"/>
    </row>
    <row r="437" spans="7:46" ht="13">
      <c r="G437" s="34"/>
      <c r="J437" s="18"/>
      <c r="N437" s="18"/>
      <c r="O437" s="1"/>
      <c r="P437" s="1"/>
      <c r="Q437" s="1"/>
      <c r="R437" s="18"/>
      <c r="S437" s="1"/>
      <c r="T437" s="1"/>
      <c r="U437" s="1"/>
      <c r="V437" s="1"/>
      <c r="Z437" s="18"/>
      <c r="AD437" s="18"/>
      <c r="AH437" s="18"/>
      <c r="AL437" s="18"/>
      <c r="AM437" s="22"/>
      <c r="AN437" s="22"/>
      <c r="AO437" s="22"/>
      <c r="AP437" s="22"/>
      <c r="AQ437" s="22"/>
      <c r="AR437" s="22"/>
      <c r="AS437" s="22"/>
      <c r="AT437" s="22"/>
    </row>
    <row r="438" spans="7:46" ht="13">
      <c r="G438" s="34"/>
      <c r="J438" s="18"/>
      <c r="N438" s="18"/>
      <c r="O438" s="1"/>
      <c r="P438" s="1"/>
      <c r="Q438" s="1"/>
      <c r="R438" s="18"/>
      <c r="S438" s="1"/>
      <c r="T438" s="1"/>
      <c r="U438" s="1"/>
      <c r="V438" s="1"/>
      <c r="Z438" s="18"/>
      <c r="AD438" s="18"/>
      <c r="AH438" s="18"/>
      <c r="AL438" s="18"/>
      <c r="AM438" s="22"/>
      <c r="AN438" s="22"/>
      <c r="AO438" s="22"/>
      <c r="AP438" s="22"/>
      <c r="AQ438" s="22"/>
      <c r="AR438" s="22"/>
      <c r="AS438" s="22"/>
      <c r="AT438" s="22"/>
    </row>
    <row r="439" spans="7:46" ht="13">
      <c r="G439" s="34"/>
      <c r="J439" s="18"/>
      <c r="N439" s="18"/>
      <c r="O439" s="1"/>
      <c r="P439" s="1"/>
      <c r="Q439" s="1"/>
      <c r="R439" s="18"/>
      <c r="S439" s="1"/>
      <c r="T439" s="1"/>
      <c r="U439" s="1"/>
      <c r="V439" s="1"/>
      <c r="Z439" s="18"/>
      <c r="AD439" s="18"/>
      <c r="AH439" s="18"/>
      <c r="AL439" s="18"/>
      <c r="AM439" s="22"/>
      <c r="AN439" s="22"/>
      <c r="AO439" s="22"/>
      <c r="AP439" s="22"/>
      <c r="AQ439" s="22"/>
      <c r="AR439" s="22"/>
      <c r="AS439" s="22"/>
      <c r="AT439" s="22"/>
    </row>
    <row r="440" spans="7:46" ht="13">
      <c r="G440" s="34"/>
      <c r="J440" s="18"/>
      <c r="N440" s="18"/>
      <c r="O440" s="1"/>
      <c r="P440" s="1"/>
      <c r="Q440" s="1"/>
      <c r="R440" s="18"/>
      <c r="S440" s="1"/>
      <c r="T440" s="1"/>
      <c r="U440" s="1"/>
      <c r="V440" s="1"/>
      <c r="Z440" s="18"/>
      <c r="AD440" s="18"/>
      <c r="AH440" s="18"/>
      <c r="AL440" s="18"/>
      <c r="AM440" s="22"/>
      <c r="AN440" s="22"/>
      <c r="AO440" s="22"/>
      <c r="AP440" s="22"/>
      <c r="AQ440" s="22"/>
      <c r="AR440" s="22"/>
      <c r="AS440" s="22"/>
      <c r="AT440" s="22"/>
    </row>
    <row r="441" spans="7:46" ht="13">
      <c r="G441" s="34"/>
      <c r="J441" s="18"/>
      <c r="N441" s="18"/>
      <c r="O441" s="1"/>
      <c r="P441" s="1"/>
      <c r="Q441" s="1"/>
      <c r="R441" s="18"/>
      <c r="S441" s="1"/>
      <c r="T441" s="1"/>
      <c r="U441" s="1"/>
      <c r="V441" s="1"/>
      <c r="Z441" s="18"/>
      <c r="AD441" s="18"/>
      <c r="AH441" s="18"/>
      <c r="AL441" s="18"/>
      <c r="AM441" s="22"/>
      <c r="AN441" s="22"/>
      <c r="AO441" s="22"/>
      <c r="AP441" s="22"/>
      <c r="AQ441" s="22"/>
      <c r="AR441" s="22"/>
      <c r="AS441" s="22"/>
      <c r="AT441" s="22"/>
    </row>
    <row r="442" spans="7:46" ht="13">
      <c r="G442" s="34"/>
      <c r="J442" s="18"/>
      <c r="N442" s="18"/>
      <c r="O442" s="1"/>
      <c r="P442" s="1"/>
      <c r="Q442" s="1"/>
      <c r="R442" s="18"/>
      <c r="S442" s="1"/>
      <c r="T442" s="1"/>
      <c r="U442" s="1"/>
      <c r="V442" s="1"/>
      <c r="Z442" s="18"/>
      <c r="AD442" s="18"/>
      <c r="AH442" s="18"/>
      <c r="AL442" s="18"/>
      <c r="AM442" s="22"/>
      <c r="AN442" s="22"/>
      <c r="AO442" s="22"/>
      <c r="AP442" s="22"/>
      <c r="AQ442" s="22"/>
      <c r="AR442" s="22"/>
      <c r="AS442" s="22"/>
      <c r="AT442" s="22"/>
    </row>
    <row r="443" spans="7:46" ht="13">
      <c r="G443" s="34"/>
      <c r="J443" s="18"/>
      <c r="N443" s="18"/>
      <c r="O443" s="1"/>
      <c r="P443" s="1"/>
      <c r="Q443" s="1"/>
      <c r="R443" s="18"/>
      <c r="S443" s="1"/>
      <c r="T443" s="1"/>
      <c r="U443" s="1"/>
      <c r="V443" s="1"/>
      <c r="Z443" s="18"/>
      <c r="AD443" s="18"/>
      <c r="AH443" s="18"/>
      <c r="AL443" s="18"/>
      <c r="AM443" s="22"/>
      <c r="AN443" s="22"/>
      <c r="AO443" s="22"/>
      <c r="AP443" s="22"/>
      <c r="AQ443" s="22"/>
      <c r="AR443" s="22"/>
      <c r="AS443" s="22"/>
      <c r="AT443" s="22"/>
    </row>
    <row r="444" spans="7:46" ht="13">
      <c r="G444" s="34"/>
      <c r="J444" s="18"/>
      <c r="N444" s="18"/>
      <c r="O444" s="1"/>
      <c r="P444" s="1"/>
      <c r="Q444" s="1"/>
      <c r="R444" s="18"/>
      <c r="S444" s="1"/>
      <c r="T444" s="1"/>
      <c r="U444" s="1"/>
      <c r="V444" s="1"/>
      <c r="Z444" s="18"/>
      <c r="AD444" s="18"/>
      <c r="AH444" s="18"/>
      <c r="AL444" s="18"/>
      <c r="AM444" s="22"/>
      <c r="AN444" s="22"/>
      <c r="AO444" s="22"/>
      <c r="AP444" s="22"/>
      <c r="AQ444" s="22"/>
      <c r="AR444" s="22"/>
      <c r="AS444" s="22"/>
      <c r="AT444" s="22"/>
    </row>
    <row r="445" spans="7:46" ht="13">
      <c r="G445" s="34"/>
      <c r="J445" s="18"/>
      <c r="N445" s="18"/>
      <c r="O445" s="1"/>
      <c r="P445" s="1"/>
      <c r="Q445" s="1"/>
      <c r="R445" s="18"/>
      <c r="S445" s="1"/>
      <c r="T445" s="1"/>
      <c r="U445" s="1"/>
      <c r="V445" s="1"/>
      <c r="Z445" s="18"/>
      <c r="AD445" s="18"/>
      <c r="AH445" s="18"/>
      <c r="AL445" s="18"/>
      <c r="AM445" s="22"/>
      <c r="AN445" s="22"/>
      <c r="AO445" s="22"/>
      <c r="AP445" s="22"/>
      <c r="AQ445" s="22"/>
      <c r="AR445" s="22"/>
      <c r="AS445" s="22"/>
      <c r="AT445" s="22"/>
    </row>
    <row r="446" spans="7:46" ht="13">
      <c r="G446" s="34"/>
      <c r="J446" s="18"/>
      <c r="N446" s="18"/>
      <c r="O446" s="1"/>
      <c r="P446" s="1"/>
      <c r="Q446" s="1"/>
      <c r="R446" s="18"/>
      <c r="S446" s="1"/>
      <c r="T446" s="1"/>
      <c r="U446" s="1"/>
      <c r="V446" s="1"/>
      <c r="Z446" s="18"/>
      <c r="AD446" s="18"/>
      <c r="AH446" s="18"/>
      <c r="AL446" s="18"/>
      <c r="AM446" s="22"/>
      <c r="AN446" s="22"/>
      <c r="AO446" s="22"/>
      <c r="AP446" s="22"/>
      <c r="AQ446" s="22"/>
      <c r="AR446" s="22"/>
      <c r="AS446" s="22"/>
      <c r="AT446" s="22"/>
    </row>
    <row r="447" spans="7:46" ht="13">
      <c r="G447" s="34"/>
      <c r="J447" s="18"/>
      <c r="N447" s="18"/>
      <c r="O447" s="1"/>
      <c r="P447" s="1"/>
      <c r="Q447" s="1"/>
      <c r="R447" s="18"/>
      <c r="S447" s="1"/>
      <c r="T447" s="1"/>
      <c r="U447" s="1"/>
      <c r="V447" s="1"/>
      <c r="Z447" s="18"/>
      <c r="AD447" s="18"/>
      <c r="AH447" s="18"/>
      <c r="AL447" s="18"/>
      <c r="AM447" s="22"/>
      <c r="AN447" s="22"/>
      <c r="AO447" s="22"/>
      <c r="AP447" s="22"/>
      <c r="AQ447" s="22"/>
      <c r="AR447" s="22"/>
      <c r="AS447" s="22"/>
      <c r="AT447" s="22"/>
    </row>
    <row r="448" spans="7:46" ht="13">
      <c r="G448" s="34"/>
      <c r="J448" s="18"/>
      <c r="N448" s="18"/>
      <c r="O448" s="1"/>
      <c r="P448" s="1"/>
      <c r="Q448" s="1"/>
      <c r="R448" s="18"/>
      <c r="S448" s="1"/>
      <c r="T448" s="1"/>
      <c r="U448" s="1"/>
      <c r="V448" s="1"/>
      <c r="Z448" s="18"/>
      <c r="AD448" s="18"/>
      <c r="AH448" s="18"/>
      <c r="AL448" s="18"/>
      <c r="AM448" s="22"/>
      <c r="AN448" s="22"/>
      <c r="AO448" s="22"/>
      <c r="AP448" s="22"/>
      <c r="AQ448" s="22"/>
      <c r="AR448" s="22"/>
      <c r="AS448" s="22"/>
      <c r="AT448" s="22"/>
    </row>
    <row r="449" spans="7:46" ht="13">
      <c r="G449" s="34"/>
      <c r="J449" s="18"/>
      <c r="N449" s="18"/>
      <c r="O449" s="1"/>
      <c r="P449" s="1"/>
      <c r="Q449" s="1"/>
      <c r="R449" s="18"/>
      <c r="S449" s="1"/>
      <c r="T449" s="1"/>
      <c r="U449" s="1"/>
      <c r="V449" s="1"/>
      <c r="Z449" s="18"/>
      <c r="AD449" s="18"/>
      <c r="AH449" s="18"/>
      <c r="AL449" s="18"/>
      <c r="AM449" s="22"/>
      <c r="AN449" s="22"/>
      <c r="AO449" s="22"/>
      <c r="AP449" s="22"/>
      <c r="AQ449" s="22"/>
      <c r="AR449" s="22"/>
      <c r="AS449" s="22"/>
      <c r="AT449" s="22"/>
    </row>
    <row r="450" spans="7:46" ht="13">
      <c r="G450" s="34"/>
      <c r="J450" s="18"/>
      <c r="N450" s="18"/>
      <c r="O450" s="1"/>
      <c r="P450" s="1"/>
      <c r="Q450" s="1"/>
      <c r="R450" s="18"/>
      <c r="S450" s="1"/>
      <c r="T450" s="1"/>
      <c r="U450" s="1"/>
      <c r="V450" s="1"/>
      <c r="Z450" s="18"/>
      <c r="AD450" s="18"/>
      <c r="AH450" s="18"/>
      <c r="AL450" s="18"/>
      <c r="AM450" s="22"/>
      <c r="AN450" s="22"/>
      <c r="AO450" s="22"/>
      <c r="AP450" s="22"/>
      <c r="AQ450" s="22"/>
      <c r="AR450" s="22"/>
      <c r="AS450" s="22"/>
      <c r="AT450" s="22"/>
    </row>
    <row r="451" spans="7:46" ht="13">
      <c r="G451" s="34"/>
      <c r="J451" s="18"/>
      <c r="N451" s="18"/>
      <c r="O451" s="1"/>
      <c r="P451" s="1"/>
      <c r="Q451" s="1"/>
      <c r="R451" s="18"/>
      <c r="S451" s="1"/>
      <c r="T451" s="1"/>
      <c r="U451" s="1"/>
      <c r="V451" s="1"/>
      <c r="Z451" s="18"/>
      <c r="AD451" s="18"/>
      <c r="AH451" s="18"/>
      <c r="AL451" s="18"/>
      <c r="AM451" s="22"/>
      <c r="AN451" s="22"/>
      <c r="AO451" s="22"/>
      <c r="AP451" s="22"/>
      <c r="AQ451" s="22"/>
      <c r="AR451" s="22"/>
      <c r="AS451" s="22"/>
      <c r="AT451" s="22"/>
    </row>
    <row r="452" spans="7:46" ht="13">
      <c r="G452" s="34"/>
      <c r="J452" s="18"/>
      <c r="N452" s="18"/>
      <c r="O452" s="1"/>
      <c r="P452" s="1"/>
      <c r="Q452" s="1"/>
      <c r="R452" s="18"/>
      <c r="S452" s="1"/>
      <c r="T452" s="1"/>
      <c r="U452" s="1"/>
      <c r="V452" s="1"/>
      <c r="Z452" s="18"/>
      <c r="AD452" s="18"/>
      <c r="AH452" s="18"/>
      <c r="AL452" s="18"/>
      <c r="AM452" s="22"/>
      <c r="AN452" s="22"/>
      <c r="AO452" s="22"/>
      <c r="AP452" s="22"/>
      <c r="AQ452" s="22"/>
      <c r="AR452" s="22"/>
      <c r="AS452" s="22"/>
      <c r="AT452" s="22"/>
    </row>
    <row r="453" spans="7:46" ht="13">
      <c r="G453" s="34"/>
      <c r="J453" s="18"/>
      <c r="N453" s="18"/>
      <c r="O453" s="1"/>
      <c r="P453" s="1"/>
      <c r="Q453" s="1"/>
      <c r="R453" s="18"/>
      <c r="S453" s="1"/>
      <c r="T453" s="1"/>
      <c r="U453" s="1"/>
      <c r="V453" s="1"/>
      <c r="Z453" s="18"/>
      <c r="AD453" s="18"/>
      <c r="AH453" s="18"/>
      <c r="AL453" s="18"/>
      <c r="AM453" s="22"/>
      <c r="AN453" s="22"/>
      <c r="AO453" s="22"/>
      <c r="AP453" s="22"/>
      <c r="AQ453" s="22"/>
      <c r="AR453" s="22"/>
      <c r="AS453" s="22"/>
      <c r="AT453" s="22"/>
    </row>
    <row r="454" spans="7:46" ht="13">
      <c r="G454" s="34"/>
      <c r="J454" s="18"/>
      <c r="N454" s="18"/>
      <c r="O454" s="1"/>
      <c r="P454" s="1"/>
      <c r="Q454" s="1"/>
      <c r="R454" s="18"/>
      <c r="S454" s="1"/>
      <c r="T454" s="1"/>
      <c r="U454" s="1"/>
      <c r="V454" s="1"/>
      <c r="Z454" s="18"/>
      <c r="AD454" s="18"/>
      <c r="AH454" s="18"/>
      <c r="AL454" s="18"/>
      <c r="AM454" s="22"/>
      <c r="AN454" s="22"/>
      <c r="AO454" s="22"/>
      <c r="AP454" s="22"/>
      <c r="AQ454" s="22"/>
      <c r="AR454" s="22"/>
      <c r="AS454" s="22"/>
      <c r="AT454" s="22"/>
    </row>
    <row r="455" spans="7:46" ht="13">
      <c r="G455" s="34"/>
      <c r="J455" s="18"/>
      <c r="N455" s="18"/>
      <c r="O455" s="1"/>
      <c r="P455" s="1"/>
      <c r="Q455" s="1"/>
      <c r="R455" s="18"/>
      <c r="S455" s="1"/>
      <c r="T455" s="1"/>
      <c r="U455" s="1"/>
      <c r="V455" s="1"/>
      <c r="Z455" s="18"/>
      <c r="AD455" s="18"/>
      <c r="AH455" s="18"/>
      <c r="AL455" s="18"/>
      <c r="AM455" s="22"/>
      <c r="AN455" s="22"/>
      <c r="AO455" s="22"/>
      <c r="AP455" s="22"/>
      <c r="AQ455" s="22"/>
      <c r="AR455" s="22"/>
      <c r="AS455" s="22"/>
      <c r="AT455" s="22"/>
    </row>
    <row r="456" spans="7:46" ht="13">
      <c r="G456" s="34"/>
      <c r="J456" s="18"/>
      <c r="N456" s="18"/>
      <c r="O456" s="1"/>
      <c r="P456" s="1"/>
      <c r="Q456" s="1"/>
      <c r="R456" s="18"/>
      <c r="S456" s="1"/>
      <c r="T456" s="1"/>
      <c r="U456" s="1"/>
      <c r="V456" s="1"/>
      <c r="Z456" s="18"/>
      <c r="AD456" s="18"/>
      <c r="AH456" s="18"/>
      <c r="AL456" s="18"/>
      <c r="AM456" s="22"/>
      <c r="AN456" s="22"/>
      <c r="AO456" s="22"/>
      <c r="AP456" s="22"/>
      <c r="AQ456" s="22"/>
      <c r="AR456" s="22"/>
      <c r="AS456" s="22"/>
      <c r="AT456" s="22"/>
    </row>
    <row r="457" spans="7:46" ht="13">
      <c r="G457" s="34"/>
      <c r="J457" s="18"/>
      <c r="N457" s="18"/>
      <c r="O457" s="1"/>
      <c r="P457" s="1"/>
      <c r="Q457" s="1"/>
      <c r="R457" s="18"/>
      <c r="S457" s="1"/>
      <c r="T457" s="1"/>
      <c r="U457" s="1"/>
      <c r="V457" s="1"/>
      <c r="Z457" s="18"/>
      <c r="AD457" s="18"/>
      <c r="AH457" s="18"/>
      <c r="AL457" s="18"/>
      <c r="AM457" s="22"/>
      <c r="AN457" s="22"/>
      <c r="AO457" s="22"/>
      <c r="AP457" s="22"/>
      <c r="AQ457" s="22"/>
      <c r="AR457" s="22"/>
      <c r="AS457" s="22"/>
      <c r="AT457" s="22"/>
    </row>
    <row r="458" spans="7:46" ht="13">
      <c r="G458" s="34"/>
      <c r="J458" s="18"/>
      <c r="N458" s="18"/>
      <c r="O458" s="1"/>
      <c r="P458" s="1"/>
      <c r="Q458" s="1"/>
      <c r="R458" s="18"/>
      <c r="S458" s="1"/>
      <c r="T458" s="1"/>
      <c r="U458" s="1"/>
      <c r="V458" s="1"/>
      <c r="Z458" s="18"/>
      <c r="AD458" s="18"/>
      <c r="AH458" s="18"/>
      <c r="AL458" s="18"/>
      <c r="AM458" s="22"/>
      <c r="AN458" s="22"/>
      <c r="AO458" s="22"/>
      <c r="AP458" s="22"/>
      <c r="AQ458" s="22"/>
      <c r="AR458" s="22"/>
      <c r="AS458" s="22"/>
      <c r="AT458" s="22"/>
    </row>
    <row r="459" spans="7:46" ht="13">
      <c r="G459" s="34"/>
      <c r="J459" s="18"/>
      <c r="N459" s="18"/>
      <c r="O459" s="1"/>
      <c r="P459" s="1"/>
      <c r="Q459" s="1"/>
      <c r="R459" s="18"/>
      <c r="S459" s="1"/>
      <c r="T459" s="1"/>
      <c r="U459" s="1"/>
      <c r="V459" s="1"/>
      <c r="Z459" s="18"/>
      <c r="AD459" s="18"/>
      <c r="AH459" s="18"/>
      <c r="AL459" s="18"/>
      <c r="AM459" s="22"/>
      <c r="AN459" s="22"/>
      <c r="AO459" s="22"/>
      <c r="AP459" s="22"/>
      <c r="AQ459" s="22"/>
      <c r="AR459" s="22"/>
      <c r="AS459" s="22"/>
      <c r="AT459" s="22"/>
    </row>
    <row r="460" spans="7:46" ht="13">
      <c r="G460" s="34"/>
      <c r="J460" s="18"/>
      <c r="N460" s="18"/>
      <c r="O460" s="1"/>
      <c r="P460" s="1"/>
      <c r="Q460" s="1"/>
      <c r="R460" s="18"/>
      <c r="S460" s="1"/>
      <c r="T460" s="1"/>
      <c r="U460" s="1"/>
      <c r="V460" s="1"/>
      <c r="Z460" s="18"/>
      <c r="AD460" s="18"/>
      <c r="AH460" s="18"/>
      <c r="AL460" s="18"/>
      <c r="AM460" s="22"/>
      <c r="AN460" s="22"/>
      <c r="AO460" s="22"/>
      <c r="AP460" s="22"/>
      <c r="AQ460" s="22"/>
      <c r="AR460" s="22"/>
      <c r="AS460" s="22"/>
      <c r="AT460" s="22"/>
    </row>
    <row r="461" spans="7:46" ht="13">
      <c r="G461" s="34"/>
      <c r="J461" s="18"/>
      <c r="N461" s="18"/>
      <c r="O461" s="1"/>
      <c r="P461" s="1"/>
      <c r="Q461" s="1"/>
      <c r="R461" s="18"/>
      <c r="S461" s="1"/>
      <c r="T461" s="1"/>
      <c r="U461" s="1"/>
      <c r="V461" s="1"/>
      <c r="Z461" s="18"/>
      <c r="AD461" s="18"/>
      <c r="AH461" s="18"/>
      <c r="AL461" s="18"/>
      <c r="AM461" s="22"/>
      <c r="AN461" s="22"/>
      <c r="AO461" s="22"/>
      <c r="AP461" s="22"/>
      <c r="AQ461" s="22"/>
      <c r="AR461" s="22"/>
      <c r="AS461" s="22"/>
      <c r="AT461" s="22"/>
    </row>
    <row r="462" spans="7:46" ht="13">
      <c r="G462" s="34"/>
      <c r="J462" s="18"/>
      <c r="N462" s="18"/>
      <c r="O462" s="1"/>
      <c r="P462" s="1"/>
      <c r="Q462" s="1"/>
      <c r="R462" s="18"/>
      <c r="S462" s="1"/>
      <c r="T462" s="1"/>
      <c r="U462" s="1"/>
      <c r="V462" s="1"/>
      <c r="Z462" s="18"/>
      <c r="AD462" s="18"/>
      <c r="AH462" s="18"/>
      <c r="AL462" s="18"/>
      <c r="AM462" s="22"/>
      <c r="AN462" s="22"/>
      <c r="AO462" s="22"/>
      <c r="AP462" s="22"/>
      <c r="AQ462" s="22"/>
      <c r="AR462" s="22"/>
      <c r="AS462" s="22"/>
      <c r="AT462" s="22"/>
    </row>
    <row r="463" spans="7:46" ht="13">
      <c r="G463" s="34"/>
      <c r="J463" s="18"/>
      <c r="N463" s="18"/>
      <c r="O463" s="1"/>
      <c r="P463" s="1"/>
      <c r="Q463" s="1"/>
      <c r="R463" s="18"/>
      <c r="S463" s="1"/>
      <c r="T463" s="1"/>
      <c r="U463" s="1"/>
      <c r="V463" s="1"/>
      <c r="Z463" s="18"/>
      <c r="AD463" s="18"/>
      <c r="AH463" s="18"/>
      <c r="AL463" s="18"/>
      <c r="AM463" s="22"/>
      <c r="AN463" s="22"/>
      <c r="AO463" s="22"/>
      <c r="AP463" s="22"/>
      <c r="AQ463" s="22"/>
      <c r="AR463" s="22"/>
      <c r="AS463" s="22"/>
      <c r="AT463" s="22"/>
    </row>
    <row r="464" spans="7:46" ht="13">
      <c r="G464" s="34"/>
      <c r="J464" s="18"/>
      <c r="N464" s="18"/>
      <c r="O464" s="1"/>
      <c r="P464" s="1"/>
      <c r="Q464" s="1"/>
      <c r="R464" s="18"/>
      <c r="S464" s="1"/>
      <c r="T464" s="1"/>
      <c r="U464" s="1"/>
      <c r="V464" s="1"/>
      <c r="Z464" s="18"/>
      <c r="AD464" s="18"/>
      <c r="AH464" s="18"/>
      <c r="AL464" s="18"/>
      <c r="AM464" s="22"/>
      <c r="AN464" s="22"/>
      <c r="AO464" s="22"/>
      <c r="AP464" s="22"/>
      <c r="AQ464" s="22"/>
      <c r="AR464" s="22"/>
      <c r="AS464" s="22"/>
      <c r="AT464" s="22"/>
    </row>
    <row r="465" spans="7:46" ht="13">
      <c r="G465" s="34"/>
      <c r="J465" s="18"/>
      <c r="N465" s="18"/>
      <c r="O465" s="1"/>
      <c r="P465" s="1"/>
      <c r="Q465" s="1"/>
      <c r="R465" s="18"/>
      <c r="S465" s="1"/>
      <c r="T465" s="1"/>
      <c r="U465" s="1"/>
      <c r="V465" s="1"/>
      <c r="Z465" s="18"/>
      <c r="AD465" s="18"/>
      <c r="AH465" s="18"/>
      <c r="AL465" s="18"/>
      <c r="AM465" s="22"/>
      <c r="AN465" s="22"/>
      <c r="AO465" s="22"/>
      <c r="AP465" s="22"/>
      <c r="AQ465" s="22"/>
      <c r="AR465" s="22"/>
      <c r="AS465" s="22"/>
      <c r="AT465" s="22"/>
    </row>
    <row r="466" spans="7:46" ht="13">
      <c r="G466" s="34"/>
      <c r="J466" s="18"/>
      <c r="N466" s="18"/>
      <c r="O466" s="1"/>
      <c r="P466" s="1"/>
      <c r="Q466" s="1"/>
      <c r="R466" s="18"/>
      <c r="S466" s="1"/>
      <c r="T466" s="1"/>
      <c r="U466" s="1"/>
      <c r="V466" s="1"/>
      <c r="Z466" s="18"/>
      <c r="AD466" s="18"/>
      <c r="AH466" s="18"/>
      <c r="AL466" s="18"/>
      <c r="AM466" s="22"/>
      <c r="AN466" s="22"/>
      <c r="AO466" s="22"/>
      <c r="AP466" s="22"/>
      <c r="AQ466" s="22"/>
      <c r="AR466" s="22"/>
      <c r="AS466" s="22"/>
      <c r="AT466" s="22"/>
    </row>
    <row r="467" spans="7:46" ht="13">
      <c r="G467" s="34"/>
      <c r="J467" s="18"/>
      <c r="N467" s="18"/>
      <c r="O467" s="1"/>
      <c r="P467" s="1"/>
      <c r="Q467" s="1"/>
      <c r="R467" s="18"/>
      <c r="S467" s="1"/>
      <c r="T467" s="1"/>
      <c r="U467" s="1"/>
      <c r="V467" s="1"/>
      <c r="Z467" s="18"/>
      <c r="AD467" s="18"/>
      <c r="AH467" s="18"/>
      <c r="AL467" s="18"/>
      <c r="AM467" s="22"/>
      <c r="AN467" s="22"/>
      <c r="AO467" s="22"/>
      <c r="AP467" s="22"/>
      <c r="AQ467" s="22"/>
      <c r="AR467" s="22"/>
      <c r="AS467" s="22"/>
      <c r="AT467" s="22"/>
    </row>
    <row r="468" spans="7:46" ht="13">
      <c r="G468" s="34"/>
      <c r="J468" s="18"/>
      <c r="N468" s="18"/>
      <c r="O468" s="1"/>
      <c r="P468" s="1"/>
      <c r="Q468" s="1"/>
      <c r="R468" s="18"/>
      <c r="S468" s="1"/>
      <c r="T468" s="1"/>
      <c r="U468" s="1"/>
      <c r="V468" s="1"/>
      <c r="Z468" s="18"/>
      <c r="AD468" s="18"/>
      <c r="AH468" s="18"/>
      <c r="AL468" s="18"/>
      <c r="AM468" s="22"/>
      <c r="AN468" s="22"/>
      <c r="AO468" s="22"/>
      <c r="AP468" s="22"/>
      <c r="AQ468" s="22"/>
      <c r="AR468" s="22"/>
      <c r="AS468" s="22"/>
      <c r="AT468" s="22"/>
    </row>
    <row r="469" spans="7:46" ht="13">
      <c r="G469" s="34"/>
      <c r="J469" s="18"/>
      <c r="N469" s="18"/>
      <c r="O469" s="1"/>
      <c r="P469" s="1"/>
      <c r="Q469" s="1"/>
      <c r="R469" s="18"/>
      <c r="S469" s="1"/>
      <c r="T469" s="1"/>
      <c r="U469" s="1"/>
      <c r="V469" s="1"/>
      <c r="Z469" s="18"/>
      <c r="AD469" s="18"/>
      <c r="AH469" s="18"/>
      <c r="AL469" s="18"/>
      <c r="AM469" s="22"/>
      <c r="AN469" s="22"/>
      <c r="AO469" s="22"/>
      <c r="AP469" s="22"/>
      <c r="AQ469" s="22"/>
      <c r="AR469" s="22"/>
      <c r="AS469" s="22"/>
      <c r="AT469" s="22"/>
    </row>
    <row r="470" spans="7:46" ht="13">
      <c r="G470" s="34"/>
      <c r="J470" s="18"/>
      <c r="N470" s="18"/>
      <c r="O470" s="1"/>
      <c r="P470" s="1"/>
      <c r="Q470" s="1"/>
      <c r="R470" s="18"/>
      <c r="S470" s="1"/>
      <c r="T470" s="1"/>
      <c r="U470" s="1"/>
      <c r="V470" s="1"/>
      <c r="Z470" s="18"/>
      <c r="AD470" s="18"/>
      <c r="AH470" s="18"/>
      <c r="AL470" s="18"/>
      <c r="AM470" s="22"/>
      <c r="AN470" s="22"/>
      <c r="AO470" s="22"/>
      <c r="AP470" s="22"/>
      <c r="AQ470" s="22"/>
      <c r="AR470" s="22"/>
      <c r="AS470" s="22"/>
      <c r="AT470" s="22"/>
    </row>
    <row r="471" spans="7:46" ht="13">
      <c r="G471" s="34"/>
      <c r="J471" s="18"/>
      <c r="N471" s="18"/>
      <c r="O471" s="1"/>
      <c r="P471" s="1"/>
      <c r="Q471" s="1"/>
      <c r="R471" s="18"/>
      <c r="S471" s="1"/>
      <c r="T471" s="1"/>
      <c r="U471" s="1"/>
      <c r="V471" s="1"/>
      <c r="Z471" s="18"/>
      <c r="AD471" s="18"/>
      <c r="AH471" s="18"/>
      <c r="AL471" s="18"/>
      <c r="AM471" s="22"/>
      <c r="AN471" s="22"/>
      <c r="AO471" s="22"/>
      <c r="AP471" s="22"/>
      <c r="AQ471" s="22"/>
      <c r="AR471" s="22"/>
      <c r="AS471" s="22"/>
      <c r="AT471" s="22"/>
    </row>
    <row r="472" spans="7:46" ht="13">
      <c r="G472" s="34"/>
      <c r="J472" s="18"/>
      <c r="N472" s="18"/>
      <c r="O472" s="1"/>
      <c r="P472" s="1"/>
      <c r="Q472" s="1"/>
      <c r="R472" s="18"/>
      <c r="S472" s="1"/>
      <c r="T472" s="1"/>
      <c r="U472" s="1"/>
      <c r="V472" s="1"/>
      <c r="Z472" s="18"/>
      <c r="AD472" s="18"/>
      <c r="AH472" s="18"/>
      <c r="AL472" s="18"/>
      <c r="AM472" s="22"/>
      <c r="AN472" s="22"/>
      <c r="AO472" s="22"/>
      <c r="AP472" s="22"/>
      <c r="AQ472" s="22"/>
      <c r="AR472" s="22"/>
      <c r="AS472" s="22"/>
      <c r="AT472" s="22"/>
    </row>
    <row r="473" spans="7:46" ht="13">
      <c r="G473" s="34"/>
      <c r="J473" s="18"/>
      <c r="N473" s="18"/>
      <c r="O473" s="1"/>
      <c r="P473" s="1"/>
      <c r="Q473" s="1"/>
      <c r="R473" s="18"/>
      <c r="S473" s="1"/>
      <c r="T473" s="1"/>
      <c r="U473" s="1"/>
      <c r="V473" s="1"/>
      <c r="Z473" s="18"/>
      <c r="AD473" s="18"/>
      <c r="AH473" s="18"/>
      <c r="AL473" s="18"/>
      <c r="AM473" s="22"/>
      <c r="AN473" s="22"/>
      <c r="AO473" s="22"/>
      <c r="AP473" s="22"/>
      <c r="AQ473" s="22"/>
      <c r="AR473" s="22"/>
      <c r="AS473" s="22"/>
      <c r="AT473" s="22"/>
    </row>
    <row r="474" spans="7:46" ht="13">
      <c r="G474" s="34"/>
      <c r="J474" s="18"/>
      <c r="N474" s="18"/>
      <c r="O474" s="1"/>
      <c r="P474" s="1"/>
      <c r="Q474" s="1"/>
      <c r="R474" s="18"/>
      <c r="S474" s="1"/>
      <c r="T474" s="1"/>
      <c r="U474" s="1"/>
      <c r="V474" s="1"/>
      <c r="Z474" s="18"/>
      <c r="AD474" s="18"/>
      <c r="AH474" s="18"/>
      <c r="AL474" s="18"/>
      <c r="AM474" s="22"/>
      <c r="AN474" s="22"/>
      <c r="AO474" s="22"/>
      <c r="AP474" s="22"/>
      <c r="AQ474" s="22"/>
      <c r="AR474" s="22"/>
      <c r="AS474" s="22"/>
      <c r="AT474" s="22"/>
    </row>
    <row r="475" spans="7:46" ht="13">
      <c r="G475" s="34"/>
      <c r="J475" s="18"/>
      <c r="N475" s="18"/>
      <c r="O475" s="1"/>
      <c r="P475" s="1"/>
      <c r="Q475" s="1"/>
      <c r="R475" s="18"/>
      <c r="S475" s="1"/>
      <c r="T475" s="1"/>
      <c r="U475" s="1"/>
      <c r="V475" s="1"/>
      <c r="Z475" s="18"/>
      <c r="AD475" s="18"/>
      <c r="AH475" s="18"/>
      <c r="AL475" s="18"/>
      <c r="AM475" s="22"/>
      <c r="AN475" s="22"/>
      <c r="AO475" s="22"/>
      <c r="AP475" s="22"/>
      <c r="AQ475" s="22"/>
      <c r="AR475" s="22"/>
      <c r="AS475" s="22"/>
      <c r="AT475" s="22"/>
    </row>
    <row r="476" spans="7:46" ht="13">
      <c r="G476" s="34"/>
      <c r="J476" s="18"/>
      <c r="N476" s="18"/>
      <c r="O476" s="1"/>
      <c r="P476" s="1"/>
      <c r="Q476" s="1"/>
      <c r="R476" s="18"/>
      <c r="S476" s="1"/>
      <c r="T476" s="1"/>
      <c r="U476" s="1"/>
      <c r="V476" s="1"/>
      <c r="Z476" s="18"/>
      <c r="AD476" s="18"/>
      <c r="AH476" s="18"/>
      <c r="AL476" s="18"/>
      <c r="AM476" s="22"/>
      <c r="AN476" s="22"/>
      <c r="AO476" s="22"/>
      <c r="AP476" s="22"/>
      <c r="AQ476" s="22"/>
      <c r="AR476" s="22"/>
      <c r="AS476" s="22"/>
      <c r="AT476" s="22"/>
    </row>
    <row r="477" spans="7:46" ht="13">
      <c r="G477" s="34"/>
      <c r="J477" s="18"/>
      <c r="N477" s="18"/>
      <c r="O477" s="1"/>
      <c r="P477" s="1"/>
      <c r="Q477" s="1"/>
      <c r="R477" s="18"/>
      <c r="S477" s="1"/>
      <c r="T477" s="1"/>
      <c r="U477" s="1"/>
      <c r="V477" s="1"/>
      <c r="Z477" s="18"/>
      <c r="AD477" s="18"/>
      <c r="AH477" s="18"/>
      <c r="AL477" s="18"/>
      <c r="AM477" s="22"/>
      <c r="AN477" s="22"/>
      <c r="AO477" s="22"/>
      <c r="AP477" s="22"/>
      <c r="AQ477" s="22"/>
      <c r="AR477" s="22"/>
      <c r="AS477" s="22"/>
      <c r="AT477" s="22"/>
    </row>
    <row r="478" spans="7:46" ht="13">
      <c r="G478" s="34"/>
      <c r="J478" s="18"/>
      <c r="N478" s="18"/>
      <c r="O478" s="1"/>
      <c r="P478" s="1"/>
      <c r="Q478" s="1"/>
      <c r="R478" s="18"/>
      <c r="S478" s="1"/>
      <c r="T478" s="1"/>
      <c r="U478" s="1"/>
      <c r="V478" s="1"/>
      <c r="Z478" s="18"/>
      <c r="AD478" s="18"/>
      <c r="AH478" s="18"/>
      <c r="AL478" s="18"/>
      <c r="AM478" s="22"/>
      <c r="AN478" s="22"/>
      <c r="AO478" s="22"/>
      <c r="AP478" s="22"/>
      <c r="AQ478" s="22"/>
      <c r="AR478" s="22"/>
      <c r="AS478" s="22"/>
      <c r="AT478" s="22"/>
    </row>
    <row r="479" spans="7:46" ht="13">
      <c r="G479" s="34"/>
      <c r="J479" s="18"/>
      <c r="N479" s="18"/>
      <c r="O479" s="1"/>
      <c r="P479" s="1"/>
      <c r="Q479" s="1"/>
      <c r="R479" s="18"/>
      <c r="S479" s="1"/>
      <c r="T479" s="1"/>
      <c r="U479" s="1"/>
      <c r="V479" s="1"/>
      <c r="Z479" s="18"/>
      <c r="AD479" s="18"/>
      <c r="AH479" s="18"/>
      <c r="AL479" s="18"/>
      <c r="AM479" s="22"/>
      <c r="AN479" s="22"/>
      <c r="AO479" s="22"/>
      <c r="AP479" s="22"/>
      <c r="AQ479" s="22"/>
      <c r="AR479" s="22"/>
      <c r="AS479" s="22"/>
      <c r="AT479" s="22"/>
    </row>
    <row r="480" spans="7:46" ht="13">
      <c r="G480" s="34"/>
      <c r="J480" s="18"/>
      <c r="N480" s="18"/>
      <c r="O480" s="1"/>
      <c r="P480" s="1"/>
      <c r="Q480" s="1"/>
      <c r="R480" s="18"/>
      <c r="S480" s="1"/>
      <c r="T480" s="1"/>
      <c r="U480" s="1"/>
      <c r="V480" s="1"/>
      <c r="Z480" s="18"/>
      <c r="AD480" s="18"/>
      <c r="AH480" s="18"/>
      <c r="AL480" s="18"/>
      <c r="AM480" s="22"/>
      <c r="AN480" s="22"/>
      <c r="AO480" s="22"/>
      <c r="AP480" s="22"/>
      <c r="AQ480" s="22"/>
      <c r="AR480" s="22"/>
      <c r="AS480" s="22"/>
      <c r="AT480" s="22"/>
    </row>
    <row r="481" spans="7:46" ht="13">
      <c r="G481" s="34"/>
      <c r="J481" s="18"/>
      <c r="N481" s="18"/>
      <c r="O481" s="1"/>
      <c r="P481" s="1"/>
      <c r="Q481" s="1"/>
      <c r="R481" s="18"/>
      <c r="S481" s="1"/>
      <c r="T481" s="1"/>
      <c r="U481" s="1"/>
      <c r="V481" s="1"/>
      <c r="Z481" s="18"/>
      <c r="AD481" s="18"/>
      <c r="AH481" s="18"/>
      <c r="AL481" s="18"/>
      <c r="AM481" s="22"/>
      <c r="AN481" s="22"/>
      <c r="AO481" s="22"/>
      <c r="AP481" s="22"/>
      <c r="AQ481" s="22"/>
      <c r="AR481" s="22"/>
      <c r="AS481" s="22"/>
      <c r="AT481" s="22"/>
    </row>
    <row r="482" spans="7:46" ht="13">
      <c r="G482" s="34"/>
      <c r="J482" s="18"/>
      <c r="N482" s="18"/>
      <c r="O482" s="1"/>
      <c r="P482" s="1"/>
      <c r="Q482" s="1"/>
      <c r="R482" s="18"/>
      <c r="S482" s="1"/>
      <c r="T482" s="1"/>
      <c r="U482" s="1"/>
      <c r="V482" s="1"/>
      <c r="Z482" s="18"/>
      <c r="AD482" s="18"/>
      <c r="AH482" s="18"/>
      <c r="AL482" s="18"/>
      <c r="AM482" s="22"/>
      <c r="AN482" s="22"/>
      <c r="AO482" s="22"/>
      <c r="AP482" s="22"/>
      <c r="AQ482" s="22"/>
      <c r="AR482" s="22"/>
      <c r="AS482" s="22"/>
      <c r="AT482" s="22"/>
    </row>
    <row r="483" spans="7:46" ht="13">
      <c r="G483" s="34"/>
      <c r="J483" s="18"/>
      <c r="N483" s="18"/>
      <c r="O483" s="1"/>
      <c r="P483" s="1"/>
      <c r="Q483" s="1"/>
      <c r="R483" s="18"/>
      <c r="S483" s="1"/>
      <c r="T483" s="1"/>
      <c r="U483" s="1"/>
      <c r="V483" s="1"/>
      <c r="Z483" s="18"/>
      <c r="AD483" s="18"/>
      <c r="AH483" s="18"/>
      <c r="AL483" s="18"/>
      <c r="AM483" s="22"/>
      <c r="AN483" s="22"/>
      <c r="AO483" s="22"/>
      <c r="AP483" s="22"/>
      <c r="AQ483" s="22"/>
      <c r="AR483" s="22"/>
      <c r="AS483" s="22"/>
      <c r="AT483" s="22"/>
    </row>
    <row r="484" spans="7:46" ht="13">
      <c r="G484" s="34"/>
      <c r="J484" s="18"/>
      <c r="N484" s="18"/>
      <c r="O484" s="1"/>
      <c r="P484" s="1"/>
      <c r="Q484" s="1"/>
      <c r="R484" s="18"/>
      <c r="S484" s="1"/>
      <c r="T484" s="1"/>
      <c r="U484" s="1"/>
      <c r="V484" s="1"/>
      <c r="Z484" s="18"/>
      <c r="AD484" s="18"/>
      <c r="AH484" s="18"/>
      <c r="AL484" s="18"/>
      <c r="AM484" s="22"/>
      <c r="AN484" s="22"/>
      <c r="AO484" s="22"/>
      <c r="AP484" s="22"/>
      <c r="AQ484" s="22"/>
      <c r="AR484" s="22"/>
      <c r="AS484" s="22"/>
      <c r="AT484" s="22"/>
    </row>
    <row r="485" spans="7:46" ht="13">
      <c r="G485" s="34"/>
      <c r="J485" s="18"/>
      <c r="N485" s="18"/>
      <c r="O485" s="1"/>
      <c r="P485" s="1"/>
      <c r="Q485" s="1"/>
      <c r="R485" s="18"/>
      <c r="S485" s="1"/>
      <c r="T485" s="1"/>
      <c r="U485" s="1"/>
      <c r="V485" s="1"/>
      <c r="Z485" s="18"/>
      <c r="AD485" s="18"/>
      <c r="AH485" s="18"/>
      <c r="AL485" s="18"/>
      <c r="AM485" s="22"/>
      <c r="AN485" s="22"/>
      <c r="AO485" s="22"/>
      <c r="AP485" s="22"/>
      <c r="AQ485" s="22"/>
      <c r="AR485" s="22"/>
      <c r="AS485" s="22"/>
      <c r="AT485" s="22"/>
    </row>
    <row r="486" spans="7:46" ht="13">
      <c r="G486" s="34"/>
      <c r="J486" s="18"/>
      <c r="N486" s="18"/>
      <c r="O486" s="1"/>
      <c r="P486" s="1"/>
      <c r="Q486" s="1"/>
      <c r="R486" s="18"/>
      <c r="S486" s="1"/>
      <c r="T486" s="1"/>
      <c r="U486" s="1"/>
      <c r="V486" s="1"/>
      <c r="Z486" s="18"/>
      <c r="AD486" s="18"/>
      <c r="AH486" s="18"/>
      <c r="AL486" s="18"/>
      <c r="AM486" s="22"/>
      <c r="AN486" s="22"/>
      <c r="AO486" s="22"/>
      <c r="AP486" s="22"/>
      <c r="AQ486" s="22"/>
      <c r="AR486" s="22"/>
      <c r="AS486" s="22"/>
      <c r="AT486" s="22"/>
    </row>
    <row r="487" spans="7:46" ht="13">
      <c r="G487" s="34"/>
      <c r="J487" s="18"/>
      <c r="N487" s="18"/>
      <c r="O487" s="1"/>
      <c r="P487" s="1"/>
      <c r="Q487" s="1"/>
      <c r="R487" s="18"/>
      <c r="S487" s="1"/>
      <c r="T487" s="1"/>
      <c r="U487" s="1"/>
      <c r="V487" s="1"/>
      <c r="Z487" s="18"/>
      <c r="AD487" s="18"/>
      <c r="AH487" s="18"/>
      <c r="AL487" s="18"/>
      <c r="AM487" s="22"/>
      <c r="AN487" s="22"/>
      <c r="AO487" s="22"/>
      <c r="AP487" s="22"/>
      <c r="AQ487" s="22"/>
      <c r="AR487" s="22"/>
      <c r="AS487" s="22"/>
      <c r="AT487" s="22"/>
    </row>
    <row r="488" spans="7:46" ht="13">
      <c r="G488" s="34"/>
      <c r="J488" s="18"/>
      <c r="N488" s="18"/>
      <c r="O488" s="1"/>
      <c r="P488" s="1"/>
      <c r="Q488" s="1"/>
      <c r="R488" s="18"/>
      <c r="S488" s="1"/>
      <c r="T488" s="1"/>
      <c r="U488" s="1"/>
      <c r="V488" s="1"/>
      <c r="Z488" s="18"/>
      <c r="AD488" s="18"/>
      <c r="AH488" s="18"/>
      <c r="AL488" s="18"/>
      <c r="AM488" s="22"/>
      <c r="AN488" s="22"/>
      <c r="AO488" s="22"/>
      <c r="AP488" s="22"/>
      <c r="AQ488" s="22"/>
      <c r="AR488" s="22"/>
      <c r="AS488" s="22"/>
      <c r="AT488" s="22"/>
    </row>
    <row r="489" spans="7:46" ht="13">
      <c r="G489" s="34"/>
      <c r="J489" s="18"/>
      <c r="N489" s="18"/>
      <c r="O489" s="1"/>
      <c r="P489" s="1"/>
      <c r="Q489" s="1"/>
      <c r="R489" s="18"/>
      <c r="S489" s="1"/>
      <c r="T489" s="1"/>
      <c r="U489" s="1"/>
      <c r="V489" s="1"/>
      <c r="Z489" s="18"/>
      <c r="AD489" s="18"/>
      <c r="AH489" s="18"/>
      <c r="AL489" s="18"/>
      <c r="AM489" s="22"/>
      <c r="AN489" s="22"/>
      <c r="AO489" s="22"/>
      <c r="AP489" s="22"/>
      <c r="AQ489" s="22"/>
      <c r="AR489" s="22"/>
      <c r="AS489" s="22"/>
      <c r="AT489" s="22"/>
    </row>
    <row r="490" spans="7:46" ht="13">
      <c r="G490" s="34"/>
      <c r="J490" s="18"/>
      <c r="N490" s="18"/>
      <c r="O490" s="1"/>
      <c r="P490" s="1"/>
      <c r="Q490" s="1"/>
      <c r="R490" s="18"/>
      <c r="S490" s="1"/>
      <c r="T490" s="1"/>
      <c r="U490" s="1"/>
      <c r="V490" s="1"/>
      <c r="Z490" s="18"/>
      <c r="AD490" s="18"/>
      <c r="AH490" s="18"/>
      <c r="AL490" s="18"/>
      <c r="AM490" s="22"/>
      <c r="AN490" s="22"/>
      <c r="AO490" s="22"/>
      <c r="AP490" s="22"/>
      <c r="AQ490" s="22"/>
      <c r="AR490" s="22"/>
      <c r="AS490" s="22"/>
      <c r="AT490" s="22"/>
    </row>
    <row r="491" spans="7:46" ht="13">
      <c r="G491" s="34"/>
      <c r="J491" s="18"/>
      <c r="N491" s="18"/>
      <c r="O491" s="1"/>
      <c r="P491" s="1"/>
      <c r="Q491" s="1"/>
      <c r="R491" s="18"/>
      <c r="S491" s="1"/>
      <c r="T491" s="1"/>
      <c r="U491" s="1"/>
      <c r="V491" s="1"/>
      <c r="Z491" s="18"/>
      <c r="AD491" s="18"/>
      <c r="AH491" s="18"/>
      <c r="AL491" s="18"/>
      <c r="AM491" s="22"/>
      <c r="AN491" s="22"/>
      <c r="AO491" s="22"/>
      <c r="AP491" s="22"/>
      <c r="AQ491" s="22"/>
      <c r="AR491" s="22"/>
      <c r="AS491" s="22"/>
      <c r="AT491" s="22"/>
    </row>
    <row r="492" spans="7:46" ht="13">
      <c r="G492" s="34"/>
      <c r="J492" s="18"/>
      <c r="N492" s="18"/>
      <c r="O492" s="1"/>
      <c r="P492" s="1"/>
      <c r="Q492" s="1"/>
      <c r="R492" s="18"/>
      <c r="S492" s="1"/>
      <c r="T492" s="1"/>
      <c r="U492" s="1"/>
      <c r="V492" s="1"/>
      <c r="Z492" s="18"/>
      <c r="AD492" s="18"/>
      <c r="AH492" s="18"/>
      <c r="AL492" s="18"/>
      <c r="AM492" s="22"/>
      <c r="AN492" s="22"/>
      <c r="AO492" s="22"/>
      <c r="AP492" s="22"/>
      <c r="AQ492" s="22"/>
      <c r="AR492" s="22"/>
      <c r="AS492" s="22"/>
      <c r="AT492" s="22"/>
    </row>
    <row r="493" spans="7:46" ht="13">
      <c r="G493" s="34"/>
      <c r="J493" s="18"/>
      <c r="N493" s="18"/>
      <c r="O493" s="1"/>
      <c r="P493" s="1"/>
      <c r="Q493" s="1"/>
      <c r="R493" s="18"/>
      <c r="S493" s="1"/>
      <c r="T493" s="1"/>
      <c r="U493" s="1"/>
      <c r="V493" s="1"/>
      <c r="Z493" s="18"/>
      <c r="AD493" s="18"/>
      <c r="AH493" s="18"/>
      <c r="AL493" s="18"/>
      <c r="AM493" s="22"/>
      <c r="AN493" s="22"/>
      <c r="AO493" s="22"/>
      <c r="AP493" s="22"/>
      <c r="AQ493" s="22"/>
      <c r="AR493" s="22"/>
      <c r="AS493" s="22"/>
      <c r="AT493" s="22"/>
    </row>
    <row r="494" spans="7:46" ht="13">
      <c r="G494" s="34"/>
      <c r="J494" s="18"/>
      <c r="N494" s="18"/>
      <c r="O494" s="1"/>
      <c r="P494" s="1"/>
      <c r="Q494" s="1"/>
      <c r="R494" s="18"/>
      <c r="S494" s="1"/>
      <c r="T494" s="1"/>
      <c r="U494" s="1"/>
      <c r="V494" s="1"/>
      <c r="Z494" s="18"/>
      <c r="AD494" s="18"/>
      <c r="AH494" s="18"/>
      <c r="AL494" s="18"/>
      <c r="AM494" s="22"/>
      <c r="AN494" s="22"/>
      <c r="AO494" s="22"/>
      <c r="AP494" s="22"/>
      <c r="AQ494" s="22"/>
      <c r="AR494" s="22"/>
      <c r="AS494" s="22"/>
      <c r="AT494" s="22"/>
    </row>
    <row r="495" spans="7:46" ht="13">
      <c r="G495" s="34"/>
      <c r="J495" s="18"/>
      <c r="N495" s="18"/>
      <c r="O495" s="1"/>
      <c r="P495" s="1"/>
      <c r="Q495" s="1"/>
      <c r="R495" s="18"/>
      <c r="S495" s="1"/>
      <c r="T495" s="1"/>
      <c r="U495" s="1"/>
      <c r="V495" s="1"/>
      <c r="Z495" s="18"/>
      <c r="AD495" s="18"/>
      <c r="AH495" s="18"/>
      <c r="AL495" s="18"/>
      <c r="AM495" s="22"/>
      <c r="AN495" s="22"/>
      <c r="AO495" s="22"/>
      <c r="AP495" s="22"/>
      <c r="AQ495" s="22"/>
      <c r="AR495" s="22"/>
      <c r="AS495" s="22"/>
      <c r="AT495" s="22"/>
    </row>
    <row r="496" spans="7:46" ht="13">
      <c r="G496" s="34"/>
      <c r="J496" s="18"/>
      <c r="N496" s="18"/>
      <c r="O496" s="1"/>
      <c r="P496" s="1"/>
      <c r="Q496" s="1"/>
      <c r="R496" s="18"/>
      <c r="S496" s="1"/>
      <c r="T496" s="1"/>
      <c r="U496" s="1"/>
      <c r="V496" s="1"/>
      <c r="Z496" s="18"/>
      <c r="AD496" s="18"/>
      <c r="AH496" s="18"/>
      <c r="AL496" s="18"/>
      <c r="AM496" s="22"/>
      <c r="AN496" s="22"/>
      <c r="AO496" s="22"/>
      <c r="AP496" s="22"/>
      <c r="AQ496" s="22"/>
      <c r="AR496" s="22"/>
      <c r="AS496" s="22"/>
      <c r="AT496" s="22"/>
    </row>
    <row r="497" spans="7:46" ht="13">
      <c r="G497" s="34"/>
      <c r="J497" s="18"/>
      <c r="N497" s="18"/>
      <c r="O497" s="1"/>
      <c r="P497" s="1"/>
      <c r="Q497" s="1"/>
      <c r="R497" s="18"/>
      <c r="S497" s="1"/>
      <c r="T497" s="1"/>
      <c r="U497" s="1"/>
      <c r="V497" s="1"/>
      <c r="Z497" s="18"/>
      <c r="AD497" s="18"/>
      <c r="AH497" s="18"/>
      <c r="AL497" s="18"/>
      <c r="AM497" s="22"/>
      <c r="AN497" s="22"/>
      <c r="AO497" s="22"/>
      <c r="AP497" s="22"/>
      <c r="AQ497" s="22"/>
      <c r="AR497" s="22"/>
      <c r="AS497" s="22"/>
      <c r="AT497" s="22"/>
    </row>
    <row r="498" spans="7:46" ht="13">
      <c r="G498" s="34"/>
      <c r="J498" s="18"/>
      <c r="N498" s="18"/>
      <c r="O498" s="1"/>
      <c r="P498" s="1"/>
      <c r="Q498" s="1"/>
      <c r="R498" s="18"/>
      <c r="S498" s="1"/>
      <c r="T498" s="1"/>
      <c r="U498" s="1"/>
      <c r="V498" s="1"/>
      <c r="Z498" s="18"/>
      <c r="AD498" s="18"/>
      <c r="AH498" s="18"/>
      <c r="AL498" s="18"/>
      <c r="AM498" s="22"/>
      <c r="AN498" s="22"/>
      <c r="AO498" s="22"/>
      <c r="AP498" s="22"/>
      <c r="AQ498" s="22"/>
      <c r="AR498" s="22"/>
      <c r="AS498" s="22"/>
      <c r="AT498" s="22"/>
    </row>
    <row r="499" spans="7:46" ht="13">
      <c r="G499" s="34"/>
      <c r="J499" s="18"/>
      <c r="N499" s="18"/>
      <c r="O499" s="1"/>
      <c r="P499" s="1"/>
      <c r="Q499" s="1"/>
      <c r="R499" s="18"/>
      <c r="S499" s="1"/>
      <c r="T499" s="1"/>
      <c r="U499" s="1"/>
      <c r="V499" s="1"/>
      <c r="Z499" s="18"/>
      <c r="AD499" s="18"/>
      <c r="AH499" s="18"/>
      <c r="AL499" s="18"/>
      <c r="AM499" s="22"/>
      <c r="AN499" s="22"/>
      <c r="AO499" s="22"/>
      <c r="AP499" s="22"/>
      <c r="AQ499" s="22"/>
      <c r="AR499" s="22"/>
      <c r="AS499" s="22"/>
      <c r="AT499" s="22"/>
    </row>
    <row r="500" spans="7:46" ht="13">
      <c r="G500" s="34"/>
      <c r="J500" s="18"/>
      <c r="N500" s="18"/>
      <c r="O500" s="1"/>
      <c r="P500" s="1"/>
      <c r="Q500" s="1"/>
      <c r="R500" s="18"/>
      <c r="S500" s="1"/>
      <c r="T500" s="1"/>
      <c r="U500" s="1"/>
      <c r="V500" s="1"/>
      <c r="Z500" s="18"/>
      <c r="AD500" s="18"/>
      <c r="AH500" s="18"/>
      <c r="AL500" s="18"/>
      <c r="AM500" s="22"/>
      <c r="AN500" s="22"/>
      <c r="AO500" s="22"/>
      <c r="AP500" s="22"/>
      <c r="AQ500" s="22"/>
      <c r="AR500" s="22"/>
      <c r="AS500" s="22"/>
      <c r="AT500" s="22"/>
    </row>
    <row r="501" spans="7:46" ht="13">
      <c r="G501" s="34"/>
      <c r="J501" s="18"/>
      <c r="N501" s="18"/>
      <c r="O501" s="1"/>
      <c r="P501" s="1"/>
      <c r="Q501" s="1"/>
      <c r="R501" s="18"/>
      <c r="S501" s="1"/>
      <c r="T501" s="1"/>
      <c r="U501" s="1"/>
      <c r="V501" s="1"/>
      <c r="Z501" s="18"/>
      <c r="AD501" s="18"/>
      <c r="AH501" s="18"/>
      <c r="AL501" s="18"/>
      <c r="AM501" s="22"/>
      <c r="AN501" s="22"/>
      <c r="AO501" s="22"/>
      <c r="AP501" s="22"/>
      <c r="AQ501" s="22"/>
      <c r="AR501" s="22"/>
      <c r="AS501" s="22"/>
      <c r="AT501" s="22"/>
    </row>
    <row r="502" spans="7:46" ht="13">
      <c r="G502" s="34"/>
      <c r="J502" s="18"/>
      <c r="N502" s="18"/>
      <c r="O502" s="1"/>
      <c r="P502" s="1"/>
      <c r="Q502" s="1"/>
      <c r="R502" s="18"/>
      <c r="S502" s="1"/>
      <c r="T502" s="1"/>
      <c r="U502" s="1"/>
      <c r="V502" s="1"/>
      <c r="Z502" s="18"/>
      <c r="AD502" s="18"/>
      <c r="AH502" s="18"/>
      <c r="AL502" s="18"/>
      <c r="AM502" s="22"/>
      <c r="AN502" s="22"/>
      <c r="AO502" s="22"/>
      <c r="AP502" s="22"/>
      <c r="AQ502" s="22"/>
      <c r="AR502" s="22"/>
      <c r="AS502" s="22"/>
      <c r="AT502" s="22"/>
    </row>
    <row r="503" spans="7:46" ht="13">
      <c r="G503" s="34"/>
      <c r="J503" s="18"/>
      <c r="N503" s="18"/>
      <c r="O503" s="1"/>
      <c r="P503" s="1"/>
      <c r="Q503" s="1"/>
      <c r="R503" s="18"/>
      <c r="S503" s="1"/>
      <c r="T503" s="1"/>
      <c r="U503" s="1"/>
      <c r="V503" s="1"/>
      <c r="Z503" s="18"/>
      <c r="AD503" s="18"/>
      <c r="AH503" s="18"/>
      <c r="AL503" s="18"/>
      <c r="AM503" s="22"/>
      <c r="AN503" s="22"/>
      <c r="AO503" s="22"/>
      <c r="AP503" s="22"/>
      <c r="AQ503" s="22"/>
      <c r="AR503" s="22"/>
      <c r="AS503" s="22"/>
      <c r="AT503" s="22"/>
    </row>
    <row r="504" spans="7:46" ht="13">
      <c r="G504" s="34"/>
      <c r="J504" s="18"/>
      <c r="N504" s="18"/>
      <c r="O504" s="1"/>
      <c r="P504" s="1"/>
      <c r="Q504" s="1"/>
      <c r="R504" s="18"/>
      <c r="S504" s="1"/>
      <c r="T504" s="1"/>
      <c r="U504" s="1"/>
      <c r="V504" s="1"/>
      <c r="Z504" s="18"/>
      <c r="AD504" s="18"/>
      <c r="AH504" s="18"/>
      <c r="AL504" s="18"/>
      <c r="AM504" s="22"/>
      <c r="AN504" s="22"/>
      <c r="AO504" s="22"/>
      <c r="AP504" s="22"/>
      <c r="AQ504" s="22"/>
      <c r="AR504" s="22"/>
      <c r="AS504" s="22"/>
      <c r="AT504" s="22"/>
    </row>
    <row r="505" spans="7:46" ht="13">
      <c r="G505" s="34"/>
      <c r="J505" s="18"/>
      <c r="N505" s="18"/>
      <c r="O505" s="1"/>
      <c r="P505" s="1"/>
      <c r="Q505" s="1"/>
      <c r="R505" s="18"/>
      <c r="S505" s="1"/>
      <c r="T505" s="1"/>
      <c r="U505" s="1"/>
      <c r="V505" s="1"/>
      <c r="Z505" s="18"/>
      <c r="AD505" s="18"/>
      <c r="AH505" s="18"/>
      <c r="AL505" s="18"/>
      <c r="AM505" s="22"/>
      <c r="AN505" s="22"/>
      <c r="AO505" s="22"/>
      <c r="AP505" s="22"/>
      <c r="AQ505" s="22"/>
      <c r="AR505" s="22"/>
      <c r="AS505" s="22"/>
      <c r="AT505" s="22"/>
    </row>
    <row r="506" spans="7:46" ht="13">
      <c r="G506" s="34"/>
      <c r="J506" s="18"/>
      <c r="N506" s="18"/>
      <c r="O506" s="1"/>
      <c r="P506" s="1"/>
      <c r="Q506" s="1"/>
      <c r="R506" s="18"/>
      <c r="S506" s="1"/>
      <c r="T506" s="1"/>
      <c r="U506" s="1"/>
      <c r="V506" s="1"/>
      <c r="Z506" s="18"/>
      <c r="AD506" s="18"/>
      <c r="AH506" s="18"/>
      <c r="AL506" s="18"/>
      <c r="AM506" s="22"/>
      <c r="AN506" s="22"/>
      <c r="AO506" s="22"/>
      <c r="AP506" s="22"/>
      <c r="AQ506" s="22"/>
      <c r="AR506" s="22"/>
      <c r="AS506" s="22"/>
      <c r="AT506" s="22"/>
    </row>
    <row r="507" spans="7:46" ht="13">
      <c r="G507" s="34"/>
      <c r="J507" s="18"/>
      <c r="N507" s="18"/>
      <c r="O507" s="1"/>
      <c r="P507" s="1"/>
      <c r="Q507" s="1"/>
      <c r="R507" s="18"/>
      <c r="S507" s="1"/>
      <c r="T507" s="1"/>
      <c r="U507" s="1"/>
      <c r="V507" s="1"/>
      <c r="Z507" s="18"/>
      <c r="AD507" s="18"/>
      <c r="AH507" s="18"/>
      <c r="AL507" s="18"/>
      <c r="AM507" s="22"/>
      <c r="AN507" s="22"/>
      <c r="AO507" s="22"/>
      <c r="AP507" s="22"/>
      <c r="AQ507" s="22"/>
      <c r="AR507" s="22"/>
      <c r="AS507" s="22"/>
      <c r="AT507" s="22"/>
    </row>
    <row r="508" spans="7:46" ht="13">
      <c r="G508" s="34"/>
      <c r="J508" s="18"/>
      <c r="N508" s="18"/>
      <c r="O508" s="1"/>
      <c r="P508" s="1"/>
      <c r="Q508" s="1"/>
      <c r="R508" s="18"/>
      <c r="S508" s="1"/>
      <c r="T508" s="1"/>
      <c r="U508" s="1"/>
      <c r="V508" s="1"/>
      <c r="Z508" s="18"/>
      <c r="AD508" s="18"/>
      <c r="AH508" s="18"/>
      <c r="AL508" s="18"/>
      <c r="AM508" s="22"/>
      <c r="AN508" s="22"/>
      <c r="AO508" s="22"/>
      <c r="AP508" s="22"/>
      <c r="AQ508" s="22"/>
      <c r="AR508" s="22"/>
      <c r="AS508" s="22"/>
      <c r="AT508" s="22"/>
    </row>
    <row r="509" spans="7:46" ht="13">
      <c r="G509" s="34"/>
      <c r="J509" s="18"/>
      <c r="N509" s="18"/>
      <c r="O509" s="1"/>
      <c r="P509" s="1"/>
      <c r="Q509" s="1"/>
      <c r="R509" s="18"/>
      <c r="S509" s="1"/>
      <c r="T509" s="1"/>
      <c r="U509" s="1"/>
      <c r="V509" s="1"/>
      <c r="Z509" s="18"/>
      <c r="AD509" s="18"/>
      <c r="AH509" s="18"/>
      <c r="AL509" s="18"/>
      <c r="AM509" s="22"/>
      <c r="AN509" s="22"/>
      <c r="AO509" s="22"/>
      <c r="AP509" s="22"/>
      <c r="AQ509" s="22"/>
      <c r="AR509" s="22"/>
      <c r="AS509" s="22"/>
      <c r="AT509" s="22"/>
    </row>
    <row r="510" spans="7:46" ht="13">
      <c r="G510" s="34"/>
      <c r="J510" s="18"/>
      <c r="N510" s="18"/>
      <c r="O510" s="1"/>
      <c r="P510" s="1"/>
      <c r="Q510" s="1"/>
      <c r="R510" s="18"/>
      <c r="S510" s="1"/>
      <c r="T510" s="1"/>
      <c r="U510" s="1"/>
      <c r="V510" s="1"/>
      <c r="Z510" s="18"/>
      <c r="AD510" s="18"/>
      <c r="AH510" s="18"/>
      <c r="AL510" s="18"/>
      <c r="AM510" s="22"/>
      <c r="AN510" s="22"/>
      <c r="AO510" s="22"/>
      <c r="AP510" s="22"/>
      <c r="AQ510" s="22"/>
      <c r="AR510" s="22"/>
      <c r="AS510" s="22"/>
      <c r="AT510" s="22"/>
    </row>
    <row r="511" spans="7:46" ht="13">
      <c r="G511" s="34"/>
      <c r="J511" s="18"/>
      <c r="N511" s="18"/>
      <c r="O511" s="1"/>
      <c r="P511" s="1"/>
      <c r="Q511" s="1"/>
      <c r="R511" s="18"/>
      <c r="S511" s="1"/>
      <c r="T511" s="1"/>
      <c r="U511" s="1"/>
      <c r="V511" s="1"/>
      <c r="Z511" s="18"/>
      <c r="AD511" s="18"/>
      <c r="AH511" s="18"/>
      <c r="AL511" s="18"/>
      <c r="AM511" s="22"/>
      <c r="AN511" s="22"/>
      <c r="AO511" s="22"/>
      <c r="AP511" s="22"/>
      <c r="AQ511" s="22"/>
      <c r="AR511" s="22"/>
      <c r="AS511" s="22"/>
      <c r="AT511" s="22"/>
    </row>
    <row r="512" spans="7:46" ht="13">
      <c r="G512" s="34"/>
      <c r="J512" s="18"/>
      <c r="N512" s="18"/>
      <c r="O512" s="1"/>
      <c r="P512" s="1"/>
      <c r="Q512" s="1"/>
      <c r="R512" s="18"/>
      <c r="S512" s="1"/>
      <c r="T512" s="1"/>
      <c r="U512" s="1"/>
      <c r="V512" s="1"/>
      <c r="Z512" s="18"/>
      <c r="AD512" s="18"/>
      <c r="AH512" s="18"/>
      <c r="AL512" s="18"/>
      <c r="AM512" s="22"/>
      <c r="AN512" s="22"/>
      <c r="AO512" s="22"/>
      <c r="AP512" s="22"/>
      <c r="AQ512" s="22"/>
      <c r="AR512" s="22"/>
      <c r="AS512" s="22"/>
      <c r="AT512" s="22"/>
    </row>
    <row r="513" spans="7:46" ht="13">
      <c r="G513" s="34"/>
      <c r="J513" s="18"/>
      <c r="N513" s="18"/>
      <c r="O513" s="1"/>
      <c r="P513" s="1"/>
      <c r="Q513" s="1"/>
      <c r="R513" s="18"/>
      <c r="S513" s="1"/>
      <c r="T513" s="1"/>
      <c r="U513" s="1"/>
      <c r="V513" s="1"/>
      <c r="Z513" s="18"/>
      <c r="AD513" s="18"/>
      <c r="AH513" s="18"/>
      <c r="AL513" s="18"/>
      <c r="AM513" s="22"/>
      <c r="AN513" s="22"/>
      <c r="AO513" s="22"/>
      <c r="AP513" s="22"/>
      <c r="AQ513" s="22"/>
      <c r="AR513" s="22"/>
      <c r="AS513" s="22"/>
      <c r="AT513" s="22"/>
    </row>
    <row r="514" spans="7:46" ht="13">
      <c r="G514" s="34"/>
      <c r="J514" s="18"/>
      <c r="N514" s="18"/>
      <c r="O514" s="1"/>
      <c r="P514" s="1"/>
      <c r="Q514" s="1"/>
      <c r="R514" s="18"/>
      <c r="S514" s="1"/>
      <c r="T514" s="1"/>
      <c r="U514" s="1"/>
      <c r="V514" s="1"/>
      <c r="Z514" s="18"/>
      <c r="AD514" s="18"/>
      <c r="AH514" s="18"/>
      <c r="AL514" s="18"/>
      <c r="AM514" s="22"/>
      <c r="AN514" s="22"/>
      <c r="AO514" s="22"/>
      <c r="AP514" s="22"/>
      <c r="AQ514" s="22"/>
      <c r="AR514" s="22"/>
      <c r="AS514" s="22"/>
      <c r="AT514" s="22"/>
    </row>
    <row r="515" spans="7:46" ht="13">
      <c r="G515" s="34"/>
      <c r="J515" s="18"/>
      <c r="N515" s="18"/>
      <c r="O515" s="1"/>
      <c r="P515" s="1"/>
      <c r="Q515" s="1"/>
      <c r="R515" s="18"/>
      <c r="S515" s="1"/>
      <c r="T515" s="1"/>
      <c r="U515" s="1"/>
      <c r="V515" s="1"/>
      <c r="Z515" s="18"/>
      <c r="AD515" s="18"/>
      <c r="AH515" s="18"/>
      <c r="AL515" s="18"/>
      <c r="AM515" s="22"/>
      <c r="AN515" s="22"/>
      <c r="AO515" s="22"/>
      <c r="AP515" s="22"/>
      <c r="AQ515" s="22"/>
      <c r="AR515" s="22"/>
      <c r="AS515" s="22"/>
      <c r="AT515" s="22"/>
    </row>
    <row r="516" spans="7:46" ht="13">
      <c r="G516" s="34"/>
      <c r="J516" s="18"/>
      <c r="N516" s="18"/>
      <c r="O516" s="1"/>
      <c r="P516" s="1"/>
      <c r="Q516" s="1"/>
      <c r="R516" s="18"/>
      <c r="S516" s="1"/>
      <c r="T516" s="1"/>
      <c r="U516" s="1"/>
      <c r="V516" s="1"/>
      <c r="Z516" s="18"/>
      <c r="AD516" s="18"/>
      <c r="AH516" s="18"/>
      <c r="AL516" s="18"/>
      <c r="AM516" s="22"/>
      <c r="AN516" s="22"/>
      <c r="AO516" s="22"/>
      <c r="AP516" s="22"/>
      <c r="AQ516" s="22"/>
      <c r="AR516" s="22"/>
      <c r="AS516" s="22"/>
      <c r="AT516" s="22"/>
    </row>
    <row r="517" spans="7:46" ht="13">
      <c r="G517" s="34"/>
      <c r="J517" s="18"/>
      <c r="N517" s="18"/>
      <c r="O517" s="1"/>
      <c r="P517" s="1"/>
      <c r="Q517" s="1"/>
      <c r="R517" s="18"/>
      <c r="S517" s="1"/>
      <c r="T517" s="1"/>
      <c r="U517" s="1"/>
      <c r="V517" s="1"/>
      <c r="Z517" s="18"/>
      <c r="AD517" s="18"/>
      <c r="AH517" s="18"/>
      <c r="AL517" s="18"/>
      <c r="AM517" s="22"/>
      <c r="AN517" s="22"/>
      <c r="AO517" s="22"/>
      <c r="AP517" s="22"/>
      <c r="AQ517" s="22"/>
      <c r="AR517" s="22"/>
      <c r="AS517" s="22"/>
      <c r="AT517" s="22"/>
    </row>
    <row r="518" spans="7:46" ht="13">
      <c r="G518" s="34"/>
      <c r="J518" s="18"/>
      <c r="N518" s="18"/>
      <c r="O518" s="1"/>
      <c r="P518" s="1"/>
      <c r="Q518" s="1"/>
      <c r="R518" s="18"/>
      <c r="S518" s="1"/>
      <c r="T518" s="1"/>
      <c r="U518" s="1"/>
      <c r="V518" s="1"/>
      <c r="Z518" s="18"/>
      <c r="AD518" s="18"/>
      <c r="AH518" s="18"/>
      <c r="AL518" s="18"/>
      <c r="AM518" s="22"/>
      <c r="AN518" s="22"/>
      <c r="AO518" s="22"/>
      <c r="AP518" s="22"/>
      <c r="AQ518" s="22"/>
      <c r="AR518" s="22"/>
      <c r="AS518" s="22"/>
      <c r="AT518" s="22"/>
    </row>
    <row r="519" spans="7:46" ht="13">
      <c r="G519" s="34"/>
      <c r="J519" s="18"/>
      <c r="N519" s="18"/>
      <c r="O519" s="1"/>
      <c r="P519" s="1"/>
      <c r="Q519" s="1"/>
      <c r="R519" s="18"/>
      <c r="S519" s="1"/>
      <c r="T519" s="1"/>
      <c r="U519" s="1"/>
      <c r="V519" s="1"/>
      <c r="Z519" s="18"/>
      <c r="AD519" s="18"/>
      <c r="AH519" s="18"/>
      <c r="AL519" s="18"/>
      <c r="AM519" s="22"/>
      <c r="AN519" s="22"/>
      <c r="AO519" s="22"/>
      <c r="AP519" s="22"/>
      <c r="AQ519" s="22"/>
      <c r="AR519" s="22"/>
      <c r="AS519" s="22"/>
      <c r="AT519" s="22"/>
    </row>
    <row r="520" spans="7:46" ht="13">
      <c r="G520" s="34"/>
      <c r="J520" s="18"/>
      <c r="N520" s="18"/>
      <c r="O520" s="1"/>
      <c r="P520" s="1"/>
      <c r="Q520" s="1"/>
      <c r="R520" s="18"/>
      <c r="S520" s="1"/>
      <c r="T520" s="1"/>
      <c r="U520" s="1"/>
      <c r="V520" s="1"/>
      <c r="Z520" s="18"/>
      <c r="AD520" s="18"/>
      <c r="AH520" s="18"/>
      <c r="AL520" s="18"/>
      <c r="AM520" s="22"/>
      <c r="AN520" s="22"/>
      <c r="AO520" s="22"/>
      <c r="AP520" s="22"/>
      <c r="AQ520" s="22"/>
      <c r="AR520" s="22"/>
      <c r="AS520" s="22"/>
      <c r="AT520" s="22"/>
    </row>
    <row r="521" spans="7:46" ht="13">
      <c r="G521" s="34"/>
      <c r="J521" s="18"/>
      <c r="N521" s="18"/>
      <c r="O521" s="1"/>
      <c r="P521" s="1"/>
      <c r="Q521" s="1"/>
      <c r="R521" s="18"/>
      <c r="S521" s="1"/>
      <c r="T521" s="1"/>
      <c r="U521" s="1"/>
      <c r="V521" s="1"/>
      <c r="Z521" s="18"/>
      <c r="AD521" s="18"/>
      <c r="AH521" s="18"/>
      <c r="AL521" s="18"/>
      <c r="AM521" s="22"/>
      <c r="AN521" s="22"/>
      <c r="AO521" s="22"/>
      <c r="AP521" s="22"/>
      <c r="AQ521" s="22"/>
      <c r="AR521" s="22"/>
      <c r="AS521" s="22"/>
      <c r="AT521" s="22"/>
    </row>
    <row r="522" spans="7:46" ht="13">
      <c r="G522" s="34"/>
      <c r="J522" s="18"/>
      <c r="N522" s="18"/>
      <c r="O522" s="1"/>
      <c r="P522" s="1"/>
      <c r="Q522" s="1"/>
      <c r="R522" s="18"/>
      <c r="S522" s="1"/>
      <c r="T522" s="1"/>
      <c r="U522" s="1"/>
      <c r="V522" s="1"/>
      <c r="Z522" s="18"/>
      <c r="AD522" s="18"/>
      <c r="AH522" s="18"/>
      <c r="AL522" s="18"/>
      <c r="AM522" s="22"/>
      <c r="AN522" s="22"/>
      <c r="AO522" s="22"/>
      <c r="AP522" s="22"/>
      <c r="AQ522" s="22"/>
      <c r="AR522" s="22"/>
      <c r="AS522" s="22"/>
      <c r="AT522" s="22"/>
    </row>
    <row r="523" spans="7:46" ht="13">
      <c r="G523" s="34"/>
      <c r="J523" s="18"/>
      <c r="N523" s="18"/>
      <c r="O523" s="1"/>
      <c r="P523" s="1"/>
      <c r="Q523" s="1"/>
      <c r="R523" s="18"/>
      <c r="S523" s="1"/>
      <c r="T523" s="1"/>
      <c r="U523" s="1"/>
      <c r="V523" s="1"/>
      <c r="Z523" s="18"/>
      <c r="AD523" s="18"/>
      <c r="AH523" s="18"/>
      <c r="AL523" s="18"/>
      <c r="AM523" s="22"/>
      <c r="AN523" s="22"/>
      <c r="AO523" s="22"/>
      <c r="AP523" s="22"/>
      <c r="AQ523" s="22"/>
      <c r="AR523" s="22"/>
      <c r="AS523" s="22"/>
      <c r="AT523" s="22"/>
    </row>
    <row r="524" spans="7:46" ht="13">
      <c r="G524" s="34"/>
      <c r="J524" s="18"/>
      <c r="N524" s="18"/>
      <c r="O524" s="1"/>
      <c r="P524" s="1"/>
      <c r="Q524" s="1"/>
      <c r="R524" s="18"/>
      <c r="S524" s="1"/>
      <c r="T524" s="1"/>
      <c r="U524" s="1"/>
      <c r="V524" s="1"/>
      <c r="Z524" s="18"/>
      <c r="AD524" s="18"/>
      <c r="AH524" s="18"/>
      <c r="AL524" s="18"/>
      <c r="AM524" s="22"/>
      <c r="AN524" s="22"/>
      <c r="AO524" s="22"/>
      <c r="AP524" s="22"/>
      <c r="AQ524" s="22"/>
      <c r="AR524" s="22"/>
      <c r="AS524" s="22"/>
      <c r="AT524" s="22"/>
    </row>
    <row r="525" spans="7:46" ht="13">
      <c r="G525" s="34"/>
      <c r="J525" s="18"/>
      <c r="N525" s="18"/>
      <c r="O525" s="1"/>
      <c r="P525" s="1"/>
      <c r="Q525" s="1"/>
      <c r="R525" s="18"/>
      <c r="S525" s="1"/>
      <c r="T525" s="1"/>
      <c r="U525" s="1"/>
      <c r="V525" s="1"/>
      <c r="Z525" s="18"/>
      <c r="AD525" s="18"/>
      <c r="AH525" s="18"/>
      <c r="AL525" s="18"/>
      <c r="AM525" s="22"/>
      <c r="AN525" s="22"/>
      <c r="AO525" s="22"/>
      <c r="AP525" s="22"/>
      <c r="AQ525" s="22"/>
      <c r="AR525" s="22"/>
      <c r="AS525" s="22"/>
      <c r="AT525" s="22"/>
    </row>
    <row r="526" spans="7:46" ht="13">
      <c r="G526" s="34"/>
      <c r="J526" s="18"/>
      <c r="N526" s="18"/>
      <c r="O526" s="1"/>
      <c r="P526" s="1"/>
      <c r="Q526" s="1"/>
      <c r="R526" s="18"/>
      <c r="S526" s="1"/>
      <c r="T526" s="1"/>
      <c r="U526" s="1"/>
      <c r="V526" s="1"/>
      <c r="Z526" s="18"/>
      <c r="AD526" s="18"/>
      <c r="AH526" s="18"/>
      <c r="AL526" s="18"/>
      <c r="AM526" s="22"/>
      <c r="AN526" s="22"/>
      <c r="AO526" s="22"/>
      <c r="AP526" s="22"/>
      <c r="AQ526" s="22"/>
      <c r="AR526" s="22"/>
      <c r="AS526" s="22"/>
      <c r="AT526" s="22"/>
    </row>
    <row r="527" spans="7:46" ht="13">
      <c r="G527" s="34"/>
      <c r="J527" s="18"/>
      <c r="N527" s="18"/>
      <c r="O527" s="1"/>
      <c r="P527" s="1"/>
      <c r="Q527" s="1"/>
      <c r="R527" s="18"/>
      <c r="S527" s="1"/>
      <c r="T527" s="1"/>
      <c r="U527" s="1"/>
      <c r="V527" s="1"/>
      <c r="Z527" s="18"/>
      <c r="AD527" s="18"/>
      <c r="AH527" s="18"/>
      <c r="AL527" s="18"/>
      <c r="AM527" s="22"/>
      <c r="AN527" s="22"/>
      <c r="AO527" s="22"/>
      <c r="AP527" s="22"/>
      <c r="AQ527" s="22"/>
      <c r="AR527" s="22"/>
      <c r="AS527" s="22"/>
      <c r="AT527" s="22"/>
    </row>
    <row r="528" spans="7:46" ht="13">
      <c r="G528" s="34"/>
      <c r="J528" s="18"/>
      <c r="N528" s="18"/>
      <c r="O528" s="1"/>
      <c r="P528" s="1"/>
      <c r="Q528" s="1"/>
      <c r="R528" s="18"/>
      <c r="S528" s="1"/>
      <c r="T528" s="1"/>
      <c r="U528" s="1"/>
      <c r="V528" s="1"/>
      <c r="Z528" s="18"/>
      <c r="AD528" s="18"/>
      <c r="AH528" s="18"/>
      <c r="AL528" s="18"/>
      <c r="AM528" s="22"/>
      <c r="AN528" s="22"/>
      <c r="AO528" s="22"/>
      <c r="AP528" s="22"/>
      <c r="AQ528" s="22"/>
      <c r="AR528" s="22"/>
      <c r="AS528" s="22"/>
      <c r="AT528" s="22"/>
    </row>
    <row r="529" spans="7:46" ht="13">
      <c r="G529" s="34"/>
      <c r="J529" s="18"/>
      <c r="N529" s="18"/>
      <c r="O529" s="1"/>
      <c r="P529" s="1"/>
      <c r="Q529" s="1"/>
      <c r="R529" s="18"/>
      <c r="S529" s="1"/>
      <c r="T529" s="1"/>
      <c r="U529" s="1"/>
      <c r="V529" s="1"/>
      <c r="Z529" s="18"/>
      <c r="AD529" s="18"/>
      <c r="AH529" s="18"/>
      <c r="AL529" s="18"/>
      <c r="AM529" s="22"/>
      <c r="AN529" s="22"/>
      <c r="AO529" s="22"/>
      <c r="AP529" s="22"/>
      <c r="AQ529" s="22"/>
      <c r="AR529" s="22"/>
      <c r="AS529" s="22"/>
      <c r="AT529" s="22"/>
    </row>
    <row r="530" spans="7:46" ht="13">
      <c r="G530" s="34"/>
      <c r="J530" s="18"/>
      <c r="N530" s="18"/>
      <c r="O530" s="1"/>
      <c r="P530" s="1"/>
      <c r="Q530" s="1"/>
      <c r="R530" s="18"/>
      <c r="S530" s="1"/>
      <c r="T530" s="1"/>
      <c r="U530" s="1"/>
      <c r="V530" s="1"/>
      <c r="Z530" s="18"/>
      <c r="AD530" s="18"/>
      <c r="AH530" s="18"/>
      <c r="AL530" s="18"/>
      <c r="AM530" s="22"/>
      <c r="AN530" s="22"/>
      <c r="AO530" s="22"/>
      <c r="AP530" s="22"/>
      <c r="AQ530" s="22"/>
      <c r="AR530" s="22"/>
      <c r="AS530" s="22"/>
      <c r="AT530" s="22"/>
    </row>
    <row r="531" spans="7:46" ht="13">
      <c r="G531" s="34"/>
      <c r="J531" s="18"/>
      <c r="N531" s="18"/>
      <c r="O531" s="1"/>
      <c r="P531" s="1"/>
      <c r="Q531" s="1"/>
      <c r="R531" s="18"/>
      <c r="S531" s="1"/>
      <c r="T531" s="1"/>
      <c r="U531" s="1"/>
      <c r="V531" s="1"/>
      <c r="Z531" s="18"/>
      <c r="AD531" s="18"/>
      <c r="AH531" s="18"/>
      <c r="AL531" s="18"/>
      <c r="AM531" s="22"/>
      <c r="AN531" s="22"/>
      <c r="AO531" s="22"/>
      <c r="AP531" s="22"/>
      <c r="AQ531" s="22"/>
      <c r="AR531" s="22"/>
      <c r="AS531" s="22"/>
      <c r="AT531" s="22"/>
    </row>
    <row r="532" spans="7:46" ht="13">
      <c r="G532" s="34"/>
      <c r="J532" s="18"/>
      <c r="N532" s="18"/>
      <c r="O532" s="1"/>
      <c r="P532" s="1"/>
      <c r="Q532" s="1"/>
      <c r="R532" s="18"/>
      <c r="S532" s="1"/>
      <c r="T532" s="1"/>
      <c r="U532" s="1"/>
      <c r="V532" s="1"/>
      <c r="Z532" s="18"/>
      <c r="AD532" s="18"/>
      <c r="AH532" s="18"/>
      <c r="AL532" s="18"/>
      <c r="AM532" s="22"/>
      <c r="AN532" s="22"/>
      <c r="AO532" s="22"/>
      <c r="AP532" s="22"/>
      <c r="AQ532" s="22"/>
      <c r="AR532" s="22"/>
      <c r="AS532" s="22"/>
      <c r="AT532" s="22"/>
    </row>
    <row r="533" spans="7:46" ht="13">
      <c r="G533" s="34"/>
      <c r="J533" s="18"/>
      <c r="N533" s="18"/>
      <c r="O533" s="1"/>
      <c r="P533" s="1"/>
      <c r="Q533" s="1"/>
      <c r="R533" s="18"/>
      <c r="S533" s="1"/>
      <c r="T533" s="1"/>
      <c r="U533" s="1"/>
      <c r="V533" s="1"/>
      <c r="Z533" s="18"/>
      <c r="AD533" s="18"/>
      <c r="AH533" s="18"/>
      <c r="AL533" s="18"/>
      <c r="AM533" s="22"/>
      <c r="AN533" s="22"/>
      <c r="AO533" s="22"/>
      <c r="AP533" s="22"/>
      <c r="AQ533" s="22"/>
      <c r="AR533" s="22"/>
      <c r="AS533" s="22"/>
      <c r="AT533" s="22"/>
    </row>
    <row r="534" spans="7:46" ht="13">
      <c r="G534" s="34"/>
      <c r="J534" s="18"/>
      <c r="N534" s="18"/>
      <c r="O534" s="1"/>
      <c r="P534" s="1"/>
      <c r="Q534" s="1"/>
      <c r="R534" s="18"/>
      <c r="S534" s="1"/>
      <c r="T534" s="1"/>
      <c r="U534" s="1"/>
      <c r="V534" s="1"/>
      <c r="Z534" s="18"/>
      <c r="AD534" s="18"/>
      <c r="AH534" s="18"/>
      <c r="AL534" s="18"/>
      <c r="AM534" s="22"/>
      <c r="AN534" s="22"/>
      <c r="AO534" s="22"/>
      <c r="AP534" s="22"/>
      <c r="AQ534" s="22"/>
      <c r="AR534" s="22"/>
      <c r="AS534" s="22"/>
      <c r="AT534" s="22"/>
    </row>
    <row r="535" spans="7:46" ht="13">
      <c r="G535" s="34"/>
      <c r="J535" s="18"/>
      <c r="N535" s="18"/>
      <c r="O535" s="1"/>
      <c r="P535" s="1"/>
      <c r="Q535" s="1"/>
      <c r="R535" s="18"/>
      <c r="S535" s="1"/>
      <c r="T535" s="1"/>
      <c r="U535" s="1"/>
      <c r="V535" s="1"/>
      <c r="Z535" s="18"/>
      <c r="AD535" s="18"/>
      <c r="AH535" s="18"/>
      <c r="AL535" s="18"/>
      <c r="AM535" s="22"/>
      <c r="AN535" s="22"/>
      <c r="AO535" s="22"/>
      <c r="AP535" s="22"/>
      <c r="AQ535" s="22"/>
      <c r="AR535" s="22"/>
      <c r="AS535" s="22"/>
      <c r="AT535" s="22"/>
    </row>
    <row r="536" spans="7:46" ht="13">
      <c r="G536" s="34"/>
      <c r="J536" s="18"/>
      <c r="N536" s="18"/>
      <c r="O536" s="1"/>
      <c r="P536" s="1"/>
      <c r="Q536" s="1"/>
      <c r="R536" s="18"/>
      <c r="S536" s="1"/>
      <c r="T536" s="1"/>
      <c r="U536" s="1"/>
      <c r="V536" s="1"/>
      <c r="Z536" s="18"/>
      <c r="AD536" s="18"/>
      <c r="AH536" s="18"/>
      <c r="AL536" s="18"/>
      <c r="AM536" s="22"/>
      <c r="AN536" s="22"/>
      <c r="AO536" s="22"/>
      <c r="AP536" s="22"/>
      <c r="AQ536" s="22"/>
      <c r="AR536" s="22"/>
      <c r="AS536" s="22"/>
      <c r="AT536" s="22"/>
    </row>
    <row r="537" spans="7:46" ht="13">
      <c r="G537" s="34"/>
      <c r="J537" s="18"/>
      <c r="N537" s="18"/>
      <c r="O537" s="1"/>
      <c r="P537" s="1"/>
      <c r="Q537" s="1"/>
      <c r="R537" s="18"/>
      <c r="S537" s="1"/>
      <c r="T537" s="1"/>
      <c r="U537" s="1"/>
      <c r="V537" s="1"/>
      <c r="Z537" s="18"/>
      <c r="AD537" s="18"/>
      <c r="AH537" s="18"/>
      <c r="AL537" s="18"/>
      <c r="AM537" s="22"/>
      <c r="AN537" s="22"/>
      <c r="AO537" s="22"/>
      <c r="AP537" s="22"/>
      <c r="AQ537" s="22"/>
      <c r="AR537" s="22"/>
      <c r="AS537" s="22"/>
      <c r="AT537" s="22"/>
    </row>
    <row r="538" spans="7:46" ht="13">
      <c r="G538" s="34"/>
      <c r="J538" s="18"/>
      <c r="N538" s="18"/>
      <c r="O538" s="1"/>
      <c r="P538" s="1"/>
      <c r="Q538" s="1"/>
      <c r="R538" s="18"/>
      <c r="S538" s="1"/>
      <c r="T538" s="1"/>
      <c r="U538" s="1"/>
      <c r="V538" s="1"/>
      <c r="Z538" s="18"/>
      <c r="AD538" s="18"/>
      <c r="AH538" s="18"/>
      <c r="AL538" s="18"/>
      <c r="AM538" s="22"/>
      <c r="AN538" s="22"/>
      <c r="AO538" s="22"/>
      <c r="AP538" s="22"/>
      <c r="AQ538" s="22"/>
      <c r="AR538" s="22"/>
      <c r="AS538" s="22"/>
      <c r="AT538" s="22"/>
    </row>
    <row r="539" spans="7:46" ht="13">
      <c r="G539" s="34"/>
      <c r="J539" s="18"/>
      <c r="N539" s="18"/>
      <c r="O539" s="1"/>
      <c r="P539" s="1"/>
      <c r="Q539" s="1"/>
      <c r="R539" s="18"/>
      <c r="S539" s="1"/>
      <c r="T539" s="1"/>
      <c r="U539" s="1"/>
      <c r="V539" s="1"/>
      <c r="Z539" s="18"/>
      <c r="AD539" s="18"/>
      <c r="AH539" s="18"/>
      <c r="AL539" s="18"/>
      <c r="AM539" s="22"/>
      <c r="AN539" s="22"/>
      <c r="AO539" s="22"/>
      <c r="AP539" s="22"/>
      <c r="AQ539" s="22"/>
      <c r="AR539" s="22"/>
      <c r="AS539" s="22"/>
      <c r="AT539" s="22"/>
    </row>
    <row r="540" spans="7:46" ht="13">
      <c r="G540" s="34"/>
      <c r="J540" s="18"/>
      <c r="N540" s="18"/>
      <c r="O540" s="1"/>
      <c r="P540" s="1"/>
      <c r="Q540" s="1"/>
      <c r="R540" s="18"/>
      <c r="S540" s="1"/>
      <c r="T540" s="1"/>
      <c r="U540" s="1"/>
      <c r="V540" s="1"/>
      <c r="Z540" s="18"/>
      <c r="AD540" s="18"/>
      <c r="AH540" s="18"/>
      <c r="AL540" s="18"/>
      <c r="AM540" s="22"/>
      <c r="AN540" s="22"/>
      <c r="AO540" s="22"/>
      <c r="AP540" s="22"/>
      <c r="AQ540" s="22"/>
      <c r="AR540" s="22"/>
      <c r="AS540" s="22"/>
      <c r="AT540" s="22"/>
    </row>
    <row r="541" spans="7:46" ht="13">
      <c r="G541" s="34"/>
      <c r="J541" s="18"/>
      <c r="N541" s="18"/>
      <c r="O541" s="1"/>
      <c r="P541" s="1"/>
      <c r="Q541" s="1"/>
      <c r="R541" s="18"/>
      <c r="S541" s="1"/>
      <c r="T541" s="1"/>
      <c r="U541" s="1"/>
      <c r="V541" s="1"/>
      <c r="Z541" s="18"/>
      <c r="AD541" s="18"/>
      <c r="AH541" s="18"/>
      <c r="AL541" s="18"/>
      <c r="AM541" s="22"/>
      <c r="AN541" s="22"/>
      <c r="AO541" s="22"/>
      <c r="AP541" s="22"/>
      <c r="AQ541" s="22"/>
      <c r="AR541" s="22"/>
      <c r="AS541" s="22"/>
      <c r="AT541" s="22"/>
    </row>
    <row r="542" spans="7:46" ht="13">
      <c r="G542" s="34"/>
      <c r="J542" s="18"/>
      <c r="N542" s="18"/>
      <c r="O542" s="1"/>
      <c r="P542" s="1"/>
      <c r="Q542" s="1"/>
      <c r="R542" s="18"/>
      <c r="S542" s="1"/>
      <c r="T542" s="1"/>
      <c r="U542" s="1"/>
      <c r="V542" s="1"/>
      <c r="Z542" s="18"/>
      <c r="AD542" s="18"/>
      <c r="AH542" s="18"/>
      <c r="AL542" s="18"/>
      <c r="AM542" s="22"/>
      <c r="AN542" s="22"/>
      <c r="AO542" s="22"/>
      <c r="AP542" s="22"/>
      <c r="AQ542" s="22"/>
      <c r="AR542" s="22"/>
      <c r="AS542" s="22"/>
      <c r="AT542" s="22"/>
    </row>
    <row r="543" spans="7:46" ht="13">
      <c r="G543" s="34"/>
      <c r="J543" s="18"/>
      <c r="N543" s="18"/>
      <c r="O543" s="1"/>
      <c r="P543" s="1"/>
      <c r="Q543" s="1"/>
      <c r="R543" s="18"/>
      <c r="S543" s="1"/>
      <c r="T543" s="1"/>
      <c r="U543" s="1"/>
      <c r="V543" s="1"/>
      <c r="Z543" s="18"/>
      <c r="AD543" s="18"/>
      <c r="AH543" s="18"/>
      <c r="AL543" s="18"/>
      <c r="AM543" s="22"/>
      <c r="AN543" s="22"/>
      <c r="AO543" s="22"/>
      <c r="AP543" s="22"/>
      <c r="AQ543" s="22"/>
      <c r="AR543" s="22"/>
      <c r="AS543" s="22"/>
      <c r="AT543" s="22"/>
    </row>
    <row r="544" spans="7:46" ht="13">
      <c r="G544" s="34"/>
      <c r="J544" s="18"/>
      <c r="N544" s="18"/>
      <c r="O544" s="1"/>
      <c r="P544" s="1"/>
      <c r="Q544" s="1"/>
      <c r="R544" s="18"/>
      <c r="S544" s="1"/>
      <c r="T544" s="1"/>
      <c r="U544" s="1"/>
      <c r="V544" s="1"/>
      <c r="Z544" s="18"/>
      <c r="AD544" s="18"/>
      <c r="AH544" s="18"/>
      <c r="AL544" s="18"/>
      <c r="AM544" s="22"/>
      <c r="AN544" s="22"/>
      <c r="AO544" s="22"/>
      <c r="AP544" s="22"/>
      <c r="AQ544" s="22"/>
      <c r="AR544" s="22"/>
      <c r="AS544" s="22"/>
      <c r="AT544" s="22"/>
    </row>
    <row r="545" spans="7:46" ht="13">
      <c r="G545" s="34"/>
      <c r="J545" s="18"/>
      <c r="N545" s="18"/>
      <c r="O545" s="1"/>
      <c r="P545" s="1"/>
      <c r="Q545" s="1"/>
      <c r="R545" s="18"/>
      <c r="S545" s="1"/>
      <c r="T545" s="1"/>
      <c r="U545" s="1"/>
      <c r="V545" s="1"/>
      <c r="Z545" s="18"/>
      <c r="AD545" s="18"/>
      <c r="AH545" s="18"/>
      <c r="AL545" s="18"/>
      <c r="AM545" s="22"/>
      <c r="AN545" s="22"/>
      <c r="AO545" s="22"/>
      <c r="AP545" s="22"/>
      <c r="AQ545" s="22"/>
      <c r="AR545" s="22"/>
      <c r="AS545" s="22"/>
      <c r="AT545" s="22"/>
    </row>
    <row r="546" spans="7:46" ht="13">
      <c r="G546" s="34"/>
      <c r="J546" s="18"/>
      <c r="N546" s="18"/>
      <c r="O546" s="1"/>
      <c r="P546" s="1"/>
      <c r="Q546" s="1"/>
      <c r="R546" s="18"/>
      <c r="S546" s="1"/>
      <c r="T546" s="1"/>
      <c r="U546" s="1"/>
      <c r="V546" s="1"/>
      <c r="Z546" s="18"/>
      <c r="AD546" s="18"/>
      <c r="AH546" s="18"/>
      <c r="AL546" s="18"/>
      <c r="AM546" s="22"/>
      <c r="AN546" s="22"/>
      <c r="AO546" s="22"/>
      <c r="AP546" s="22"/>
      <c r="AQ546" s="22"/>
      <c r="AR546" s="22"/>
      <c r="AS546" s="22"/>
      <c r="AT546" s="22"/>
    </row>
    <row r="547" spans="7:46" ht="13">
      <c r="G547" s="34"/>
      <c r="J547" s="18"/>
      <c r="N547" s="18"/>
      <c r="O547" s="1"/>
      <c r="P547" s="1"/>
      <c r="Q547" s="1"/>
      <c r="R547" s="18"/>
      <c r="S547" s="1"/>
      <c r="T547" s="1"/>
      <c r="U547" s="1"/>
      <c r="V547" s="1"/>
      <c r="Z547" s="18"/>
      <c r="AD547" s="18"/>
      <c r="AH547" s="18"/>
      <c r="AL547" s="18"/>
      <c r="AM547" s="22"/>
      <c r="AN547" s="22"/>
      <c r="AO547" s="22"/>
      <c r="AP547" s="22"/>
      <c r="AQ547" s="22"/>
      <c r="AR547" s="22"/>
      <c r="AS547" s="22"/>
      <c r="AT547" s="22"/>
    </row>
    <row r="548" spans="7:46" ht="13">
      <c r="G548" s="34"/>
      <c r="J548" s="18"/>
      <c r="N548" s="18"/>
      <c r="O548" s="1"/>
      <c r="P548" s="1"/>
      <c r="Q548" s="1"/>
      <c r="R548" s="18"/>
      <c r="S548" s="1"/>
      <c r="T548" s="1"/>
      <c r="U548" s="1"/>
      <c r="V548" s="1"/>
      <c r="Z548" s="18"/>
      <c r="AD548" s="18"/>
      <c r="AH548" s="18"/>
      <c r="AL548" s="18"/>
      <c r="AM548" s="22"/>
      <c r="AN548" s="22"/>
      <c r="AO548" s="22"/>
      <c r="AP548" s="22"/>
      <c r="AQ548" s="22"/>
      <c r="AR548" s="22"/>
      <c r="AS548" s="22"/>
      <c r="AT548" s="22"/>
    </row>
    <row r="549" spans="7:46" ht="13">
      <c r="G549" s="34"/>
      <c r="J549" s="18"/>
      <c r="N549" s="18"/>
      <c r="O549" s="1"/>
      <c r="P549" s="1"/>
      <c r="Q549" s="1"/>
      <c r="R549" s="18"/>
      <c r="S549" s="1"/>
      <c r="T549" s="1"/>
      <c r="U549" s="1"/>
      <c r="V549" s="1"/>
      <c r="Z549" s="18"/>
      <c r="AD549" s="18"/>
      <c r="AH549" s="18"/>
      <c r="AL549" s="18"/>
      <c r="AM549" s="22"/>
      <c r="AN549" s="22"/>
      <c r="AO549" s="22"/>
      <c r="AP549" s="22"/>
      <c r="AQ549" s="22"/>
      <c r="AR549" s="22"/>
      <c r="AS549" s="22"/>
      <c r="AT549" s="22"/>
    </row>
    <row r="550" spans="7:46" ht="13">
      <c r="G550" s="34"/>
      <c r="J550" s="18"/>
      <c r="N550" s="18"/>
      <c r="O550" s="1"/>
      <c r="P550" s="1"/>
      <c r="Q550" s="1"/>
      <c r="R550" s="18"/>
      <c r="S550" s="1"/>
      <c r="T550" s="1"/>
      <c r="U550" s="1"/>
      <c r="V550" s="1"/>
      <c r="Z550" s="18"/>
      <c r="AD550" s="18"/>
      <c r="AH550" s="18"/>
      <c r="AL550" s="18"/>
      <c r="AM550" s="22"/>
      <c r="AN550" s="22"/>
      <c r="AO550" s="22"/>
      <c r="AP550" s="22"/>
      <c r="AQ550" s="22"/>
      <c r="AR550" s="22"/>
      <c r="AS550" s="22"/>
      <c r="AT550" s="22"/>
    </row>
    <row r="551" spans="7:46" ht="13">
      <c r="G551" s="34"/>
      <c r="J551" s="18"/>
      <c r="N551" s="18"/>
      <c r="O551" s="1"/>
      <c r="P551" s="1"/>
      <c r="Q551" s="1"/>
      <c r="R551" s="18"/>
      <c r="S551" s="1"/>
      <c r="T551" s="1"/>
      <c r="U551" s="1"/>
      <c r="V551" s="1"/>
      <c r="Z551" s="18"/>
      <c r="AD551" s="18"/>
      <c r="AH551" s="18"/>
      <c r="AL551" s="18"/>
      <c r="AM551" s="22"/>
      <c r="AN551" s="22"/>
      <c r="AO551" s="22"/>
      <c r="AP551" s="22"/>
      <c r="AQ551" s="22"/>
      <c r="AR551" s="22"/>
      <c r="AS551" s="22"/>
      <c r="AT551" s="22"/>
    </row>
    <row r="552" spans="7:46" ht="13">
      <c r="G552" s="34"/>
      <c r="J552" s="18"/>
      <c r="N552" s="18"/>
      <c r="O552" s="1"/>
      <c r="P552" s="1"/>
      <c r="Q552" s="1"/>
      <c r="R552" s="18"/>
      <c r="S552" s="1"/>
      <c r="T552" s="1"/>
      <c r="U552" s="1"/>
      <c r="V552" s="1"/>
      <c r="Z552" s="18"/>
      <c r="AD552" s="18"/>
      <c r="AH552" s="18"/>
      <c r="AL552" s="18"/>
      <c r="AM552" s="22"/>
      <c r="AN552" s="22"/>
      <c r="AO552" s="22"/>
      <c r="AP552" s="22"/>
      <c r="AQ552" s="22"/>
      <c r="AR552" s="22"/>
      <c r="AS552" s="22"/>
      <c r="AT552" s="22"/>
    </row>
    <row r="553" spans="7:46" ht="13">
      <c r="G553" s="34"/>
      <c r="J553" s="18"/>
      <c r="N553" s="18"/>
      <c r="O553" s="1"/>
      <c r="P553" s="1"/>
      <c r="Q553" s="1"/>
      <c r="R553" s="18"/>
      <c r="S553" s="1"/>
      <c r="T553" s="1"/>
      <c r="U553" s="1"/>
      <c r="V553" s="1"/>
      <c r="Z553" s="18"/>
      <c r="AD553" s="18"/>
      <c r="AH553" s="18"/>
      <c r="AL553" s="18"/>
      <c r="AM553" s="22"/>
      <c r="AN553" s="22"/>
      <c r="AO553" s="22"/>
      <c r="AP553" s="22"/>
      <c r="AQ553" s="22"/>
      <c r="AR553" s="22"/>
      <c r="AS553" s="22"/>
      <c r="AT553" s="22"/>
    </row>
    <row r="554" spans="7:46" ht="13">
      <c r="G554" s="34"/>
      <c r="J554" s="18"/>
      <c r="N554" s="18"/>
      <c r="O554" s="1"/>
      <c r="P554" s="1"/>
      <c r="Q554" s="1"/>
      <c r="R554" s="18"/>
      <c r="S554" s="1"/>
      <c r="T554" s="1"/>
      <c r="U554" s="1"/>
      <c r="V554" s="1"/>
      <c r="Z554" s="18"/>
      <c r="AD554" s="18"/>
      <c r="AH554" s="18"/>
      <c r="AL554" s="18"/>
      <c r="AM554" s="22"/>
      <c r="AN554" s="22"/>
      <c r="AO554" s="22"/>
      <c r="AP554" s="22"/>
      <c r="AQ554" s="22"/>
      <c r="AR554" s="22"/>
      <c r="AS554" s="22"/>
      <c r="AT554" s="22"/>
    </row>
    <row r="555" spans="7:46" ht="13">
      <c r="G555" s="34"/>
      <c r="J555" s="18"/>
      <c r="N555" s="18"/>
      <c r="O555" s="1"/>
      <c r="P555" s="1"/>
      <c r="Q555" s="1"/>
      <c r="R555" s="18"/>
      <c r="S555" s="1"/>
      <c r="T555" s="1"/>
      <c r="U555" s="1"/>
      <c r="V555" s="1"/>
      <c r="Z555" s="18"/>
      <c r="AD555" s="18"/>
      <c r="AH555" s="18"/>
      <c r="AL555" s="18"/>
      <c r="AM555" s="22"/>
      <c r="AN555" s="22"/>
      <c r="AO555" s="22"/>
      <c r="AP555" s="22"/>
      <c r="AQ555" s="22"/>
      <c r="AR555" s="22"/>
      <c r="AS555" s="22"/>
      <c r="AT555" s="22"/>
    </row>
    <row r="556" spans="7:46" ht="13">
      <c r="G556" s="34"/>
      <c r="J556" s="18"/>
      <c r="N556" s="18"/>
      <c r="O556" s="1"/>
      <c r="P556" s="1"/>
      <c r="Q556" s="1"/>
      <c r="R556" s="18"/>
      <c r="S556" s="1"/>
      <c r="T556" s="1"/>
      <c r="U556" s="1"/>
      <c r="V556" s="1"/>
      <c r="Z556" s="18"/>
      <c r="AD556" s="18"/>
      <c r="AH556" s="18"/>
      <c r="AL556" s="18"/>
      <c r="AM556" s="22"/>
      <c r="AN556" s="22"/>
      <c r="AO556" s="22"/>
      <c r="AP556" s="22"/>
      <c r="AQ556" s="22"/>
      <c r="AR556" s="22"/>
      <c r="AS556" s="22"/>
      <c r="AT556" s="22"/>
    </row>
    <row r="557" spans="7:46" ht="13">
      <c r="G557" s="34"/>
      <c r="J557" s="18"/>
      <c r="N557" s="18"/>
      <c r="O557" s="1"/>
      <c r="P557" s="1"/>
      <c r="Q557" s="1"/>
      <c r="R557" s="18"/>
      <c r="S557" s="1"/>
      <c r="T557" s="1"/>
      <c r="U557" s="1"/>
      <c r="V557" s="1"/>
      <c r="Z557" s="18"/>
      <c r="AD557" s="18"/>
      <c r="AH557" s="18"/>
      <c r="AL557" s="18"/>
      <c r="AM557" s="22"/>
      <c r="AN557" s="22"/>
      <c r="AO557" s="22"/>
      <c r="AP557" s="22"/>
      <c r="AQ557" s="22"/>
      <c r="AR557" s="22"/>
      <c r="AS557" s="22"/>
      <c r="AT557" s="22"/>
    </row>
    <row r="558" spans="7:46" ht="13">
      <c r="G558" s="34"/>
      <c r="J558" s="18"/>
      <c r="N558" s="18"/>
      <c r="O558" s="1"/>
      <c r="P558" s="1"/>
      <c r="Q558" s="1"/>
      <c r="R558" s="18"/>
      <c r="S558" s="1"/>
      <c r="T558" s="1"/>
      <c r="U558" s="1"/>
      <c r="V558" s="1"/>
      <c r="Z558" s="18"/>
      <c r="AD558" s="18"/>
      <c r="AH558" s="18"/>
      <c r="AL558" s="18"/>
      <c r="AM558" s="22"/>
      <c r="AN558" s="22"/>
      <c r="AO558" s="22"/>
      <c r="AP558" s="22"/>
      <c r="AQ558" s="22"/>
      <c r="AR558" s="22"/>
      <c r="AS558" s="22"/>
      <c r="AT558" s="22"/>
    </row>
    <row r="559" spans="7:46" ht="13">
      <c r="G559" s="34"/>
      <c r="J559" s="18"/>
      <c r="N559" s="18"/>
      <c r="O559" s="1"/>
      <c r="P559" s="1"/>
      <c r="Q559" s="1"/>
      <c r="R559" s="18"/>
      <c r="S559" s="1"/>
      <c r="T559" s="1"/>
      <c r="U559" s="1"/>
      <c r="V559" s="1"/>
      <c r="Z559" s="18"/>
      <c r="AD559" s="18"/>
      <c r="AH559" s="18"/>
      <c r="AL559" s="18"/>
      <c r="AM559" s="22"/>
      <c r="AN559" s="22"/>
      <c r="AO559" s="22"/>
      <c r="AP559" s="22"/>
      <c r="AQ559" s="22"/>
      <c r="AR559" s="22"/>
      <c r="AS559" s="22"/>
      <c r="AT559" s="22"/>
    </row>
    <row r="560" spans="7:46" ht="13">
      <c r="G560" s="34"/>
      <c r="J560" s="18"/>
      <c r="N560" s="18"/>
      <c r="O560" s="1"/>
      <c r="P560" s="1"/>
      <c r="Q560" s="1"/>
      <c r="R560" s="18"/>
      <c r="S560" s="1"/>
      <c r="T560" s="1"/>
      <c r="U560" s="1"/>
      <c r="V560" s="1"/>
      <c r="Z560" s="18"/>
      <c r="AD560" s="18"/>
      <c r="AH560" s="18"/>
      <c r="AL560" s="18"/>
      <c r="AM560" s="22"/>
      <c r="AN560" s="22"/>
      <c r="AO560" s="22"/>
      <c r="AP560" s="22"/>
      <c r="AQ560" s="22"/>
      <c r="AR560" s="22"/>
      <c r="AS560" s="22"/>
      <c r="AT560" s="22"/>
    </row>
    <row r="561" spans="7:46" ht="13">
      <c r="G561" s="34"/>
      <c r="J561" s="18"/>
      <c r="N561" s="18"/>
      <c r="O561" s="1"/>
      <c r="P561" s="1"/>
      <c r="Q561" s="1"/>
      <c r="R561" s="18"/>
      <c r="S561" s="1"/>
      <c r="T561" s="1"/>
      <c r="U561" s="1"/>
      <c r="V561" s="1"/>
      <c r="Z561" s="18"/>
      <c r="AD561" s="18"/>
      <c r="AH561" s="18"/>
      <c r="AL561" s="18"/>
      <c r="AM561" s="22"/>
      <c r="AN561" s="22"/>
      <c r="AO561" s="22"/>
      <c r="AP561" s="22"/>
      <c r="AQ561" s="22"/>
      <c r="AR561" s="22"/>
      <c r="AS561" s="22"/>
      <c r="AT561" s="22"/>
    </row>
    <row r="562" spans="7:46" ht="13">
      <c r="G562" s="34"/>
      <c r="J562" s="18"/>
      <c r="N562" s="18"/>
      <c r="O562" s="1"/>
      <c r="P562" s="1"/>
      <c r="Q562" s="1"/>
      <c r="R562" s="18"/>
      <c r="S562" s="1"/>
      <c r="T562" s="1"/>
      <c r="U562" s="1"/>
      <c r="V562" s="1"/>
      <c r="Z562" s="18"/>
      <c r="AD562" s="18"/>
      <c r="AH562" s="18"/>
      <c r="AL562" s="18"/>
      <c r="AM562" s="22"/>
      <c r="AN562" s="22"/>
      <c r="AO562" s="22"/>
      <c r="AP562" s="22"/>
      <c r="AQ562" s="22"/>
      <c r="AR562" s="22"/>
      <c r="AS562" s="22"/>
      <c r="AT562" s="22"/>
    </row>
    <row r="563" spans="7:46" ht="13">
      <c r="G563" s="34"/>
      <c r="J563" s="18"/>
      <c r="N563" s="18"/>
      <c r="O563" s="1"/>
      <c r="P563" s="1"/>
      <c r="Q563" s="1"/>
      <c r="R563" s="18"/>
      <c r="S563" s="1"/>
      <c r="T563" s="1"/>
      <c r="U563" s="1"/>
      <c r="V563" s="1"/>
      <c r="Z563" s="18"/>
      <c r="AD563" s="18"/>
      <c r="AH563" s="18"/>
      <c r="AL563" s="18"/>
      <c r="AM563" s="22"/>
      <c r="AN563" s="22"/>
      <c r="AO563" s="22"/>
      <c r="AP563" s="22"/>
      <c r="AQ563" s="22"/>
      <c r="AR563" s="22"/>
      <c r="AS563" s="22"/>
      <c r="AT563" s="22"/>
    </row>
    <row r="564" spans="7:46" ht="13">
      <c r="G564" s="34"/>
      <c r="J564" s="18"/>
      <c r="N564" s="18"/>
      <c r="O564" s="1"/>
      <c r="P564" s="1"/>
      <c r="Q564" s="1"/>
      <c r="R564" s="18"/>
      <c r="S564" s="1"/>
      <c r="T564" s="1"/>
      <c r="U564" s="1"/>
      <c r="V564" s="1"/>
      <c r="Z564" s="18"/>
      <c r="AD564" s="18"/>
      <c r="AH564" s="18"/>
      <c r="AL564" s="18"/>
      <c r="AM564" s="22"/>
      <c r="AN564" s="22"/>
      <c r="AO564" s="22"/>
      <c r="AP564" s="22"/>
      <c r="AQ564" s="22"/>
      <c r="AR564" s="22"/>
      <c r="AS564" s="22"/>
      <c r="AT564" s="22"/>
    </row>
    <row r="565" spans="7:46" ht="13">
      <c r="G565" s="34"/>
      <c r="J565" s="18"/>
      <c r="N565" s="18"/>
      <c r="O565" s="1"/>
      <c r="P565" s="1"/>
      <c r="Q565" s="1"/>
      <c r="R565" s="18"/>
      <c r="S565" s="1"/>
      <c r="T565" s="1"/>
      <c r="U565" s="1"/>
      <c r="V565" s="1"/>
      <c r="Z565" s="18"/>
      <c r="AD565" s="18"/>
      <c r="AH565" s="18"/>
      <c r="AL565" s="18"/>
      <c r="AM565" s="22"/>
      <c r="AN565" s="22"/>
      <c r="AO565" s="22"/>
      <c r="AP565" s="22"/>
      <c r="AQ565" s="22"/>
      <c r="AR565" s="22"/>
      <c r="AS565" s="22"/>
      <c r="AT565" s="22"/>
    </row>
    <row r="566" spans="7:46" ht="13">
      <c r="G566" s="34"/>
      <c r="J566" s="18"/>
      <c r="N566" s="18"/>
      <c r="O566" s="1"/>
      <c r="P566" s="1"/>
      <c r="Q566" s="1"/>
      <c r="R566" s="18"/>
      <c r="S566" s="1"/>
      <c r="T566" s="1"/>
      <c r="U566" s="1"/>
      <c r="V566" s="1"/>
      <c r="Z566" s="18"/>
      <c r="AD566" s="18"/>
      <c r="AH566" s="18"/>
      <c r="AL566" s="18"/>
      <c r="AM566" s="22"/>
      <c r="AN566" s="22"/>
      <c r="AO566" s="22"/>
      <c r="AP566" s="22"/>
      <c r="AQ566" s="22"/>
      <c r="AR566" s="22"/>
      <c r="AS566" s="22"/>
      <c r="AT566" s="22"/>
    </row>
    <row r="567" spans="7:46" ht="13">
      <c r="G567" s="34"/>
      <c r="J567" s="18"/>
      <c r="N567" s="18"/>
      <c r="O567" s="1"/>
      <c r="P567" s="1"/>
      <c r="Q567" s="1"/>
      <c r="R567" s="18"/>
      <c r="S567" s="1"/>
      <c r="T567" s="1"/>
      <c r="U567" s="1"/>
      <c r="V567" s="1"/>
      <c r="Z567" s="18"/>
      <c r="AD567" s="18"/>
      <c r="AH567" s="18"/>
      <c r="AL567" s="18"/>
      <c r="AM567" s="22"/>
      <c r="AN567" s="22"/>
      <c r="AO567" s="22"/>
      <c r="AP567" s="22"/>
      <c r="AQ567" s="22"/>
      <c r="AR567" s="22"/>
      <c r="AS567" s="22"/>
      <c r="AT567" s="22"/>
    </row>
    <row r="568" spans="7:46" ht="13">
      <c r="G568" s="34"/>
      <c r="J568" s="18"/>
      <c r="N568" s="18"/>
      <c r="O568" s="1"/>
      <c r="P568" s="1"/>
      <c r="Q568" s="1"/>
      <c r="R568" s="18"/>
      <c r="S568" s="1"/>
      <c r="T568" s="1"/>
      <c r="U568" s="1"/>
      <c r="V568" s="1"/>
      <c r="Z568" s="18"/>
      <c r="AD568" s="18"/>
      <c r="AH568" s="18"/>
      <c r="AL568" s="18"/>
      <c r="AM568" s="22"/>
      <c r="AN568" s="22"/>
      <c r="AO568" s="22"/>
      <c r="AP568" s="22"/>
      <c r="AQ568" s="22"/>
      <c r="AR568" s="22"/>
      <c r="AS568" s="22"/>
      <c r="AT568" s="22"/>
    </row>
    <row r="569" spans="7:46" ht="13">
      <c r="G569" s="34"/>
      <c r="J569" s="18"/>
      <c r="N569" s="18"/>
      <c r="O569" s="1"/>
      <c r="P569" s="1"/>
      <c r="Q569" s="1"/>
      <c r="R569" s="18"/>
      <c r="S569" s="1"/>
      <c r="T569" s="1"/>
      <c r="U569" s="1"/>
      <c r="V569" s="1"/>
      <c r="Z569" s="18"/>
      <c r="AD569" s="18"/>
      <c r="AH569" s="18"/>
      <c r="AL569" s="18"/>
      <c r="AM569" s="22"/>
      <c r="AN569" s="22"/>
      <c r="AO569" s="22"/>
      <c r="AP569" s="22"/>
      <c r="AQ569" s="22"/>
      <c r="AR569" s="22"/>
      <c r="AS569" s="22"/>
      <c r="AT569" s="22"/>
    </row>
    <row r="570" spans="7:46" ht="13">
      <c r="G570" s="34"/>
      <c r="J570" s="18"/>
      <c r="N570" s="18"/>
      <c r="O570" s="1"/>
      <c r="P570" s="1"/>
      <c r="Q570" s="1"/>
      <c r="R570" s="18"/>
      <c r="S570" s="1"/>
      <c r="T570" s="1"/>
      <c r="U570" s="1"/>
      <c r="V570" s="1"/>
      <c r="Z570" s="18"/>
      <c r="AD570" s="18"/>
      <c r="AH570" s="18"/>
      <c r="AL570" s="18"/>
      <c r="AM570" s="22"/>
      <c r="AN570" s="22"/>
      <c r="AO570" s="22"/>
      <c r="AP570" s="22"/>
      <c r="AQ570" s="22"/>
      <c r="AR570" s="22"/>
      <c r="AS570" s="22"/>
      <c r="AT570" s="22"/>
    </row>
    <row r="571" spans="7:46" ht="13">
      <c r="G571" s="34"/>
      <c r="J571" s="18"/>
      <c r="N571" s="18"/>
      <c r="O571" s="1"/>
      <c r="P571" s="1"/>
      <c r="Q571" s="1"/>
      <c r="R571" s="18"/>
      <c r="S571" s="1"/>
      <c r="T571" s="1"/>
      <c r="U571" s="1"/>
      <c r="V571" s="1"/>
      <c r="Z571" s="18"/>
      <c r="AD571" s="18"/>
      <c r="AH571" s="18"/>
      <c r="AL571" s="18"/>
      <c r="AM571" s="22"/>
      <c r="AN571" s="22"/>
      <c r="AO571" s="22"/>
      <c r="AP571" s="22"/>
      <c r="AQ571" s="22"/>
      <c r="AR571" s="22"/>
      <c r="AS571" s="22"/>
      <c r="AT571" s="22"/>
    </row>
    <row r="572" spans="7:46" ht="13">
      <c r="G572" s="34"/>
      <c r="J572" s="18"/>
      <c r="N572" s="18"/>
      <c r="O572" s="1"/>
      <c r="P572" s="1"/>
      <c r="Q572" s="1"/>
      <c r="R572" s="18"/>
      <c r="S572" s="1"/>
      <c r="T572" s="1"/>
      <c r="U572" s="1"/>
      <c r="V572" s="1"/>
      <c r="Z572" s="18"/>
      <c r="AD572" s="18"/>
      <c r="AH572" s="18"/>
      <c r="AL572" s="18"/>
      <c r="AM572" s="22"/>
      <c r="AN572" s="22"/>
      <c r="AO572" s="22"/>
      <c r="AP572" s="22"/>
      <c r="AQ572" s="22"/>
      <c r="AR572" s="22"/>
      <c r="AS572" s="22"/>
      <c r="AT572" s="22"/>
    </row>
    <row r="573" spans="7:46" ht="13">
      <c r="G573" s="34"/>
      <c r="J573" s="18"/>
      <c r="N573" s="18"/>
      <c r="O573" s="1"/>
      <c r="P573" s="1"/>
      <c r="Q573" s="1"/>
      <c r="R573" s="18"/>
      <c r="S573" s="1"/>
      <c r="T573" s="1"/>
      <c r="U573" s="1"/>
      <c r="V573" s="1"/>
      <c r="Z573" s="18"/>
      <c r="AD573" s="18"/>
      <c r="AH573" s="18"/>
      <c r="AL573" s="18"/>
      <c r="AM573" s="22"/>
      <c r="AN573" s="22"/>
      <c r="AO573" s="22"/>
      <c r="AP573" s="22"/>
      <c r="AQ573" s="22"/>
      <c r="AR573" s="22"/>
      <c r="AS573" s="22"/>
      <c r="AT573" s="22"/>
    </row>
    <row r="574" spans="7:46" ht="13">
      <c r="G574" s="34"/>
      <c r="J574" s="18"/>
      <c r="N574" s="18"/>
      <c r="O574" s="1"/>
      <c r="P574" s="1"/>
      <c r="Q574" s="1"/>
      <c r="R574" s="18"/>
      <c r="S574" s="1"/>
      <c r="T574" s="1"/>
      <c r="U574" s="1"/>
      <c r="V574" s="1"/>
      <c r="Z574" s="18"/>
      <c r="AD574" s="18"/>
      <c r="AH574" s="18"/>
      <c r="AL574" s="18"/>
      <c r="AM574" s="22"/>
      <c r="AN574" s="22"/>
      <c r="AO574" s="22"/>
      <c r="AP574" s="22"/>
      <c r="AQ574" s="22"/>
      <c r="AR574" s="22"/>
      <c r="AS574" s="22"/>
      <c r="AT574" s="22"/>
    </row>
    <row r="575" spans="7:46" ht="13">
      <c r="G575" s="34"/>
      <c r="J575" s="18"/>
      <c r="N575" s="18"/>
      <c r="O575" s="1"/>
      <c r="P575" s="1"/>
      <c r="Q575" s="1"/>
      <c r="R575" s="18"/>
      <c r="S575" s="1"/>
      <c r="T575" s="1"/>
      <c r="U575" s="1"/>
      <c r="V575" s="1"/>
      <c r="Z575" s="18"/>
      <c r="AD575" s="18"/>
      <c r="AH575" s="18"/>
      <c r="AL575" s="18"/>
      <c r="AM575" s="22"/>
      <c r="AN575" s="22"/>
      <c r="AO575" s="22"/>
      <c r="AP575" s="22"/>
      <c r="AQ575" s="22"/>
      <c r="AR575" s="22"/>
      <c r="AS575" s="22"/>
      <c r="AT575" s="22"/>
    </row>
    <row r="576" spans="7:46" ht="13">
      <c r="G576" s="34"/>
      <c r="J576" s="18"/>
      <c r="N576" s="18"/>
      <c r="O576" s="1"/>
      <c r="P576" s="1"/>
      <c r="Q576" s="1"/>
      <c r="R576" s="18"/>
      <c r="S576" s="1"/>
      <c r="T576" s="1"/>
      <c r="U576" s="1"/>
      <c r="V576" s="1"/>
      <c r="Z576" s="18"/>
      <c r="AD576" s="18"/>
      <c r="AH576" s="18"/>
      <c r="AL576" s="18"/>
      <c r="AM576" s="22"/>
      <c r="AN576" s="22"/>
      <c r="AO576" s="22"/>
      <c r="AP576" s="22"/>
      <c r="AQ576" s="22"/>
      <c r="AR576" s="22"/>
      <c r="AS576" s="22"/>
      <c r="AT576" s="22"/>
    </row>
    <row r="577" spans="7:46" ht="13">
      <c r="G577" s="34"/>
      <c r="J577" s="18"/>
      <c r="N577" s="18"/>
      <c r="O577" s="1"/>
      <c r="P577" s="1"/>
      <c r="Q577" s="1"/>
      <c r="R577" s="18"/>
      <c r="S577" s="1"/>
      <c r="T577" s="1"/>
      <c r="U577" s="1"/>
      <c r="V577" s="1"/>
      <c r="Z577" s="18"/>
      <c r="AD577" s="18"/>
      <c r="AH577" s="18"/>
      <c r="AL577" s="18"/>
      <c r="AM577" s="22"/>
      <c r="AN577" s="22"/>
      <c r="AO577" s="22"/>
      <c r="AP577" s="22"/>
      <c r="AQ577" s="22"/>
      <c r="AR577" s="22"/>
      <c r="AS577" s="22"/>
      <c r="AT577" s="22"/>
    </row>
    <row r="578" spans="7:46" ht="13">
      <c r="G578" s="34"/>
      <c r="J578" s="18"/>
      <c r="N578" s="18"/>
      <c r="O578" s="1"/>
      <c r="P578" s="1"/>
      <c r="Q578" s="1"/>
      <c r="R578" s="18"/>
      <c r="S578" s="1"/>
      <c r="T578" s="1"/>
      <c r="U578" s="1"/>
      <c r="V578" s="1"/>
      <c r="Z578" s="18"/>
      <c r="AD578" s="18"/>
      <c r="AH578" s="18"/>
      <c r="AL578" s="18"/>
      <c r="AM578" s="22"/>
      <c r="AN578" s="22"/>
      <c r="AO578" s="22"/>
      <c r="AP578" s="22"/>
      <c r="AQ578" s="22"/>
      <c r="AR578" s="22"/>
      <c r="AS578" s="22"/>
      <c r="AT578" s="22"/>
    </row>
    <row r="579" spans="7:46" ht="13">
      <c r="G579" s="34"/>
      <c r="J579" s="18"/>
      <c r="N579" s="18"/>
      <c r="O579" s="1"/>
      <c r="P579" s="1"/>
      <c r="Q579" s="1"/>
      <c r="R579" s="18"/>
      <c r="S579" s="1"/>
      <c r="T579" s="1"/>
      <c r="U579" s="1"/>
      <c r="V579" s="1"/>
      <c r="Z579" s="18"/>
      <c r="AD579" s="18"/>
      <c r="AH579" s="18"/>
      <c r="AL579" s="18"/>
      <c r="AM579" s="22"/>
      <c r="AN579" s="22"/>
      <c r="AO579" s="22"/>
      <c r="AP579" s="22"/>
      <c r="AQ579" s="22"/>
      <c r="AR579" s="22"/>
      <c r="AS579" s="22"/>
      <c r="AT579" s="22"/>
    </row>
    <row r="580" spans="7:46" ht="13">
      <c r="G580" s="34"/>
      <c r="J580" s="18"/>
      <c r="N580" s="18"/>
      <c r="O580" s="1"/>
      <c r="P580" s="1"/>
      <c r="Q580" s="1"/>
      <c r="R580" s="18"/>
      <c r="S580" s="1"/>
      <c r="T580" s="1"/>
      <c r="U580" s="1"/>
      <c r="V580" s="1"/>
      <c r="Z580" s="18"/>
      <c r="AD580" s="18"/>
      <c r="AH580" s="18"/>
      <c r="AL580" s="18"/>
      <c r="AM580" s="22"/>
      <c r="AN580" s="22"/>
      <c r="AO580" s="22"/>
      <c r="AP580" s="22"/>
      <c r="AQ580" s="22"/>
      <c r="AR580" s="22"/>
      <c r="AS580" s="22"/>
      <c r="AT580" s="22"/>
    </row>
    <row r="581" spans="7:46" ht="13">
      <c r="G581" s="34"/>
      <c r="J581" s="18"/>
      <c r="N581" s="18"/>
      <c r="O581" s="1"/>
      <c r="P581" s="1"/>
      <c r="Q581" s="1"/>
      <c r="R581" s="18"/>
      <c r="S581" s="1"/>
      <c r="T581" s="1"/>
      <c r="U581" s="1"/>
      <c r="V581" s="1"/>
      <c r="Z581" s="18"/>
      <c r="AD581" s="18"/>
      <c r="AH581" s="18"/>
      <c r="AL581" s="18"/>
      <c r="AM581" s="22"/>
      <c r="AN581" s="22"/>
      <c r="AO581" s="22"/>
      <c r="AP581" s="22"/>
      <c r="AQ581" s="22"/>
      <c r="AR581" s="22"/>
      <c r="AS581" s="22"/>
      <c r="AT581" s="22"/>
    </row>
    <row r="582" spans="7:46" ht="13">
      <c r="G582" s="34"/>
      <c r="J582" s="18"/>
      <c r="N582" s="18"/>
      <c r="O582" s="1"/>
      <c r="P582" s="1"/>
      <c r="Q582" s="1"/>
      <c r="R582" s="18"/>
      <c r="S582" s="1"/>
      <c r="T582" s="1"/>
      <c r="U582" s="1"/>
      <c r="V582" s="1"/>
      <c r="Z582" s="18"/>
      <c r="AD582" s="18"/>
      <c r="AH582" s="18"/>
      <c r="AL582" s="18"/>
      <c r="AM582" s="22"/>
      <c r="AN582" s="22"/>
      <c r="AO582" s="22"/>
      <c r="AP582" s="22"/>
      <c r="AQ582" s="22"/>
      <c r="AR582" s="22"/>
      <c r="AS582" s="22"/>
      <c r="AT582" s="22"/>
    </row>
    <row r="583" spans="7:46" ht="13">
      <c r="G583" s="34"/>
      <c r="J583" s="18"/>
      <c r="N583" s="18"/>
      <c r="O583" s="1"/>
      <c r="P583" s="1"/>
      <c r="Q583" s="1"/>
      <c r="R583" s="18"/>
      <c r="S583" s="1"/>
      <c r="T583" s="1"/>
      <c r="U583" s="1"/>
      <c r="V583" s="1"/>
      <c r="Z583" s="18"/>
      <c r="AD583" s="18"/>
      <c r="AH583" s="18"/>
      <c r="AL583" s="18"/>
      <c r="AM583" s="22"/>
      <c r="AN583" s="22"/>
      <c r="AO583" s="22"/>
      <c r="AP583" s="22"/>
      <c r="AQ583" s="22"/>
      <c r="AR583" s="22"/>
      <c r="AS583" s="22"/>
      <c r="AT583" s="22"/>
    </row>
    <row r="584" spans="7:46" ht="13">
      <c r="G584" s="34"/>
      <c r="J584" s="18"/>
      <c r="N584" s="18"/>
      <c r="O584" s="1"/>
      <c r="P584" s="1"/>
      <c r="Q584" s="1"/>
      <c r="R584" s="18"/>
      <c r="S584" s="1"/>
      <c r="T584" s="1"/>
      <c r="U584" s="1"/>
      <c r="V584" s="1"/>
      <c r="Z584" s="18"/>
      <c r="AD584" s="18"/>
      <c r="AH584" s="18"/>
      <c r="AL584" s="18"/>
      <c r="AM584" s="22"/>
      <c r="AN584" s="22"/>
      <c r="AO584" s="22"/>
      <c r="AP584" s="22"/>
      <c r="AQ584" s="22"/>
      <c r="AR584" s="22"/>
      <c r="AS584" s="22"/>
      <c r="AT584" s="22"/>
    </row>
    <row r="585" spans="7:46" ht="13">
      <c r="G585" s="34"/>
      <c r="J585" s="18"/>
      <c r="N585" s="18"/>
      <c r="O585" s="1"/>
      <c r="P585" s="1"/>
      <c r="Q585" s="1"/>
      <c r="R585" s="18"/>
      <c r="S585" s="1"/>
      <c r="T585" s="1"/>
      <c r="U585" s="1"/>
      <c r="V585" s="1"/>
      <c r="Z585" s="18"/>
      <c r="AD585" s="18"/>
      <c r="AH585" s="18"/>
      <c r="AL585" s="18"/>
      <c r="AM585" s="22"/>
      <c r="AN585" s="22"/>
      <c r="AO585" s="22"/>
      <c r="AP585" s="22"/>
      <c r="AQ585" s="22"/>
      <c r="AR585" s="22"/>
      <c r="AS585" s="22"/>
      <c r="AT585" s="22"/>
    </row>
    <row r="586" spans="7:46" ht="13">
      <c r="G586" s="34"/>
      <c r="J586" s="18"/>
      <c r="N586" s="18"/>
      <c r="O586" s="1"/>
      <c r="P586" s="1"/>
      <c r="Q586" s="1"/>
      <c r="R586" s="18"/>
      <c r="S586" s="1"/>
      <c r="T586" s="1"/>
      <c r="U586" s="1"/>
      <c r="V586" s="1"/>
      <c r="Z586" s="18"/>
      <c r="AD586" s="18"/>
      <c r="AH586" s="18"/>
      <c r="AL586" s="18"/>
      <c r="AM586" s="22"/>
      <c r="AN586" s="22"/>
      <c r="AO586" s="22"/>
      <c r="AP586" s="22"/>
      <c r="AQ586" s="22"/>
      <c r="AR586" s="22"/>
      <c r="AS586" s="22"/>
      <c r="AT586" s="22"/>
    </row>
    <row r="587" spans="7:46" ht="13">
      <c r="G587" s="34"/>
      <c r="J587" s="18"/>
      <c r="N587" s="18"/>
      <c r="O587" s="1"/>
      <c r="P587" s="1"/>
      <c r="Q587" s="1"/>
      <c r="R587" s="18"/>
      <c r="S587" s="1"/>
      <c r="T587" s="1"/>
      <c r="U587" s="1"/>
      <c r="V587" s="1"/>
      <c r="Z587" s="18"/>
      <c r="AD587" s="18"/>
      <c r="AH587" s="18"/>
      <c r="AL587" s="18"/>
      <c r="AM587" s="22"/>
      <c r="AN587" s="22"/>
      <c r="AO587" s="22"/>
      <c r="AP587" s="22"/>
      <c r="AQ587" s="22"/>
      <c r="AR587" s="22"/>
      <c r="AS587" s="22"/>
      <c r="AT587" s="22"/>
    </row>
    <row r="588" spans="7:46" ht="13">
      <c r="G588" s="34"/>
      <c r="J588" s="18"/>
      <c r="N588" s="18"/>
      <c r="O588" s="1"/>
      <c r="P588" s="1"/>
      <c r="Q588" s="1"/>
      <c r="R588" s="18"/>
      <c r="S588" s="1"/>
      <c r="T588" s="1"/>
      <c r="U588" s="1"/>
      <c r="V588" s="1"/>
      <c r="Z588" s="18"/>
      <c r="AD588" s="18"/>
      <c r="AH588" s="18"/>
      <c r="AL588" s="18"/>
      <c r="AM588" s="22"/>
      <c r="AN588" s="22"/>
      <c r="AO588" s="22"/>
      <c r="AP588" s="22"/>
      <c r="AQ588" s="22"/>
      <c r="AR588" s="22"/>
      <c r="AS588" s="22"/>
      <c r="AT588" s="22"/>
    </row>
    <row r="589" spans="7:46" ht="13">
      <c r="G589" s="34"/>
      <c r="J589" s="18"/>
      <c r="N589" s="18"/>
      <c r="O589" s="1"/>
      <c r="P589" s="1"/>
      <c r="Q589" s="1"/>
      <c r="R589" s="18"/>
      <c r="S589" s="1"/>
      <c r="T589" s="1"/>
      <c r="U589" s="1"/>
      <c r="V589" s="1"/>
      <c r="Z589" s="18"/>
      <c r="AD589" s="18"/>
      <c r="AH589" s="18"/>
      <c r="AL589" s="18"/>
      <c r="AM589" s="22"/>
      <c r="AN589" s="22"/>
      <c r="AO589" s="22"/>
      <c r="AP589" s="22"/>
      <c r="AQ589" s="22"/>
      <c r="AR589" s="22"/>
      <c r="AS589" s="22"/>
      <c r="AT589" s="22"/>
    </row>
    <row r="590" spans="7:46" ht="13">
      <c r="G590" s="34"/>
      <c r="J590" s="18"/>
      <c r="N590" s="18"/>
      <c r="O590" s="1"/>
      <c r="P590" s="1"/>
      <c r="Q590" s="1"/>
      <c r="R590" s="18"/>
      <c r="S590" s="1"/>
      <c r="T590" s="1"/>
      <c r="U590" s="1"/>
      <c r="V590" s="1"/>
      <c r="Z590" s="18"/>
      <c r="AD590" s="18"/>
      <c r="AH590" s="18"/>
      <c r="AL590" s="18"/>
      <c r="AM590" s="22"/>
      <c r="AN590" s="22"/>
      <c r="AO590" s="22"/>
      <c r="AP590" s="22"/>
      <c r="AQ590" s="22"/>
      <c r="AR590" s="22"/>
      <c r="AS590" s="22"/>
      <c r="AT590" s="22"/>
    </row>
    <row r="591" spans="7:46" ht="13">
      <c r="G591" s="34"/>
      <c r="J591" s="18"/>
      <c r="N591" s="18"/>
      <c r="O591" s="1"/>
      <c r="P591" s="1"/>
      <c r="Q591" s="1"/>
      <c r="R591" s="18"/>
      <c r="S591" s="1"/>
      <c r="T591" s="1"/>
      <c r="U591" s="1"/>
      <c r="V591" s="1"/>
      <c r="Z591" s="18"/>
      <c r="AD591" s="18"/>
      <c r="AH591" s="18"/>
      <c r="AL591" s="18"/>
      <c r="AM591" s="22"/>
      <c r="AN591" s="22"/>
      <c r="AO591" s="22"/>
      <c r="AP591" s="22"/>
      <c r="AQ591" s="22"/>
      <c r="AR591" s="22"/>
      <c r="AS591" s="22"/>
      <c r="AT591" s="22"/>
    </row>
    <row r="592" spans="7:46" ht="13">
      <c r="G592" s="34"/>
      <c r="J592" s="18"/>
      <c r="N592" s="18"/>
      <c r="O592" s="1"/>
      <c r="P592" s="1"/>
      <c r="Q592" s="1"/>
      <c r="R592" s="18"/>
      <c r="S592" s="1"/>
      <c r="T592" s="1"/>
      <c r="U592" s="1"/>
      <c r="V592" s="1"/>
      <c r="Z592" s="18"/>
      <c r="AD592" s="18"/>
      <c r="AH592" s="18"/>
      <c r="AL592" s="18"/>
      <c r="AM592" s="22"/>
      <c r="AN592" s="22"/>
      <c r="AO592" s="22"/>
      <c r="AP592" s="22"/>
      <c r="AQ592" s="22"/>
      <c r="AR592" s="22"/>
      <c r="AS592" s="22"/>
      <c r="AT592" s="22"/>
    </row>
    <row r="593" spans="7:46" ht="13">
      <c r="G593" s="34"/>
      <c r="J593" s="18"/>
      <c r="N593" s="18"/>
      <c r="O593" s="1"/>
      <c r="P593" s="1"/>
      <c r="Q593" s="1"/>
      <c r="R593" s="18"/>
      <c r="S593" s="1"/>
      <c r="T593" s="1"/>
      <c r="U593" s="1"/>
      <c r="V593" s="1"/>
      <c r="Z593" s="18"/>
      <c r="AD593" s="18"/>
      <c r="AH593" s="18"/>
      <c r="AL593" s="18"/>
      <c r="AM593" s="22"/>
      <c r="AN593" s="22"/>
      <c r="AO593" s="22"/>
      <c r="AP593" s="22"/>
      <c r="AQ593" s="22"/>
      <c r="AR593" s="22"/>
      <c r="AS593" s="22"/>
      <c r="AT593" s="22"/>
    </row>
    <row r="594" spans="7:46" ht="13">
      <c r="G594" s="34"/>
      <c r="J594" s="18"/>
      <c r="N594" s="18"/>
      <c r="O594" s="1"/>
      <c r="P594" s="1"/>
      <c r="Q594" s="1"/>
      <c r="R594" s="18"/>
      <c r="S594" s="1"/>
      <c r="T594" s="1"/>
      <c r="U594" s="1"/>
      <c r="V594" s="1"/>
      <c r="Z594" s="18"/>
      <c r="AD594" s="18"/>
      <c r="AH594" s="18"/>
      <c r="AL594" s="18"/>
      <c r="AM594" s="22"/>
      <c r="AN594" s="22"/>
      <c r="AO594" s="22"/>
      <c r="AP594" s="22"/>
      <c r="AQ594" s="22"/>
      <c r="AR594" s="22"/>
      <c r="AS594" s="22"/>
      <c r="AT594" s="22"/>
    </row>
    <row r="595" spans="7:46" ht="13">
      <c r="G595" s="34"/>
      <c r="J595" s="18"/>
      <c r="N595" s="18"/>
      <c r="O595" s="1"/>
      <c r="P595" s="1"/>
      <c r="Q595" s="1"/>
      <c r="R595" s="18"/>
      <c r="S595" s="1"/>
      <c r="T595" s="1"/>
      <c r="U595" s="1"/>
      <c r="V595" s="1"/>
      <c r="Z595" s="18"/>
      <c r="AD595" s="18"/>
      <c r="AH595" s="18"/>
      <c r="AL595" s="18"/>
      <c r="AM595" s="22"/>
      <c r="AN595" s="22"/>
      <c r="AO595" s="22"/>
      <c r="AP595" s="22"/>
      <c r="AQ595" s="22"/>
      <c r="AR595" s="22"/>
      <c r="AS595" s="22"/>
      <c r="AT595" s="22"/>
    </row>
    <row r="596" spans="7:46" ht="13">
      <c r="G596" s="34"/>
      <c r="J596" s="18"/>
      <c r="N596" s="18"/>
      <c r="O596" s="1"/>
      <c r="P596" s="1"/>
      <c r="Q596" s="1"/>
      <c r="R596" s="18"/>
      <c r="S596" s="1"/>
      <c r="T596" s="1"/>
      <c r="U596" s="1"/>
      <c r="V596" s="1"/>
      <c r="Z596" s="18"/>
      <c r="AD596" s="18"/>
      <c r="AH596" s="18"/>
      <c r="AL596" s="18"/>
      <c r="AM596" s="22"/>
      <c r="AN596" s="22"/>
      <c r="AO596" s="22"/>
      <c r="AP596" s="22"/>
      <c r="AQ596" s="22"/>
      <c r="AR596" s="22"/>
      <c r="AS596" s="22"/>
      <c r="AT596" s="22"/>
    </row>
    <row r="597" spans="7:46" ht="13">
      <c r="G597" s="34"/>
      <c r="J597" s="18"/>
      <c r="N597" s="18"/>
      <c r="O597" s="1"/>
      <c r="P597" s="1"/>
      <c r="Q597" s="1"/>
      <c r="R597" s="18"/>
      <c r="S597" s="1"/>
      <c r="T597" s="1"/>
      <c r="U597" s="1"/>
      <c r="V597" s="1"/>
      <c r="Z597" s="18"/>
      <c r="AD597" s="18"/>
      <c r="AH597" s="18"/>
      <c r="AL597" s="18"/>
      <c r="AM597" s="22"/>
      <c r="AN597" s="22"/>
      <c r="AO597" s="22"/>
      <c r="AP597" s="22"/>
      <c r="AQ597" s="22"/>
      <c r="AR597" s="22"/>
      <c r="AS597" s="22"/>
      <c r="AT597" s="22"/>
    </row>
    <row r="598" spans="7:46" ht="13">
      <c r="G598" s="34"/>
      <c r="J598" s="18"/>
      <c r="N598" s="18"/>
      <c r="O598" s="1"/>
      <c r="P598" s="1"/>
      <c r="Q598" s="1"/>
      <c r="R598" s="18"/>
      <c r="S598" s="1"/>
      <c r="T598" s="1"/>
      <c r="U598" s="1"/>
      <c r="V598" s="1"/>
      <c r="Z598" s="18"/>
      <c r="AD598" s="18"/>
      <c r="AH598" s="18"/>
      <c r="AL598" s="18"/>
      <c r="AM598" s="22"/>
      <c r="AN598" s="22"/>
      <c r="AO598" s="22"/>
      <c r="AP598" s="22"/>
      <c r="AQ598" s="22"/>
      <c r="AR598" s="22"/>
      <c r="AS598" s="22"/>
      <c r="AT598" s="22"/>
    </row>
    <row r="599" spans="7:46" ht="13">
      <c r="G599" s="34"/>
      <c r="J599" s="18"/>
      <c r="N599" s="18"/>
      <c r="O599" s="1"/>
      <c r="P599" s="1"/>
      <c r="Q599" s="1"/>
      <c r="R599" s="18"/>
      <c r="S599" s="1"/>
      <c r="T599" s="1"/>
      <c r="U599" s="1"/>
      <c r="V599" s="1"/>
      <c r="Z599" s="18"/>
      <c r="AD599" s="18"/>
      <c r="AH599" s="18"/>
      <c r="AL599" s="18"/>
      <c r="AM599" s="22"/>
      <c r="AN599" s="22"/>
      <c r="AO599" s="22"/>
      <c r="AP599" s="22"/>
      <c r="AQ599" s="22"/>
      <c r="AR599" s="22"/>
      <c r="AS599" s="22"/>
      <c r="AT599" s="22"/>
    </row>
    <row r="600" spans="7:46" ht="13">
      <c r="G600" s="34"/>
      <c r="J600" s="18"/>
      <c r="N600" s="18"/>
      <c r="O600" s="1"/>
      <c r="P600" s="1"/>
      <c r="Q600" s="1"/>
      <c r="R600" s="18"/>
      <c r="S600" s="1"/>
      <c r="T600" s="1"/>
      <c r="U600" s="1"/>
      <c r="V600" s="1"/>
      <c r="Z600" s="18"/>
      <c r="AD600" s="18"/>
      <c r="AH600" s="18"/>
      <c r="AL600" s="18"/>
      <c r="AM600" s="22"/>
      <c r="AN600" s="22"/>
      <c r="AO600" s="22"/>
      <c r="AP600" s="22"/>
      <c r="AQ600" s="22"/>
      <c r="AR600" s="22"/>
      <c r="AS600" s="22"/>
      <c r="AT600" s="22"/>
    </row>
    <row r="601" spans="7:46" ht="13">
      <c r="G601" s="34"/>
      <c r="J601" s="18"/>
      <c r="N601" s="18"/>
      <c r="O601" s="1"/>
      <c r="P601" s="1"/>
      <c r="Q601" s="1"/>
      <c r="R601" s="18"/>
      <c r="S601" s="1"/>
      <c r="T601" s="1"/>
      <c r="U601" s="1"/>
      <c r="V601" s="1"/>
      <c r="Z601" s="18"/>
      <c r="AD601" s="18"/>
      <c r="AH601" s="18"/>
      <c r="AL601" s="18"/>
      <c r="AM601" s="22"/>
      <c r="AN601" s="22"/>
      <c r="AO601" s="22"/>
      <c r="AP601" s="22"/>
      <c r="AQ601" s="22"/>
      <c r="AR601" s="22"/>
      <c r="AS601" s="22"/>
      <c r="AT601" s="22"/>
    </row>
    <row r="602" spans="7:46" ht="13">
      <c r="G602" s="34"/>
      <c r="J602" s="18"/>
      <c r="N602" s="18"/>
      <c r="O602" s="1"/>
      <c r="P602" s="1"/>
      <c r="Q602" s="1"/>
      <c r="R602" s="18"/>
      <c r="S602" s="1"/>
      <c r="T602" s="1"/>
      <c r="U602" s="1"/>
      <c r="V602" s="1"/>
      <c r="Z602" s="18"/>
      <c r="AD602" s="18"/>
      <c r="AH602" s="18"/>
      <c r="AL602" s="18"/>
      <c r="AM602" s="22"/>
      <c r="AN602" s="22"/>
      <c r="AO602" s="22"/>
      <c r="AP602" s="22"/>
      <c r="AQ602" s="22"/>
      <c r="AR602" s="22"/>
      <c r="AS602" s="22"/>
      <c r="AT602" s="22"/>
    </row>
    <row r="603" spans="7:46" ht="13">
      <c r="G603" s="34"/>
      <c r="J603" s="18"/>
      <c r="N603" s="18"/>
      <c r="O603" s="1"/>
      <c r="P603" s="1"/>
      <c r="Q603" s="1"/>
      <c r="R603" s="18"/>
      <c r="S603" s="1"/>
      <c r="T603" s="1"/>
      <c r="U603" s="1"/>
      <c r="V603" s="1"/>
      <c r="Z603" s="18"/>
      <c r="AD603" s="18"/>
      <c r="AH603" s="18"/>
      <c r="AL603" s="18"/>
      <c r="AM603" s="22"/>
      <c r="AN603" s="22"/>
      <c r="AO603" s="22"/>
      <c r="AP603" s="22"/>
      <c r="AQ603" s="22"/>
      <c r="AR603" s="22"/>
      <c r="AS603" s="22"/>
      <c r="AT603" s="22"/>
    </row>
    <row r="604" spans="7:46" ht="13">
      <c r="G604" s="34"/>
      <c r="J604" s="18"/>
      <c r="N604" s="18"/>
      <c r="O604" s="1"/>
      <c r="P604" s="1"/>
      <c r="Q604" s="1"/>
      <c r="R604" s="18"/>
      <c r="S604" s="1"/>
      <c r="T604" s="1"/>
      <c r="U604" s="1"/>
      <c r="V604" s="1"/>
      <c r="Z604" s="18"/>
      <c r="AD604" s="18"/>
      <c r="AH604" s="18"/>
      <c r="AL604" s="18"/>
      <c r="AM604" s="22"/>
      <c r="AN604" s="22"/>
      <c r="AO604" s="22"/>
      <c r="AP604" s="22"/>
      <c r="AQ604" s="22"/>
      <c r="AR604" s="22"/>
      <c r="AS604" s="22"/>
      <c r="AT604" s="22"/>
    </row>
    <row r="605" spans="7:46" ht="13">
      <c r="G605" s="34"/>
      <c r="J605" s="18"/>
      <c r="N605" s="18"/>
      <c r="O605" s="1"/>
      <c r="P605" s="1"/>
      <c r="Q605" s="1"/>
      <c r="R605" s="18"/>
      <c r="S605" s="1"/>
      <c r="T605" s="1"/>
      <c r="U605" s="1"/>
      <c r="V605" s="1"/>
      <c r="Z605" s="18"/>
      <c r="AD605" s="18"/>
      <c r="AH605" s="18"/>
      <c r="AL605" s="18"/>
      <c r="AM605" s="22"/>
      <c r="AN605" s="22"/>
      <c r="AO605" s="22"/>
      <c r="AP605" s="22"/>
      <c r="AQ605" s="22"/>
      <c r="AR605" s="22"/>
      <c r="AS605" s="22"/>
      <c r="AT605" s="22"/>
    </row>
    <row r="606" spans="7:46" ht="13">
      <c r="G606" s="34"/>
      <c r="J606" s="18"/>
      <c r="N606" s="18"/>
      <c r="O606" s="1"/>
      <c r="P606" s="1"/>
      <c r="Q606" s="1"/>
      <c r="R606" s="18"/>
      <c r="S606" s="1"/>
      <c r="T606" s="1"/>
      <c r="U606" s="1"/>
      <c r="V606" s="1"/>
      <c r="Z606" s="18"/>
      <c r="AD606" s="18"/>
      <c r="AH606" s="18"/>
      <c r="AL606" s="18"/>
      <c r="AM606" s="22"/>
      <c r="AN606" s="22"/>
      <c r="AO606" s="22"/>
      <c r="AP606" s="22"/>
      <c r="AQ606" s="22"/>
      <c r="AR606" s="22"/>
      <c r="AS606" s="22"/>
      <c r="AT606" s="22"/>
    </row>
    <row r="607" spans="7:46" ht="13">
      <c r="G607" s="34"/>
      <c r="J607" s="18"/>
      <c r="N607" s="18"/>
      <c r="O607" s="1"/>
      <c r="P607" s="1"/>
      <c r="Q607" s="1"/>
      <c r="R607" s="18"/>
      <c r="S607" s="1"/>
      <c r="T607" s="1"/>
      <c r="U607" s="1"/>
      <c r="V607" s="1"/>
      <c r="Z607" s="18"/>
      <c r="AD607" s="18"/>
      <c r="AH607" s="18"/>
      <c r="AL607" s="18"/>
      <c r="AM607" s="22"/>
      <c r="AN607" s="22"/>
      <c r="AO607" s="22"/>
      <c r="AP607" s="22"/>
      <c r="AQ607" s="22"/>
      <c r="AR607" s="22"/>
      <c r="AS607" s="22"/>
      <c r="AT607" s="22"/>
    </row>
    <row r="608" spans="7:46" ht="13">
      <c r="G608" s="34"/>
      <c r="J608" s="18"/>
      <c r="N608" s="18"/>
      <c r="O608" s="1"/>
      <c r="P608" s="1"/>
      <c r="Q608" s="1"/>
      <c r="R608" s="18"/>
      <c r="S608" s="1"/>
      <c r="T608" s="1"/>
      <c r="U608" s="1"/>
      <c r="V608" s="1"/>
      <c r="Z608" s="18"/>
      <c r="AD608" s="18"/>
      <c r="AH608" s="18"/>
      <c r="AL608" s="18"/>
      <c r="AM608" s="22"/>
      <c r="AN608" s="22"/>
      <c r="AO608" s="22"/>
      <c r="AP608" s="22"/>
      <c r="AQ608" s="22"/>
      <c r="AR608" s="22"/>
      <c r="AS608" s="22"/>
      <c r="AT608" s="22"/>
    </row>
    <row r="609" spans="7:46" ht="13">
      <c r="G609" s="34"/>
      <c r="J609" s="18"/>
      <c r="N609" s="18"/>
      <c r="O609" s="1"/>
      <c r="P609" s="1"/>
      <c r="Q609" s="1"/>
      <c r="R609" s="18"/>
      <c r="S609" s="1"/>
      <c r="T609" s="1"/>
      <c r="U609" s="1"/>
      <c r="V609" s="1"/>
      <c r="Z609" s="18"/>
      <c r="AD609" s="18"/>
      <c r="AH609" s="18"/>
      <c r="AL609" s="18"/>
      <c r="AM609" s="22"/>
      <c r="AN609" s="22"/>
      <c r="AO609" s="22"/>
      <c r="AP609" s="22"/>
      <c r="AQ609" s="22"/>
      <c r="AR609" s="22"/>
      <c r="AS609" s="22"/>
      <c r="AT609" s="22"/>
    </row>
    <row r="610" spans="7:46" ht="13">
      <c r="G610" s="34"/>
      <c r="J610" s="18"/>
      <c r="N610" s="18"/>
      <c r="O610" s="1"/>
      <c r="P610" s="1"/>
      <c r="Q610" s="1"/>
      <c r="R610" s="18"/>
      <c r="S610" s="1"/>
      <c r="T610" s="1"/>
      <c r="U610" s="1"/>
      <c r="V610" s="1"/>
      <c r="Z610" s="18"/>
      <c r="AD610" s="18"/>
      <c r="AH610" s="18"/>
      <c r="AL610" s="18"/>
      <c r="AM610" s="22"/>
      <c r="AN610" s="22"/>
      <c r="AO610" s="22"/>
      <c r="AP610" s="22"/>
      <c r="AQ610" s="22"/>
      <c r="AR610" s="22"/>
      <c r="AS610" s="22"/>
      <c r="AT610" s="22"/>
    </row>
    <row r="611" spans="7:46" ht="13">
      <c r="G611" s="34"/>
      <c r="J611" s="18"/>
      <c r="N611" s="18"/>
      <c r="O611" s="1"/>
      <c r="P611" s="1"/>
      <c r="Q611" s="1"/>
      <c r="R611" s="18"/>
      <c r="S611" s="1"/>
      <c r="T611" s="1"/>
      <c r="U611" s="1"/>
      <c r="V611" s="1"/>
      <c r="Z611" s="18"/>
      <c r="AD611" s="18"/>
      <c r="AH611" s="18"/>
      <c r="AL611" s="18"/>
      <c r="AM611" s="22"/>
      <c r="AN611" s="22"/>
      <c r="AO611" s="22"/>
      <c r="AP611" s="22"/>
      <c r="AQ611" s="22"/>
      <c r="AR611" s="22"/>
      <c r="AS611" s="22"/>
      <c r="AT611" s="22"/>
    </row>
    <row r="612" spans="7:46" ht="13">
      <c r="G612" s="34"/>
      <c r="J612" s="18"/>
      <c r="N612" s="18"/>
      <c r="O612" s="1"/>
      <c r="P612" s="1"/>
      <c r="Q612" s="1"/>
      <c r="R612" s="18"/>
      <c r="S612" s="1"/>
      <c r="T612" s="1"/>
      <c r="U612" s="1"/>
      <c r="V612" s="1"/>
      <c r="Z612" s="18"/>
      <c r="AD612" s="18"/>
      <c r="AH612" s="18"/>
      <c r="AL612" s="18"/>
      <c r="AM612" s="22"/>
      <c r="AN612" s="22"/>
      <c r="AO612" s="22"/>
      <c r="AP612" s="22"/>
      <c r="AQ612" s="22"/>
      <c r="AR612" s="22"/>
      <c r="AS612" s="22"/>
      <c r="AT612" s="22"/>
    </row>
    <row r="613" spans="7:46" ht="13">
      <c r="G613" s="34"/>
      <c r="J613" s="18"/>
      <c r="N613" s="18"/>
      <c r="O613" s="1"/>
      <c r="P613" s="1"/>
      <c r="Q613" s="1"/>
      <c r="R613" s="18"/>
      <c r="S613" s="1"/>
      <c r="T613" s="1"/>
      <c r="U613" s="1"/>
      <c r="V613" s="1"/>
      <c r="Z613" s="18"/>
      <c r="AD613" s="18"/>
      <c r="AH613" s="18"/>
      <c r="AL613" s="18"/>
      <c r="AM613" s="22"/>
      <c r="AN613" s="22"/>
      <c r="AO613" s="22"/>
      <c r="AP613" s="22"/>
      <c r="AQ613" s="22"/>
      <c r="AR613" s="22"/>
      <c r="AS613" s="22"/>
      <c r="AT613" s="22"/>
    </row>
    <row r="614" spans="7:46" ht="13">
      <c r="G614" s="34"/>
      <c r="J614" s="18"/>
      <c r="N614" s="18"/>
      <c r="O614" s="1"/>
      <c r="P614" s="1"/>
      <c r="Q614" s="1"/>
      <c r="R614" s="18"/>
      <c r="S614" s="1"/>
      <c r="T614" s="1"/>
      <c r="U614" s="1"/>
      <c r="V614" s="1"/>
      <c r="Z614" s="18"/>
      <c r="AD614" s="18"/>
      <c r="AH614" s="18"/>
      <c r="AL614" s="18"/>
      <c r="AM614" s="22"/>
      <c r="AN614" s="22"/>
      <c r="AO614" s="22"/>
      <c r="AP614" s="22"/>
      <c r="AQ614" s="22"/>
      <c r="AR614" s="22"/>
      <c r="AS614" s="22"/>
      <c r="AT614" s="22"/>
    </row>
    <row r="615" spans="7:46" ht="13">
      <c r="G615" s="34"/>
      <c r="J615" s="18"/>
      <c r="N615" s="18"/>
      <c r="O615" s="1"/>
      <c r="P615" s="1"/>
      <c r="Q615" s="1"/>
      <c r="R615" s="18"/>
      <c r="S615" s="1"/>
      <c r="T615" s="1"/>
      <c r="U615" s="1"/>
      <c r="V615" s="1"/>
      <c r="Z615" s="18"/>
      <c r="AD615" s="18"/>
      <c r="AH615" s="18"/>
      <c r="AL615" s="18"/>
      <c r="AM615" s="22"/>
      <c r="AN615" s="22"/>
      <c r="AO615" s="22"/>
      <c r="AP615" s="22"/>
      <c r="AQ615" s="22"/>
      <c r="AR615" s="22"/>
      <c r="AS615" s="22"/>
      <c r="AT615" s="22"/>
    </row>
    <row r="616" spans="7:46" ht="13">
      <c r="G616" s="34"/>
      <c r="J616" s="18"/>
      <c r="N616" s="18"/>
      <c r="O616" s="1"/>
      <c r="P616" s="1"/>
      <c r="Q616" s="1"/>
      <c r="R616" s="18"/>
      <c r="S616" s="1"/>
      <c r="T616" s="1"/>
      <c r="U616" s="1"/>
      <c r="V616" s="1"/>
      <c r="Z616" s="18"/>
      <c r="AD616" s="18"/>
      <c r="AH616" s="18"/>
      <c r="AL616" s="18"/>
      <c r="AM616" s="22"/>
      <c r="AN616" s="22"/>
      <c r="AO616" s="22"/>
      <c r="AP616" s="22"/>
      <c r="AQ616" s="22"/>
      <c r="AR616" s="22"/>
      <c r="AS616" s="22"/>
      <c r="AT616" s="22"/>
    </row>
    <row r="617" spans="7:46" ht="13">
      <c r="G617" s="34"/>
      <c r="J617" s="18"/>
      <c r="N617" s="18"/>
      <c r="O617" s="1"/>
      <c r="P617" s="1"/>
      <c r="Q617" s="1"/>
      <c r="R617" s="18"/>
      <c r="S617" s="1"/>
      <c r="T617" s="1"/>
      <c r="U617" s="1"/>
      <c r="V617" s="1"/>
      <c r="Z617" s="18"/>
      <c r="AD617" s="18"/>
      <c r="AH617" s="18"/>
      <c r="AL617" s="18"/>
      <c r="AM617" s="22"/>
      <c r="AN617" s="22"/>
      <c r="AO617" s="22"/>
      <c r="AP617" s="22"/>
      <c r="AQ617" s="22"/>
      <c r="AR617" s="22"/>
      <c r="AS617" s="22"/>
      <c r="AT617" s="22"/>
    </row>
    <row r="618" spans="7:46" ht="13">
      <c r="G618" s="34"/>
      <c r="J618" s="18"/>
      <c r="N618" s="18"/>
      <c r="O618" s="1"/>
      <c r="P618" s="1"/>
      <c r="Q618" s="1"/>
      <c r="R618" s="18"/>
      <c r="S618" s="1"/>
      <c r="T618" s="1"/>
      <c r="U618" s="1"/>
      <c r="V618" s="1"/>
      <c r="Z618" s="18"/>
      <c r="AD618" s="18"/>
      <c r="AH618" s="18"/>
      <c r="AL618" s="18"/>
      <c r="AM618" s="22"/>
      <c r="AN618" s="22"/>
      <c r="AO618" s="22"/>
      <c r="AP618" s="22"/>
      <c r="AQ618" s="22"/>
      <c r="AR618" s="22"/>
      <c r="AS618" s="22"/>
      <c r="AT618" s="22"/>
    </row>
    <row r="619" spans="7:46" ht="13">
      <c r="G619" s="34"/>
      <c r="J619" s="18"/>
      <c r="N619" s="18"/>
      <c r="O619" s="1"/>
      <c r="P619" s="1"/>
      <c r="Q619" s="1"/>
      <c r="R619" s="18"/>
      <c r="S619" s="1"/>
      <c r="T619" s="1"/>
      <c r="U619" s="1"/>
      <c r="V619" s="1"/>
      <c r="Z619" s="18"/>
      <c r="AD619" s="18"/>
      <c r="AH619" s="18"/>
      <c r="AL619" s="18"/>
      <c r="AM619" s="22"/>
      <c r="AN619" s="22"/>
      <c r="AO619" s="22"/>
      <c r="AP619" s="22"/>
      <c r="AQ619" s="22"/>
      <c r="AR619" s="22"/>
      <c r="AS619" s="22"/>
      <c r="AT619" s="22"/>
    </row>
    <row r="620" spans="7:46" ht="13">
      <c r="G620" s="34"/>
      <c r="J620" s="18"/>
      <c r="N620" s="18"/>
      <c r="O620" s="1"/>
      <c r="P620" s="1"/>
      <c r="Q620" s="1"/>
      <c r="R620" s="18"/>
      <c r="S620" s="1"/>
      <c r="T620" s="1"/>
      <c r="U620" s="1"/>
      <c r="V620" s="1"/>
      <c r="Z620" s="18"/>
      <c r="AD620" s="18"/>
      <c r="AH620" s="18"/>
      <c r="AL620" s="18"/>
      <c r="AM620" s="22"/>
      <c r="AN620" s="22"/>
      <c r="AO620" s="22"/>
      <c r="AP620" s="22"/>
      <c r="AQ620" s="22"/>
      <c r="AR620" s="22"/>
      <c r="AS620" s="22"/>
      <c r="AT620" s="22"/>
    </row>
    <row r="621" spans="7:46" ht="13">
      <c r="G621" s="34"/>
      <c r="J621" s="18"/>
      <c r="N621" s="18"/>
      <c r="O621" s="1"/>
      <c r="P621" s="1"/>
      <c r="Q621" s="1"/>
      <c r="R621" s="18"/>
      <c r="S621" s="1"/>
      <c r="T621" s="1"/>
      <c r="U621" s="1"/>
      <c r="V621" s="1"/>
      <c r="Z621" s="18"/>
      <c r="AD621" s="18"/>
      <c r="AH621" s="18"/>
      <c r="AL621" s="18"/>
      <c r="AM621" s="22"/>
      <c r="AN621" s="22"/>
      <c r="AO621" s="22"/>
      <c r="AP621" s="22"/>
      <c r="AQ621" s="22"/>
      <c r="AR621" s="22"/>
      <c r="AS621" s="22"/>
      <c r="AT621" s="22"/>
    </row>
    <row r="622" spans="7:46" ht="13">
      <c r="G622" s="34"/>
      <c r="J622" s="18"/>
      <c r="N622" s="18"/>
      <c r="O622" s="1"/>
      <c r="P622" s="1"/>
      <c r="Q622" s="1"/>
      <c r="R622" s="18"/>
      <c r="S622" s="1"/>
      <c r="T622" s="1"/>
      <c r="U622" s="1"/>
      <c r="V622" s="1"/>
      <c r="Z622" s="18"/>
      <c r="AD622" s="18"/>
      <c r="AH622" s="18"/>
      <c r="AL622" s="18"/>
      <c r="AM622" s="22"/>
      <c r="AN622" s="22"/>
      <c r="AO622" s="22"/>
      <c r="AP622" s="22"/>
      <c r="AQ622" s="22"/>
      <c r="AR622" s="22"/>
      <c r="AS622" s="22"/>
      <c r="AT622" s="22"/>
    </row>
    <row r="623" spans="7:46" ht="13">
      <c r="G623" s="34"/>
      <c r="J623" s="18"/>
      <c r="N623" s="18"/>
      <c r="O623" s="1"/>
      <c r="P623" s="1"/>
      <c r="Q623" s="1"/>
      <c r="R623" s="18"/>
      <c r="S623" s="1"/>
      <c r="T623" s="1"/>
      <c r="U623" s="1"/>
      <c r="V623" s="1"/>
      <c r="Z623" s="18"/>
      <c r="AD623" s="18"/>
      <c r="AH623" s="18"/>
      <c r="AL623" s="18"/>
      <c r="AM623" s="22"/>
      <c r="AN623" s="22"/>
      <c r="AO623" s="22"/>
      <c r="AP623" s="22"/>
      <c r="AQ623" s="22"/>
      <c r="AR623" s="22"/>
      <c r="AS623" s="22"/>
      <c r="AT623" s="22"/>
    </row>
    <row r="624" spans="7:46" ht="13">
      <c r="G624" s="34"/>
      <c r="J624" s="18"/>
      <c r="N624" s="18"/>
      <c r="O624" s="1"/>
      <c r="P624" s="1"/>
      <c r="Q624" s="1"/>
      <c r="R624" s="18"/>
      <c r="S624" s="1"/>
      <c r="T624" s="1"/>
      <c r="U624" s="1"/>
      <c r="V624" s="1"/>
      <c r="Z624" s="18"/>
      <c r="AD624" s="18"/>
      <c r="AH624" s="18"/>
      <c r="AL624" s="18"/>
      <c r="AM624" s="22"/>
      <c r="AN624" s="22"/>
      <c r="AO624" s="22"/>
      <c r="AP624" s="22"/>
      <c r="AQ624" s="22"/>
      <c r="AR624" s="22"/>
      <c r="AS624" s="22"/>
      <c r="AT624" s="22"/>
    </row>
    <row r="625" spans="7:46" ht="13">
      <c r="G625" s="34"/>
      <c r="J625" s="18"/>
      <c r="N625" s="18"/>
      <c r="O625" s="1"/>
      <c r="P625" s="1"/>
      <c r="Q625" s="1"/>
      <c r="R625" s="18"/>
      <c r="S625" s="1"/>
      <c r="T625" s="1"/>
      <c r="U625" s="1"/>
      <c r="V625" s="1"/>
      <c r="Z625" s="18"/>
      <c r="AD625" s="18"/>
      <c r="AH625" s="18"/>
      <c r="AL625" s="18"/>
      <c r="AM625" s="22"/>
      <c r="AN625" s="22"/>
      <c r="AO625" s="22"/>
      <c r="AP625" s="22"/>
      <c r="AQ625" s="22"/>
      <c r="AR625" s="22"/>
      <c r="AS625" s="22"/>
      <c r="AT625" s="22"/>
    </row>
    <row r="626" spans="7:46" ht="13">
      <c r="G626" s="34"/>
      <c r="J626" s="18"/>
      <c r="N626" s="18"/>
      <c r="O626" s="1"/>
      <c r="P626" s="1"/>
      <c r="Q626" s="1"/>
      <c r="R626" s="18"/>
      <c r="S626" s="1"/>
      <c r="T626" s="1"/>
      <c r="U626" s="1"/>
      <c r="V626" s="1"/>
      <c r="Z626" s="18"/>
      <c r="AD626" s="18"/>
      <c r="AH626" s="18"/>
      <c r="AL626" s="18"/>
      <c r="AM626" s="22"/>
      <c r="AN626" s="22"/>
      <c r="AO626" s="22"/>
      <c r="AP626" s="22"/>
      <c r="AQ626" s="22"/>
      <c r="AR626" s="22"/>
      <c r="AS626" s="22"/>
      <c r="AT626" s="22"/>
    </row>
    <row r="627" spans="7:46" ht="13">
      <c r="G627" s="34"/>
      <c r="J627" s="18"/>
      <c r="N627" s="18"/>
      <c r="O627" s="1"/>
      <c r="P627" s="1"/>
      <c r="Q627" s="1"/>
      <c r="R627" s="18"/>
      <c r="S627" s="1"/>
      <c r="T627" s="1"/>
      <c r="U627" s="1"/>
      <c r="V627" s="1"/>
      <c r="Z627" s="18"/>
      <c r="AD627" s="18"/>
      <c r="AH627" s="18"/>
      <c r="AL627" s="18"/>
      <c r="AM627" s="22"/>
      <c r="AN627" s="22"/>
      <c r="AO627" s="22"/>
      <c r="AP627" s="22"/>
      <c r="AQ627" s="22"/>
      <c r="AR627" s="22"/>
      <c r="AS627" s="22"/>
      <c r="AT627" s="22"/>
    </row>
    <row r="628" spans="7:46" ht="13">
      <c r="G628" s="34"/>
      <c r="J628" s="18"/>
      <c r="N628" s="18"/>
      <c r="O628" s="1"/>
      <c r="P628" s="1"/>
      <c r="Q628" s="1"/>
      <c r="R628" s="18"/>
      <c r="S628" s="1"/>
      <c r="T628" s="1"/>
      <c r="U628" s="1"/>
      <c r="V628" s="1"/>
      <c r="Z628" s="18"/>
      <c r="AD628" s="18"/>
      <c r="AH628" s="18"/>
      <c r="AL628" s="18"/>
      <c r="AM628" s="22"/>
      <c r="AN628" s="22"/>
      <c r="AO628" s="22"/>
      <c r="AP628" s="22"/>
      <c r="AQ628" s="22"/>
      <c r="AR628" s="22"/>
      <c r="AS628" s="22"/>
      <c r="AT628" s="22"/>
    </row>
    <row r="629" spans="7:46" ht="13">
      <c r="G629" s="34"/>
      <c r="J629" s="18"/>
      <c r="N629" s="18"/>
      <c r="O629" s="1"/>
      <c r="P629" s="1"/>
      <c r="Q629" s="1"/>
      <c r="R629" s="18"/>
      <c r="S629" s="1"/>
      <c r="T629" s="1"/>
      <c r="U629" s="1"/>
      <c r="V629" s="1"/>
      <c r="Z629" s="18"/>
      <c r="AD629" s="18"/>
      <c r="AH629" s="18"/>
      <c r="AL629" s="18"/>
      <c r="AM629" s="22"/>
      <c r="AN629" s="22"/>
      <c r="AO629" s="22"/>
      <c r="AP629" s="22"/>
      <c r="AQ629" s="22"/>
      <c r="AR629" s="22"/>
      <c r="AS629" s="22"/>
      <c r="AT629" s="22"/>
    </row>
    <row r="630" spans="7:46" ht="13">
      <c r="G630" s="34"/>
      <c r="J630" s="18"/>
      <c r="N630" s="18"/>
      <c r="O630" s="1"/>
      <c r="P630" s="1"/>
      <c r="Q630" s="1"/>
      <c r="R630" s="18"/>
      <c r="S630" s="1"/>
      <c r="T630" s="1"/>
      <c r="U630" s="1"/>
      <c r="V630" s="1"/>
      <c r="Z630" s="18"/>
      <c r="AD630" s="18"/>
      <c r="AH630" s="18"/>
      <c r="AL630" s="18"/>
      <c r="AM630" s="22"/>
      <c r="AN630" s="22"/>
      <c r="AO630" s="22"/>
      <c r="AP630" s="22"/>
      <c r="AQ630" s="22"/>
      <c r="AR630" s="22"/>
      <c r="AS630" s="22"/>
      <c r="AT630" s="22"/>
    </row>
    <row r="631" spans="7:46" ht="13">
      <c r="G631" s="34"/>
      <c r="J631" s="18"/>
      <c r="N631" s="18"/>
      <c r="O631" s="1"/>
      <c r="P631" s="1"/>
      <c r="Q631" s="1"/>
      <c r="R631" s="18"/>
      <c r="S631" s="1"/>
      <c r="T631" s="1"/>
      <c r="U631" s="1"/>
      <c r="V631" s="1"/>
      <c r="Z631" s="18"/>
      <c r="AD631" s="18"/>
      <c r="AH631" s="18"/>
      <c r="AL631" s="18"/>
      <c r="AM631" s="22"/>
      <c r="AN631" s="22"/>
      <c r="AO631" s="22"/>
      <c r="AP631" s="22"/>
      <c r="AQ631" s="22"/>
      <c r="AR631" s="22"/>
      <c r="AS631" s="22"/>
      <c r="AT631" s="22"/>
    </row>
    <row r="632" spans="7:46" ht="13">
      <c r="G632" s="34"/>
      <c r="J632" s="18"/>
      <c r="N632" s="18"/>
      <c r="O632" s="1"/>
      <c r="P632" s="1"/>
      <c r="Q632" s="1"/>
      <c r="R632" s="18"/>
      <c r="S632" s="1"/>
      <c r="T632" s="1"/>
      <c r="U632" s="1"/>
      <c r="V632" s="1"/>
      <c r="Z632" s="18"/>
      <c r="AD632" s="18"/>
      <c r="AH632" s="18"/>
      <c r="AL632" s="18"/>
      <c r="AM632" s="22"/>
      <c r="AN632" s="22"/>
      <c r="AO632" s="22"/>
      <c r="AP632" s="22"/>
      <c r="AQ632" s="22"/>
      <c r="AR632" s="22"/>
      <c r="AS632" s="22"/>
      <c r="AT632" s="22"/>
    </row>
    <row r="633" spans="7:46" ht="13">
      <c r="G633" s="34"/>
      <c r="J633" s="18"/>
      <c r="N633" s="18"/>
      <c r="O633" s="1"/>
      <c r="P633" s="1"/>
      <c r="Q633" s="1"/>
      <c r="R633" s="18"/>
      <c r="S633" s="1"/>
      <c r="T633" s="1"/>
      <c r="U633" s="1"/>
      <c r="V633" s="1"/>
      <c r="Z633" s="18"/>
      <c r="AD633" s="18"/>
      <c r="AH633" s="18"/>
      <c r="AL633" s="18"/>
      <c r="AM633" s="22"/>
      <c r="AN633" s="22"/>
      <c r="AO633" s="22"/>
      <c r="AP633" s="22"/>
      <c r="AQ633" s="22"/>
      <c r="AR633" s="22"/>
      <c r="AS633" s="22"/>
      <c r="AT633" s="22"/>
    </row>
    <row r="634" spans="7:46" ht="13">
      <c r="G634" s="34"/>
      <c r="J634" s="18"/>
      <c r="N634" s="18"/>
      <c r="O634" s="1"/>
      <c r="P634" s="1"/>
      <c r="Q634" s="1"/>
      <c r="R634" s="18"/>
      <c r="S634" s="1"/>
      <c r="T634" s="1"/>
      <c r="U634" s="1"/>
      <c r="V634" s="1"/>
      <c r="Z634" s="18"/>
      <c r="AD634" s="18"/>
      <c r="AH634" s="18"/>
      <c r="AL634" s="18"/>
      <c r="AM634" s="22"/>
      <c r="AN634" s="22"/>
      <c r="AO634" s="22"/>
      <c r="AP634" s="22"/>
      <c r="AQ634" s="22"/>
      <c r="AR634" s="22"/>
      <c r="AS634" s="22"/>
      <c r="AT634" s="22"/>
    </row>
    <row r="635" spans="7:46" ht="13">
      <c r="G635" s="34"/>
      <c r="J635" s="18"/>
      <c r="N635" s="18"/>
      <c r="O635" s="1"/>
      <c r="P635" s="1"/>
      <c r="Q635" s="1"/>
      <c r="R635" s="18"/>
      <c r="S635" s="1"/>
      <c r="T635" s="1"/>
      <c r="U635" s="1"/>
      <c r="V635" s="1"/>
      <c r="Z635" s="18"/>
      <c r="AD635" s="18"/>
      <c r="AH635" s="18"/>
      <c r="AL635" s="18"/>
      <c r="AM635" s="22"/>
      <c r="AN635" s="22"/>
      <c r="AO635" s="22"/>
      <c r="AP635" s="22"/>
      <c r="AQ635" s="22"/>
      <c r="AR635" s="22"/>
      <c r="AS635" s="22"/>
      <c r="AT635" s="22"/>
    </row>
    <row r="636" spans="7:46" ht="13">
      <c r="G636" s="34"/>
      <c r="J636" s="18"/>
      <c r="N636" s="18"/>
      <c r="O636" s="1"/>
      <c r="P636" s="1"/>
      <c r="Q636" s="1"/>
      <c r="R636" s="18"/>
      <c r="S636" s="1"/>
      <c r="T636" s="1"/>
      <c r="U636" s="1"/>
      <c r="V636" s="1"/>
      <c r="Z636" s="18"/>
      <c r="AD636" s="18"/>
      <c r="AH636" s="18"/>
      <c r="AL636" s="18"/>
      <c r="AM636" s="22"/>
      <c r="AN636" s="22"/>
      <c r="AO636" s="22"/>
      <c r="AP636" s="22"/>
      <c r="AQ636" s="22"/>
      <c r="AR636" s="22"/>
      <c r="AS636" s="22"/>
      <c r="AT636" s="22"/>
    </row>
    <row r="637" spans="7:46" ht="13">
      <c r="G637" s="34"/>
      <c r="J637" s="18"/>
      <c r="N637" s="18"/>
      <c r="O637" s="1"/>
      <c r="P637" s="1"/>
      <c r="Q637" s="1"/>
      <c r="R637" s="18"/>
      <c r="S637" s="1"/>
      <c r="T637" s="1"/>
      <c r="U637" s="1"/>
      <c r="V637" s="1"/>
      <c r="Z637" s="18"/>
      <c r="AD637" s="18"/>
      <c r="AH637" s="18"/>
      <c r="AL637" s="18"/>
      <c r="AM637" s="22"/>
      <c r="AN637" s="22"/>
      <c r="AO637" s="22"/>
      <c r="AP637" s="22"/>
      <c r="AQ637" s="22"/>
      <c r="AR637" s="22"/>
      <c r="AS637" s="22"/>
      <c r="AT637" s="22"/>
    </row>
    <row r="638" spans="7:46" ht="13">
      <c r="G638" s="34"/>
      <c r="J638" s="18"/>
      <c r="N638" s="18"/>
      <c r="O638" s="1"/>
      <c r="P638" s="1"/>
      <c r="Q638" s="1"/>
      <c r="R638" s="18"/>
      <c r="S638" s="1"/>
      <c r="T638" s="1"/>
      <c r="U638" s="1"/>
      <c r="V638" s="1"/>
      <c r="Z638" s="18"/>
      <c r="AD638" s="18"/>
      <c r="AH638" s="18"/>
      <c r="AL638" s="18"/>
      <c r="AM638" s="22"/>
      <c r="AN638" s="22"/>
      <c r="AO638" s="22"/>
      <c r="AP638" s="22"/>
      <c r="AQ638" s="22"/>
      <c r="AR638" s="22"/>
      <c r="AS638" s="22"/>
      <c r="AT638" s="22"/>
    </row>
    <row r="639" spans="7:46" ht="13">
      <c r="G639" s="34"/>
      <c r="J639" s="18"/>
      <c r="N639" s="18"/>
      <c r="O639" s="1"/>
      <c r="P639" s="1"/>
      <c r="Q639" s="1"/>
      <c r="R639" s="18"/>
      <c r="S639" s="1"/>
      <c r="T639" s="1"/>
      <c r="U639" s="1"/>
      <c r="V639" s="1"/>
      <c r="Z639" s="18"/>
      <c r="AD639" s="18"/>
      <c r="AH639" s="18"/>
      <c r="AL639" s="18"/>
      <c r="AM639" s="22"/>
      <c r="AN639" s="22"/>
      <c r="AO639" s="22"/>
      <c r="AP639" s="22"/>
      <c r="AQ639" s="22"/>
      <c r="AR639" s="22"/>
      <c r="AS639" s="22"/>
      <c r="AT639" s="22"/>
    </row>
    <row r="640" spans="7:46" ht="13">
      <c r="G640" s="34"/>
      <c r="J640" s="18"/>
      <c r="N640" s="18"/>
      <c r="O640" s="1"/>
      <c r="P640" s="1"/>
      <c r="Q640" s="1"/>
      <c r="R640" s="18"/>
      <c r="S640" s="1"/>
      <c r="T640" s="1"/>
      <c r="U640" s="1"/>
      <c r="V640" s="1"/>
      <c r="Z640" s="18"/>
      <c r="AD640" s="18"/>
      <c r="AH640" s="18"/>
      <c r="AL640" s="18"/>
      <c r="AM640" s="22"/>
      <c r="AN640" s="22"/>
      <c r="AO640" s="22"/>
      <c r="AP640" s="22"/>
      <c r="AQ640" s="22"/>
      <c r="AR640" s="22"/>
      <c r="AS640" s="22"/>
      <c r="AT640" s="22"/>
    </row>
    <row r="641" spans="7:46" ht="13">
      <c r="G641" s="34"/>
      <c r="J641" s="18"/>
      <c r="N641" s="18"/>
      <c r="O641" s="1"/>
      <c r="P641" s="1"/>
      <c r="Q641" s="1"/>
      <c r="R641" s="18"/>
      <c r="S641" s="1"/>
      <c r="T641" s="1"/>
      <c r="U641" s="1"/>
      <c r="V641" s="1"/>
      <c r="Z641" s="18"/>
      <c r="AD641" s="18"/>
      <c r="AH641" s="18"/>
      <c r="AL641" s="18"/>
      <c r="AM641" s="22"/>
      <c r="AN641" s="22"/>
      <c r="AO641" s="22"/>
      <c r="AP641" s="22"/>
      <c r="AQ641" s="22"/>
      <c r="AR641" s="22"/>
      <c r="AS641" s="22"/>
      <c r="AT641" s="22"/>
    </row>
    <row r="642" spans="7:46" ht="13">
      <c r="G642" s="34"/>
      <c r="J642" s="18"/>
      <c r="N642" s="18"/>
      <c r="O642" s="1"/>
      <c r="P642" s="1"/>
      <c r="Q642" s="1"/>
      <c r="R642" s="18"/>
      <c r="S642" s="1"/>
      <c r="T642" s="1"/>
      <c r="U642" s="1"/>
      <c r="V642" s="1"/>
      <c r="Z642" s="18"/>
      <c r="AD642" s="18"/>
      <c r="AH642" s="18"/>
      <c r="AL642" s="18"/>
      <c r="AM642" s="22"/>
      <c r="AN642" s="22"/>
      <c r="AO642" s="22"/>
      <c r="AP642" s="22"/>
      <c r="AQ642" s="22"/>
      <c r="AR642" s="22"/>
      <c r="AS642" s="22"/>
      <c r="AT642" s="22"/>
    </row>
    <row r="643" spans="7:46" ht="13">
      <c r="G643" s="34"/>
      <c r="J643" s="18"/>
      <c r="N643" s="18"/>
      <c r="O643" s="1"/>
      <c r="P643" s="1"/>
      <c r="Q643" s="1"/>
      <c r="R643" s="18"/>
      <c r="S643" s="1"/>
      <c r="T643" s="1"/>
      <c r="U643" s="1"/>
      <c r="V643" s="1"/>
      <c r="Z643" s="18"/>
      <c r="AD643" s="18"/>
      <c r="AH643" s="18"/>
      <c r="AL643" s="18"/>
      <c r="AM643" s="22"/>
      <c r="AN643" s="22"/>
      <c r="AO643" s="22"/>
      <c r="AP643" s="22"/>
      <c r="AQ643" s="22"/>
      <c r="AR643" s="22"/>
      <c r="AS643" s="22"/>
      <c r="AT643" s="22"/>
    </row>
    <row r="644" spans="7:46" ht="13">
      <c r="G644" s="34"/>
      <c r="J644" s="18"/>
      <c r="N644" s="18"/>
      <c r="O644" s="1"/>
      <c r="P644" s="1"/>
      <c r="Q644" s="1"/>
      <c r="R644" s="18"/>
      <c r="S644" s="1"/>
      <c r="T644" s="1"/>
      <c r="U644" s="1"/>
      <c r="V644" s="1"/>
      <c r="Z644" s="18"/>
      <c r="AD644" s="18"/>
      <c r="AH644" s="18"/>
      <c r="AL644" s="18"/>
      <c r="AM644" s="22"/>
      <c r="AN644" s="22"/>
      <c r="AO644" s="22"/>
      <c r="AP644" s="22"/>
      <c r="AQ644" s="22"/>
      <c r="AR644" s="22"/>
      <c r="AS644" s="22"/>
      <c r="AT644" s="22"/>
    </row>
    <row r="645" spans="7:46" ht="13">
      <c r="G645" s="34"/>
      <c r="J645" s="18"/>
      <c r="N645" s="18"/>
      <c r="O645" s="1"/>
      <c r="P645" s="1"/>
      <c r="Q645" s="1"/>
      <c r="R645" s="18"/>
      <c r="S645" s="1"/>
      <c r="T645" s="1"/>
      <c r="U645" s="1"/>
      <c r="V645" s="1"/>
      <c r="Z645" s="18"/>
      <c r="AD645" s="18"/>
      <c r="AH645" s="18"/>
      <c r="AL645" s="18"/>
      <c r="AM645" s="22"/>
      <c r="AN645" s="22"/>
      <c r="AO645" s="22"/>
      <c r="AP645" s="22"/>
      <c r="AQ645" s="22"/>
      <c r="AR645" s="22"/>
      <c r="AS645" s="22"/>
      <c r="AT645" s="22"/>
    </row>
    <row r="646" spans="7:46" ht="13">
      <c r="G646" s="34"/>
      <c r="J646" s="18"/>
      <c r="N646" s="18"/>
      <c r="O646" s="1"/>
      <c r="P646" s="1"/>
      <c r="Q646" s="1"/>
      <c r="R646" s="18"/>
      <c r="S646" s="1"/>
      <c r="T646" s="1"/>
      <c r="U646" s="1"/>
      <c r="V646" s="1"/>
      <c r="Z646" s="18"/>
      <c r="AD646" s="18"/>
      <c r="AH646" s="18"/>
      <c r="AL646" s="18"/>
      <c r="AM646" s="22"/>
      <c r="AN646" s="22"/>
      <c r="AO646" s="22"/>
      <c r="AP646" s="22"/>
      <c r="AQ646" s="22"/>
      <c r="AR646" s="22"/>
      <c r="AS646" s="22"/>
      <c r="AT646" s="22"/>
    </row>
    <row r="647" spans="7:46" ht="13">
      <c r="G647" s="34"/>
      <c r="J647" s="18"/>
      <c r="N647" s="18"/>
      <c r="O647" s="1"/>
      <c r="P647" s="1"/>
      <c r="Q647" s="1"/>
      <c r="R647" s="18"/>
      <c r="S647" s="1"/>
      <c r="T647" s="1"/>
      <c r="U647" s="1"/>
      <c r="V647" s="1"/>
      <c r="Z647" s="18"/>
      <c r="AD647" s="18"/>
      <c r="AH647" s="18"/>
      <c r="AL647" s="18"/>
      <c r="AM647" s="22"/>
      <c r="AN647" s="22"/>
      <c r="AO647" s="22"/>
      <c r="AP647" s="22"/>
      <c r="AQ647" s="22"/>
      <c r="AR647" s="22"/>
      <c r="AS647" s="22"/>
      <c r="AT647" s="22"/>
    </row>
    <row r="648" spans="7:46" ht="13">
      <c r="G648" s="34"/>
      <c r="J648" s="18"/>
      <c r="N648" s="18"/>
      <c r="O648" s="1"/>
      <c r="P648" s="1"/>
      <c r="Q648" s="1"/>
      <c r="R648" s="18"/>
      <c r="S648" s="1"/>
      <c r="T648" s="1"/>
      <c r="U648" s="1"/>
      <c r="V648" s="1"/>
      <c r="Z648" s="18"/>
      <c r="AD648" s="18"/>
      <c r="AH648" s="18"/>
      <c r="AL648" s="18"/>
      <c r="AM648" s="22"/>
      <c r="AN648" s="22"/>
      <c r="AO648" s="22"/>
      <c r="AP648" s="22"/>
      <c r="AQ648" s="22"/>
      <c r="AR648" s="22"/>
      <c r="AS648" s="22"/>
      <c r="AT648" s="22"/>
    </row>
    <row r="649" spans="7:46" ht="13">
      <c r="G649" s="34"/>
      <c r="J649" s="18"/>
      <c r="N649" s="18"/>
      <c r="O649" s="1"/>
      <c r="P649" s="1"/>
      <c r="Q649" s="1"/>
      <c r="R649" s="18"/>
      <c r="S649" s="1"/>
      <c r="T649" s="1"/>
      <c r="U649" s="1"/>
      <c r="V649" s="1"/>
      <c r="Z649" s="18"/>
      <c r="AD649" s="18"/>
      <c r="AH649" s="18"/>
      <c r="AL649" s="18"/>
      <c r="AM649" s="22"/>
      <c r="AN649" s="22"/>
      <c r="AO649" s="22"/>
      <c r="AP649" s="22"/>
      <c r="AQ649" s="22"/>
      <c r="AR649" s="22"/>
      <c r="AS649" s="22"/>
      <c r="AT649" s="22"/>
    </row>
    <row r="650" spans="7:46" ht="13">
      <c r="G650" s="34"/>
      <c r="J650" s="18"/>
      <c r="N650" s="18"/>
      <c r="O650" s="1"/>
      <c r="P650" s="1"/>
      <c r="Q650" s="1"/>
      <c r="R650" s="18"/>
      <c r="S650" s="1"/>
      <c r="T650" s="1"/>
      <c r="U650" s="1"/>
      <c r="V650" s="1"/>
      <c r="Z650" s="18"/>
      <c r="AD650" s="18"/>
      <c r="AH650" s="18"/>
      <c r="AL650" s="18"/>
      <c r="AM650" s="22"/>
      <c r="AN650" s="22"/>
      <c r="AO650" s="22"/>
      <c r="AP650" s="22"/>
      <c r="AQ650" s="22"/>
      <c r="AR650" s="22"/>
      <c r="AS650" s="22"/>
      <c r="AT650" s="22"/>
    </row>
    <row r="651" spans="7:46" ht="13">
      <c r="G651" s="34"/>
      <c r="J651" s="18"/>
      <c r="N651" s="18"/>
      <c r="O651" s="1"/>
      <c r="P651" s="1"/>
      <c r="Q651" s="1"/>
      <c r="R651" s="18"/>
      <c r="S651" s="1"/>
      <c r="T651" s="1"/>
      <c r="U651" s="1"/>
      <c r="V651" s="1"/>
      <c r="Z651" s="18"/>
      <c r="AD651" s="18"/>
      <c r="AH651" s="18"/>
      <c r="AL651" s="18"/>
      <c r="AM651" s="22"/>
      <c r="AN651" s="22"/>
      <c r="AO651" s="22"/>
      <c r="AP651" s="22"/>
      <c r="AQ651" s="22"/>
      <c r="AR651" s="22"/>
      <c r="AS651" s="22"/>
      <c r="AT651" s="22"/>
    </row>
    <row r="652" spans="7:46" ht="13">
      <c r="G652" s="34"/>
      <c r="J652" s="18"/>
      <c r="N652" s="18"/>
      <c r="O652" s="1"/>
      <c r="P652" s="1"/>
      <c r="Q652" s="1"/>
      <c r="R652" s="18"/>
      <c r="S652" s="1"/>
      <c r="T652" s="1"/>
      <c r="U652" s="1"/>
      <c r="V652" s="1"/>
      <c r="Z652" s="18"/>
      <c r="AD652" s="18"/>
      <c r="AH652" s="18"/>
      <c r="AL652" s="18"/>
      <c r="AM652" s="22"/>
      <c r="AN652" s="22"/>
      <c r="AO652" s="22"/>
      <c r="AP652" s="22"/>
      <c r="AQ652" s="22"/>
      <c r="AR652" s="22"/>
      <c r="AS652" s="22"/>
      <c r="AT652" s="22"/>
    </row>
    <row r="653" spans="7:46" ht="13">
      <c r="G653" s="34"/>
      <c r="J653" s="18"/>
      <c r="N653" s="18"/>
      <c r="O653" s="1"/>
      <c r="P653" s="1"/>
      <c r="Q653" s="1"/>
      <c r="R653" s="18"/>
      <c r="S653" s="1"/>
      <c r="T653" s="1"/>
      <c r="U653" s="1"/>
      <c r="V653" s="1"/>
      <c r="Z653" s="18"/>
      <c r="AD653" s="18"/>
      <c r="AH653" s="18"/>
      <c r="AL653" s="18"/>
      <c r="AM653" s="22"/>
      <c r="AN653" s="22"/>
      <c r="AO653" s="22"/>
      <c r="AP653" s="22"/>
      <c r="AQ653" s="22"/>
      <c r="AR653" s="22"/>
      <c r="AS653" s="22"/>
      <c r="AT653" s="22"/>
    </row>
    <row r="654" spans="7:46" ht="13">
      <c r="G654" s="34"/>
      <c r="J654" s="18"/>
      <c r="N654" s="18"/>
      <c r="O654" s="1"/>
      <c r="P654" s="1"/>
      <c r="Q654" s="1"/>
      <c r="R654" s="18"/>
      <c r="S654" s="1"/>
      <c r="T654" s="1"/>
      <c r="U654" s="1"/>
      <c r="V654" s="1"/>
      <c r="Z654" s="18"/>
      <c r="AD654" s="18"/>
      <c r="AH654" s="18"/>
      <c r="AL654" s="18"/>
      <c r="AM654" s="22"/>
      <c r="AN654" s="22"/>
      <c r="AO654" s="22"/>
      <c r="AP654" s="22"/>
      <c r="AQ654" s="22"/>
      <c r="AR654" s="22"/>
      <c r="AS654" s="22"/>
      <c r="AT654" s="22"/>
    </row>
    <row r="655" spans="7:46" ht="13">
      <c r="G655" s="34"/>
      <c r="J655" s="18"/>
      <c r="N655" s="18"/>
      <c r="O655" s="1"/>
      <c r="P655" s="1"/>
      <c r="Q655" s="1"/>
      <c r="R655" s="18"/>
      <c r="S655" s="1"/>
      <c r="T655" s="1"/>
      <c r="U655" s="1"/>
      <c r="V655" s="1"/>
      <c r="Z655" s="18"/>
      <c r="AD655" s="18"/>
      <c r="AH655" s="18"/>
      <c r="AL655" s="18"/>
      <c r="AM655" s="22"/>
      <c r="AN655" s="22"/>
      <c r="AO655" s="22"/>
      <c r="AP655" s="22"/>
      <c r="AQ655" s="22"/>
      <c r="AR655" s="22"/>
      <c r="AS655" s="22"/>
      <c r="AT655" s="22"/>
    </row>
    <row r="656" spans="7:46" ht="13">
      <c r="G656" s="34"/>
      <c r="J656" s="18"/>
      <c r="N656" s="18"/>
      <c r="O656" s="1"/>
      <c r="P656" s="1"/>
      <c r="Q656" s="1"/>
      <c r="R656" s="18"/>
      <c r="S656" s="1"/>
      <c r="T656" s="1"/>
      <c r="U656" s="1"/>
      <c r="V656" s="1"/>
      <c r="Z656" s="18"/>
      <c r="AD656" s="18"/>
      <c r="AH656" s="18"/>
      <c r="AL656" s="18"/>
      <c r="AM656" s="22"/>
      <c r="AN656" s="22"/>
      <c r="AO656" s="22"/>
      <c r="AP656" s="22"/>
      <c r="AQ656" s="22"/>
      <c r="AR656" s="22"/>
      <c r="AS656" s="22"/>
      <c r="AT656" s="22"/>
    </row>
    <row r="657" spans="7:46" ht="13">
      <c r="G657" s="34"/>
      <c r="J657" s="18"/>
      <c r="N657" s="18"/>
      <c r="O657" s="1"/>
      <c r="P657" s="1"/>
      <c r="Q657" s="1"/>
      <c r="R657" s="18"/>
      <c r="S657" s="1"/>
      <c r="T657" s="1"/>
      <c r="U657" s="1"/>
      <c r="V657" s="1"/>
      <c r="Z657" s="18"/>
      <c r="AD657" s="18"/>
      <c r="AH657" s="18"/>
      <c r="AL657" s="18"/>
      <c r="AM657" s="22"/>
      <c r="AN657" s="22"/>
      <c r="AO657" s="22"/>
      <c r="AP657" s="22"/>
      <c r="AQ657" s="22"/>
      <c r="AR657" s="22"/>
      <c r="AS657" s="22"/>
      <c r="AT657" s="22"/>
    </row>
    <row r="658" spans="7:46" ht="13">
      <c r="G658" s="34"/>
      <c r="J658" s="18"/>
      <c r="N658" s="18"/>
      <c r="O658" s="1"/>
      <c r="P658" s="1"/>
      <c r="Q658" s="1"/>
      <c r="R658" s="18"/>
      <c r="S658" s="1"/>
      <c r="T658" s="1"/>
      <c r="U658" s="1"/>
      <c r="V658" s="1"/>
      <c r="Z658" s="18"/>
      <c r="AD658" s="18"/>
      <c r="AH658" s="18"/>
      <c r="AL658" s="18"/>
      <c r="AM658" s="22"/>
      <c r="AN658" s="22"/>
      <c r="AO658" s="22"/>
      <c r="AP658" s="22"/>
      <c r="AQ658" s="22"/>
      <c r="AR658" s="22"/>
      <c r="AS658" s="22"/>
      <c r="AT658" s="22"/>
    </row>
    <row r="659" spans="7:46" ht="13">
      <c r="G659" s="34"/>
      <c r="J659" s="18"/>
      <c r="N659" s="18"/>
      <c r="O659" s="1"/>
      <c r="P659" s="1"/>
      <c r="Q659" s="1"/>
      <c r="R659" s="18"/>
      <c r="S659" s="1"/>
      <c r="T659" s="1"/>
      <c r="U659" s="1"/>
      <c r="V659" s="1"/>
      <c r="Z659" s="18"/>
      <c r="AD659" s="18"/>
      <c r="AH659" s="18"/>
      <c r="AL659" s="18"/>
      <c r="AM659" s="22"/>
      <c r="AN659" s="22"/>
      <c r="AO659" s="22"/>
      <c r="AP659" s="22"/>
      <c r="AQ659" s="22"/>
      <c r="AR659" s="22"/>
      <c r="AS659" s="22"/>
      <c r="AT659" s="22"/>
    </row>
    <row r="660" spans="7:46" ht="13">
      <c r="G660" s="34"/>
      <c r="J660" s="18"/>
      <c r="N660" s="18"/>
      <c r="O660" s="1"/>
      <c r="P660" s="1"/>
      <c r="Q660" s="1"/>
      <c r="R660" s="18"/>
      <c r="S660" s="1"/>
      <c r="T660" s="1"/>
      <c r="U660" s="1"/>
      <c r="V660" s="1"/>
      <c r="Z660" s="18"/>
      <c r="AD660" s="18"/>
      <c r="AH660" s="18"/>
      <c r="AL660" s="18"/>
      <c r="AM660" s="22"/>
      <c r="AN660" s="22"/>
      <c r="AO660" s="22"/>
      <c r="AP660" s="22"/>
      <c r="AQ660" s="22"/>
      <c r="AR660" s="22"/>
      <c r="AS660" s="22"/>
      <c r="AT660" s="22"/>
    </row>
    <row r="661" spans="7:46" ht="13">
      <c r="G661" s="34"/>
      <c r="J661" s="18"/>
      <c r="N661" s="18"/>
      <c r="O661" s="1"/>
      <c r="P661" s="1"/>
      <c r="Q661" s="1"/>
      <c r="R661" s="18"/>
      <c r="S661" s="1"/>
      <c r="T661" s="1"/>
      <c r="U661" s="1"/>
      <c r="V661" s="1"/>
      <c r="Z661" s="18"/>
      <c r="AD661" s="18"/>
      <c r="AH661" s="18"/>
      <c r="AL661" s="18"/>
      <c r="AM661" s="22"/>
      <c r="AN661" s="22"/>
      <c r="AO661" s="22"/>
      <c r="AP661" s="22"/>
      <c r="AQ661" s="22"/>
      <c r="AR661" s="22"/>
      <c r="AS661" s="22"/>
      <c r="AT661" s="22"/>
    </row>
    <row r="662" spans="7:46" ht="13">
      <c r="G662" s="34"/>
      <c r="J662" s="18"/>
      <c r="N662" s="18"/>
      <c r="O662" s="1"/>
      <c r="P662" s="1"/>
      <c r="Q662" s="1"/>
      <c r="R662" s="18"/>
      <c r="S662" s="1"/>
      <c r="T662" s="1"/>
      <c r="U662" s="1"/>
      <c r="V662" s="1"/>
      <c r="Z662" s="18"/>
      <c r="AD662" s="18"/>
      <c r="AH662" s="18"/>
      <c r="AL662" s="18"/>
      <c r="AM662" s="22"/>
      <c r="AN662" s="22"/>
      <c r="AO662" s="22"/>
      <c r="AP662" s="22"/>
      <c r="AQ662" s="22"/>
      <c r="AR662" s="22"/>
      <c r="AS662" s="22"/>
      <c r="AT662" s="22"/>
    </row>
    <row r="663" spans="7:46" ht="13">
      <c r="G663" s="34"/>
      <c r="J663" s="18"/>
      <c r="N663" s="18"/>
      <c r="O663" s="1"/>
      <c r="P663" s="1"/>
      <c r="Q663" s="1"/>
      <c r="R663" s="18"/>
      <c r="S663" s="1"/>
      <c r="T663" s="1"/>
      <c r="U663" s="1"/>
      <c r="V663" s="1"/>
      <c r="Z663" s="18"/>
      <c r="AD663" s="18"/>
      <c r="AH663" s="18"/>
      <c r="AL663" s="18"/>
      <c r="AM663" s="22"/>
      <c r="AN663" s="22"/>
      <c r="AO663" s="22"/>
      <c r="AP663" s="22"/>
      <c r="AQ663" s="22"/>
      <c r="AR663" s="22"/>
      <c r="AS663" s="22"/>
      <c r="AT663" s="22"/>
    </row>
    <row r="664" spans="7:46" ht="13">
      <c r="G664" s="34"/>
      <c r="J664" s="18"/>
      <c r="N664" s="18"/>
      <c r="O664" s="1"/>
      <c r="P664" s="1"/>
      <c r="Q664" s="1"/>
      <c r="R664" s="18"/>
      <c r="S664" s="1"/>
      <c r="T664" s="1"/>
      <c r="U664" s="1"/>
      <c r="V664" s="1"/>
      <c r="Z664" s="18"/>
      <c r="AD664" s="18"/>
      <c r="AH664" s="18"/>
      <c r="AL664" s="18"/>
      <c r="AM664" s="22"/>
      <c r="AN664" s="22"/>
      <c r="AO664" s="22"/>
      <c r="AP664" s="22"/>
      <c r="AQ664" s="22"/>
      <c r="AR664" s="22"/>
      <c r="AS664" s="22"/>
      <c r="AT664" s="22"/>
    </row>
    <row r="665" spans="7:46" ht="13">
      <c r="G665" s="34"/>
      <c r="J665" s="18"/>
      <c r="N665" s="18"/>
      <c r="O665" s="1"/>
      <c r="P665" s="1"/>
      <c r="Q665" s="1"/>
      <c r="R665" s="18"/>
      <c r="S665" s="1"/>
      <c r="T665" s="1"/>
      <c r="U665" s="1"/>
      <c r="V665" s="1"/>
      <c r="Z665" s="18"/>
      <c r="AD665" s="18"/>
      <c r="AH665" s="18"/>
      <c r="AL665" s="18"/>
      <c r="AM665" s="22"/>
      <c r="AN665" s="22"/>
      <c r="AO665" s="22"/>
      <c r="AP665" s="22"/>
      <c r="AQ665" s="22"/>
      <c r="AR665" s="22"/>
      <c r="AS665" s="22"/>
      <c r="AT665" s="22"/>
    </row>
    <row r="666" spans="7:46" ht="13">
      <c r="G666" s="34"/>
      <c r="J666" s="18"/>
      <c r="N666" s="18"/>
      <c r="O666" s="1"/>
      <c r="P666" s="1"/>
      <c r="Q666" s="1"/>
      <c r="R666" s="18"/>
      <c r="S666" s="1"/>
      <c r="T666" s="1"/>
      <c r="U666" s="1"/>
      <c r="V666" s="1"/>
      <c r="Z666" s="18"/>
      <c r="AD666" s="18"/>
      <c r="AH666" s="18"/>
      <c r="AL666" s="18"/>
      <c r="AM666" s="22"/>
      <c r="AN666" s="22"/>
      <c r="AO666" s="22"/>
      <c r="AP666" s="22"/>
      <c r="AQ666" s="22"/>
      <c r="AR666" s="22"/>
      <c r="AS666" s="22"/>
      <c r="AT666" s="22"/>
    </row>
    <row r="667" spans="7:46" ht="13">
      <c r="G667" s="34"/>
      <c r="J667" s="18"/>
      <c r="N667" s="18"/>
      <c r="O667" s="1"/>
      <c r="P667" s="1"/>
      <c r="Q667" s="1"/>
      <c r="R667" s="18"/>
      <c r="S667" s="1"/>
      <c r="T667" s="1"/>
      <c r="U667" s="1"/>
      <c r="V667" s="1"/>
      <c r="Z667" s="18"/>
      <c r="AD667" s="18"/>
      <c r="AH667" s="18"/>
      <c r="AL667" s="18"/>
      <c r="AM667" s="22"/>
      <c r="AN667" s="22"/>
      <c r="AO667" s="22"/>
      <c r="AP667" s="22"/>
      <c r="AQ667" s="22"/>
      <c r="AR667" s="22"/>
      <c r="AS667" s="22"/>
      <c r="AT667" s="22"/>
    </row>
    <row r="668" spans="7:46" ht="13">
      <c r="G668" s="34"/>
      <c r="J668" s="18"/>
      <c r="N668" s="18"/>
      <c r="O668" s="1"/>
      <c r="P668" s="1"/>
      <c r="Q668" s="1"/>
      <c r="R668" s="18"/>
      <c r="S668" s="1"/>
      <c r="T668" s="1"/>
      <c r="U668" s="1"/>
      <c r="V668" s="1"/>
      <c r="Z668" s="18"/>
      <c r="AD668" s="18"/>
      <c r="AH668" s="18"/>
      <c r="AL668" s="18"/>
      <c r="AM668" s="22"/>
      <c r="AN668" s="22"/>
      <c r="AO668" s="22"/>
      <c r="AP668" s="22"/>
      <c r="AQ668" s="22"/>
      <c r="AR668" s="22"/>
      <c r="AS668" s="22"/>
      <c r="AT668" s="22"/>
    </row>
    <row r="669" spans="7:46" ht="13">
      <c r="G669" s="34"/>
      <c r="J669" s="18"/>
      <c r="N669" s="18"/>
      <c r="O669" s="1"/>
      <c r="P669" s="1"/>
      <c r="Q669" s="1"/>
      <c r="R669" s="18"/>
      <c r="S669" s="1"/>
      <c r="T669" s="1"/>
      <c r="U669" s="1"/>
      <c r="V669" s="1"/>
      <c r="Z669" s="18"/>
      <c r="AD669" s="18"/>
      <c r="AH669" s="18"/>
      <c r="AL669" s="18"/>
      <c r="AM669" s="22"/>
      <c r="AN669" s="22"/>
      <c r="AO669" s="22"/>
      <c r="AP669" s="22"/>
      <c r="AQ669" s="22"/>
      <c r="AR669" s="22"/>
      <c r="AS669" s="22"/>
      <c r="AT669" s="22"/>
    </row>
    <row r="670" spans="7:46" ht="13">
      <c r="G670" s="34"/>
      <c r="J670" s="18"/>
      <c r="N670" s="18"/>
      <c r="O670" s="1"/>
      <c r="P670" s="1"/>
      <c r="Q670" s="1"/>
      <c r="R670" s="18"/>
      <c r="S670" s="1"/>
      <c r="T670" s="1"/>
      <c r="U670" s="1"/>
      <c r="V670" s="1"/>
      <c r="Z670" s="18"/>
      <c r="AD670" s="18"/>
      <c r="AH670" s="18"/>
      <c r="AL670" s="18"/>
      <c r="AM670" s="22"/>
      <c r="AN670" s="22"/>
      <c r="AO670" s="22"/>
      <c r="AP670" s="22"/>
      <c r="AQ670" s="22"/>
      <c r="AR670" s="22"/>
      <c r="AS670" s="22"/>
      <c r="AT670" s="22"/>
    </row>
    <row r="671" spans="7:46" ht="13">
      <c r="G671" s="34"/>
      <c r="J671" s="18"/>
      <c r="N671" s="18"/>
      <c r="O671" s="1"/>
      <c r="P671" s="1"/>
      <c r="Q671" s="1"/>
      <c r="R671" s="18"/>
      <c r="S671" s="1"/>
      <c r="T671" s="1"/>
      <c r="U671" s="1"/>
      <c r="V671" s="1"/>
      <c r="Z671" s="18"/>
      <c r="AD671" s="18"/>
      <c r="AH671" s="18"/>
      <c r="AL671" s="18"/>
      <c r="AM671" s="22"/>
      <c r="AN671" s="22"/>
      <c r="AO671" s="22"/>
      <c r="AP671" s="22"/>
      <c r="AQ671" s="22"/>
      <c r="AR671" s="22"/>
      <c r="AS671" s="22"/>
      <c r="AT671" s="22"/>
    </row>
    <row r="672" spans="7:46" ht="13">
      <c r="G672" s="34"/>
      <c r="J672" s="18"/>
      <c r="N672" s="18"/>
      <c r="O672" s="1"/>
      <c r="P672" s="1"/>
      <c r="Q672" s="1"/>
      <c r="R672" s="18"/>
      <c r="S672" s="1"/>
      <c r="T672" s="1"/>
      <c r="U672" s="1"/>
      <c r="V672" s="1"/>
      <c r="Z672" s="18"/>
      <c r="AD672" s="18"/>
      <c r="AH672" s="18"/>
      <c r="AL672" s="18"/>
      <c r="AM672" s="22"/>
      <c r="AN672" s="22"/>
      <c r="AO672" s="22"/>
      <c r="AP672" s="22"/>
      <c r="AQ672" s="22"/>
      <c r="AR672" s="22"/>
      <c r="AS672" s="22"/>
      <c r="AT672" s="22"/>
    </row>
    <row r="673" spans="7:46" ht="13">
      <c r="G673" s="34"/>
      <c r="J673" s="18"/>
      <c r="N673" s="18"/>
      <c r="O673" s="1"/>
      <c r="P673" s="1"/>
      <c r="Q673" s="1"/>
      <c r="R673" s="18"/>
      <c r="S673" s="1"/>
      <c r="T673" s="1"/>
      <c r="U673" s="1"/>
      <c r="V673" s="1"/>
      <c r="Z673" s="18"/>
      <c r="AD673" s="18"/>
      <c r="AH673" s="18"/>
      <c r="AL673" s="18"/>
      <c r="AM673" s="22"/>
      <c r="AN673" s="22"/>
      <c r="AO673" s="22"/>
      <c r="AP673" s="22"/>
      <c r="AQ673" s="22"/>
      <c r="AR673" s="22"/>
      <c r="AS673" s="22"/>
      <c r="AT673" s="22"/>
    </row>
    <row r="674" spans="7:46" ht="13">
      <c r="G674" s="34"/>
      <c r="J674" s="18"/>
      <c r="N674" s="18"/>
      <c r="O674" s="1"/>
      <c r="P674" s="1"/>
      <c r="Q674" s="1"/>
      <c r="R674" s="18"/>
      <c r="S674" s="1"/>
      <c r="T674" s="1"/>
      <c r="U674" s="1"/>
      <c r="V674" s="1"/>
      <c r="Z674" s="18"/>
      <c r="AD674" s="18"/>
      <c r="AH674" s="18"/>
      <c r="AL674" s="18"/>
      <c r="AM674" s="22"/>
      <c r="AN674" s="22"/>
      <c r="AO674" s="22"/>
      <c r="AP674" s="22"/>
      <c r="AQ674" s="22"/>
      <c r="AR674" s="22"/>
      <c r="AS674" s="22"/>
      <c r="AT674" s="22"/>
    </row>
    <row r="675" spans="7:46" ht="13">
      <c r="G675" s="34"/>
      <c r="J675" s="18"/>
      <c r="N675" s="18"/>
      <c r="O675" s="1"/>
      <c r="P675" s="1"/>
      <c r="Q675" s="1"/>
      <c r="R675" s="18"/>
      <c r="S675" s="1"/>
      <c r="T675" s="1"/>
      <c r="U675" s="1"/>
      <c r="V675" s="1"/>
      <c r="Z675" s="18"/>
      <c r="AD675" s="18"/>
      <c r="AH675" s="18"/>
      <c r="AL675" s="18"/>
      <c r="AM675" s="22"/>
      <c r="AN675" s="22"/>
      <c r="AO675" s="22"/>
      <c r="AP675" s="22"/>
      <c r="AQ675" s="22"/>
      <c r="AR675" s="22"/>
      <c r="AS675" s="22"/>
      <c r="AT675" s="22"/>
    </row>
    <row r="676" spans="7:46" ht="13">
      <c r="G676" s="34"/>
      <c r="J676" s="18"/>
      <c r="N676" s="18"/>
      <c r="O676" s="1"/>
      <c r="P676" s="1"/>
      <c r="Q676" s="1"/>
      <c r="R676" s="18"/>
      <c r="S676" s="1"/>
      <c r="T676" s="1"/>
      <c r="U676" s="1"/>
      <c r="V676" s="1"/>
      <c r="Z676" s="18"/>
      <c r="AD676" s="18"/>
      <c r="AH676" s="18"/>
      <c r="AL676" s="18"/>
      <c r="AM676" s="22"/>
      <c r="AN676" s="22"/>
      <c r="AO676" s="22"/>
      <c r="AP676" s="22"/>
      <c r="AQ676" s="22"/>
      <c r="AR676" s="22"/>
      <c r="AS676" s="22"/>
      <c r="AT676" s="22"/>
    </row>
    <row r="677" spans="7:46" ht="13">
      <c r="G677" s="34"/>
      <c r="J677" s="18"/>
      <c r="N677" s="18"/>
      <c r="O677" s="1"/>
      <c r="P677" s="1"/>
      <c r="Q677" s="1"/>
      <c r="R677" s="18"/>
      <c r="S677" s="1"/>
      <c r="T677" s="1"/>
      <c r="U677" s="1"/>
      <c r="V677" s="1"/>
      <c r="Z677" s="18"/>
      <c r="AD677" s="18"/>
      <c r="AH677" s="18"/>
      <c r="AL677" s="18"/>
      <c r="AM677" s="22"/>
      <c r="AN677" s="22"/>
      <c r="AO677" s="22"/>
      <c r="AP677" s="22"/>
      <c r="AQ677" s="22"/>
      <c r="AR677" s="22"/>
      <c r="AS677" s="22"/>
      <c r="AT677" s="22"/>
    </row>
    <row r="678" spans="7:46" ht="13">
      <c r="G678" s="34"/>
      <c r="J678" s="18"/>
      <c r="N678" s="18"/>
      <c r="O678" s="1"/>
      <c r="P678" s="1"/>
      <c r="Q678" s="1"/>
      <c r="R678" s="18"/>
      <c r="S678" s="1"/>
      <c r="T678" s="1"/>
      <c r="U678" s="1"/>
      <c r="V678" s="1"/>
      <c r="Z678" s="18"/>
      <c r="AD678" s="18"/>
      <c r="AH678" s="18"/>
      <c r="AL678" s="18"/>
      <c r="AM678" s="22"/>
      <c r="AN678" s="22"/>
      <c r="AO678" s="22"/>
      <c r="AP678" s="22"/>
      <c r="AQ678" s="22"/>
      <c r="AR678" s="22"/>
      <c r="AS678" s="22"/>
      <c r="AT678" s="22"/>
    </row>
    <row r="679" spans="7:46" ht="13">
      <c r="G679" s="34"/>
      <c r="J679" s="18"/>
      <c r="N679" s="18"/>
      <c r="O679" s="1"/>
      <c r="P679" s="1"/>
      <c r="Q679" s="1"/>
      <c r="R679" s="18"/>
      <c r="S679" s="1"/>
      <c r="T679" s="1"/>
      <c r="U679" s="1"/>
      <c r="V679" s="1"/>
      <c r="Z679" s="18"/>
      <c r="AD679" s="18"/>
      <c r="AH679" s="18"/>
      <c r="AL679" s="18"/>
      <c r="AM679" s="22"/>
      <c r="AN679" s="22"/>
      <c r="AO679" s="22"/>
      <c r="AP679" s="22"/>
      <c r="AQ679" s="22"/>
      <c r="AR679" s="22"/>
      <c r="AS679" s="22"/>
      <c r="AT679" s="22"/>
    </row>
    <row r="680" spans="7:46" ht="13">
      <c r="G680" s="34"/>
      <c r="J680" s="18"/>
      <c r="N680" s="18"/>
      <c r="O680" s="1"/>
      <c r="P680" s="1"/>
      <c r="Q680" s="1"/>
      <c r="R680" s="18"/>
      <c r="S680" s="1"/>
      <c r="T680" s="1"/>
      <c r="U680" s="1"/>
      <c r="V680" s="1"/>
      <c r="Z680" s="18"/>
      <c r="AD680" s="18"/>
      <c r="AH680" s="18"/>
      <c r="AL680" s="18"/>
      <c r="AM680" s="22"/>
      <c r="AN680" s="22"/>
      <c r="AO680" s="22"/>
      <c r="AP680" s="22"/>
      <c r="AQ680" s="22"/>
      <c r="AR680" s="22"/>
      <c r="AS680" s="22"/>
      <c r="AT680" s="22"/>
    </row>
    <row r="681" spans="7:46" ht="13">
      <c r="G681" s="34"/>
      <c r="J681" s="18"/>
      <c r="N681" s="18"/>
      <c r="O681" s="1"/>
      <c r="P681" s="1"/>
      <c r="Q681" s="1"/>
      <c r="R681" s="18"/>
      <c r="S681" s="1"/>
      <c r="T681" s="1"/>
      <c r="U681" s="1"/>
      <c r="V681" s="1"/>
      <c r="Z681" s="18"/>
      <c r="AD681" s="18"/>
      <c r="AH681" s="18"/>
      <c r="AL681" s="18"/>
      <c r="AM681" s="22"/>
      <c r="AN681" s="22"/>
      <c r="AO681" s="22"/>
      <c r="AP681" s="22"/>
      <c r="AQ681" s="22"/>
      <c r="AR681" s="22"/>
      <c r="AS681" s="22"/>
      <c r="AT681" s="22"/>
    </row>
    <row r="682" spans="7:46" ht="13">
      <c r="G682" s="34"/>
      <c r="J682" s="18"/>
      <c r="N682" s="18"/>
      <c r="O682" s="1"/>
      <c r="P682" s="1"/>
      <c r="Q682" s="1"/>
      <c r="R682" s="18"/>
      <c r="S682" s="1"/>
      <c r="T682" s="1"/>
      <c r="U682" s="1"/>
      <c r="V682" s="1"/>
      <c r="Z682" s="18"/>
      <c r="AD682" s="18"/>
      <c r="AH682" s="18"/>
      <c r="AL682" s="18"/>
      <c r="AM682" s="22"/>
      <c r="AN682" s="22"/>
      <c r="AO682" s="22"/>
      <c r="AP682" s="22"/>
      <c r="AQ682" s="22"/>
      <c r="AR682" s="22"/>
      <c r="AS682" s="22"/>
      <c r="AT682" s="22"/>
    </row>
    <row r="683" spans="7:46" ht="13">
      <c r="G683" s="34"/>
      <c r="J683" s="18"/>
      <c r="N683" s="18"/>
      <c r="O683" s="1"/>
      <c r="P683" s="1"/>
      <c r="Q683" s="1"/>
      <c r="R683" s="18"/>
      <c r="S683" s="1"/>
      <c r="T683" s="1"/>
      <c r="U683" s="1"/>
      <c r="V683" s="1"/>
      <c r="Z683" s="18"/>
      <c r="AD683" s="18"/>
      <c r="AH683" s="18"/>
      <c r="AL683" s="18"/>
      <c r="AM683" s="22"/>
      <c r="AN683" s="22"/>
      <c r="AO683" s="22"/>
      <c r="AP683" s="22"/>
      <c r="AQ683" s="22"/>
      <c r="AR683" s="22"/>
      <c r="AS683" s="22"/>
      <c r="AT683" s="22"/>
    </row>
    <row r="684" spans="7:46" ht="13">
      <c r="G684" s="34"/>
      <c r="J684" s="18"/>
      <c r="N684" s="18"/>
      <c r="O684" s="1"/>
      <c r="P684" s="1"/>
      <c r="Q684" s="1"/>
      <c r="R684" s="18"/>
      <c r="S684" s="1"/>
      <c r="T684" s="1"/>
      <c r="U684" s="1"/>
      <c r="V684" s="1"/>
      <c r="Z684" s="18"/>
      <c r="AD684" s="18"/>
      <c r="AH684" s="18"/>
      <c r="AL684" s="18"/>
      <c r="AM684" s="22"/>
      <c r="AN684" s="22"/>
      <c r="AO684" s="22"/>
      <c r="AP684" s="22"/>
      <c r="AQ684" s="22"/>
      <c r="AR684" s="22"/>
      <c r="AS684" s="22"/>
      <c r="AT684" s="22"/>
    </row>
    <row r="685" spans="7:46" ht="13">
      <c r="G685" s="34"/>
      <c r="J685" s="18"/>
      <c r="N685" s="18"/>
      <c r="O685" s="1"/>
      <c r="P685" s="1"/>
      <c r="Q685" s="1"/>
      <c r="R685" s="18"/>
      <c r="S685" s="1"/>
      <c r="T685" s="1"/>
      <c r="U685" s="1"/>
      <c r="V685" s="1"/>
      <c r="Z685" s="18"/>
      <c r="AD685" s="18"/>
      <c r="AH685" s="18"/>
      <c r="AL685" s="18"/>
      <c r="AM685" s="22"/>
      <c r="AN685" s="22"/>
      <c r="AO685" s="22"/>
      <c r="AP685" s="22"/>
      <c r="AQ685" s="22"/>
      <c r="AR685" s="22"/>
      <c r="AS685" s="22"/>
      <c r="AT685" s="22"/>
    </row>
    <row r="686" spans="7:46" ht="13">
      <c r="G686" s="34"/>
      <c r="J686" s="18"/>
      <c r="N686" s="18"/>
      <c r="O686" s="1"/>
      <c r="P686" s="1"/>
      <c r="Q686" s="1"/>
      <c r="R686" s="18"/>
      <c r="S686" s="1"/>
      <c r="T686" s="1"/>
      <c r="U686" s="1"/>
      <c r="V686" s="1"/>
      <c r="Z686" s="18"/>
      <c r="AD686" s="18"/>
      <c r="AH686" s="18"/>
      <c r="AL686" s="18"/>
      <c r="AM686" s="22"/>
      <c r="AN686" s="22"/>
      <c r="AO686" s="22"/>
      <c r="AP686" s="22"/>
      <c r="AQ686" s="22"/>
      <c r="AR686" s="22"/>
      <c r="AS686" s="22"/>
      <c r="AT686" s="22"/>
    </row>
    <row r="687" spans="7:46" ht="13">
      <c r="G687" s="34"/>
      <c r="J687" s="18"/>
      <c r="N687" s="18"/>
      <c r="O687" s="1"/>
      <c r="P687" s="1"/>
      <c r="Q687" s="1"/>
      <c r="R687" s="18"/>
      <c r="S687" s="1"/>
      <c r="T687" s="1"/>
      <c r="U687" s="1"/>
      <c r="V687" s="1"/>
      <c r="Z687" s="18"/>
      <c r="AD687" s="18"/>
      <c r="AH687" s="18"/>
      <c r="AL687" s="18"/>
      <c r="AM687" s="22"/>
      <c r="AN687" s="22"/>
      <c r="AO687" s="22"/>
      <c r="AP687" s="22"/>
      <c r="AQ687" s="22"/>
      <c r="AR687" s="22"/>
      <c r="AS687" s="22"/>
      <c r="AT687" s="22"/>
    </row>
    <row r="688" spans="7:46" ht="13">
      <c r="G688" s="34"/>
      <c r="J688" s="18"/>
      <c r="N688" s="18"/>
      <c r="O688" s="1"/>
      <c r="P688" s="1"/>
      <c r="Q688" s="1"/>
      <c r="R688" s="18"/>
      <c r="S688" s="1"/>
      <c r="T688" s="1"/>
      <c r="U688" s="1"/>
      <c r="V688" s="1"/>
      <c r="Z688" s="18"/>
      <c r="AD688" s="18"/>
      <c r="AH688" s="18"/>
      <c r="AL688" s="18"/>
      <c r="AM688" s="22"/>
      <c r="AN688" s="22"/>
      <c r="AO688" s="22"/>
      <c r="AP688" s="22"/>
      <c r="AQ688" s="22"/>
      <c r="AR688" s="22"/>
      <c r="AS688" s="22"/>
      <c r="AT688" s="22"/>
    </row>
    <row r="689" spans="7:46" ht="13">
      <c r="G689" s="34"/>
      <c r="J689" s="18"/>
      <c r="N689" s="18"/>
      <c r="O689" s="1"/>
      <c r="P689" s="1"/>
      <c r="Q689" s="1"/>
      <c r="R689" s="18"/>
      <c r="S689" s="1"/>
      <c r="T689" s="1"/>
      <c r="U689" s="1"/>
      <c r="V689" s="1"/>
      <c r="Z689" s="18"/>
      <c r="AD689" s="18"/>
      <c r="AH689" s="18"/>
      <c r="AL689" s="18"/>
      <c r="AM689" s="22"/>
      <c r="AN689" s="22"/>
      <c r="AO689" s="22"/>
      <c r="AP689" s="22"/>
      <c r="AQ689" s="22"/>
      <c r="AR689" s="22"/>
      <c r="AS689" s="22"/>
      <c r="AT689" s="22"/>
    </row>
    <row r="690" spans="7:46" ht="13">
      <c r="G690" s="34"/>
      <c r="J690" s="18"/>
      <c r="N690" s="18"/>
      <c r="O690" s="1"/>
      <c r="P690" s="1"/>
      <c r="Q690" s="1"/>
      <c r="R690" s="18"/>
      <c r="S690" s="1"/>
      <c r="T690" s="1"/>
      <c r="U690" s="1"/>
      <c r="V690" s="1"/>
      <c r="Z690" s="18"/>
      <c r="AD690" s="18"/>
      <c r="AH690" s="18"/>
      <c r="AL690" s="18"/>
      <c r="AM690" s="22"/>
      <c r="AN690" s="22"/>
      <c r="AO690" s="22"/>
      <c r="AP690" s="22"/>
      <c r="AQ690" s="22"/>
      <c r="AR690" s="22"/>
      <c r="AS690" s="22"/>
      <c r="AT690" s="22"/>
    </row>
    <row r="691" spans="7:46" ht="13">
      <c r="G691" s="34"/>
      <c r="J691" s="18"/>
      <c r="N691" s="18"/>
      <c r="O691" s="1"/>
      <c r="P691" s="1"/>
      <c r="Q691" s="1"/>
      <c r="R691" s="18"/>
      <c r="S691" s="1"/>
      <c r="T691" s="1"/>
      <c r="U691" s="1"/>
      <c r="V691" s="1"/>
      <c r="Z691" s="18"/>
      <c r="AD691" s="18"/>
      <c r="AH691" s="18"/>
      <c r="AL691" s="18"/>
      <c r="AM691" s="22"/>
      <c r="AN691" s="22"/>
      <c r="AO691" s="22"/>
      <c r="AP691" s="22"/>
      <c r="AQ691" s="22"/>
      <c r="AR691" s="22"/>
      <c r="AS691" s="22"/>
      <c r="AT691" s="22"/>
    </row>
    <row r="692" spans="7:46" ht="13">
      <c r="G692" s="34"/>
      <c r="J692" s="18"/>
      <c r="N692" s="18"/>
      <c r="O692" s="1"/>
      <c r="P692" s="1"/>
      <c r="Q692" s="1"/>
      <c r="R692" s="18"/>
      <c r="S692" s="1"/>
      <c r="T692" s="1"/>
      <c r="U692" s="1"/>
      <c r="V692" s="1"/>
      <c r="Z692" s="18"/>
      <c r="AD692" s="18"/>
      <c r="AH692" s="18"/>
      <c r="AL692" s="18"/>
      <c r="AM692" s="22"/>
      <c r="AN692" s="22"/>
      <c r="AO692" s="22"/>
      <c r="AP692" s="22"/>
      <c r="AQ692" s="22"/>
      <c r="AR692" s="22"/>
      <c r="AS692" s="22"/>
      <c r="AT692" s="22"/>
    </row>
    <row r="693" spans="7:46" ht="13">
      <c r="G693" s="34"/>
      <c r="J693" s="18"/>
      <c r="N693" s="18"/>
      <c r="O693" s="1"/>
      <c r="P693" s="1"/>
      <c r="Q693" s="1"/>
      <c r="R693" s="18"/>
      <c r="S693" s="1"/>
      <c r="T693" s="1"/>
      <c r="U693" s="1"/>
      <c r="V693" s="1"/>
      <c r="Z693" s="18"/>
      <c r="AD693" s="18"/>
      <c r="AH693" s="18"/>
      <c r="AL693" s="18"/>
      <c r="AM693" s="22"/>
      <c r="AN693" s="22"/>
      <c r="AO693" s="22"/>
      <c r="AP693" s="22"/>
      <c r="AQ693" s="22"/>
      <c r="AR693" s="22"/>
      <c r="AS693" s="22"/>
      <c r="AT693" s="22"/>
    </row>
    <row r="694" spans="7:46" ht="13">
      <c r="G694" s="34"/>
      <c r="J694" s="18"/>
      <c r="N694" s="18"/>
      <c r="O694" s="1"/>
      <c r="P694" s="1"/>
      <c r="Q694" s="1"/>
      <c r="R694" s="18"/>
      <c r="S694" s="1"/>
      <c r="T694" s="1"/>
      <c r="U694" s="1"/>
      <c r="V694" s="1"/>
      <c r="Z694" s="18"/>
      <c r="AD694" s="18"/>
      <c r="AH694" s="18"/>
      <c r="AL694" s="18"/>
      <c r="AM694" s="22"/>
      <c r="AN694" s="22"/>
      <c r="AO694" s="22"/>
      <c r="AP694" s="22"/>
      <c r="AQ694" s="22"/>
      <c r="AR694" s="22"/>
      <c r="AS694" s="22"/>
      <c r="AT694" s="22"/>
    </row>
    <row r="695" spans="7:46" ht="13">
      <c r="G695" s="34"/>
      <c r="J695" s="18"/>
      <c r="N695" s="18"/>
      <c r="O695" s="1"/>
      <c r="P695" s="1"/>
      <c r="Q695" s="1"/>
      <c r="R695" s="18"/>
      <c r="S695" s="1"/>
      <c r="T695" s="1"/>
      <c r="U695" s="1"/>
      <c r="V695" s="1"/>
      <c r="Z695" s="18"/>
      <c r="AD695" s="18"/>
      <c r="AH695" s="18"/>
      <c r="AL695" s="18"/>
      <c r="AM695" s="22"/>
      <c r="AN695" s="22"/>
      <c r="AO695" s="22"/>
      <c r="AP695" s="22"/>
      <c r="AQ695" s="22"/>
      <c r="AR695" s="22"/>
      <c r="AS695" s="22"/>
      <c r="AT695" s="22"/>
    </row>
    <row r="696" spans="7:46" ht="13">
      <c r="G696" s="34"/>
      <c r="J696" s="18"/>
      <c r="N696" s="18"/>
      <c r="O696" s="1"/>
      <c r="P696" s="1"/>
      <c r="Q696" s="1"/>
      <c r="R696" s="18"/>
      <c r="S696" s="1"/>
      <c r="T696" s="1"/>
      <c r="U696" s="1"/>
      <c r="V696" s="1"/>
      <c r="Z696" s="18"/>
      <c r="AD696" s="18"/>
      <c r="AH696" s="18"/>
      <c r="AL696" s="18"/>
      <c r="AM696" s="22"/>
      <c r="AN696" s="22"/>
      <c r="AO696" s="22"/>
      <c r="AP696" s="22"/>
      <c r="AQ696" s="22"/>
      <c r="AR696" s="22"/>
      <c r="AS696" s="22"/>
      <c r="AT696" s="22"/>
    </row>
    <row r="697" spans="7:46" ht="13">
      <c r="G697" s="34"/>
      <c r="J697" s="18"/>
      <c r="N697" s="18"/>
      <c r="O697" s="1"/>
      <c r="P697" s="1"/>
      <c r="Q697" s="1"/>
      <c r="R697" s="18"/>
      <c r="S697" s="1"/>
      <c r="T697" s="1"/>
      <c r="U697" s="1"/>
      <c r="V697" s="1"/>
      <c r="Z697" s="18"/>
      <c r="AD697" s="18"/>
      <c r="AH697" s="18"/>
      <c r="AL697" s="18"/>
      <c r="AM697" s="22"/>
      <c r="AN697" s="22"/>
      <c r="AO697" s="22"/>
      <c r="AP697" s="22"/>
      <c r="AQ697" s="22"/>
      <c r="AR697" s="22"/>
      <c r="AS697" s="22"/>
      <c r="AT697" s="22"/>
    </row>
    <row r="698" spans="7:46" ht="13">
      <c r="G698" s="34"/>
      <c r="J698" s="18"/>
      <c r="N698" s="18"/>
      <c r="O698" s="1"/>
      <c r="P698" s="1"/>
      <c r="Q698" s="1"/>
      <c r="R698" s="18"/>
      <c r="S698" s="1"/>
      <c r="T698" s="1"/>
      <c r="U698" s="1"/>
      <c r="V698" s="1"/>
      <c r="Z698" s="18"/>
      <c r="AD698" s="18"/>
      <c r="AH698" s="18"/>
      <c r="AL698" s="18"/>
      <c r="AM698" s="22"/>
      <c r="AN698" s="22"/>
      <c r="AO698" s="22"/>
      <c r="AP698" s="22"/>
      <c r="AQ698" s="22"/>
      <c r="AR698" s="22"/>
      <c r="AS698" s="22"/>
      <c r="AT698" s="22"/>
    </row>
    <row r="699" spans="7:46" ht="13">
      <c r="G699" s="34"/>
      <c r="J699" s="18"/>
      <c r="N699" s="18"/>
      <c r="O699" s="1"/>
      <c r="P699" s="1"/>
      <c r="Q699" s="1"/>
      <c r="R699" s="18"/>
      <c r="S699" s="1"/>
      <c r="T699" s="1"/>
      <c r="U699" s="1"/>
      <c r="V699" s="1"/>
      <c r="Z699" s="18"/>
      <c r="AD699" s="18"/>
      <c r="AH699" s="18"/>
      <c r="AL699" s="18"/>
      <c r="AM699" s="22"/>
      <c r="AN699" s="22"/>
      <c r="AO699" s="22"/>
      <c r="AP699" s="22"/>
      <c r="AQ699" s="22"/>
      <c r="AR699" s="22"/>
      <c r="AS699" s="22"/>
      <c r="AT699" s="22"/>
    </row>
    <row r="700" spans="7:46" ht="13">
      <c r="G700" s="34"/>
      <c r="J700" s="18"/>
      <c r="N700" s="18"/>
      <c r="O700" s="1"/>
      <c r="P700" s="1"/>
      <c r="Q700" s="1"/>
      <c r="R700" s="18"/>
      <c r="S700" s="1"/>
      <c r="T700" s="1"/>
      <c r="U700" s="1"/>
      <c r="V700" s="1"/>
      <c r="Z700" s="18"/>
      <c r="AD700" s="18"/>
      <c r="AH700" s="18"/>
      <c r="AL700" s="18"/>
      <c r="AM700" s="22"/>
      <c r="AN700" s="22"/>
      <c r="AO700" s="22"/>
      <c r="AP700" s="22"/>
      <c r="AQ700" s="22"/>
      <c r="AR700" s="22"/>
      <c r="AS700" s="22"/>
      <c r="AT700" s="22"/>
    </row>
    <row r="701" spans="7:46" ht="13">
      <c r="G701" s="34"/>
      <c r="J701" s="18"/>
      <c r="N701" s="18"/>
      <c r="O701" s="1"/>
      <c r="P701" s="1"/>
      <c r="Q701" s="1"/>
      <c r="R701" s="18"/>
      <c r="S701" s="1"/>
      <c r="T701" s="1"/>
      <c r="U701" s="1"/>
      <c r="V701" s="1"/>
      <c r="Z701" s="18"/>
      <c r="AD701" s="18"/>
      <c r="AH701" s="18"/>
      <c r="AL701" s="18"/>
      <c r="AM701" s="22"/>
      <c r="AN701" s="22"/>
      <c r="AO701" s="22"/>
      <c r="AP701" s="22"/>
      <c r="AQ701" s="22"/>
      <c r="AR701" s="22"/>
      <c r="AS701" s="22"/>
      <c r="AT701" s="22"/>
    </row>
    <row r="702" spans="7:46" ht="13">
      <c r="G702" s="34"/>
      <c r="J702" s="18"/>
      <c r="N702" s="18"/>
      <c r="O702" s="1"/>
      <c r="P702" s="1"/>
      <c r="Q702" s="1"/>
      <c r="R702" s="18"/>
      <c r="S702" s="1"/>
      <c r="T702" s="1"/>
      <c r="U702" s="1"/>
      <c r="V702" s="1"/>
      <c r="Z702" s="18"/>
      <c r="AD702" s="18"/>
      <c r="AH702" s="18"/>
      <c r="AL702" s="18"/>
      <c r="AM702" s="22"/>
      <c r="AN702" s="22"/>
      <c r="AO702" s="22"/>
      <c r="AP702" s="22"/>
      <c r="AQ702" s="22"/>
      <c r="AR702" s="22"/>
      <c r="AS702" s="22"/>
      <c r="AT702" s="22"/>
    </row>
    <row r="703" spans="7:46" ht="13">
      <c r="G703" s="34"/>
      <c r="J703" s="18"/>
      <c r="N703" s="18"/>
      <c r="O703" s="1"/>
      <c r="P703" s="1"/>
      <c r="Q703" s="1"/>
      <c r="R703" s="18"/>
      <c r="S703" s="1"/>
      <c r="T703" s="1"/>
      <c r="U703" s="1"/>
      <c r="V703" s="1"/>
      <c r="Z703" s="18"/>
      <c r="AD703" s="18"/>
      <c r="AH703" s="18"/>
      <c r="AL703" s="18"/>
      <c r="AM703" s="22"/>
      <c r="AN703" s="22"/>
      <c r="AO703" s="22"/>
      <c r="AP703" s="22"/>
      <c r="AQ703" s="22"/>
      <c r="AR703" s="22"/>
      <c r="AS703" s="22"/>
      <c r="AT703" s="22"/>
    </row>
    <row r="704" spans="7:46" ht="13">
      <c r="G704" s="34"/>
      <c r="J704" s="18"/>
      <c r="N704" s="18"/>
      <c r="O704" s="1"/>
      <c r="P704" s="1"/>
      <c r="Q704" s="1"/>
      <c r="R704" s="18"/>
      <c r="S704" s="1"/>
      <c r="T704" s="1"/>
      <c r="U704" s="1"/>
      <c r="V704" s="1"/>
      <c r="Z704" s="18"/>
      <c r="AD704" s="18"/>
      <c r="AH704" s="18"/>
      <c r="AL704" s="18"/>
      <c r="AM704" s="22"/>
      <c r="AN704" s="22"/>
      <c r="AO704" s="22"/>
      <c r="AP704" s="22"/>
      <c r="AQ704" s="22"/>
      <c r="AR704" s="22"/>
      <c r="AS704" s="22"/>
      <c r="AT704" s="22"/>
    </row>
    <row r="705" spans="7:46" ht="13">
      <c r="G705" s="34"/>
      <c r="J705" s="18"/>
      <c r="N705" s="18"/>
      <c r="O705" s="1"/>
      <c r="P705" s="1"/>
      <c r="Q705" s="1"/>
      <c r="R705" s="18"/>
      <c r="S705" s="1"/>
      <c r="T705" s="1"/>
      <c r="U705" s="1"/>
      <c r="V705" s="1"/>
      <c r="Z705" s="18"/>
      <c r="AD705" s="18"/>
      <c r="AH705" s="18"/>
      <c r="AL705" s="18"/>
      <c r="AM705" s="22"/>
      <c r="AN705" s="22"/>
      <c r="AO705" s="22"/>
      <c r="AP705" s="22"/>
      <c r="AQ705" s="22"/>
      <c r="AR705" s="22"/>
      <c r="AS705" s="22"/>
      <c r="AT705" s="22"/>
    </row>
    <row r="706" spans="7:46" ht="13">
      <c r="G706" s="34"/>
      <c r="J706" s="18"/>
      <c r="N706" s="18"/>
      <c r="O706" s="1"/>
      <c r="P706" s="1"/>
      <c r="Q706" s="1"/>
      <c r="R706" s="18"/>
      <c r="S706" s="1"/>
      <c r="T706" s="1"/>
      <c r="U706" s="1"/>
      <c r="V706" s="1"/>
      <c r="Z706" s="18"/>
      <c r="AD706" s="18"/>
      <c r="AH706" s="18"/>
      <c r="AL706" s="18"/>
      <c r="AM706" s="22"/>
      <c r="AN706" s="22"/>
      <c r="AO706" s="22"/>
      <c r="AP706" s="22"/>
      <c r="AQ706" s="22"/>
      <c r="AR706" s="22"/>
      <c r="AS706" s="22"/>
      <c r="AT706" s="22"/>
    </row>
    <row r="707" spans="7:46" ht="13">
      <c r="G707" s="34"/>
      <c r="J707" s="18"/>
      <c r="N707" s="18"/>
      <c r="O707" s="1"/>
      <c r="P707" s="1"/>
      <c r="Q707" s="1"/>
      <c r="R707" s="18"/>
      <c r="S707" s="1"/>
      <c r="T707" s="1"/>
      <c r="U707" s="1"/>
      <c r="V707" s="1"/>
      <c r="Z707" s="18"/>
      <c r="AD707" s="18"/>
      <c r="AH707" s="18"/>
      <c r="AL707" s="18"/>
      <c r="AM707" s="22"/>
      <c r="AN707" s="22"/>
      <c r="AO707" s="22"/>
      <c r="AP707" s="22"/>
      <c r="AQ707" s="22"/>
      <c r="AR707" s="22"/>
      <c r="AS707" s="22"/>
      <c r="AT707" s="22"/>
    </row>
    <row r="708" spans="7:46" ht="13">
      <c r="G708" s="34"/>
      <c r="J708" s="18"/>
      <c r="N708" s="18"/>
      <c r="O708" s="1"/>
      <c r="P708" s="1"/>
      <c r="Q708" s="1"/>
      <c r="R708" s="18"/>
      <c r="S708" s="1"/>
      <c r="T708" s="1"/>
      <c r="U708" s="1"/>
      <c r="V708" s="1"/>
      <c r="Z708" s="18"/>
      <c r="AD708" s="18"/>
      <c r="AH708" s="18"/>
      <c r="AL708" s="18"/>
      <c r="AM708" s="22"/>
      <c r="AN708" s="22"/>
      <c r="AO708" s="22"/>
      <c r="AP708" s="22"/>
      <c r="AQ708" s="22"/>
      <c r="AR708" s="22"/>
      <c r="AS708" s="22"/>
      <c r="AT708" s="22"/>
    </row>
    <row r="709" spans="7:46" ht="13">
      <c r="G709" s="34"/>
      <c r="J709" s="18"/>
      <c r="N709" s="18"/>
      <c r="O709" s="1"/>
      <c r="P709" s="1"/>
      <c r="Q709" s="1"/>
      <c r="R709" s="18"/>
      <c r="S709" s="1"/>
      <c r="T709" s="1"/>
      <c r="U709" s="1"/>
      <c r="V709" s="1"/>
      <c r="Z709" s="18"/>
      <c r="AD709" s="18"/>
      <c r="AH709" s="18"/>
      <c r="AL709" s="18"/>
      <c r="AM709" s="22"/>
      <c r="AN709" s="22"/>
      <c r="AO709" s="22"/>
      <c r="AP709" s="22"/>
      <c r="AQ709" s="22"/>
      <c r="AR709" s="22"/>
      <c r="AS709" s="22"/>
      <c r="AT709" s="22"/>
    </row>
    <row r="710" spans="7:46" ht="13">
      <c r="G710" s="34"/>
      <c r="J710" s="18"/>
      <c r="N710" s="18"/>
      <c r="O710" s="1"/>
      <c r="P710" s="1"/>
      <c r="Q710" s="1"/>
      <c r="R710" s="18"/>
      <c r="S710" s="1"/>
      <c r="T710" s="1"/>
      <c r="U710" s="1"/>
      <c r="V710" s="1"/>
      <c r="Z710" s="18"/>
      <c r="AD710" s="18"/>
      <c r="AH710" s="18"/>
      <c r="AL710" s="18"/>
      <c r="AM710" s="22"/>
      <c r="AN710" s="22"/>
      <c r="AO710" s="22"/>
      <c r="AP710" s="22"/>
      <c r="AQ710" s="22"/>
      <c r="AR710" s="22"/>
      <c r="AS710" s="22"/>
      <c r="AT710" s="22"/>
    </row>
    <row r="711" spans="7:46" ht="13">
      <c r="G711" s="34"/>
      <c r="J711" s="18"/>
      <c r="N711" s="18"/>
      <c r="O711" s="1"/>
      <c r="P711" s="1"/>
      <c r="Q711" s="1"/>
      <c r="R711" s="18"/>
      <c r="S711" s="1"/>
      <c r="T711" s="1"/>
      <c r="U711" s="1"/>
      <c r="V711" s="1"/>
      <c r="Z711" s="18"/>
      <c r="AD711" s="18"/>
      <c r="AH711" s="18"/>
      <c r="AL711" s="18"/>
      <c r="AM711" s="22"/>
      <c r="AN711" s="22"/>
      <c r="AO711" s="22"/>
      <c r="AP711" s="22"/>
      <c r="AQ711" s="22"/>
      <c r="AR711" s="22"/>
      <c r="AS711" s="22"/>
      <c r="AT711" s="22"/>
    </row>
    <row r="712" spans="7:46" ht="13">
      <c r="G712" s="34"/>
      <c r="J712" s="18"/>
      <c r="N712" s="18"/>
      <c r="O712" s="1"/>
      <c r="P712" s="1"/>
      <c r="Q712" s="1"/>
      <c r="R712" s="18"/>
      <c r="S712" s="1"/>
      <c r="T712" s="1"/>
      <c r="U712" s="1"/>
      <c r="V712" s="1"/>
      <c r="Z712" s="18"/>
      <c r="AD712" s="18"/>
      <c r="AH712" s="18"/>
      <c r="AL712" s="18"/>
      <c r="AM712" s="22"/>
      <c r="AN712" s="22"/>
      <c r="AO712" s="22"/>
      <c r="AP712" s="22"/>
      <c r="AQ712" s="22"/>
      <c r="AR712" s="22"/>
      <c r="AS712" s="22"/>
      <c r="AT712" s="22"/>
    </row>
    <row r="713" spans="7:46" ht="13">
      <c r="G713" s="34"/>
      <c r="J713" s="18"/>
      <c r="N713" s="18"/>
      <c r="O713" s="1"/>
      <c r="P713" s="1"/>
      <c r="Q713" s="1"/>
      <c r="R713" s="18"/>
      <c r="S713" s="1"/>
      <c r="T713" s="1"/>
      <c r="U713" s="1"/>
      <c r="V713" s="1"/>
      <c r="Z713" s="18"/>
      <c r="AD713" s="18"/>
      <c r="AH713" s="18"/>
      <c r="AL713" s="18"/>
      <c r="AM713" s="22"/>
      <c r="AN713" s="22"/>
      <c r="AO713" s="22"/>
      <c r="AP713" s="22"/>
      <c r="AQ713" s="22"/>
      <c r="AR713" s="22"/>
      <c r="AS713" s="22"/>
      <c r="AT713" s="22"/>
    </row>
    <row r="714" spans="7:46" ht="13">
      <c r="G714" s="34"/>
      <c r="J714" s="18"/>
      <c r="N714" s="18"/>
      <c r="O714" s="1"/>
      <c r="P714" s="1"/>
      <c r="Q714" s="1"/>
      <c r="R714" s="18"/>
      <c r="S714" s="1"/>
      <c r="T714" s="1"/>
      <c r="U714" s="1"/>
      <c r="V714" s="1"/>
      <c r="Z714" s="18"/>
      <c r="AD714" s="18"/>
      <c r="AH714" s="18"/>
      <c r="AL714" s="18"/>
      <c r="AM714" s="22"/>
      <c r="AN714" s="22"/>
      <c r="AO714" s="22"/>
      <c r="AP714" s="22"/>
      <c r="AQ714" s="22"/>
      <c r="AR714" s="22"/>
      <c r="AS714" s="22"/>
      <c r="AT714" s="22"/>
    </row>
    <row r="715" spans="7:46" ht="13">
      <c r="G715" s="34"/>
      <c r="J715" s="18"/>
      <c r="N715" s="18"/>
      <c r="O715" s="1"/>
      <c r="P715" s="1"/>
      <c r="Q715" s="1"/>
      <c r="R715" s="18"/>
      <c r="S715" s="1"/>
      <c r="T715" s="1"/>
      <c r="U715" s="1"/>
      <c r="V715" s="1"/>
      <c r="Z715" s="18"/>
      <c r="AD715" s="18"/>
      <c r="AH715" s="18"/>
      <c r="AL715" s="18"/>
      <c r="AM715" s="22"/>
      <c r="AN715" s="22"/>
      <c r="AO715" s="22"/>
      <c r="AP715" s="22"/>
      <c r="AQ715" s="22"/>
      <c r="AR715" s="22"/>
      <c r="AS715" s="22"/>
      <c r="AT715" s="22"/>
    </row>
    <row r="716" spans="7:46" ht="13">
      <c r="G716" s="34"/>
      <c r="J716" s="18"/>
      <c r="N716" s="18"/>
      <c r="O716" s="1"/>
      <c r="P716" s="1"/>
      <c r="Q716" s="1"/>
      <c r="R716" s="18"/>
      <c r="S716" s="1"/>
      <c r="T716" s="1"/>
      <c r="U716" s="1"/>
      <c r="V716" s="1"/>
      <c r="Z716" s="18"/>
      <c r="AD716" s="18"/>
      <c r="AH716" s="18"/>
      <c r="AL716" s="18"/>
      <c r="AM716" s="22"/>
      <c r="AN716" s="22"/>
      <c r="AO716" s="22"/>
      <c r="AP716" s="22"/>
      <c r="AQ716" s="22"/>
      <c r="AR716" s="22"/>
      <c r="AS716" s="22"/>
      <c r="AT716" s="22"/>
    </row>
    <row r="717" spans="7:46" ht="13">
      <c r="G717" s="34"/>
      <c r="J717" s="18"/>
      <c r="N717" s="18"/>
      <c r="O717" s="1"/>
      <c r="P717" s="1"/>
      <c r="Q717" s="1"/>
      <c r="R717" s="18"/>
      <c r="S717" s="1"/>
      <c r="T717" s="1"/>
      <c r="U717" s="1"/>
      <c r="V717" s="1"/>
      <c r="Z717" s="18"/>
      <c r="AD717" s="18"/>
      <c r="AH717" s="18"/>
      <c r="AL717" s="18"/>
      <c r="AM717" s="22"/>
      <c r="AN717" s="22"/>
      <c r="AO717" s="22"/>
      <c r="AP717" s="22"/>
      <c r="AQ717" s="22"/>
      <c r="AR717" s="22"/>
      <c r="AS717" s="22"/>
      <c r="AT717" s="22"/>
    </row>
    <row r="718" spans="7:46" ht="13">
      <c r="G718" s="34"/>
      <c r="J718" s="18"/>
      <c r="N718" s="18"/>
      <c r="O718" s="1"/>
      <c r="P718" s="1"/>
      <c r="Q718" s="1"/>
      <c r="R718" s="18"/>
      <c r="S718" s="1"/>
      <c r="T718" s="1"/>
      <c r="U718" s="1"/>
      <c r="V718" s="1"/>
      <c r="Z718" s="18"/>
      <c r="AD718" s="18"/>
      <c r="AH718" s="18"/>
      <c r="AL718" s="18"/>
      <c r="AM718" s="22"/>
      <c r="AN718" s="22"/>
      <c r="AO718" s="22"/>
      <c r="AP718" s="22"/>
      <c r="AQ718" s="22"/>
      <c r="AR718" s="22"/>
      <c r="AS718" s="22"/>
      <c r="AT718" s="22"/>
    </row>
    <row r="719" spans="7:46" ht="13">
      <c r="G719" s="34"/>
      <c r="J719" s="18"/>
      <c r="N719" s="18"/>
      <c r="O719" s="1"/>
      <c r="P719" s="1"/>
      <c r="Q719" s="1"/>
      <c r="R719" s="18"/>
      <c r="S719" s="1"/>
      <c r="T719" s="1"/>
      <c r="U719" s="1"/>
      <c r="V719" s="1"/>
      <c r="Z719" s="18"/>
      <c r="AD719" s="18"/>
      <c r="AH719" s="18"/>
      <c r="AL719" s="18"/>
      <c r="AM719" s="22"/>
      <c r="AN719" s="22"/>
      <c r="AO719" s="22"/>
      <c r="AP719" s="22"/>
      <c r="AQ719" s="22"/>
      <c r="AR719" s="22"/>
      <c r="AS719" s="22"/>
      <c r="AT719" s="22"/>
    </row>
    <row r="720" spans="7:46" ht="13">
      <c r="G720" s="34"/>
      <c r="J720" s="18"/>
      <c r="N720" s="18"/>
      <c r="O720" s="1"/>
      <c r="P720" s="1"/>
      <c r="Q720" s="1"/>
      <c r="R720" s="18"/>
      <c r="S720" s="1"/>
      <c r="T720" s="1"/>
      <c r="U720" s="1"/>
      <c r="V720" s="1"/>
      <c r="Z720" s="18"/>
      <c r="AD720" s="18"/>
      <c r="AH720" s="18"/>
      <c r="AL720" s="18"/>
      <c r="AM720" s="22"/>
      <c r="AN720" s="22"/>
      <c r="AO720" s="22"/>
      <c r="AP720" s="22"/>
      <c r="AQ720" s="22"/>
      <c r="AR720" s="22"/>
      <c r="AS720" s="22"/>
      <c r="AT720" s="22"/>
    </row>
    <row r="721" spans="7:46" ht="13">
      <c r="G721" s="34"/>
      <c r="J721" s="18"/>
      <c r="N721" s="18"/>
      <c r="O721" s="1"/>
      <c r="P721" s="1"/>
      <c r="Q721" s="1"/>
      <c r="R721" s="18"/>
      <c r="S721" s="1"/>
      <c r="T721" s="1"/>
      <c r="U721" s="1"/>
      <c r="V721" s="1"/>
      <c r="Z721" s="18"/>
      <c r="AD721" s="18"/>
      <c r="AH721" s="18"/>
      <c r="AL721" s="18"/>
      <c r="AM721" s="22"/>
      <c r="AN721" s="22"/>
      <c r="AO721" s="22"/>
      <c r="AP721" s="22"/>
      <c r="AQ721" s="22"/>
      <c r="AR721" s="22"/>
      <c r="AS721" s="22"/>
      <c r="AT721" s="22"/>
    </row>
    <row r="722" spans="7:46" ht="13">
      <c r="G722" s="34"/>
      <c r="J722" s="18"/>
      <c r="N722" s="18"/>
      <c r="O722" s="1"/>
      <c r="P722" s="1"/>
      <c r="Q722" s="1"/>
      <c r="R722" s="18"/>
      <c r="S722" s="1"/>
      <c r="T722" s="1"/>
      <c r="U722" s="1"/>
      <c r="V722" s="1"/>
      <c r="Z722" s="18"/>
      <c r="AD722" s="18"/>
      <c r="AH722" s="18"/>
      <c r="AL722" s="18"/>
      <c r="AM722" s="22"/>
      <c r="AN722" s="22"/>
      <c r="AO722" s="22"/>
      <c r="AP722" s="22"/>
      <c r="AQ722" s="22"/>
      <c r="AR722" s="22"/>
      <c r="AS722" s="22"/>
      <c r="AT722" s="22"/>
    </row>
    <row r="723" spans="7:46" ht="13">
      <c r="G723" s="34"/>
      <c r="J723" s="18"/>
      <c r="N723" s="18"/>
      <c r="O723" s="1"/>
      <c r="P723" s="1"/>
      <c r="Q723" s="1"/>
      <c r="R723" s="18"/>
      <c r="S723" s="1"/>
      <c r="T723" s="1"/>
      <c r="U723" s="1"/>
      <c r="V723" s="1"/>
      <c r="Z723" s="18"/>
      <c r="AD723" s="18"/>
      <c r="AH723" s="18"/>
      <c r="AL723" s="18"/>
      <c r="AM723" s="22"/>
      <c r="AN723" s="22"/>
      <c r="AO723" s="22"/>
      <c r="AP723" s="22"/>
      <c r="AQ723" s="22"/>
      <c r="AR723" s="22"/>
      <c r="AS723" s="22"/>
      <c r="AT723" s="22"/>
    </row>
    <row r="724" spans="7:46" ht="13">
      <c r="G724" s="34"/>
      <c r="J724" s="18"/>
      <c r="N724" s="18"/>
      <c r="O724" s="1"/>
      <c r="P724" s="1"/>
      <c r="Q724" s="1"/>
      <c r="R724" s="18"/>
      <c r="S724" s="1"/>
      <c r="T724" s="1"/>
      <c r="U724" s="1"/>
      <c r="V724" s="1"/>
      <c r="Z724" s="18"/>
      <c r="AD724" s="18"/>
      <c r="AH724" s="18"/>
      <c r="AL724" s="18"/>
      <c r="AM724" s="22"/>
      <c r="AN724" s="22"/>
      <c r="AO724" s="22"/>
      <c r="AP724" s="22"/>
      <c r="AQ724" s="22"/>
      <c r="AR724" s="22"/>
      <c r="AS724" s="22"/>
      <c r="AT724" s="22"/>
    </row>
    <row r="725" spans="7:46" ht="13">
      <c r="G725" s="34"/>
      <c r="J725" s="18"/>
      <c r="N725" s="18"/>
      <c r="O725" s="1"/>
      <c r="P725" s="1"/>
      <c r="Q725" s="1"/>
      <c r="R725" s="18"/>
      <c r="S725" s="1"/>
      <c r="T725" s="1"/>
      <c r="U725" s="1"/>
      <c r="V725" s="1"/>
      <c r="Z725" s="18"/>
      <c r="AD725" s="18"/>
      <c r="AH725" s="18"/>
      <c r="AL725" s="18"/>
      <c r="AM725" s="22"/>
      <c r="AN725" s="22"/>
      <c r="AO725" s="22"/>
      <c r="AP725" s="22"/>
      <c r="AQ725" s="22"/>
      <c r="AR725" s="22"/>
      <c r="AS725" s="22"/>
      <c r="AT725" s="22"/>
    </row>
    <row r="726" spans="7:46" ht="13">
      <c r="G726" s="34"/>
      <c r="J726" s="18"/>
      <c r="N726" s="18"/>
      <c r="O726" s="1"/>
      <c r="P726" s="1"/>
      <c r="Q726" s="1"/>
      <c r="R726" s="18"/>
      <c r="S726" s="1"/>
      <c r="T726" s="1"/>
      <c r="U726" s="1"/>
      <c r="V726" s="1"/>
      <c r="Z726" s="18"/>
      <c r="AD726" s="18"/>
      <c r="AH726" s="18"/>
      <c r="AL726" s="18"/>
      <c r="AM726" s="22"/>
      <c r="AN726" s="22"/>
      <c r="AO726" s="22"/>
      <c r="AP726" s="22"/>
      <c r="AQ726" s="22"/>
      <c r="AR726" s="22"/>
      <c r="AS726" s="22"/>
      <c r="AT726" s="22"/>
    </row>
    <row r="727" spans="7:46" ht="13">
      <c r="G727" s="34"/>
      <c r="J727" s="18"/>
      <c r="N727" s="18"/>
      <c r="O727" s="1"/>
      <c r="P727" s="1"/>
      <c r="Q727" s="1"/>
      <c r="R727" s="18"/>
      <c r="S727" s="1"/>
      <c r="T727" s="1"/>
      <c r="U727" s="1"/>
      <c r="V727" s="1"/>
      <c r="Z727" s="18"/>
      <c r="AD727" s="18"/>
      <c r="AH727" s="18"/>
      <c r="AL727" s="18"/>
      <c r="AM727" s="22"/>
      <c r="AN727" s="22"/>
      <c r="AO727" s="22"/>
      <c r="AP727" s="22"/>
      <c r="AQ727" s="22"/>
      <c r="AR727" s="22"/>
      <c r="AS727" s="22"/>
      <c r="AT727" s="22"/>
    </row>
    <row r="728" spans="7:46" ht="13">
      <c r="G728" s="34"/>
      <c r="J728" s="18"/>
      <c r="N728" s="18"/>
      <c r="O728" s="1"/>
      <c r="P728" s="1"/>
      <c r="Q728" s="1"/>
      <c r="R728" s="18"/>
      <c r="S728" s="1"/>
      <c r="T728" s="1"/>
      <c r="U728" s="1"/>
      <c r="V728" s="1"/>
      <c r="Z728" s="18"/>
      <c r="AD728" s="18"/>
      <c r="AH728" s="18"/>
      <c r="AL728" s="18"/>
      <c r="AM728" s="22"/>
      <c r="AN728" s="22"/>
      <c r="AO728" s="22"/>
      <c r="AP728" s="22"/>
      <c r="AQ728" s="22"/>
      <c r="AR728" s="22"/>
      <c r="AS728" s="22"/>
      <c r="AT728" s="22"/>
    </row>
    <row r="729" spans="7:46" ht="13">
      <c r="G729" s="34"/>
      <c r="J729" s="18"/>
      <c r="N729" s="18"/>
      <c r="O729" s="1"/>
      <c r="P729" s="1"/>
      <c r="Q729" s="1"/>
      <c r="R729" s="18"/>
      <c r="S729" s="1"/>
      <c r="T729" s="1"/>
      <c r="U729" s="1"/>
      <c r="V729" s="1"/>
      <c r="Z729" s="18"/>
      <c r="AD729" s="18"/>
      <c r="AH729" s="18"/>
      <c r="AL729" s="18"/>
      <c r="AM729" s="22"/>
      <c r="AN729" s="22"/>
      <c r="AO729" s="22"/>
      <c r="AP729" s="22"/>
      <c r="AQ729" s="22"/>
      <c r="AR729" s="22"/>
      <c r="AS729" s="22"/>
      <c r="AT729" s="22"/>
    </row>
    <row r="730" spans="7:46" ht="13">
      <c r="G730" s="34"/>
      <c r="J730" s="18"/>
      <c r="N730" s="18"/>
      <c r="O730" s="1"/>
      <c r="P730" s="1"/>
      <c r="Q730" s="1"/>
      <c r="R730" s="18"/>
      <c r="S730" s="1"/>
      <c r="T730" s="1"/>
      <c r="U730" s="1"/>
      <c r="V730" s="1"/>
      <c r="Z730" s="18"/>
      <c r="AD730" s="18"/>
      <c r="AH730" s="18"/>
      <c r="AL730" s="18"/>
      <c r="AM730" s="22"/>
      <c r="AN730" s="22"/>
      <c r="AO730" s="22"/>
      <c r="AP730" s="22"/>
      <c r="AQ730" s="22"/>
      <c r="AR730" s="22"/>
      <c r="AS730" s="22"/>
      <c r="AT730" s="22"/>
    </row>
    <row r="731" spans="7:46" ht="13">
      <c r="G731" s="34"/>
      <c r="J731" s="18"/>
      <c r="N731" s="18"/>
      <c r="O731" s="1"/>
      <c r="P731" s="1"/>
      <c r="Q731" s="1"/>
      <c r="R731" s="18"/>
      <c r="S731" s="1"/>
      <c r="T731" s="1"/>
      <c r="U731" s="1"/>
      <c r="V731" s="1"/>
      <c r="Z731" s="18"/>
      <c r="AD731" s="18"/>
      <c r="AH731" s="18"/>
      <c r="AL731" s="18"/>
      <c r="AM731" s="22"/>
      <c r="AN731" s="22"/>
      <c r="AO731" s="22"/>
      <c r="AP731" s="22"/>
      <c r="AQ731" s="22"/>
      <c r="AR731" s="22"/>
      <c r="AS731" s="22"/>
      <c r="AT731" s="22"/>
    </row>
    <row r="732" spans="7:46" ht="13">
      <c r="G732" s="34"/>
      <c r="J732" s="18"/>
      <c r="N732" s="18"/>
      <c r="O732" s="1"/>
      <c r="P732" s="1"/>
      <c r="Q732" s="1"/>
      <c r="R732" s="18"/>
      <c r="S732" s="1"/>
      <c r="T732" s="1"/>
      <c r="U732" s="1"/>
      <c r="V732" s="1"/>
      <c r="Z732" s="18"/>
      <c r="AD732" s="18"/>
      <c r="AH732" s="18"/>
      <c r="AL732" s="18"/>
      <c r="AM732" s="22"/>
      <c r="AN732" s="22"/>
      <c r="AO732" s="22"/>
      <c r="AP732" s="22"/>
      <c r="AQ732" s="22"/>
      <c r="AR732" s="22"/>
      <c r="AS732" s="22"/>
      <c r="AT732" s="22"/>
    </row>
    <row r="733" spans="7:46" ht="13">
      <c r="G733" s="34"/>
      <c r="J733" s="18"/>
      <c r="N733" s="18"/>
      <c r="O733" s="1"/>
      <c r="P733" s="1"/>
      <c r="Q733" s="1"/>
      <c r="R733" s="18"/>
      <c r="S733" s="1"/>
      <c r="T733" s="1"/>
      <c r="U733" s="1"/>
      <c r="V733" s="1"/>
      <c r="Z733" s="18"/>
      <c r="AD733" s="18"/>
      <c r="AH733" s="18"/>
      <c r="AL733" s="18"/>
      <c r="AM733" s="22"/>
      <c r="AN733" s="22"/>
      <c r="AO733" s="22"/>
      <c r="AP733" s="22"/>
      <c r="AQ733" s="22"/>
      <c r="AR733" s="22"/>
      <c r="AS733" s="22"/>
      <c r="AT733" s="22"/>
    </row>
    <row r="734" spans="7:46" ht="13">
      <c r="G734" s="34"/>
      <c r="J734" s="18"/>
      <c r="N734" s="18"/>
      <c r="O734" s="1"/>
      <c r="P734" s="1"/>
      <c r="Q734" s="1"/>
      <c r="R734" s="18"/>
      <c r="S734" s="1"/>
      <c r="T734" s="1"/>
      <c r="U734" s="1"/>
      <c r="V734" s="1"/>
      <c r="Z734" s="18"/>
      <c r="AD734" s="18"/>
      <c r="AH734" s="18"/>
      <c r="AL734" s="18"/>
      <c r="AM734" s="22"/>
      <c r="AN734" s="22"/>
      <c r="AO734" s="22"/>
      <c r="AP734" s="22"/>
      <c r="AQ734" s="22"/>
      <c r="AR734" s="22"/>
      <c r="AS734" s="22"/>
      <c r="AT734" s="22"/>
    </row>
    <row r="735" spans="7:46" ht="13">
      <c r="G735" s="34"/>
      <c r="J735" s="18"/>
      <c r="N735" s="18"/>
      <c r="O735" s="1"/>
      <c r="P735" s="1"/>
      <c r="Q735" s="1"/>
      <c r="R735" s="18"/>
      <c r="S735" s="1"/>
      <c r="T735" s="1"/>
      <c r="U735" s="1"/>
      <c r="V735" s="1"/>
      <c r="Z735" s="18"/>
      <c r="AD735" s="18"/>
      <c r="AH735" s="18"/>
      <c r="AL735" s="18"/>
      <c r="AM735" s="22"/>
      <c r="AN735" s="22"/>
      <c r="AO735" s="22"/>
      <c r="AP735" s="22"/>
      <c r="AQ735" s="22"/>
      <c r="AR735" s="22"/>
      <c r="AS735" s="22"/>
      <c r="AT735" s="22"/>
    </row>
    <row r="736" spans="7:46" ht="13">
      <c r="G736" s="34"/>
      <c r="J736" s="18"/>
      <c r="N736" s="18"/>
      <c r="O736" s="1"/>
      <c r="P736" s="1"/>
      <c r="Q736" s="1"/>
      <c r="R736" s="18"/>
      <c r="S736" s="1"/>
      <c r="T736" s="1"/>
      <c r="U736" s="1"/>
      <c r="V736" s="1"/>
      <c r="Z736" s="18"/>
      <c r="AD736" s="18"/>
      <c r="AH736" s="18"/>
      <c r="AL736" s="18"/>
      <c r="AM736" s="22"/>
      <c r="AN736" s="22"/>
      <c r="AO736" s="22"/>
      <c r="AP736" s="22"/>
      <c r="AQ736" s="22"/>
      <c r="AR736" s="22"/>
      <c r="AS736" s="22"/>
      <c r="AT736" s="22"/>
    </row>
    <row r="737" spans="7:46" ht="13">
      <c r="G737" s="34"/>
      <c r="J737" s="18"/>
      <c r="N737" s="18"/>
      <c r="O737" s="1"/>
      <c r="P737" s="1"/>
      <c r="Q737" s="1"/>
      <c r="R737" s="18"/>
      <c r="S737" s="1"/>
      <c r="T737" s="1"/>
      <c r="U737" s="1"/>
      <c r="V737" s="1"/>
      <c r="Z737" s="18"/>
      <c r="AD737" s="18"/>
      <c r="AH737" s="18"/>
      <c r="AL737" s="18"/>
      <c r="AM737" s="22"/>
      <c r="AN737" s="22"/>
      <c r="AO737" s="22"/>
      <c r="AP737" s="22"/>
      <c r="AQ737" s="22"/>
      <c r="AR737" s="22"/>
      <c r="AS737" s="22"/>
      <c r="AT737" s="22"/>
    </row>
    <row r="738" spans="7:46" ht="13">
      <c r="G738" s="34"/>
      <c r="J738" s="18"/>
      <c r="N738" s="18"/>
      <c r="O738" s="1"/>
      <c r="P738" s="1"/>
      <c r="Q738" s="1"/>
      <c r="R738" s="18"/>
      <c r="S738" s="1"/>
      <c r="T738" s="1"/>
      <c r="U738" s="1"/>
      <c r="V738" s="1"/>
      <c r="Z738" s="18"/>
      <c r="AD738" s="18"/>
      <c r="AH738" s="18"/>
      <c r="AL738" s="18"/>
      <c r="AM738" s="22"/>
      <c r="AN738" s="22"/>
      <c r="AO738" s="22"/>
      <c r="AP738" s="22"/>
      <c r="AQ738" s="22"/>
      <c r="AR738" s="22"/>
      <c r="AS738" s="22"/>
      <c r="AT738" s="22"/>
    </row>
    <row r="739" spans="7:46" ht="13">
      <c r="G739" s="34"/>
      <c r="J739" s="18"/>
      <c r="N739" s="18"/>
      <c r="O739" s="1"/>
      <c r="P739" s="1"/>
      <c r="Q739" s="1"/>
      <c r="R739" s="18"/>
      <c r="S739" s="1"/>
      <c r="T739" s="1"/>
      <c r="U739" s="1"/>
      <c r="V739" s="1"/>
      <c r="Z739" s="18"/>
      <c r="AD739" s="18"/>
      <c r="AH739" s="18"/>
      <c r="AL739" s="18"/>
      <c r="AM739" s="22"/>
      <c r="AN739" s="22"/>
      <c r="AO739" s="22"/>
      <c r="AP739" s="22"/>
      <c r="AQ739" s="22"/>
      <c r="AR739" s="22"/>
      <c r="AS739" s="22"/>
      <c r="AT739" s="22"/>
    </row>
    <row r="740" spans="7:46" ht="13">
      <c r="G740" s="34"/>
      <c r="J740" s="18"/>
      <c r="N740" s="18"/>
      <c r="O740" s="1"/>
      <c r="P740" s="1"/>
      <c r="Q740" s="1"/>
      <c r="R740" s="18"/>
      <c r="S740" s="1"/>
      <c r="T740" s="1"/>
      <c r="U740" s="1"/>
      <c r="V740" s="1"/>
      <c r="Z740" s="18"/>
      <c r="AD740" s="18"/>
      <c r="AH740" s="18"/>
      <c r="AL740" s="18"/>
      <c r="AM740" s="22"/>
      <c r="AN740" s="22"/>
      <c r="AO740" s="22"/>
      <c r="AP740" s="22"/>
      <c r="AQ740" s="22"/>
      <c r="AR740" s="22"/>
      <c r="AS740" s="22"/>
      <c r="AT740" s="22"/>
    </row>
    <row r="741" spans="7:46" ht="13">
      <c r="G741" s="34"/>
      <c r="J741" s="18"/>
      <c r="N741" s="18"/>
      <c r="O741" s="1"/>
      <c r="P741" s="1"/>
      <c r="Q741" s="1"/>
      <c r="R741" s="18"/>
      <c r="S741" s="1"/>
      <c r="T741" s="1"/>
      <c r="U741" s="1"/>
      <c r="V741" s="1"/>
      <c r="Z741" s="18"/>
      <c r="AD741" s="18"/>
      <c r="AH741" s="18"/>
      <c r="AL741" s="18"/>
      <c r="AM741" s="22"/>
      <c r="AN741" s="22"/>
      <c r="AO741" s="22"/>
      <c r="AP741" s="22"/>
      <c r="AQ741" s="22"/>
      <c r="AR741" s="22"/>
      <c r="AS741" s="22"/>
      <c r="AT741" s="22"/>
    </row>
    <row r="742" spans="7:46" ht="13">
      <c r="G742" s="34"/>
      <c r="J742" s="18"/>
      <c r="N742" s="18"/>
      <c r="O742" s="1"/>
      <c r="P742" s="1"/>
      <c r="Q742" s="1"/>
      <c r="R742" s="18"/>
      <c r="S742" s="1"/>
      <c r="T742" s="1"/>
      <c r="U742" s="1"/>
      <c r="V742" s="1"/>
      <c r="Z742" s="18"/>
      <c r="AD742" s="18"/>
      <c r="AH742" s="18"/>
      <c r="AL742" s="18"/>
      <c r="AM742" s="22"/>
      <c r="AN742" s="22"/>
      <c r="AO742" s="22"/>
      <c r="AP742" s="22"/>
      <c r="AQ742" s="22"/>
      <c r="AR742" s="22"/>
      <c r="AS742" s="22"/>
      <c r="AT742" s="22"/>
    </row>
    <row r="743" spans="7:46" ht="13">
      <c r="G743" s="34"/>
      <c r="J743" s="18"/>
      <c r="N743" s="18"/>
      <c r="O743" s="1"/>
      <c r="P743" s="1"/>
      <c r="Q743" s="1"/>
      <c r="R743" s="18"/>
      <c r="S743" s="1"/>
      <c r="T743" s="1"/>
      <c r="U743" s="1"/>
      <c r="V743" s="1"/>
      <c r="Z743" s="18"/>
      <c r="AD743" s="18"/>
      <c r="AH743" s="18"/>
      <c r="AL743" s="18"/>
      <c r="AM743" s="22"/>
      <c r="AN743" s="22"/>
      <c r="AO743" s="22"/>
      <c r="AP743" s="22"/>
      <c r="AQ743" s="22"/>
      <c r="AR743" s="22"/>
      <c r="AS743" s="22"/>
      <c r="AT743" s="22"/>
    </row>
    <row r="744" spans="7:46" ht="13">
      <c r="G744" s="34"/>
      <c r="J744" s="18"/>
      <c r="N744" s="18"/>
      <c r="O744" s="1"/>
      <c r="P744" s="1"/>
      <c r="Q744" s="1"/>
      <c r="R744" s="18"/>
      <c r="S744" s="1"/>
      <c r="T744" s="1"/>
      <c r="U744" s="1"/>
      <c r="V744" s="1"/>
      <c r="Z744" s="18"/>
      <c r="AD744" s="18"/>
      <c r="AH744" s="18"/>
      <c r="AL744" s="18"/>
      <c r="AM744" s="22"/>
      <c r="AN744" s="22"/>
      <c r="AO744" s="22"/>
      <c r="AP744" s="22"/>
      <c r="AQ744" s="22"/>
      <c r="AR744" s="22"/>
      <c r="AS744" s="22"/>
      <c r="AT744" s="22"/>
    </row>
    <row r="745" spans="7:46" ht="13">
      <c r="G745" s="34"/>
      <c r="J745" s="18"/>
      <c r="N745" s="18"/>
      <c r="O745" s="1"/>
      <c r="P745" s="1"/>
      <c r="Q745" s="1"/>
      <c r="R745" s="18"/>
      <c r="S745" s="1"/>
      <c r="T745" s="1"/>
      <c r="U745" s="1"/>
      <c r="V745" s="1"/>
      <c r="Z745" s="18"/>
      <c r="AD745" s="18"/>
      <c r="AH745" s="18"/>
      <c r="AL745" s="18"/>
      <c r="AM745" s="22"/>
      <c r="AN745" s="22"/>
      <c r="AO745" s="22"/>
      <c r="AP745" s="22"/>
      <c r="AQ745" s="22"/>
      <c r="AR745" s="22"/>
      <c r="AS745" s="22"/>
      <c r="AT745" s="22"/>
    </row>
    <row r="746" spans="7:46" ht="13">
      <c r="G746" s="34"/>
      <c r="J746" s="18"/>
      <c r="N746" s="18"/>
      <c r="O746" s="1"/>
      <c r="P746" s="1"/>
      <c r="Q746" s="1"/>
      <c r="R746" s="18"/>
      <c r="S746" s="1"/>
      <c r="T746" s="1"/>
      <c r="U746" s="1"/>
      <c r="V746" s="1"/>
      <c r="Z746" s="18"/>
      <c r="AD746" s="18"/>
      <c r="AH746" s="18"/>
      <c r="AL746" s="18"/>
      <c r="AM746" s="22"/>
      <c r="AN746" s="22"/>
      <c r="AO746" s="22"/>
      <c r="AP746" s="22"/>
      <c r="AQ746" s="22"/>
      <c r="AR746" s="22"/>
      <c r="AS746" s="22"/>
      <c r="AT746" s="22"/>
    </row>
    <row r="747" spans="7:46" ht="13">
      <c r="G747" s="34"/>
      <c r="J747" s="18"/>
      <c r="N747" s="18"/>
      <c r="O747" s="1"/>
      <c r="P747" s="1"/>
      <c r="Q747" s="1"/>
      <c r="R747" s="18"/>
      <c r="S747" s="1"/>
      <c r="T747" s="1"/>
      <c r="U747" s="1"/>
      <c r="V747" s="1"/>
      <c r="Z747" s="18"/>
      <c r="AD747" s="18"/>
      <c r="AH747" s="18"/>
      <c r="AL747" s="18"/>
      <c r="AM747" s="22"/>
      <c r="AN747" s="22"/>
      <c r="AO747" s="22"/>
      <c r="AP747" s="22"/>
      <c r="AQ747" s="22"/>
      <c r="AR747" s="22"/>
      <c r="AS747" s="22"/>
      <c r="AT747" s="22"/>
    </row>
    <row r="748" spans="7:46" ht="13">
      <c r="G748" s="34"/>
      <c r="J748" s="18"/>
      <c r="N748" s="18"/>
      <c r="O748" s="1"/>
      <c r="P748" s="1"/>
      <c r="Q748" s="1"/>
      <c r="R748" s="18"/>
      <c r="S748" s="1"/>
      <c r="T748" s="1"/>
      <c r="U748" s="1"/>
      <c r="V748" s="1"/>
      <c r="Z748" s="18"/>
      <c r="AD748" s="18"/>
      <c r="AH748" s="18"/>
      <c r="AL748" s="18"/>
      <c r="AM748" s="22"/>
      <c r="AN748" s="22"/>
      <c r="AO748" s="22"/>
      <c r="AP748" s="22"/>
      <c r="AQ748" s="22"/>
      <c r="AR748" s="22"/>
      <c r="AS748" s="22"/>
      <c r="AT748" s="22"/>
    </row>
    <row r="749" spans="7:46" ht="13">
      <c r="G749" s="34"/>
      <c r="J749" s="18"/>
      <c r="N749" s="18"/>
      <c r="O749" s="1"/>
      <c r="P749" s="1"/>
      <c r="Q749" s="1"/>
      <c r="R749" s="18"/>
      <c r="S749" s="1"/>
      <c r="T749" s="1"/>
      <c r="U749" s="1"/>
      <c r="V749" s="1"/>
      <c r="Z749" s="18"/>
      <c r="AD749" s="18"/>
      <c r="AH749" s="18"/>
      <c r="AL749" s="18"/>
      <c r="AM749" s="22"/>
      <c r="AN749" s="22"/>
      <c r="AO749" s="22"/>
      <c r="AP749" s="22"/>
      <c r="AQ749" s="22"/>
      <c r="AR749" s="22"/>
      <c r="AS749" s="22"/>
      <c r="AT749" s="22"/>
    </row>
    <row r="750" spans="7:46" ht="13">
      <c r="G750" s="34"/>
      <c r="J750" s="18"/>
      <c r="N750" s="18"/>
      <c r="O750" s="1"/>
      <c r="P750" s="1"/>
      <c r="Q750" s="1"/>
      <c r="R750" s="18"/>
      <c r="S750" s="1"/>
      <c r="T750" s="1"/>
      <c r="U750" s="1"/>
      <c r="V750" s="1"/>
      <c r="Z750" s="18"/>
      <c r="AD750" s="18"/>
      <c r="AH750" s="18"/>
      <c r="AL750" s="18"/>
      <c r="AM750" s="22"/>
      <c r="AN750" s="22"/>
      <c r="AO750" s="22"/>
      <c r="AP750" s="22"/>
      <c r="AQ750" s="22"/>
      <c r="AR750" s="22"/>
      <c r="AS750" s="22"/>
      <c r="AT750" s="22"/>
    </row>
    <row r="751" spans="7:46" ht="13">
      <c r="G751" s="34"/>
      <c r="J751" s="18"/>
      <c r="N751" s="18"/>
      <c r="O751" s="1"/>
      <c r="P751" s="1"/>
      <c r="Q751" s="1"/>
      <c r="R751" s="18"/>
      <c r="S751" s="1"/>
      <c r="T751" s="1"/>
      <c r="U751" s="1"/>
      <c r="V751" s="1"/>
      <c r="Z751" s="18"/>
      <c r="AD751" s="18"/>
      <c r="AH751" s="18"/>
      <c r="AL751" s="18"/>
      <c r="AM751" s="22"/>
      <c r="AN751" s="22"/>
      <c r="AO751" s="22"/>
      <c r="AP751" s="22"/>
      <c r="AQ751" s="22"/>
      <c r="AR751" s="22"/>
      <c r="AS751" s="22"/>
      <c r="AT751" s="22"/>
    </row>
    <row r="752" spans="7:46" ht="13">
      <c r="G752" s="34"/>
      <c r="J752" s="18"/>
      <c r="N752" s="18"/>
      <c r="O752" s="1"/>
      <c r="P752" s="1"/>
      <c r="Q752" s="1"/>
      <c r="R752" s="18"/>
      <c r="S752" s="1"/>
      <c r="T752" s="1"/>
      <c r="U752" s="1"/>
      <c r="V752" s="1"/>
      <c r="Z752" s="18"/>
      <c r="AD752" s="18"/>
      <c r="AH752" s="18"/>
      <c r="AL752" s="18"/>
      <c r="AM752" s="22"/>
      <c r="AN752" s="22"/>
      <c r="AO752" s="22"/>
      <c r="AP752" s="22"/>
      <c r="AQ752" s="22"/>
      <c r="AR752" s="22"/>
      <c r="AS752" s="22"/>
      <c r="AT752" s="22"/>
    </row>
    <row r="753" spans="7:46" ht="13">
      <c r="G753" s="34"/>
      <c r="J753" s="18"/>
      <c r="N753" s="18"/>
      <c r="O753" s="1"/>
      <c r="P753" s="1"/>
      <c r="Q753" s="1"/>
      <c r="R753" s="18"/>
      <c r="S753" s="1"/>
      <c r="T753" s="1"/>
      <c r="U753" s="1"/>
      <c r="V753" s="1"/>
      <c r="Z753" s="18"/>
      <c r="AD753" s="18"/>
      <c r="AH753" s="18"/>
      <c r="AL753" s="18"/>
      <c r="AM753" s="22"/>
      <c r="AN753" s="22"/>
      <c r="AO753" s="22"/>
      <c r="AP753" s="22"/>
      <c r="AQ753" s="22"/>
      <c r="AR753" s="22"/>
      <c r="AS753" s="22"/>
      <c r="AT753" s="22"/>
    </row>
    <row r="754" spans="7:46" ht="13">
      <c r="G754" s="34"/>
      <c r="J754" s="18"/>
      <c r="N754" s="18"/>
      <c r="O754" s="1"/>
      <c r="P754" s="1"/>
      <c r="Q754" s="1"/>
      <c r="R754" s="18"/>
      <c r="S754" s="1"/>
      <c r="T754" s="1"/>
      <c r="U754" s="1"/>
      <c r="V754" s="1"/>
      <c r="Z754" s="18"/>
      <c r="AD754" s="18"/>
      <c r="AH754" s="18"/>
      <c r="AL754" s="18"/>
      <c r="AM754" s="22"/>
      <c r="AN754" s="22"/>
      <c r="AO754" s="22"/>
      <c r="AP754" s="22"/>
      <c r="AQ754" s="22"/>
      <c r="AR754" s="22"/>
      <c r="AS754" s="22"/>
      <c r="AT754" s="22"/>
    </row>
    <row r="755" spans="7:46" ht="13">
      <c r="G755" s="34"/>
      <c r="J755" s="18"/>
      <c r="N755" s="18"/>
      <c r="O755" s="1"/>
      <c r="P755" s="1"/>
      <c r="Q755" s="1"/>
      <c r="R755" s="18"/>
      <c r="S755" s="1"/>
      <c r="T755" s="1"/>
      <c r="U755" s="1"/>
      <c r="V755" s="1"/>
      <c r="Z755" s="18"/>
      <c r="AD755" s="18"/>
      <c r="AH755" s="18"/>
      <c r="AL755" s="18"/>
      <c r="AM755" s="22"/>
      <c r="AN755" s="22"/>
      <c r="AO755" s="22"/>
      <c r="AP755" s="22"/>
      <c r="AQ755" s="22"/>
      <c r="AR755" s="22"/>
      <c r="AS755" s="22"/>
      <c r="AT755" s="22"/>
    </row>
    <row r="756" spans="7:46" ht="13">
      <c r="G756" s="34"/>
      <c r="J756" s="18"/>
      <c r="N756" s="18"/>
      <c r="O756" s="1"/>
      <c r="P756" s="1"/>
      <c r="Q756" s="1"/>
      <c r="R756" s="18"/>
      <c r="S756" s="1"/>
      <c r="T756" s="1"/>
      <c r="U756" s="1"/>
      <c r="V756" s="1"/>
      <c r="Z756" s="18"/>
      <c r="AD756" s="18"/>
      <c r="AH756" s="18"/>
      <c r="AL756" s="18"/>
      <c r="AM756" s="22"/>
      <c r="AN756" s="22"/>
      <c r="AO756" s="22"/>
      <c r="AP756" s="22"/>
      <c r="AQ756" s="22"/>
      <c r="AR756" s="22"/>
      <c r="AS756" s="22"/>
      <c r="AT756" s="22"/>
    </row>
    <row r="757" spans="7:46" ht="13">
      <c r="G757" s="34"/>
      <c r="J757" s="18"/>
      <c r="N757" s="18"/>
      <c r="O757" s="1"/>
      <c r="P757" s="1"/>
      <c r="Q757" s="1"/>
      <c r="R757" s="18"/>
      <c r="S757" s="1"/>
      <c r="T757" s="1"/>
      <c r="U757" s="1"/>
      <c r="V757" s="1"/>
      <c r="Z757" s="18"/>
      <c r="AD757" s="18"/>
      <c r="AH757" s="18"/>
      <c r="AL757" s="18"/>
      <c r="AM757" s="22"/>
      <c r="AN757" s="22"/>
      <c r="AO757" s="22"/>
      <c r="AP757" s="22"/>
      <c r="AQ757" s="22"/>
      <c r="AR757" s="22"/>
      <c r="AS757" s="22"/>
      <c r="AT757" s="22"/>
    </row>
    <row r="758" spans="7:46" ht="13">
      <c r="G758" s="34"/>
      <c r="J758" s="18"/>
      <c r="N758" s="18"/>
      <c r="O758" s="1"/>
      <c r="P758" s="1"/>
      <c r="Q758" s="1"/>
      <c r="R758" s="18"/>
      <c r="S758" s="1"/>
      <c r="T758" s="1"/>
      <c r="U758" s="1"/>
      <c r="V758" s="1"/>
      <c r="Z758" s="18"/>
      <c r="AD758" s="18"/>
      <c r="AH758" s="18"/>
      <c r="AL758" s="18"/>
      <c r="AM758" s="22"/>
      <c r="AN758" s="22"/>
      <c r="AO758" s="22"/>
      <c r="AP758" s="22"/>
      <c r="AQ758" s="22"/>
      <c r="AR758" s="22"/>
      <c r="AS758" s="22"/>
      <c r="AT758" s="22"/>
    </row>
    <row r="759" spans="7:46" ht="13">
      <c r="G759" s="34"/>
      <c r="J759" s="18"/>
      <c r="N759" s="18"/>
      <c r="O759" s="1"/>
      <c r="P759" s="1"/>
      <c r="Q759" s="1"/>
      <c r="R759" s="18"/>
      <c r="S759" s="1"/>
      <c r="T759" s="1"/>
      <c r="U759" s="1"/>
      <c r="V759" s="1"/>
      <c r="Z759" s="18"/>
      <c r="AD759" s="18"/>
      <c r="AH759" s="18"/>
      <c r="AL759" s="18"/>
      <c r="AM759" s="22"/>
      <c r="AN759" s="22"/>
      <c r="AO759" s="22"/>
      <c r="AP759" s="22"/>
      <c r="AQ759" s="22"/>
      <c r="AR759" s="22"/>
      <c r="AS759" s="22"/>
      <c r="AT759" s="22"/>
    </row>
    <row r="760" spans="7:46" ht="13">
      <c r="G760" s="34"/>
      <c r="J760" s="18"/>
      <c r="N760" s="18"/>
      <c r="O760" s="1"/>
      <c r="P760" s="1"/>
      <c r="Q760" s="1"/>
      <c r="R760" s="18"/>
      <c r="S760" s="1"/>
      <c r="T760" s="1"/>
      <c r="U760" s="1"/>
      <c r="V760" s="1"/>
      <c r="Z760" s="18"/>
      <c r="AD760" s="18"/>
      <c r="AH760" s="18"/>
      <c r="AL760" s="18"/>
      <c r="AM760" s="22"/>
      <c r="AN760" s="22"/>
      <c r="AO760" s="22"/>
      <c r="AP760" s="22"/>
      <c r="AQ760" s="22"/>
      <c r="AR760" s="22"/>
      <c r="AS760" s="22"/>
      <c r="AT760" s="22"/>
    </row>
    <row r="761" spans="7:46" ht="13">
      <c r="G761" s="34"/>
      <c r="J761" s="18"/>
      <c r="N761" s="18"/>
      <c r="O761" s="1"/>
      <c r="P761" s="1"/>
      <c r="Q761" s="1"/>
      <c r="R761" s="18"/>
      <c r="S761" s="1"/>
      <c r="T761" s="1"/>
      <c r="U761" s="1"/>
      <c r="V761" s="1"/>
      <c r="Z761" s="18"/>
      <c r="AD761" s="18"/>
      <c r="AH761" s="18"/>
      <c r="AL761" s="18"/>
      <c r="AM761" s="22"/>
      <c r="AN761" s="22"/>
      <c r="AO761" s="22"/>
      <c r="AP761" s="22"/>
      <c r="AQ761" s="22"/>
      <c r="AR761" s="22"/>
      <c r="AS761" s="22"/>
      <c r="AT761" s="22"/>
    </row>
    <row r="762" spans="7:46" ht="13">
      <c r="G762" s="34"/>
      <c r="J762" s="18"/>
      <c r="N762" s="18"/>
      <c r="O762" s="1"/>
      <c r="P762" s="1"/>
      <c r="Q762" s="1"/>
      <c r="R762" s="18"/>
      <c r="S762" s="1"/>
      <c r="T762" s="1"/>
      <c r="U762" s="1"/>
      <c r="V762" s="1"/>
      <c r="Z762" s="18"/>
      <c r="AD762" s="18"/>
      <c r="AH762" s="18"/>
      <c r="AL762" s="18"/>
      <c r="AM762" s="22"/>
      <c r="AN762" s="22"/>
      <c r="AO762" s="22"/>
      <c r="AP762" s="22"/>
      <c r="AQ762" s="22"/>
      <c r="AR762" s="22"/>
      <c r="AS762" s="22"/>
      <c r="AT762" s="22"/>
    </row>
    <row r="763" spans="7:46" ht="13">
      <c r="G763" s="34"/>
      <c r="J763" s="18"/>
      <c r="N763" s="18"/>
      <c r="O763" s="1"/>
      <c r="P763" s="1"/>
      <c r="Q763" s="1"/>
      <c r="R763" s="18"/>
      <c r="S763" s="1"/>
      <c r="T763" s="1"/>
      <c r="U763" s="1"/>
      <c r="V763" s="1"/>
      <c r="Z763" s="18"/>
      <c r="AD763" s="18"/>
      <c r="AH763" s="18"/>
      <c r="AL763" s="18"/>
      <c r="AM763" s="22"/>
      <c r="AN763" s="22"/>
      <c r="AO763" s="22"/>
      <c r="AP763" s="22"/>
      <c r="AQ763" s="22"/>
      <c r="AR763" s="22"/>
      <c r="AS763" s="22"/>
      <c r="AT763" s="22"/>
    </row>
    <row r="764" spans="7:46" ht="13">
      <c r="G764" s="34"/>
      <c r="J764" s="18"/>
      <c r="N764" s="18"/>
      <c r="O764" s="1"/>
      <c r="P764" s="1"/>
      <c r="Q764" s="1"/>
      <c r="R764" s="18"/>
      <c r="S764" s="1"/>
      <c r="T764" s="1"/>
      <c r="U764" s="1"/>
      <c r="V764" s="1"/>
      <c r="Z764" s="18"/>
      <c r="AD764" s="18"/>
      <c r="AH764" s="18"/>
      <c r="AL764" s="18"/>
      <c r="AM764" s="22"/>
      <c r="AN764" s="22"/>
      <c r="AO764" s="22"/>
      <c r="AP764" s="22"/>
      <c r="AQ764" s="22"/>
      <c r="AR764" s="22"/>
      <c r="AS764" s="22"/>
      <c r="AT764" s="22"/>
    </row>
    <row r="765" spans="7:46" ht="13">
      <c r="G765" s="34"/>
      <c r="J765" s="18"/>
      <c r="N765" s="18"/>
      <c r="O765" s="1"/>
      <c r="P765" s="1"/>
      <c r="Q765" s="1"/>
      <c r="R765" s="18"/>
      <c r="S765" s="1"/>
      <c r="T765" s="1"/>
      <c r="U765" s="1"/>
      <c r="V765" s="1"/>
      <c r="Z765" s="18"/>
      <c r="AD765" s="18"/>
      <c r="AH765" s="18"/>
      <c r="AL765" s="18"/>
      <c r="AM765" s="22"/>
      <c r="AN765" s="22"/>
      <c r="AO765" s="22"/>
      <c r="AP765" s="22"/>
      <c r="AQ765" s="22"/>
      <c r="AR765" s="22"/>
      <c r="AS765" s="22"/>
      <c r="AT765" s="22"/>
    </row>
    <row r="766" spans="7:46" ht="13">
      <c r="G766" s="34"/>
      <c r="J766" s="18"/>
      <c r="N766" s="18"/>
      <c r="O766" s="1"/>
      <c r="P766" s="1"/>
      <c r="Q766" s="1"/>
      <c r="R766" s="18"/>
      <c r="S766" s="1"/>
      <c r="T766" s="1"/>
      <c r="U766" s="1"/>
      <c r="V766" s="1"/>
      <c r="Z766" s="18"/>
      <c r="AD766" s="18"/>
      <c r="AH766" s="18"/>
      <c r="AL766" s="18"/>
      <c r="AM766" s="22"/>
      <c r="AN766" s="22"/>
      <c r="AO766" s="22"/>
      <c r="AP766" s="22"/>
      <c r="AQ766" s="22"/>
      <c r="AR766" s="22"/>
      <c r="AS766" s="22"/>
      <c r="AT766" s="22"/>
    </row>
    <row r="767" spans="7:46" ht="13">
      <c r="G767" s="34"/>
      <c r="J767" s="18"/>
      <c r="N767" s="18"/>
      <c r="O767" s="1"/>
      <c r="P767" s="1"/>
      <c r="Q767" s="1"/>
      <c r="R767" s="18"/>
      <c r="S767" s="1"/>
      <c r="T767" s="1"/>
      <c r="U767" s="1"/>
      <c r="V767" s="1"/>
      <c r="Z767" s="18"/>
      <c r="AD767" s="18"/>
      <c r="AH767" s="18"/>
      <c r="AL767" s="18"/>
      <c r="AM767" s="22"/>
      <c r="AN767" s="22"/>
      <c r="AO767" s="22"/>
      <c r="AP767" s="22"/>
      <c r="AQ767" s="22"/>
      <c r="AR767" s="22"/>
      <c r="AS767" s="22"/>
      <c r="AT767" s="22"/>
    </row>
    <row r="768" spans="7:46" ht="13">
      <c r="G768" s="34"/>
      <c r="J768" s="18"/>
      <c r="N768" s="18"/>
      <c r="O768" s="1"/>
      <c r="P768" s="1"/>
      <c r="Q768" s="1"/>
      <c r="R768" s="18"/>
      <c r="S768" s="1"/>
      <c r="T768" s="1"/>
      <c r="U768" s="1"/>
      <c r="V768" s="1"/>
      <c r="Z768" s="18"/>
      <c r="AD768" s="18"/>
      <c r="AH768" s="18"/>
      <c r="AL768" s="18"/>
      <c r="AM768" s="22"/>
      <c r="AN768" s="22"/>
      <c r="AO768" s="22"/>
      <c r="AP768" s="22"/>
      <c r="AQ768" s="22"/>
      <c r="AR768" s="22"/>
      <c r="AS768" s="22"/>
      <c r="AT768" s="22"/>
    </row>
    <row r="769" spans="7:46" ht="13">
      <c r="G769" s="34"/>
      <c r="J769" s="18"/>
      <c r="N769" s="18"/>
      <c r="O769" s="1"/>
      <c r="P769" s="1"/>
      <c r="Q769" s="1"/>
      <c r="R769" s="18"/>
      <c r="S769" s="1"/>
      <c r="T769" s="1"/>
      <c r="U769" s="1"/>
      <c r="V769" s="1"/>
      <c r="Z769" s="18"/>
      <c r="AD769" s="18"/>
      <c r="AH769" s="18"/>
      <c r="AL769" s="18"/>
      <c r="AM769" s="22"/>
      <c r="AN769" s="22"/>
      <c r="AO769" s="22"/>
      <c r="AP769" s="22"/>
      <c r="AQ769" s="22"/>
      <c r="AR769" s="22"/>
      <c r="AS769" s="22"/>
      <c r="AT769" s="22"/>
    </row>
    <row r="770" spans="7:46" ht="13">
      <c r="G770" s="34"/>
      <c r="J770" s="18"/>
      <c r="N770" s="18"/>
      <c r="O770" s="1"/>
      <c r="P770" s="1"/>
      <c r="Q770" s="1"/>
      <c r="R770" s="18"/>
      <c r="S770" s="1"/>
      <c r="T770" s="1"/>
      <c r="U770" s="1"/>
      <c r="V770" s="1"/>
      <c r="Z770" s="18"/>
      <c r="AD770" s="18"/>
      <c r="AH770" s="18"/>
      <c r="AL770" s="18"/>
      <c r="AM770" s="22"/>
      <c r="AN770" s="22"/>
      <c r="AO770" s="22"/>
      <c r="AP770" s="22"/>
      <c r="AQ770" s="22"/>
      <c r="AR770" s="22"/>
      <c r="AS770" s="22"/>
      <c r="AT770" s="22"/>
    </row>
    <row r="771" spans="7:46" ht="13">
      <c r="G771" s="34"/>
      <c r="J771" s="18"/>
      <c r="N771" s="18"/>
      <c r="O771" s="1"/>
      <c r="P771" s="1"/>
      <c r="Q771" s="1"/>
      <c r="R771" s="18"/>
      <c r="S771" s="1"/>
      <c r="T771" s="1"/>
      <c r="U771" s="1"/>
      <c r="V771" s="1"/>
      <c r="Z771" s="18"/>
      <c r="AD771" s="18"/>
      <c r="AH771" s="18"/>
      <c r="AL771" s="18"/>
      <c r="AM771" s="22"/>
      <c r="AN771" s="22"/>
      <c r="AO771" s="22"/>
      <c r="AP771" s="22"/>
      <c r="AQ771" s="22"/>
      <c r="AR771" s="22"/>
      <c r="AS771" s="22"/>
      <c r="AT771" s="22"/>
    </row>
    <row r="772" spans="7:46" ht="13">
      <c r="G772" s="34"/>
      <c r="J772" s="18"/>
      <c r="N772" s="18"/>
      <c r="O772" s="1"/>
      <c r="P772" s="1"/>
      <c r="Q772" s="1"/>
      <c r="R772" s="18"/>
      <c r="S772" s="1"/>
      <c r="T772" s="1"/>
      <c r="U772" s="1"/>
      <c r="V772" s="1"/>
      <c r="Z772" s="18"/>
      <c r="AD772" s="18"/>
      <c r="AH772" s="18"/>
      <c r="AL772" s="18"/>
      <c r="AM772" s="22"/>
      <c r="AN772" s="22"/>
      <c r="AO772" s="22"/>
      <c r="AP772" s="22"/>
      <c r="AQ772" s="22"/>
      <c r="AR772" s="22"/>
      <c r="AS772" s="22"/>
      <c r="AT772" s="22"/>
    </row>
    <row r="773" spans="7:46" ht="13">
      <c r="G773" s="34"/>
      <c r="J773" s="18"/>
      <c r="N773" s="18"/>
      <c r="O773" s="1"/>
      <c r="P773" s="1"/>
      <c r="Q773" s="1"/>
      <c r="R773" s="18"/>
      <c r="S773" s="1"/>
      <c r="T773" s="1"/>
      <c r="U773" s="1"/>
      <c r="V773" s="1"/>
      <c r="Z773" s="18"/>
      <c r="AD773" s="18"/>
      <c r="AH773" s="18"/>
      <c r="AL773" s="18"/>
      <c r="AM773" s="22"/>
      <c r="AN773" s="22"/>
      <c r="AO773" s="22"/>
      <c r="AP773" s="22"/>
      <c r="AQ773" s="22"/>
      <c r="AR773" s="22"/>
      <c r="AS773" s="22"/>
      <c r="AT773" s="22"/>
    </row>
    <row r="774" spans="7:46" ht="13">
      <c r="G774" s="34"/>
      <c r="J774" s="18"/>
      <c r="N774" s="18"/>
      <c r="O774" s="1"/>
      <c r="P774" s="1"/>
      <c r="Q774" s="1"/>
      <c r="R774" s="18"/>
      <c r="S774" s="1"/>
      <c r="T774" s="1"/>
      <c r="U774" s="1"/>
      <c r="V774" s="1"/>
      <c r="Z774" s="18"/>
      <c r="AD774" s="18"/>
      <c r="AH774" s="18"/>
      <c r="AL774" s="18"/>
      <c r="AM774" s="22"/>
      <c r="AN774" s="22"/>
      <c r="AO774" s="22"/>
      <c r="AP774" s="22"/>
      <c r="AQ774" s="22"/>
      <c r="AR774" s="22"/>
      <c r="AS774" s="22"/>
      <c r="AT774" s="22"/>
    </row>
    <row r="775" spans="7:46" ht="13">
      <c r="G775" s="34"/>
      <c r="J775" s="18"/>
      <c r="N775" s="18"/>
      <c r="O775" s="1"/>
      <c r="P775" s="1"/>
      <c r="Q775" s="1"/>
      <c r="R775" s="18"/>
      <c r="S775" s="1"/>
      <c r="T775" s="1"/>
      <c r="U775" s="1"/>
      <c r="V775" s="1"/>
      <c r="Z775" s="18"/>
      <c r="AD775" s="18"/>
      <c r="AH775" s="18"/>
      <c r="AL775" s="18"/>
      <c r="AM775" s="22"/>
      <c r="AN775" s="22"/>
      <c r="AO775" s="22"/>
      <c r="AP775" s="22"/>
      <c r="AQ775" s="22"/>
      <c r="AR775" s="22"/>
      <c r="AS775" s="22"/>
      <c r="AT775" s="22"/>
    </row>
    <row r="776" spans="7:46" ht="13">
      <c r="G776" s="34"/>
      <c r="J776" s="18"/>
      <c r="N776" s="18"/>
      <c r="O776" s="1"/>
      <c r="P776" s="1"/>
      <c r="Q776" s="1"/>
      <c r="R776" s="18"/>
      <c r="S776" s="1"/>
      <c r="T776" s="1"/>
      <c r="U776" s="1"/>
      <c r="V776" s="1"/>
      <c r="Z776" s="18"/>
      <c r="AD776" s="18"/>
      <c r="AH776" s="18"/>
      <c r="AL776" s="18"/>
      <c r="AM776" s="22"/>
      <c r="AN776" s="22"/>
      <c r="AO776" s="22"/>
      <c r="AP776" s="22"/>
      <c r="AQ776" s="22"/>
      <c r="AR776" s="22"/>
      <c r="AS776" s="22"/>
      <c r="AT776" s="22"/>
    </row>
    <row r="777" spans="7:46" ht="13">
      <c r="G777" s="34"/>
      <c r="J777" s="18"/>
      <c r="N777" s="18"/>
      <c r="O777" s="1"/>
      <c r="P777" s="1"/>
      <c r="Q777" s="1"/>
      <c r="R777" s="18"/>
      <c r="S777" s="1"/>
      <c r="T777" s="1"/>
      <c r="U777" s="1"/>
      <c r="V777" s="1"/>
      <c r="Z777" s="18"/>
      <c r="AD777" s="18"/>
      <c r="AH777" s="18"/>
      <c r="AL777" s="18"/>
      <c r="AM777" s="22"/>
      <c r="AN777" s="22"/>
      <c r="AO777" s="22"/>
      <c r="AP777" s="22"/>
      <c r="AQ777" s="22"/>
      <c r="AR777" s="22"/>
      <c r="AS777" s="22"/>
      <c r="AT777" s="22"/>
    </row>
    <row r="778" spans="7:46" ht="13">
      <c r="G778" s="34"/>
      <c r="J778" s="18"/>
      <c r="N778" s="18"/>
      <c r="O778" s="1"/>
      <c r="P778" s="1"/>
      <c r="Q778" s="1"/>
      <c r="R778" s="18"/>
      <c r="S778" s="1"/>
      <c r="T778" s="1"/>
      <c r="U778" s="1"/>
      <c r="V778" s="1"/>
      <c r="Z778" s="18"/>
      <c r="AD778" s="18"/>
      <c r="AH778" s="18"/>
      <c r="AL778" s="18"/>
      <c r="AM778" s="22"/>
      <c r="AN778" s="22"/>
      <c r="AO778" s="22"/>
      <c r="AP778" s="22"/>
      <c r="AQ778" s="22"/>
      <c r="AR778" s="22"/>
      <c r="AS778" s="22"/>
      <c r="AT778" s="22"/>
    </row>
    <row r="779" spans="7:46" ht="13">
      <c r="G779" s="34"/>
      <c r="J779" s="18"/>
      <c r="N779" s="18"/>
      <c r="O779" s="1"/>
      <c r="P779" s="1"/>
      <c r="Q779" s="1"/>
      <c r="R779" s="18"/>
      <c r="S779" s="1"/>
      <c r="T779" s="1"/>
      <c r="U779" s="1"/>
      <c r="V779" s="1"/>
      <c r="Z779" s="18"/>
      <c r="AD779" s="18"/>
      <c r="AH779" s="18"/>
      <c r="AL779" s="18"/>
      <c r="AM779" s="22"/>
      <c r="AN779" s="22"/>
      <c r="AO779" s="22"/>
      <c r="AP779" s="22"/>
      <c r="AQ779" s="22"/>
      <c r="AR779" s="22"/>
      <c r="AS779" s="22"/>
      <c r="AT779" s="22"/>
    </row>
    <row r="780" spans="7:46" ht="13">
      <c r="G780" s="34"/>
      <c r="J780" s="18"/>
      <c r="N780" s="18"/>
      <c r="O780" s="1"/>
      <c r="P780" s="1"/>
      <c r="Q780" s="1"/>
      <c r="R780" s="18"/>
      <c r="S780" s="1"/>
      <c r="T780" s="1"/>
      <c r="U780" s="1"/>
      <c r="V780" s="1"/>
      <c r="Z780" s="18"/>
      <c r="AD780" s="18"/>
      <c r="AH780" s="18"/>
      <c r="AL780" s="18"/>
      <c r="AM780" s="22"/>
      <c r="AN780" s="22"/>
      <c r="AO780" s="22"/>
      <c r="AP780" s="22"/>
      <c r="AQ780" s="22"/>
      <c r="AR780" s="22"/>
      <c r="AS780" s="22"/>
      <c r="AT780" s="22"/>
    </row>
    <row r="781" spans="7:46" ht="13">
      <c r="G781" s="34"/>
      <c r="J781" s="18"/>
      <c r="N781" s="18"/>
      <c r="O781" s="1"/>
      <c r="P781" s="1"/>
      <c r="Q781" s="1"/>
      <c r="R781" s="18"/>
      <c r="S781" s="1"/>
      <c r="T781" s="1"/>
      <c r="U781" s="1"/>
      <c r="V781" s="1"/>
      <c r="Z781" s="18"/>
      <c r="AD781" s="18"/>
      <c r="AH781" s="18"/>
      <c r="AL781" s="18"/>
      <c r="AM781" s="22"/>
      <c r="AN781" s="22"/>
      <c r="AO781" s="22"/>
      <c r="AP781" s="22"/>
      <c r="AQ781" s="22"/>
      <c r="AR781" s="22"/>
      <c r="AS781" s="22"/>
      <c r="AT781" s="22"/>
    </row>
    <row r="782" spans="7:46" ht="13">
      <c r="G782" s="34"/>
      <c r="J782" s="18"/>
      <c r="N782" s="18"/>
      <c r="O782" s="1"/>
      <c r="P782" s="1"/>
      <c r="Q782" s="1"/>
      <c r="R782" s="18"/>
      <c r="S782" s="1"/>
      <c r="T782" s="1"/>
      <c r="U782" s="1"/>
      <c r="V782" s="1"/>
      <c r="Z782" s="18"/>
      <c r="AD782" s="18"/>
      <c r="AH782" s="18"/>
      <c r="AL782" s="18"/>
      <c r="AM782" s="22"/>
      <c r="AN782" s="22"/>
      <c r="AO782" s="22"/>
      <c r="AP782" s="22"/>
      <c r="AQ782" s="22"/>
      <c r="AR782" s="22"/>
      <c r="AS782" s="22"/>
      <c r="AT782" s="22"/>
    </row>
    <row r="783" spans="7:46" ht="13">
      <c r="G783" s="34"/>
      <c r="J783" s="18"/>
      <c r="N783" s="18"/>
      <c r="O783" s="1"/>
      <c r="P783" s="1"/>
      <c r="Q783" s="1"/>
      <c r="R783" s="18"/>
      <c r="S783" s="1"/>
      <c r="T783" s="1"/>
      <c r="U783" s="1"/>
      <c r="V783" s="1"/>
      <c r="Z783" s="18"/>
      <c r="AD783" s="18"/>
      <c r="AH783" s="18"/>
      <c r="AL783" s="18"/>
      <c r="AM783" s="22"/>
      <c r="AN783" s="22"/>
      <c r="AO783" s="22"/>
      <c r="AP783" s="22"/>
      <c r="AQ783" s="22"/>
      <c r="AR783" s="22"/>
      <c r="AS783" s="22"/>
      <c r="AT783" s="22"/>
    </row>
    <row r="784" spans="7:46" ht="13">
      <c r="G784" s="34"/>
      <c r="J784" s="18"/>
      <c r="N784" s="18"/>
      <c r="O784" s="1"/>
      <c r="P784" s="1"/>
      <c r="Q784" s="1"/>
      <c r="R784" s="18"/>
      <c r="S784" s="1"/>
      <c r="T784" s="1"/>
      <c r="U784" s="1"/>
      <c r="V784" s="1"/>
      <c r="Z784" s="18"/>
      <c r="AD784" s="18"/>
      <c r="AH784" s="18"/>
      <c r="AL784" s="18"/>
      <c r="AM784" s="22"/>
      <c r="AN784" s="22"/>
      <c r="AO784" s="22"/>
      <c r="AP784" s="22"/>
      <c r="AQ784" s="22"/>
      <c r="AR784" s="22"/>
      <c r="AS784" s="22"/>
      <c r="AT784" s="22"/>
    </row>
    <row r="785" spans="7:46" ht="13">
      <c r="G785" s="34"/>
      <c r="J785" s="18"/>
      <c r="N785" s="18"/>
      <c r="O785" s="1"/>
      <c r="P785" s="1"/>
      <c r="Q785" s="1"/>
      <c r="R785" s="18"/>
      <c r="S785" s="1"/>
      <c r="T785" s="1"/>
      <c r="U785" s="1"/>
      <c r="V785" s="1"/>
      <c r="Z785" s="18"/>
      <c r="AD785" s="18"/>
      <c r="AH785" s="18"/>
      <c r="AL785" s="18"/>
      <c r="AM785" s="22"/>
      <c r="AN785" s="22"/>
      <c r="AO785" s="22"/>
      <c r="AP785" s="22"/>
      <c r="AQ785" s="22"/>
      <c r="AR785" s="22"/>
      <c r="AS785" s="22"/>
      <c r="AT785" s="22"/>
    </row>
    <row r="786" spans="7:46" ht="13">
      <c r="G786" s="34"/>
      <c r="J786" s="18"/>
      <c r="N786" s="18"/>
      <c r="O786" s="1"/>
      <c r="P786" s="1"/>
      <c r="Q786" s="1"/>
      <c r="R786" s="18"/>
      <c r="S786" s="1"/>
      <c r="T786" s="1"/>
      <c r="U786" s="1"/>
      <c r="V786" s="1"/>
      <c r="Z786" s="18"/>
      <c r="AD786" s="18"/>
      <c r="AH786" s="18"/>
      <c r="AL786" s="18"/>
      <c r="AM786" s="22"/>
      <c r="AN786" s="22"/>
      <c r="AO786" s="22"/>
      <c r="AP786" s="22"/>
      <c r="AQ786" s="22"/>
      <c r="AR786" s="22"/>
      <c r="AS786" s="22"/>
      <c r="AT786" s="22"/>
    </row>
    <row r="787" spans="7:46" ht="13">
      <c r="G787" s="34"/>
      <c r="J787" s="18"/>
      <c r="N787" s="18"/>
      <c r="O787" s="1"/>
      <c r="P787" s="1"/>
      <c r="Q787" s="1"/>
      <c r="R787" s="18"/>
      <c r="S787" s="1"/>
      <c r="T787" s="1"/>
      <c r="U787" s="1"/>
      <c r="V787" s="1"/>
      <c r="Z787" s="18"/>
      <c r="AD787" s="18"/>
      <c r="AH787" s="18"/>
      <c r="AL787" s="18"/>
      <c r="AM787" s="22"/>
      <c r="AN787" s="22"/>
      <c r="AO787" s="22"/>
      <c r="AP787" s="22"/>
      <c r="AQ787" s="22"/>
      <c r="AR787" s="22"/>
      <c r="AS787" s="22"/>
      <c r="AT787" s="22"/>
    </row>
    <row r="788" spans="7:46" ht="13">
      <c r="G788" s="34"/>
      <c r="J788" s="18"/>
      <c r="N788" s="18"/>
      <c r="O788" s="1"/>
      <c r="P788" s="1"/>
      <c r="Q788" s="1"/>
      <c r="R788" s="18"/>
      <c r="S788" s="1"/>
      <c r="T788" s="1"/>
      <c r="U788" s="1"/>
      <c r="V788" s="1"/>
      <c r="Z788" s="18"/>
      <c r="AD788" s="18"/>
      <c r="AH788" s="18"/>
      <c r="AL788" s="18"/>
      <c r="AM788" s="22"/>
      <c r="AN788" s="22"/>
      <c r="AO788" s="22"/>
      <c r="AP788" s="22"/>
      <c r="AQ788" s="22"/>
      <c r="AR788" s="22"/>
      <c r="AS788" s="22"/>
      <c r="AT788" s="22"/>
    </row>
    <row r="789" spans="7:46" ht="13">
      <c r="G789" s="34"/>
      <c r="J789" s="18"/>
      <c r="N789" s="18"/>
      <c r="O789" s="1"/>
      <c r="P789" s="1"/>
      <c r="Q789" s="1"/>
      <c r="R789" s="18"/>
      <c r="S789" s="1"/>
      <c r="T789" s="1"/>
      <c r="U789" s="1"/>
      <c r="V789" s="1"/>
      <c r="Z789" s="18"/>
      <c r="AD789" s="18"/>
      <c r="AH789" s="18"/>
      <c r="AL789" s="18"/>
      <c r="AM789" s="22"/>
      <c r="AN789" s="22"/>
      <c r="AO789" s="22"/>
      <c r="AP789" s="22"/>
      <c r="AQ789" s="22"/>
      <c r="AR789" s="22"/>
      <c r="AS789" s="22"/>
      <c r="AT789" s="22"/>
    </row>
    <row r="790" spans="7:46" ht="13">
      <c r="G790" s="34"/>
      <c r="J790" s="18"/>
      <c r="N790" s="18"/>
      <c r="O790" s="1"/>
      <c r="P790" s="1"/>
      <c r="Q790" s="1"/>
      <c r="R790" s="18"/>
      <c r="S790" s="1"/>
      <c r="T790" s="1"/>
      <c r="U790" s="1"/>
      <c r="V790" s="1"/>
      <c r="Z790" s="18"/>
      <c r="AD790" s="18"/>
      <c r="AH790" s="18"/>
      <c r="AL790" s="18"/>
      <c r="AM790" s="22"/>
      <c r="AN790" s="22"/>
      <c r="AO790" s="22"/>
      <c r="AP790" s="22"/>
      <c r="AQ790" s="22"/>
      <c r="AR790" s="22"/>
      <c r="AS790" s="22"/>
      <c r="AT790" s="22"/>
    </row>
    <row r="791" spans="7:46" ht="13">
      <c r="G791" s="34"/>
      <c r="J791" s="18"/>
      <c r="N791" s="18"/>
      <c r="O791" s="1"/>
      <c r="P791" s="1"/>
      <c r="Q791" s="1"/>
      <c r="R791" s="18"/>
      <c r="S791" s="1"/>
      <c r="T791" s="1"/>
      <c r="U791" s="1"/>
      <c r="V791" s="1"/>
      <c r="Z791" s="18"/>
      <c r="AD791" s="18"/>
      <c r="AH791" s="18"/>
      <c r="AL791" s="18"/>
      <c r="AM791" s="22"/>
      <c r="AN791" s="22"/>
      <c r="AO791" s="22"/>
      <c r="AP791" s="22"/>
      <c r="AQ791" s="22"/>
      <c r="AR791" s="22"/>
      <c r="AS791" s="22"/>
      <c r="AT791" s="22"/>
    </row>
    <row r="792" spans="7:46" ht="13">
      <c r="G792" s="34"/>
      <c r="J792" s="18"/>
      <c r="N792" s="18"/>
      <c r="O792" s="1"/>
      <c r="P792" s="1"/>
      <c r="Q792" s="1"/>
      <c r="R792" s="18"/>
      <c r="S792" s="1"/>
      <c r="T792" s="1"/>
      <c r="U792" s="1"/>
      <c r="V792" s="1"/>
      <c r="Z792" s="18"/>
      <c r="AD792" s="18"/>
      <c r="AH792" s="18"/>
      <c r="AL792" s="18"/>
      <c r="AM792" s="22"/>
      <c r="AN792" s="22"/>
      <c r="AO792" s="22"/>
      <c r="AP792" s="22"/>
      <c r="AQ792" s="22"/>
      <c r="AR792" s="22"/>
      <c r="AS792" s="22"/>
      <c r="AT792" s="22"/>
    </row>
    <row r="793" spans="7:46" ht="13">
      <c r="G793" s="34"/>
      <c r="J793" s="18"/>
      <c r="N793" s="18"/>
      <c r="O793" s="1"/>
      <c r="P793" s="1"/>
      <c r="Q793" s="1"/>
      <c r="R793" s="18"/>
      <c r="S793" s="1"/>
      <c r="T793" s="1"/>
      <c r="U793" s="1"/>
      <c r="V793" s="1"/>
      <c r="Z793" s="18"/>
      <c r="AD793" s="18"/>
      <c r="AH793" s="18"/>
      <c r="AL793" s="18"/>
      <c r="AM793" s="22"/>
      <c r="AN793" s="22"/>
      <c r="AO793" s="22"/>
      <c r="AP793" s="22"/>
      <c r="AQ793" s="22"/>
      <c r="AR793" s="22"/>
      <c r="AS793" s="22"/>
      <c r="AT793" s="22"/>
    </row>
    <row r="794" spans="7:46" ht="13">
      <c r="G794" s="34"/>
      <c r="J794" s="18"/>
      <c r="N794" s="18"/>
      <c r="O794" s="1"/>
      <c r="P794" s="1"/>
      <c r="Q794" s="1"/>
      <c r="R794" s="18"/>
      <c r="S794" s="1"/>
      <c r="T794" s="1"/>
      <c r="U794" s="1"/>
      <c r="V794" s="1"/>
      <c r="Z794" s="18"/>
      <c r="AD794" s="18"/>
      <c r="AH794" s="18"/>
      <c r="AL794" s="18"/>
      <c r="AM794" s="22"/>
      <c r="AN794" s="22"/>
      <c r="AO794" s="22"/>
      <c r="AP794" s="22"/>
      <c r="AQ794" s="22"/>
      <c r="AR794" s="22"/>
      <c r="AS794" s="22"/>
      <c r="AT794" s="22"/>
    </row>
    <row r="795" spans="7:46" ht="13">
      <c r="G795" s="34"/>
      <c r="J795" s="18"/>
      <c r="N795" s="18"/>
      <c r="O795" s="1"/>
      <c r="P795" s="1"/>
      <c r="Q795" s="1"/>
      <c r="R795" s="18"/>
      <c r="S795" s="1"/>
      <c r="T795" s="1"/>
      <c r="U795" s="1"/>
      <c r="V795" s="1"/>
      <c r="Z795" s="18"/>
      <c r="AD795" s="18"/>
      <c r="AH795" s="18"/>
      <c r="AL795" s="18"/>
      <c r="AM795" s="22"/>
      <c r="AN795" s="22"/>
      <c r="AO795" s="22"/>
      <c r="AP795" s="22"/>
      <c r="AQ795" s="22"/>
      <c r="AR795" s="22"/>
      <c r="AS795" s="22"/>
      <c r="AT795" s="22"/>
    </row>
    <row r="796" spans="7:46" ht="13">
      <c r="G796" s="34"/>
      <c r="J796" s="18"/>
      <c r="N796" s="18"/>
      <c r="O796" s="1"/>
      <c r="P796" s="1"/>
      <c r="Q796" s="1"/>
      <c r="R796" s="18"/>
      <c r="S796" s="1"/>
      <c r="T796" s="1"/>
      <c r="U796" s="1"/>
      <c r="V796" s="1"/>
      <c r="Z796" s="18"/>
      <c r="AD796" s="18"/>
      <c r="AH796" s="18"/>
      <c r="AL796" s="18"/>
      <c r="AM796" s="22"/>
      <c r="AN796" s="22"/>
      <c r="AO796" s="22"/>
      <c r="AP796" s="22"/>
      <c r="AQ796" s="22"/>
      <c r="AR796" s="22"/>
      <c r="AS796" s="22"/>
      <c r="AT796" s="22"/>
    </row>
    <row r="797" spans="7:46" ht="13">
      <c r="G797" s="34"/>
      <c r="J797" s="18"/>
      <c r="N797" s="18"/>
      <c r="O797" s="1"/>
      <c r="P797" s="1"/>
      <c r="Q797" s="1"/>
      <c r="R797" s="18"/>
      <c r="S797" s="1"/>
      <c r="T797" s="1"/>
      <c r="U797" s="1"/>
      <c r="V797" s="1"/>
      <c r="Z797" s="18"/>
      <c r="AD797" s="18"/>
      <c r="AH797" s="18"/>
      <c r="AL797" s="18"/>
      <c r="AM797" s="22"/>
      <c r="AN797" s="22"/>
      <c r="AO797" s="22"/>
      <c r="AP797" s="22"/>
      <c r="AQ797" s="22"/>
      <c r="AR797" s="22"/>
      <c r="AS797" s="22"/>
      <c r="AT797" s="22"/>
    </row>
    <row r="798" spans="7:46" ht="13">
      <c r="G798" s="34"/>
      <c r="J798" s="18"/>
      <c r="N798" s="18"/>
      <c r="O798" s="1"/>
      <c r="P798" s="1"/>
      <c r="Q798" s="1"/>
      <c r="R798" s="18"/>
      <c r="S798" s="1"/>
      <c r="T798" s="1"/>
      <c r="U798" s="1"/>
      <c r="V798" s="1"/>
      <c r="Z798" s="18"/>
      <c r="AD798" s="18"/>
      <c r="AH798" s="18"/>
      <c r="AL798" s="18"/>
      <c r="AM798" s="22"/>
      <c r="AN798" s="22"/>
      <c r="AO798" s="22"/>
      <c r="AP798" s="22"/>
      <c r="AQ798" s="22"/>
      <c r="AR798" s="22"/>
      <c r="AS798" s="22"/>
      <c r="AT798" s="22"/>
    </row>
    <row r="799" spans="7:46" ht="13">
      <c r="G799" s="34"/>
      <c r="J799" s="18"/>
      <c r="N799" s="18"/>
      <c r="O799" s="1"/>
      <c r="P799" s="1"/>
      <c r="Q799" s="1"/>
      <c r="R799" s="18"/>
      <c r="S799" s="1"/>
      <c r="T799" s="1"/>
      <c r="U799" s="1"/>
      <c r="V799" s="1"/>
      <c r="Z799" s="18"/>
      <c r="AD799" s="18"/>
      <c r="AH799" s="18"/>
      <c r="AL799" s="18"/>
      <c r="AM799" s="22"/>
      <c r="AN799" s="22"/>
      <c r="AO799" s="22"/>
      <c r="AP799" s="22"/>
      <c r="AQ799" s="22"/>
      <c r="AR799" s="22"/>
      <c r="AS799" s="22"/>
      <c r="AT799" s="22"/>
    </row>
    <row r="800" spans="7:46" ht="13">
      <c r="G800" s="34"/>
      <c r="J800" s="18"/>
      <c r="N800" s="18"/>
      <c r="O800" s="1"/>
      <c r="P800" s="1"/>
      <c r="Q800" s="1"/>
      <c r="R800" s="18"/>
      <c r="S800" s="1"/>
      <c r="T800" s="1"/>
      <c r="U800" s="1"/>
      <c r="V800" s="1"/>
      <c r="Z800" s="18"/>
      <c r="AD800" s="18"/>
      <c r="AH800" s="18"/>
      <c r="AL800" s="18"/>
      <c r="AM800" s="22"/>
      <c r="AN800" s="22"/>
      <c r="AO800" s="22"/>
      <c r="AP800" s="22"/>
      <c r="AQ800" s="22"/>
      <c r="AR800" s="22"/>
      <c r="AS800" s="22"/>
      <c r="AT800" s="22"/>
    </row>
    <row r="801" spans="7:46" ht="13">
      <c r="G801" s="34"/>
      <c r="J801" s="18"/>
      <c r="N801" s="18"/>
      <c r="O801" s="1"/>
      <c r="P801" s="1"/>
      <c r="Q801" s="1"/>
      <c r="R801" s="18"/>
      <c r="S801" s="1"/>
      <c r="T801" s="1"/>
      <c r="U801" s="1"/>
      <c r="V801" s="1"/>
      <c r="Z801" s="18"/>
      <c r="AD801" s="18"/>
      <c r="AH801" s="18"/>
      <c r="AL801" s="18"/>
      <c r="AM801" s="22"/>
      <c r="AN801" s="22"/>
      <c r="AO801" s="22"/>
      <c r="AP801" s="22"/>
      <c r="AQ801" s="22"/>
      <c r="AR801" s="22"/>
      <c r="AS801" s="22"/>
      <c r="AT801" s="22"/>
    </row>
    <row r="802" spans="7:46" ht="13">
      <c r="G802" s="34"/>
      <c r="J802" s="18"/>
      <c r="N802" s="18"/>
      <c r="O802" s="1"/>
      <c r="P802" s="1"/>
      <c r="Q802" s="1"/>
      <c r="R802" s="18"/>
      <c r="S802" s="1"/>
      <c r="T802" s="1"/>
      <c r="U802" s="1"/>
      <c r="V802" s="1"/>
      <c r="Z802" s="18"/>
      <c r="AD802" s="18"/>
      <c r="AH802" s="18"/>
      <c r="AL802" s="18"/>
      <c r="AM802" s="22"/>
      <c r="AN802" s="22"/>
      <c r="AO802" s="22"/>
      <c r="AP802" s="22"/>
      <c r="AQ802" s="22"/>
      <c r="AR802" s="22"/>
      <c r="AS802" s="22"/>
      <c r="AT802" s="22"/>
    </row>
    <row r="803" spans="7:46" ht="13">
      <c r="G803" s="34"/>
      <c r="J803" s="18"/>
      <c r="N803" s="18"/>
      <c r="O803" s="1"/>
      <c r="P803" s="1"/>
      <c r="Q803" s="1"/>
      <c r="R803" s="18"/>
      <c r="S803" s="1"/>
      <c r="T803" s="1"/>
      <c r="U803" s="1"/>
      <c r="V803" s="1"/>
      <c r="Z803" s="18"/>
      <c r="AD803" s="18"/>
      <c r="AH803" s="18"/>
      <c r="AL803" s="18"/>
      <c r="AM803" s="22"/>
      <c r="AN803" s="22"/>
      <c r="AO803" s="22"/>
      <c r="AP803" s="22"/>
      <c r="AQ803" s="22"/>
      <c r="AR803" s="22"/>
      <c r="AS803" s="22"/>
      <c r="AT803" s="22"/>
    </row>
    <row r="804" spans="7:46" ht="13">
      <c r="G804" s="34"/>
      <c r="J804" s="18"/>
      <c r="N804" s="18"/>
      <c r="O804" s="1"/>
      <c r="P804" s="1"/>
      <c r="Q804" s="1"/>
      <c r="R804" s="18"/>
      <c r="S804" s="1"/>
      <c r="T804" s="1"/>
      <c r="U804" s="1"/>
      <c r="V804" s="1"/>
      <c r="Z804" s="18"/>
      <c r="AD804" s="18"/>
      <c r="AH804" s="18"/>
      <c r="AL804" s="18"/>
      <c r="AM804" s="22"/>
      <c r="AN804" s="22"/>
      <c r="AO804" s="22"/>
      <c r="AP804" s="22"/>
      <c r="AQ804" s="22"/>
      <c r="AR804" s="22"/>
      <c r="AS804" s="22"/>
      <c r="AT804" s="22"/>
    </row>
    <row r="805" spans="7:46" ht="13">
      <c r="G805" s="34"/>
      <c r="J805" s="18"/>
      <c r="N805" s="18"/>
      <c r="O805" s="1"/>
      <c r="P805" s="1"/>
      <c r="Q805" s="1"/>
      <c r="R805" s="18"/>
      <c r="S805" s="1"/>
      <c r="T805" s="1"/>
      <c r="U805" s="1"/>
      <c r="V805" s="1"/>
      <c r="Z805" s="18"/>
      <c r="AD805" s="18"/>
      <c r="AH805" s="18"/>
      <c r="AL805" s="18"/>
      <c r="AM805" s="22"/>
      <c r="AN805" s="22"/>
      <c r="AO805" s="22"/>
      <c r="AP805" s="22"/>
      <c r="AQ805" s="22"/>
      <c r="AR805" s="22"/>
      <c r="AS805" s="22"/>
      <c r="AT805" s="22"/>
    </row>
    <row r="806" spans="7:46" ht="13">
      <c r="G806" s="34"/>
      <c r="J806" s="18"/>
      <c r="N806" s="18"/>
      <c r="O806" s="1"/>
      <c r="P806" s="1"/>
      <c r="Q806" s="1"/>
      <c r="R806" s="18"/>
      <c r="S806" s="1"/>
      <c r="T806" s="1"/>
      <c r="U806" s="1"/>
      <c r="V806" s="1"/>
      <c r="Z806" s="18"/>
      <c r="AD806" s="18"/>
      <c r="AH806" s="18"/>
      <c r="AL806" s="18"/>
      <c r="AM806" s="22"/>
      <c r="AN806" s="22"/>
      <c r="AO806" s="22"/>
      <c r="AP806" s="22"/>
      <c r="AQ806" s="22"/>
      <c r="AR806" s="22"/>
      <c r="AS806" s="22"/>
      <c r="AT806" s="22"/>
    </row>
    <row r="807" spans="7:46" ht="13">
      <c r="G807" s="34"/>
      <c r="J807" s="18"/>
      <c r="N807" s="18"/>
      <c r="O807" s="1"/>
      <c r="P807" s="1"/>
      <c r="Q807" s="1"/>
      <c r="R807" s="18"/>
      <c r="S807" s="1"/>
      <c r="T807" s="1"/>
      <c r="U807" s="1"/>
      <c r="V807" s="1"/>
      <c r="Z807" s="18"/>
      <c r="AD807" s="18"/>
      <c r="AH807" s="18"/>
      <c r="AL807" s="18"/>
      <c r="AM807" s="22"/>
      <c r="AN807" s="22"/>
      <c r="AO807" s="22"/>
      <c r="AP807" s="22"/>
      <c r="AQ807" s="22"/>
      <c r="AR807" s="22"/>
      <c r="AS807" s="22"/>
      <c r="AT807" s="22"/>
    </row>
    <row r="808" spans="7:46" ht="13">
      <c r="G808" s="34"/>
      <c r="J808" s="18"/>
      <c r="N808" s="18"/>
      <c r="O808" s="1"/>
      <c r="P808" s="1"/>
      <c r="Q808" s="1"/>
      <c r="R808" s="18"/>
      <c r="S808" s="1"/>
      <c r="T808" s="1"/>
      <c r="U808" s="1"/>
      <c r="V808" s="1"/>
      <c r="Z808" s="18"/>
      <c r="AD808" s="18"/>
      <c r="AH808" s="18"/>
      <c r="AL808" s="18"/>
      <c r="AM808" s="22"/>
      <c r="AN808" s="22"/>
      <c r="AO808" s="22"/>
      <c r="AP808" s="22"/>
      <c r="AQ808" s="22"/>
      <c r="AR808" s="22"/>
      <c r="AS808" s="22"/>
      <c r="AT808" s="22"/>
    </row>
    <row r="809" spans="7:46" ht="13">
      <c r="G809" s="34"/>
      <c r="J809" s="18"/>
      <c r="N809" s="18"/>
      <c r="O809" s="1"/>
      <c r="P809" s="1"/>
      <c r="Q809" s="1"/>
      <c r="R809" s="18"/>
      <c r="S809" s="1"/>
      <c r="T809" s="1"/>
      <c r="U809" s="1"/>
      <c r="V809" s="1"/>
      <c r="Z809" s="18"/>
      <c r="AD809" s="18"/>
      <c r="AH809" s="18"/>
      <c r="AL809" s="18"/>
      <c r="AM809" s="22"/>
      <c r="AN809" s="22"/>
      <c r="AO809" s="22"/>
      <c r="AP809" s="22"/>
      <c r="AQ809" s="22"/>
      <c r="AR809" s="22"/>
      <c r="AS809" s="22"/>
      <c r="AT809" s="22"/>
    </row>
    <row r="810" spans="7:46" ht="13">
      <c r="G810" s="34"/>
      <c r="J810" s="18"/>
      <c r="N810" s="18"/>
      <c r="O810" s="1"/>
      <c r="P810" s="1"/>
      <c r="Q810" s="1"/>
      <c r="R810" s="18"/>
      <c r="S810" s="1"/>
      <c r="T810" s="1"/>
      <c r="U810" s="1"/>
      <c r="V810" s="1"/>
      <c r="Z810" s="18"/>
      <c r="AD810" s="18"/>
      <c r="AH810" s="18"/>
      <c r="AL810" s="18"/>
      <c r="AM810" s="22"/>
      <c r="AN810" s="22"/>
      <c r="AO810" s="22"/>
      <c r="AP810" s="22"/>
      <c r="AQ810" s="22"/>
      <c r="AR810" s="22"/>
      <c r="AS810" s="22"/>
      <c r="AT810" s="22"/>
    </row>
    <row r="811" spans="7:46" ht="13">
      <c r="G811" s="34"/>
      <c r="J811" s="18"/>
      <c r="N811" s="18"/>
      <c r="O811" s="1"/>
      <c r="P811" s="1"/>
      <c r="Q811" s="1"/>
      <c r="R811" s="18"/>
      <c r="S811" s="1"/>
      <c r="T811" s="1"/>
      <c r="U811" s="1"/>
      <c r="V811" s="1"/>
      <c r="Z811" s="18"/>
      <c r="AD811" s="18"/>
      <c r="AH811" s="18"/>
      <c r="AL811" s="18"/>
      <c r="AM811" s="22"/>
      <c r="AN811" s="22"/>
      <c r="AO811" s="22"/>
      <c r="AP811" s="22"/>
      <c r="AQ811" s="22"/>
      <c r="AR811" s="22"/>
      <c r="AS811" s="22"/>
      <c r="AT811" s="22"/>
    </row>
    <row r="812" spans="7:46" ht="13">
      <c r="G812" s="34"/>
      <c r="J812" s="18"/>
      <c r="N812" s="18"/>
      <c r="O812" s="1"/>
      <c r="P812" s="1"/>
      <c r="Q812" s="1"/>
      <c r="R812" s="18"/>
      <c r="S812" s="1"/>
      <c r="T812" s="1"/>
      <c r="U812" s="1"/>
      <c r="V812" s="1"/>
      <c r="Z812" s="18"/>
      <c r="AD812" s="18"/>
      <c r="AH812" s="18"/>
      <c r="AL812" s="18"/>
      <c r="AM812" s="22"/>
      <c r="AN812" s="22"/>
      <c r="AO812" s="22"/>
      <c r="AP812" s="22"/>
      <c r="AQ812" s="22"/>
      <c r="AR812" s="22"/>
      <c r="AS812" s="22"/>
      <c r="AT812" s="22"/>
    </row>
    <row r="813" spans="7:46" ht="13">
      <c r="G813" s="34"/>
      <c r="J813" s="18"/>
      <c r="N813" s="18"/>
      <c r="O813" s="1"/>
      <c r="P813" s="1"/>
      <c r="Q813" s="1"/>
      <c r="R813" s="18"/>
      <c r="S813" s="1"/>
      <c r="T813" s="1"/>
      <c r="U813" s="1"/>
      <c r="V813" s="1"/>
      <c r="Z813" s="18"/>
      <c r="AD813" s="18"/>
      <c r="AH813" s="18"/>
      <c r="AL813" s="18"/>
      <c r="AM813" s="22"/>
      <c r="AN813" s="22"/>
      <c r="AO813" s="22"/>
      <c r="AP813" s="22"/>
      <c r="AQ813" s="22"/>
      <c r="AR813" s="22"/>
      <c r="AS813" s="22"/>
      <c r="AT813" s="22"/>
    </row>
    <row r="814" spans="7:46" ht="13">
      <c r="G814" s="34"/>
      <c r="J814" s="18"/>
      <c r="N814" s="18"/>
      <c r="O814" s="1"/>
      <c r="P814" s="1"/>
      <c r="Q814" s="1"/>
      <c r="R814" s="18"/>
      <c r="S814" s="1"/>
      <c r="T814" s="1"/>
      <c r="U814" s="1"/>
      <c r="V814" s="1"/>
      <c r="Z814" s="18"/>
      <c r="AD814" s="18"/>
      <c r="AH814" s="18"/>
      <c r="AL814" s="18"/>
      <c r="AM814" s="22"/>
      <c r="AN814" s="22"/>
      <c r="AO814" s="22"/>
      <c r="AP814" s="22"/>
      <c r="AQ814" s="22"/>
      <c r="AR814" s="22"/>
      <c r="AS814" s="22"/>
      <c r="AT814" s="22"/>
    </row>
    <row r="815" spans="7:46" ht="13">
      <c r="G815" s="34"/>
      <c r="J815" s="18"/>
      <c r="N815" s="18"/>
      <c r="O815" s="1"/>
      <c r="P815" s="1"/>
      <c r="Q815" s="1"/>
      <c r="R815" s="18"/>
      <c r="S815" s="1"/>
      <c r="T815" s="1"/>
      <c r="U815" s="1"/>
      <c r="V815" s="1"/>
      <c r="Z815" s="18"/>
      <c r="AD815" s="18"/>
      <c r="AH815" s="18"/>
      <c r="AL815" s="18"/>
      <c r="AM815" s="22"/>
      <c r="AN815" s="22"/>
      <c r="AO815" s="22"/>
      <c r="AP815" s="22"/>
      <c r="AQ815" s="22"/>
      <c r="AR815" s="22"/>
      <c r="AS815" s="22"/>
      <c r="AT815" s="22"/>
    </row>
    <row r="816" spans="7:46" ht="13">
      <c r="G816" s="34"/>
      <c r="J816" s="18"/>
      <c r="N816" s="18"/>
      <c r="O816" s="1"/>
      <c r="P816" s="1"/>
      <c r="Q816" s="1"/>
      <c r="R816" s="18"/>
      <c r="S816" s="1"/>
      <c r="T816" s="1"/>
      <c r="U816" s="1"/>
      <c r="V816" s="1"/>
      <c r="Z816" s="18"/>
      <c r="AD816" s="18"/>
      <c r="AH816" s="18"/>
      <c r="AL816" s="18"/>
      <c r="AM816" s="22"/>
      <c r="AN816" s="22"/>
      <c r="AO816" s="22"/>
      <c r="AP816" s="22"/>
      <c r="AQ816" s="22"/>
      <c r="AR816" s="22"/>
      <c r="AS816" s="22"/>
      <c r="AT816" s="22"/>
    </row>
    <row r="817" spans="7:46" ht="13">
      <c r="G817" s="34"/>
      <c r="J817" s="18"/>
      <c r="N817" s="18"/>
      <c r="O817" s="1"/>
      <c r="P817" s="1"/>
      <c r="Q817" s="1"/>
      <c r="R817" s="18"/>
      <c r="S817" s="1"/>
      <c r="T817" s="1"/>
      <c r="U817" s="1"/>
      <c r="V817" s="1"/>
      <c r="Z817" s="18"/>
      <c r="AD817" s="18"/>
      <c r="AH817" s="18"/>
      <c r="AL817" s="18"/>
      <c r="AM817" s="22"/>
      <c r="AN817" s="22"/>
      <c r="AO817" s="22"/>
      <c r="AP817" s="22"/>
      <c r="AQ817" s="22"/>
      <c r="AR817" s="22"/>
      <c r="AS817" s="22"/>
      <c r="AT817" s="22"/>
    </row>
    <row r="818" spans="7:46" ht="13">
      <c r="G818" s="34"/>
      <c r="J818" s="18"/>
      <c r="N818" s="18"/>
      <c r="O818" s="1"/>
      <c r="P818" s="1"/>
      <c r="Q818" s="1"/>
      <c r="R818" s="18"/>
      <c r="S818" s="1"/>
      <c r="T818" s="1"/>
      <c r="U818" s="1"/>
      <c r="V818" s="1"/>
      <c r="Z818" s="18"/>
      <c r="AD818" s="18"/>
      <c r="AH818" s="18"/>
      <c r="AL818" s="18"/>
      <c r="AM818" s="22"/>
      <c r="AN818" s="22"/>
      <c r="AO818" s="22"/>
      <c r="AP818" s="22"/>
      <c r="AQ818" s="22"/>
      <c r="AR818" s="22"/>
      <c r="AS818" s="22"/>
      <c r="AT818" s="22"/>
    </row>
    <row r="819" spans="7:46" ht="13">
      <c r="G819" s="34"/>
      <c r="J819" s="18"/>
      <c r="N819" s="18"/>
      <c r="O819" s="1"/>
      <c r="P819" s="1"/>
      <c r="Q819" s="1"/>
      <c r="R819" s="18"/>
      <c r="S819" s="1"/>
      <c r="T819" s="1"/>
      <c r="U819" s="1"/>
      <c r="V819" s="1"/>
      <c r="Z819" s="18"/>
      <c r="AD819" s="18"/>
      <c r="AH819" s="18"/>
      <c r="AL819" s="18"/>
      <c r="AM819" s="22"/>
      <c r="AN819" s="22"/>
      <c r="AO819" s="22"/>
      <c r="AP819" s="22"/>
      <c r="AQ819" s="22"/>
      <c r="AR819" s="22"/>
      <c r="AS819" s="22"/>
      <c r="AT819" s="22"/>
    </row>
    <row r="820" spans="7:46" ht="13">
      <c r="G820" s="34"/>
      <c r="J820" s="18"/>
      <c r="N820" s="18"/>
      <c r="O820" s="1"/>
      <c r="P820" s="1"/>
      <c r="Q820" s="1"/>
      <c r="R820" s="18"/>
      <c r="S820" s="1"/>
      <c r="T820" s="1"/>
      <c r="U820" s="1"/>
      <c r="V820" s="1"/>
      <c r="Z820" s="18"/>
      <c r="AD820" s="18"/>
      <c r="AH820" s="18"/>
      <c r="AL820" s="18"/>
      <c r="AM820" s="22"/>
      <c r="AN820" s="22"/>
      <c r="AO820" s="22"/>
      <c r="AP820" s="22"/>
      <c r="AQ820" s="22"/>
      <c r="AR820" s="22"/>
      <c r="AS820" s="22"/>
      <c r="AT820" s="22"/>
    </row>
    <row r="821" spans="7:46" ht="13">
      <c r="G821" s="34"/>
      <c r="J821" s="18"/>
      <c r="N821" s="18"/>
      <c r="O821" s="1"/>
      <c r="P821" s="1"/>
      <c r="Q821" s="1"/>
      <c r="R821" s="18"/>
      <c r="S821" s="1"/>
      <c r="T821" s="1"/>
      <c r="U821" s="1"/>
      <c r="V821" s="1"/>
      <c r="Z821" s="18"/>
      <c r="AD821" s="18"/>
      <c r="AH821" s="18"/>
      <c r="AL821" s="18"/>
      <c r="AM821" s="22"/>
      <c r="AN821" s="22"/>
      <c r="AO821" s="22"/>
      <c r="AP821" s="22"/>
      <c r="AQ821" s="22"/>
      <c r="AR821" s="22"/>
      <c r="AS821" s="22"/>
      <c r="AT821" s="22"/>
    </row>
    <row r="822" spans="7:46" ht="13">
      <c r="G822" s="34"/>
      <c r="J822" s="18"/>
      <c r="N822" s="18"/>
      <c r="O822" s="1"/>
      <c r="P822" s="1"/>
      <c r="Q822" s="1"/>
      <c r="R822" s="18"/>
      <c r="S822" s="1"/>
      <c r="T822" s="1"/>
      <c r="U822" s="1"/>
      <c r="V822" s="1"/>
      <c r="Z822" s="18"/>
      <c r="AD822" s="18"/>
      <c r="AH822" s="18"/>
      <c r="AL822" s="18"/>
      <c r="AM822" s="22"/>
      <c r="AN822" s="22"/>
      <c r="AO822" s="22"/>
      <c r="AP822" s="22"/>
      <c r="AQ822" s="22"/>
      <c r="AR822" s="22"/>
      <c r="AS822" s="22"/>
      <c r="AT822" s="22"/>
    </row>
    <row r="823" spans="7:46" ht="13">
      <c r="G823" s="34"/>
      <c r="J823" s="18"/>
      <c r="N823" s="18"/>
      <c r="O823" s="1"/>
      <c r="P823" s="1"/>
      <c r="Q823" s="1"/>
      <c r="R823" s="18"/>
      <c r="S823" s="1"/>
      <c r="T823" s="1"/>
      <c r="U823" s="1"/>
      <c r="V823" s="1"/>
      <c r="Z823" s="18"/>
      <c r="AD823" s="18"/>
      <c r="AH823" s="18"/>
      <c r="AL823" s="18"/>
      <c r="AM823" s="22"/>
      <c r="AN823" s="22"/>
      <c r="AO823" s="22"/>
      <c r="AP823" s="22"/>
      <c r="AQ823" s="22"/>
      <c r="AR823" s="22"/>
      <c r="AS823" s="22"/>
      <c r="AT823" s="22"/>
    </row>
    <row r="824" spans="7:46" ht="13">
      <c r="G824" s="34"/>
      <c r="J824" s="18"/>
      <c r="N824" s="18"/>
      <c r="O824" s="1"/>
      <c r="P824" s="1"/>
      <c r="Q824" s="1"/>
      <c r="R824" s="18"/>
      <c r="S824" s="1"/>
      <c r="T824" s="1"/>
      <c r="U824" s="1"/>
      <c r="V824" s="1"/>
      <c r="Z824" s="18"/>
      <c r="AD824" s="18"/>
      <c r="AH824" s="18"/>
      <c r="AL824" s="18"/>
      <c r="AM824" s="22"/>
      <c r="AN824" s="22"/>
      <c r="AO824" s="22"/>
      <c r="AP824" s="22"/>
      <c r="AQ824" s="22"/>
      <c r="AR824" s="22"/>
      <c r="AS824" s="22"/>
      <c r="AT824" s="22"/>
    </row>
    <row r="825" spans="7:46" ht="13">
      <c r="G825" s="34"/>
      <c r="J825" s="18"/>
      <c r="N825" s="18"/>
      <c r="O825" s="1"/>
      <c r="P825" s="1"/>
      <c r="Q825" s="1"/>
      <c r="R825" s="18"/>
      <c r="S825" s="1"/>
      <c r="T825" s="1"/>
      <c r="U825" s="1"/>
      <c r="V825" s="1"/>
      <c r="Z825" s="18"/>
      <c r="AD825" s="18"/>
      <c r="AH825" s="18"/>
      <c r="AL825" s="18"/>
      <c r="AM825" s="22"/>
      <c r="AN825" s="22"/>
      <c r="AO825" s="22"/>
      <c r="AP825" s="22"/>
      <c r="AQ825" s="22"/>
      <c r="AR825" s="22"/>
      <c r="AS825" s="22"/>
      <c r="AT825" s="22"/>
    </row>
    <row r="826" spans="7:46" ht="13">
      <c r="G826" s="34"/>
      <c r="J826" s="18"/>
      <c r="N826" s="18"/>
      <c r="O826" s="1"/>
      <c r="P826" s="1"/>
      <c r="Q826" s="1"/>
      <c r="R826" s="18"/>
      <c r="S826" s="1"/>
      <c r="T826" s="1"/>
      <c r="U826" s="1"/>
      <c r="V826" s="1"/>
      <c r="Z826" s="18"/>
      <c r="AD826" s="18"/>
      <c r="AH826" s="18"/>
      <c r="AL826" s="18"/>
      <c r="AM826" s="22"/>
      <c r="AN826" s="22"/>
      <c r="AO826" s="22"/>
      <c r="AP826" s="22"/>
      <c r="AQ826" s="22"/>
      <c r="AR826" s="22"/>
      <c r="AS826" s="22"/>
      <c r="AT826" s="22"/>
    </row>
    <row r="827" spans="7:46" ht="13">
      <c r="G827" s="34"/>
      <c r="J827" s="18"/>
      <c r="N827" s="18"/>
      <c r="O827" s="1"/>
      <c r="P827" s="1"/>
      <c r="Q827" s="1"/>
      <c r="R827" s="18"/>
      <c r="S827" s="1"/>
      <c r="T827" s="1"/>
      <c r="U827" s="1"/>
      <c r="V827" s="1"/>
      <c r="Z827" s="18"/>
      <c r="AD827" s="18"/>
      <c r="AH827" s="18"/>
      <c r="AL827" s="18"/>
      <c r="AM827" s="22"/>
      <c r="AN827" s="22"/>
      <c r="AO827" s="22"/>
      <c r="AP827" s="22"/>
      <c r="AQ827" s="22"/>
      <c r="AR827" s="22"/>
      <c r="AS827" s="22"/>
      <c r="AT827" s="22"/>
    </row>
    <row r="828" spans="7:46" ht="13">
      <c r="G828" s="34"/>
      <c r="J828" s="18"/>
      <c r="N828" s="18"/>
      <c r="O828" s="1"/>
      <c r="P828" s="1"/>
      <c r="Q828" s="1"/>
      <c r="R828" s="18"/>
      <c r="S828" s="1"/>
      <c r="T828" s="1"/>
      <c r="U828" s="1"/>
      <c r="V828" s="1"/>
      <c r="Z828" s="18"/>
      <c r="AD828" s="18"/>
      <c r="AH828" s="18"/>
      <c r="AL828" s="18"/>
      <c r="AM828" s="22"/>
      <c r="AN828" s="22"/>
      <c r="AO828" s="22"/>
      <c r="AP828" s="22"/>
      <c r="AQ828" s="22"/>
      <c r="AR828" s="22"/>
      <c r="AS828" s="22"/>
      <c r="AT828" s="22"/>
    </row>
    <row r="829" spans="7:46" ht="13">
      <c r="G829" s="34"/>
      <c r="J829" s="18"/>
      <c r="N829" s="18"/>
      <c r="O829" s="1"/>
      <c r="P829" s="1"/>
      <c r="Q829" s="1"/>
      <c r="R829" s="18"/>
      <c r="S829" s="1"/>
      <c r="T829" s="1"/>
      <c r="U829" s="1"/>
      <c r="V829" s="1"/>
      <c r="Z829" s="18"/>
      <c r="AD829" s="18"/>
      <c r="AH829" s="18"/>
      <c r="AL829" s="18"/>
      <c r="AM829" s="22"/>
      <c r="AN829" s="22"/>
      <c r="AO829" s="22"/>
      <c r="AP829" s="22"/>
      <c r="AQ829" s="22"/>
      <c r="AR829" s="22"/>
      <c r="AS829" s="22"/>
      <c r="AT829" s="22"/>
    </row>
    <row r="830" spans="7:46" ht="13">
      <c r="G830" s="34"/>
      <c r="J830" s="18"/>
      <c r="N830" s="18"/>
      <c r="O830" s="1"/>
      <c r="P830" s="1"/>
      <c r="Q830" s="1"/>
      <c r="R830" s="18"/>
      <c r="S830" s="1"/>
      <c r="T830" s="1"/>
      <c r="U830" s="1"/>
      <c r="V830" s="1"/>
      <c r="Z830" s="18"/>
      <c r="AD830" s="18"/>
      <c r="AH830" s="18"/>
      <c r="AL830" s="18"/>
      <c r="AM830" s="22"/>
      <c r="AN830" s="22"/>
      <c r="AO830" s="22"/>
      <c r="AP830" s="22"/>
      <c r="AQ830" s="22"/>
      <c r="AR830" s="22"/>
      <c r="AS830" s="22"/>
      <c r="AT830" s="22"/>
    </row>
    <row r="831" spans="7:46" ht="13">
      <c r="G831" s="34"/>
      <c r="J831" s="18"/>
      <c r="N831" s="18"/>
      <c r="O831" s="1"/>
      <c r="P831" s="1"/>
      <c r="Q831" s="1"/>
      <c r="R831" s="18"/>
      <c r="S831" s="1"/>
      <c r="T831" s="1"/>
      <c r="U831" s="1"/>
      <c r="V831" s="1"/>
      <c r="Z831" s="18"/>
      <c r="AD831" s="18"/>
      <c r="AH831" s="18"/>
      <c r="AL831" s="18"/>
      <c r="AM831" s="22"/>
      <c r="AN831" s="22"/>
      <c r="AO831" s="22"/>
      <c r="AP831" s="22"/>
      <c r="AQ831" s="22"/>
      <c r="AR831" s="22"/>
      <c r="AS831" s="22"/>
      <c r="AT831" s="22"/>
    </row>
    <row r="832" spans="7:46" ht="13">
      <c r="G832" s="34"/>
      <c r="J832" s="18"/>
      <c r="N832" s="18"/>
      <c r="O832" s="1"/>
      <c r="P832" s="1"/>
      <c r="Q832" s="1"/>
      <c r="R832" s="18"/>
      <c r="S832" s="1"/>
      <c r="T832" s="1"/>
      <c r="U832" s="1"/>
      <c r="V832" s="1"/>
      <c r="Z832" s="18"/>
      <c r="AD832" s="18"/>
      <c r="AH832" s="18"/>
      <c r="AL832" s="18"/>
      <c r="AM832" s="22"/>
      <c r="AN832" s="22"/>
      <c r="AO832" s="22"/>
      <c r="AP832" s="22"/>
      <c r="AQ832" s="22"/>
      <c r="AR832" s="22"/>
      <c r="AS832" s="22"/>
      <c r="AT832" s="22"/>
    </row>
    <row r="833" spans="7:46" ht="13">
      <c r="G833" s="34"/>
      <c r="J833" s="18"/>
      <c r="N833" s="18"/>
      <c r="O833" s="1"/>
      <c r="P833" s="1"/>
      <c r="Q833" s="1"/>
      <c r="R833" s="18"/>
      <c r="S833" s="1"/>
      <c r="T833" s="1"/>
      <c r="U833" s="1"/>
      <c r="V833" s="1"/>
      <c r="Z833" s="18"/>
      <c r="AD833" s="18"/>
      <c r="AH833" s="18"/>
      <c r="AL833" s="18"/>
      <c r="AM833" s="22"/>
      <c r="AN833" s="22"/>
      <c r="AO833" s="22"/>
      <c r="AP833" s="22"/>
      <c r="AQ833" s="22"/>
      <c r="AR833" s="22"/>
      <c r="AS833" s="22"/>
      <c r="AT833" s="22"/>
    </row>
    <row r="834" spans="7:46" ht="13">
      <c r="G834" s="34"/>
      <c r="J834" s="18"/>
      <c r="N834" s="18"/>
      <c r="O834" s="1"/>
      <c r="P834" s="1"/>
      <c r="Q834" s="1"/>
      <c r="R834" s="18"/>
      <c r="S834" s="1"/>
      <c r="T834" s="1"/>
      <c r="U834" s="1"/>
      <c r="V834" s="1"/>
      <c r="Z834" s="18"/>
      <c r="AD834" s="18"/>
      <c r="AH834" s="18"/>
      <c r="AL834" s="18"/>
      <c r="AM834" s="22"/>
      <c r="AN834" s="22"/>
      <c r="AO834" s="22"/>
      <c r="AP834" s="22"/>
      <c r="AQ834" s="22"/>
      <c r="AR834" s="22"/>
      <c r="AS834" s="22"/>
      <c r="AT834" s="22"/>
    </row>
    <row r="835" spans="7:46" ht="13">
      <c r="G835" s="34"/>
      <c r="J835" s="18"/>
      <c r="N835" s="18"/>
      <c r="O835" s="1"/>
      <c r="P835" s="1"/>
      <c r="Q835" s="1"/>
      <c r="R835" s="18"/>
      <c r="S835" s="1"/>
      <c r="T835" s="1"/>
      <c r="U835" s="1"/>
      <c r="V835" s="1"/>
      <c r="Z835" s="18"/>
      <c r="AD835" s="18"/>
      <c r="AH835" s="18"/>
      <c r="AL835" s="18"/>
      <c r="AM835" s="22"/>
      <c r="AN835" s="22"/>
      <c r="AO835" s="22"/>
      <c r="AP835" s="22"/>
      <c r="AQ835" s="22"/>
      <c r="AR835" s="22"/>
      <c r="AS835" s="22"/>
      <c r="AT835" s="22"/>
    </row>
    <row r="836" spans="7:46" ht="13">
      <c r="G836" s="34"/>
      <c r="J836" s="18"/>
      <c r="N836" s="18"/>
      <c r="O836" s="1"/>
      <c r="P836" s="1"/>
      <c r="Q836" s="1"/>
      <c r="R836" s="18"/>
      <c r="S836" s="1"/>
      <c r="T836" s="1"/>
      <c r="U836" s="1"/>
      <c r="V836" s="1"/>
      <c r="Z836" s="18"/>
      <c r="AD836" s="18"/>
      <c r="AH836" s="18"/>
      <c r="AL836" s="18"/>
      <c r="AM836" s="22"/>
      <c r="AN836" s="22"/>
      <c r="AO836" s="22"/>
      <c r="AP836" s="22"/>
      <c r="AQ836" s="22"/>
      <c r="AR836" s="22"/>
      <c r="AS836" s="22"/>
      <c r="AT836" s="22"/>
    </row>
    <row r="837" spans="7:46" ht="13">
      <c r="G837" s="34"/>
      <c r="J837" s="18"/>
      <c r="N837" s="18"/>
      <c r="O837" s="1"/>
      <c r="P837" s="1"/>
      <c r="Q837" s="1"/>
      <c r="R837" s="18"/>
      <c r="S837" s="1"/>
      <c r="T837" s="1"/>
      <c r="U837" s="1"/>
      <c r="V837" s="1"/>
      <c r="Z837" s="18"/>
      <c r="AD837" s="18"/>
      <c r="AH837" s="18"/>
      <c r="AL837" s="18"/>
      <c r="AM837" s="22"/>
      <c r="AN837" s="22"/>
      <c r="AO837" s="22"/>
      <c r="AP837" s="22"/>
      <c r="AQ837" s="22"/>
      <c r="AR837" s="22"/>
      <c r="AS837" s="22"/>
      <c r="AT837" s="22"/>
    </row>
    <row r="838" spans="7:46" ht="13">
      <c r="G838" s="34"/>
      <c r="J838" s="18"/>
      <c r="N838" s="18"/>
      <c r="O838" s="1"/>
      <c r="P838" s="1"/>
      <c r="Q838" s="1"/>
      <c r="R838" s="18"/>
      <c r="S838" s="1"/>
      <c r="T838" s="1"/>
      <c r="U838" s="1"/>
      <c r="V838" s="1"/>
      <c r="Z838" s="18"/>
      <c r="AD838" s="18"/>
      <c r="AH838" s="18"/>
      <c r="AL838" s="18"/>
      <c r="AM838" s="22"/>
      <c r="AN838" s="22"/>
      <c r="AO838" s="22"/>
      <c r="AP838" s="22"/>
      <c r="AQ838" s="22"/>
      <c r="AR838" s="22"/>
      <c r="AS838" s="22"/>
      <c r="AT838" s="22"/>
    </row>
    <row r="839" spans="7:46" ht="13">
      <c r="G839" s="34"/>
      <c r="J839" s="18"/>
      <c r="N839" s="18"/>
      <c r="O839" s="1"/>
      <c r="P839" s="1"/>
      <c r="Q839" s="1"/>
      <c r="R839" s="18"/>
      <c r="S839" s="1"/>
      <c r="T839" s="1"/>
      <c r="U839" s="1"/>
      <c r="V839" s="1"/>
      <c r="Z839" s="18"/>
      <c r="AD839" s="18"/>
      <c r="AH839" s="18"/>
      <c r="AL839" s="18"/>
      <c r="AM839" s="22"/>
      <c r="AN839" s="22"/>
      <c r="AO839" s="22"/>
      <c r="AP839" s="22"/>
      <c r="AQ839" s="22"/>
      <c r="AR839" s="22"/>
      <c r="AS839" s="22"/>
      <c r="AT839" s="22"/>
    </row>
    <row r="840" spans="7:46" ht="13">
      <c r="G840" s="34"/>
      <c r="J840" s="18"/>
      <c r="N840" s="18"/>
      <c r="O840" s="1"/>
      <c r="P840" s="1"/>
      <c r="Q840" s="1"/>
      <c r="R840" s="18"/>
      <c r="S840" s="1"/>
      <c r="T840" s="1"/>
      <c r="U840" s="1"/>
      <c r="V840" s="1"/>
      <c r="Z840" s="18"/>
      <c r="AD840" s="18"/>
      <c r="AH840" s="18"/>
      <c r="AL840" s="18"/>
      <c r="AM840" s="22"/>
      <c r="AN840" s="22"/>
      <c r="AO840" s="22"/>
      <c r="AP840" s="22"/>
      <c r="AQ840" s="22"/>
      <c r="AR840" s="22"/>
      <c r="AS840" s="22"/>
      <c r="AT840" s="22"/>
    </row>
    <row r="841" spans="7:46" ht="13">
      <c r="G841" s="34"/>
      <c r="J841" s="18"/>
      <c r="N841" s="18"/>
      <c r="O841" s="1"/>
      <c r="P841" s="1"/>
      <c r="Q841" s="1"/>
      <c r="R841" s="18"/>
      <c r="S841" s="1"/>
      <c r="T841" s="1"/>
      <c r="U841" s="1"/>
      <c r="V841" s="1"/>
      <c r="Z841" s="18"/>
      <c r="AD841" s="18"/>
      <c r="AH841" s="18"/>
      <c r="AL841" s="18"/>
      <c r="AM841" s="22"/>
      <c r="AN841" s="22"/>
      <c r="AO841" s="22"/>
      <c r="AP841" s="22"/>
      <c r="AQ841" s="22"/>
      <c r="AR841" s="22"/>
      <c r="AS841" s="22"/>
      <c r="AT841" s="22"/>
    </row>
    <row r="842" spans="7:46" ht="13">
      <c r="G842" s="34"/>
      <c r="J842" s="18"/>
      <c r="N842" s="18"/>
      <c r="O842" s="1"/>
      <c r="P842" s="1"/>
      <c r="Q842" s="1"/>
      <c r="R842" s="18"/>
      <c r="S842" s="1"/>
      <c r="T842" s="1"/>
      <c r="U842" s="1"/>
      <c r="V842" s="1"/>
      <c r="Z842" s="18"/>
      <c r="AD842" s="18"/>
      <c r="AH842" s="18"/>
      <c r="AL842" s="18"/>
      <c r="AM842" s="22"/>
      <c r="AN842" s="22"/>
      <c r="AO842" s="22"/>
      <c r="AP842" s="22"/>
      <c r="AQ842" s="22"/>
      <c r="AR842" s="22"/>
      <c r="AS842" s="22"/>
      <c r="AT842" s="22"/>
    </row>
    <row r="843" spans="7:46" ht="13">
      <c r="G843" s="34"/>
      <c r="J843" s="18"/>
      <c r="N843" s="18"/>
      <c r="O843" s="1"/>
      <c r="P843" s="1"/>
      <c r="Q843" s="1"/>
      <c r="R843" s="18"/>
      <c r="S843" s="1"/>
      <c r="T843" s="1"/>
      <c r="U843" s="1"/>
      <c r="V843" s="1"/>
      <c r="Z843" s="18"/>
      <c r="AD843" s="18"/>
      <c r="AH843" s="18"/>
      <c r="AL843" s="18"/>
      <c r="AM843" s="22"/>
      <c r="AN843" s="22"/>
      <c r="AO843" s="22"/>
      <c r="AP843" s="22"/>
      <c r="AQ843" s="22"/>
      <c r="AR843" s="22"/>
      <c r="AS843" s="22"/>
      <c r="AT843" s="22"/>
    </row>
    <row r="844" spans="7:46" ht="13">
      <c r="G844" s="34"/>
      <c r="J844" s="18"/>
      <c r="N844" s="18"/>
      <c r="O844" s="1"/>
      <c r="P844" s="1"/>
      <c r="Q844" s="1"/>
      <c r="R844" s="18"/>
      <c r="S844" s="1"/>
      <c r="T844" s="1"/>
      <c r="U844" s="1"/>
      <c r="V844" s="1"/>
      <c r="Z844" s="18"/>
      <c r="AD844" s="18"/>
      <c r="AH844" s="18"/>
      <c r="AL844" s="18"/>
      <c r="AM844" s="22"/>
      <c r="AN844" s="22"/>
      <c r="AO844" s="22"/>
      <c r="AP844" s="22"/>
      <c r="AQ844" s="22"/>
      <c r="AR844" s="22"/>
      <c r="AS844" s="22"/>
      <c r="AT844" s="22"/>
    </row>
    <row r="845" spans="7:46" ht="13">
      <c r="G845" s="34"/>
      <c r="J845" s="18"/>
      <c r="N845" s="18"/>
      <c r="O845" s="1"/>
      <c r="P845" s="1"/>
      <c r="Q845" s="1"/>
      <c r="R845" s="18"/>
      <c r="S845" s="1"/>
      <c r="T845" s="1"/>
      <c r="U845" s="1"/>
      <c r="V845" s="1"/>
      <c r="Z845" s="18"/>
      <c r="AD845" s="18"/>
      <c r="AH845" s="18"/>
      <c r="AL845" s="18"/>
      <c r="AM845" s="22"/>
      <c r="AN845" s="22"/>
      <c r="AO845" s="22"/>
      <c r="AP845" s="22"/>
      <c r="AQ845" s="22"/>
      <c r="AR845" s="22"/>
      <c r="AS845" s="22"/>
      <c r="AT845" s="22"/>
    </row>
    <row r="846" spans="7:46" ht="13">
      <c r="G846" s="34"/>
      <c r="J846" s="18"/>
      <c r="N846" s="18"/>
      <c r="O846" s="1"/>
      <c r="P846" s="1"/>
      <c r="Q846" s="1"/>
      <c r="R846" s="18"/>
      <c r="S846" s="1"/>
      <c r="T846" s="1"/>
      <c r="U846" s="1"/>
      <c r="V846" s="1"/>
      <c r="Z846" s="18"/>
      <c r="AD846" s="18"/>
      <c r="AH846" s="18"/>
      <c r="AL846" s="18"/>
      <c r="AM846" s="22"/>
      <c r="AN846" s="22"/>
      <c r="AO846" s="22"/>
      <c r="AP846" s="22"/>
      <c r="AQ846" s="22"/>
      <c r="AR846" s="22"/>
      <c r="AS846" s="22"/>
      <c r="AT846" s="22"/>
    </row>
    <row r="847" spans="7:46" ht="13">
      <c r="G847" s="34"/>
      <c r="J847" s="18"/>
      <c r="N847" s="18"/>
      <c r="O847" s="1"/>
      <c r="P847" s="1"/>
      <c r="Q847" s="1"/>
      <c r="R847" s="18"/>
      <c r="S847" s="1"/>
      <c r="T847" s="1"/>
      <c r="U847" s="1"/>
      <c r="V847" s="1"/>
      <c r="Z847" s="18"/>
      <c r="AD847" s="18"/>
      <c r="AH847" s="18"/>
      <c r="AL847" s="18"/>
      <c r="AM847" s="22"/>
      <c r="AN847" s="22"/>
      <c r="AO847" s="22"/>
      <c r="AP847" s="22"/>
      <c r="AQ847" s="22"/>
      <c r="AR847" s="22"/>
      <c r="AS847" s="22"/>
      <c r="AT847" s="22"/>
    </row>
    <row r="848" spans="7:46" ht="13">
      <c r="G848" s="34"/>
      <c r="J848" s="18"/>
      <c r="N848" s="18"/>
      <c r="O848" s="1"/>
      <c r="P848" s="1"/>
      <c r="Q848" s="1"/>
      <c r="R848" s="18"/>
      <c r="S848" s="1"/>
      <c r="T848" s="1"/>
      <c r="U848" s="1"/>
      <c r="V848" s="1"/>
      <c r="Z848" s="18"/>
      <c r="AD848" s="18"/>
      <c r="AH848" s="18"/>
      <c r="AL848" s="18"/>
      <c r="AM848" s="22"/>
      <c r="AN848" s="22"/>
      <c r="AO848" s="22"/>
      <c r="AP848" s="22"/>
      <c r="AQ848" s="22"/>
      <c r="AR848" s="22"/>
      <c r="AS848" s="22"/>
      <c r="AT848" s="22"/>
    </row>
    <row r="849" spans="7:46" ht="13">
      <c r="G849" s="34"/>
      <c r="J849" s="18"/>
      <c r="N849" s="18"/>
      <c r="O849" s="1"/>
      <c r="P849" s="1"/>
      <c r="Q849" s="1"/>
      <c r="R849" s="18"/>
      <c r="S849" s="1"/>
      <c r="T849" s="1"/>
      <c r="U849" s="1"/>
      <c r="V849" s="1"/>
      <c r="Z849" s="18"/>
      <c r="AD849" s="18"/>
      <c r="AH849" s="18"/>
      <c r="AL849" s="18"/>
      <c r="AM849" s="22"/>
      <c r="AN849" s="22"/>
      <c r="AO849" s="22"/>
      <c r="AP849" s="22"/>
      <c r="AQ849" s="22"/>
      <c r="AR849" s="22"/>
      <c r="AS849" s="22"/>
      <c r="AT849" s="22"/>
    </row>
    <row r="850" spans="7:46" ht="13">
      <c r="G850" s="34"/>
      <c r="J850" s="18"/>
      <c r="N850" s="18"/>
      <c r="O850" s="1"/>
      <c r="P850" s="1"/>
      <c r="Q850" s="1"/>
      <c r="R850" s="18"/>
      <c r="S850" s="1"/>
      <c r="T850" s="1"/>
      <c r="U850" s="1"/>
      <c r="V850" s="1"/>
      <c r="Z850" s="18"/>
      <c r="AD850" s="18"/>
      <c r="AH850" s="18"/>
      <c r="AL850" s="18"/>
      <c r="AM850" s="22"/>
      <c r="AN850" s="22"/>
      <c r="AO850" s="22"/>
      <c r="AP850" s="22"/>
      <c r="AQ850" s="22"/>
      <c r="AR850" s="22"/>
      <c r="AS850" s="22"/>
      <c r="AT850" s="22"/>
    </row>
    <row r="851" spans="7:46" ht="13">
      <c r="G851" s="34"/>
      <c r="J851" s="18"/>
      <c r="N851" s="18"/>
      <c r="O851" s="1"/>
      <c r="P851" s="1"/>
      <c r="Q851" s="1"/>
      <c r="R851" s="18"/>
      <c r="S851" s="1"/>
      <c r="T851" s="1"/>
      <c r="U851" s="1"/>
      <c r="V851" s="1"/>
      <c r="Z851" s="18"/>
      <c r="AD851" s="18"/>
      <c r="AH851" s="18"/>
      <c r="AL851" s="18"/>
      <c r="AM851" s="22"/>
      <c r="AN851" s="22"/>
      <c r="AO851" s="22"/>
      <c r="AP851" s="22"/>
      <c r="AQ851" s="22"/>
      <c r="AR851" s="22"/>
      <c r="AS851" s="22"/>
      <c r="AT851" s="22"/>
    </row>
    <row r="852" spans="7:46" ht="13">
      <c r="G852" s="34"/>
      <c r="J852" s="18"/>
      <c r="N852" s="18"/>
      <c r="O852" s="1"/>
      <c r="P852" s="1"/>
      <c r="Q852" s="1"/>
      <c r="R852" s="18"/>
      <c r="S852" s="1"/>
      <c r="T852" s="1"/>
      <c r="U852" s="1"/>
      <c r="V852" s="1"/>
      <c r="Z852" s="18"/>
      <c r="AD852" s="18"/>
      <c r="AH852" s="18"/>
      <c r="AL852" s="18"/>
      <c r="AM852" s="22"/>
      <c r="AN852" s="22"/>
      <c r="AO852" s="22"/>
      <c r="AP852" s="22"/>
      <c r="AQ852" s="22"/>
      <c r="AR852" s="22"/>
      <c r="AS852" s="22"/>
      <c r="AT852" s="22"/>
    </row>
    <row r="853" spans="7:46" ht="13">
      <c r="G853" s="34"/>
      <c r="J853" s="18"/>
      <c r="N853" s="18"/>
      <c r="O853" s="1"/>
      <c r="P853" s="1"/>
      <c r="Q853" s="1"/>
      <c r="R853" s="18"/>
      <c r="S853" s="1"/>
      <c r="T853" s="1"/>
      <c r="U853" s="1"/>
      <c r="V853" s="1"/>
      <c r="Z853" s="18"/>
      <c r="AD853" s="18"/>
      <c r="AH853" s="18"/>
      <c r="AL853" s="18"/>
      <c r="AM853" s="22"/>
      <c r="AN853" s="22"/>
      <c r="AO853" s="22"/>
      <c r="AP853" s="22"/>
      <c r="AQ853" s="22"/>
      <c r="AR853" s="22"/>
      <c r="AS853" s="22"/>
      <c r="AT853" s="22"/>
    </row>
    <row r="854" spans="7:46" ht="13">
      <c r="G854" s="34"/>
      <c r="J854" s="18"/>
      <c r="N854" s="18"/>
      <c r="O854" s="1"/>
      <c r="P854" s="1"/>
      <c r="Q854" s="1"/>
      <c r="R854" s="18"/>
      <c r="S854" s="1"/>
      <c r="T854" s="1"/>
      <c r="U854" s="1"/>
      <c r="V854" s="1"/>
      <c r="Z854" s="18"/>
      <c r="AD854" s="18"/>
      <c r="AH854" s="18"/>
      <c r="AL854" s="18"/>
      <c r="AM854" s="22"/>
      <c r="AN854" s="22"/>
      <c r="AO854" s="22"/>
      <c r="AP854" s="22"/>
      <c r="AQ854" s="22"/>
      <c r="AR854" s="22"/>
      <c r="AS854" s="22"/>
      <c r="AT854" s="22"/>
    </row>
    <row r="855" spans="7:46" ht="13">
      <c r="G855" s="34"/>
      <c r="J855" s="18"/>
      <c r="N855" s="18"/>
      <c r="O855" s="1"/>
      <c r="P855" s="1"/>
      <c r="Q855" s="1"/>
      <c r="R855" s="18"/>
      <c r="S855" s="1"/>
      <c r="T855" s="1"/>
      <c r="U855" s="1"/>
      <c r="V855" s="1"/>
      <c r="Z855" s="18"/>
      <c r="AD855" s="18"/>
      <c r="AH855" s="18"/>
      <c r="AL855" s="18"/>
      <c r="AM855" s="22"/>
      <c r="AN855" s="22"/>
      <c r="AO855" s="22"/>
      <c r="AP855" s="22"/>
      <c r="AQ855" s="22"/>
      <c r="AR855" s="22"/>
      <c r="AS855" s="22"/>
      <c r="AT855" s="22"/>
    </row>
    <row r="856" spans="7:46" ht="13">
      <c r="G856" s="34"/>
      <c r="J856" s="18"/>
      <c r="N856" s="18"/>
      <c r="O856" s="1"/>
      <c r="P856" s="1"/>
      <c r="Q856" s="1"/>
      <c r="R856" s="18"/>
      <c r="S856" s="1"/>
      <c r="T856" s="1"/>
      <c r="U856" s="1"/>
      <c r="V856" s="1"/>
      <c r="Z856" s="18"/>
      <c r="AD856" s="18"/>
      <c r="AH856" s="18"/>
      <c r="AL856" s="18"/>
      <c r="AM856" s="22"/>
      <c r="AN856" s="22"/>
      <c r="AO856" s="22"/>
      <c r="AP856" s="22"/>
      <c r="AQ856" s="22"/>
      <c r="AR856" s="22"/>
      <c r="AS856" s="22"/>
      <c r="AT856" s="22"/>
    </row>
    <row r="857" spans="7:46" ht="13">
      <c r="G857" s="34"/>
      <c r="J857" s="18"/>
      <c r="N857" s="18"/>
      <c r="O857" s="1"/>
      <c r="P857" s="1"/>
      <c r="Q857" s="1"/>
      <c r="R857" s="18"/>
      <c r="S857" s="1"/>
      <c r="T857" s="1"/>
      <c r="U857" s="1"/>
      <c r="V857" s="1"/>
      <c r="Z857" s="18"/>
      <c r="AD857" s="18"/>
      <c r="AH857" s="18"/>
      <c r="AL857" s="18"/>
      <c r="AM857" s="22"/>
      <c r="AN857" s="22"/>
      <c r="AO857" s="22"/>
      <c r="AP857" s="22"/>
      <c r="AQ857" s="22"/>
      <c r="AR857" s="22"/>
      <c r="AS857" s="22"/>
      <c r="AT857" s="22"/>
    </row>
    <row r="858" spans="7:46" ht="13">
      <c r="G858" s="34"/>
      <c r="J858" s="18"/>
      <c r="N858" s="18"/>
      <c r="O858" s="1"/>
      <c r="P858" s="1"/>
      <c r="Q858" s="1"/>
      <c r="R858" s="18"/>
      <c r="S858" s="1"/>
      <c r="T858" s="1"/>
      <c r="U858" s="1"/>
      <c r="V858" s="1"/>
      <c r="Z858" s="18"/>
      <c r="AD858" s="18"/>
      <c r="AH858" s="18"/>
      <c r="AL858" s="18"/>
      <c r="AM858" s="22"/>
      <c r="AN858" s="22"/>
      <c r="AO858" s="22"/>
      <c r="AP858" s="22"/>
      <c r="AQ858" s="22"/>
      <c r="AR858" s="22"/>
      <c r="AS858" s="22"/>
      <c r="AT858" s="22"/>
    </row>
    <row r="859" spans="7:46" ht="13">
      <c r="G859" s="34"/>
      <c r="J859" s="18"/>
      <c r="N859" s="18"/>
      <c r="O859" s="1"/>
      <c r="P859" s="1"/>
      <c r="Q859" s="1"/>
      <c r="R859" s="18"/>
      <c r="S859" s="1"/>
      <c r="T859" s="1"/>
      <c r="U859" s="1"/>
      <c r="V859" s="1"/>
      <c r="Z859" s="18"/>
      <c r="AD859" s="18"/>
      <c r="AH859" s="18"/>
      <c r="AL859" s="18"/>
      <c r="AM859" s="22"/>
      <c r="AN859" s="22"/>
      <c r="AO859" s="22"/>
      <c r="AP859" s="22"/>
      <c r="AQ859" s="22"/>
      <c r="AR859" s="22"/>
      <c r="AS859" s="22"/>
      <c r="AT859" s="22"/>
    </row>
    <row r="860" spans="7:46" ht="13">
      <c r="G860" s="34"/>
      <c r="J860" s="18"/>
      <c r="N860" s="18"/>
      <c r="O860" s="1"/>
      <c r="P860" s="1"/>
      <c r="Q860" s="1"/>
      <c r="R860" s="18"/>
      <c r="S860" s="1"/>
      <c r="T860" s="1"/>
      <c r="U860" s="1"/>
      <c r="V860" s="1"/>
      <c r="Z860" s="18"/>
      <c r="AD860" s="18"/>
      <c r="AH860" s="18"/>
      <c r="AL860" s="18"/>
      <c r="AM860" s="22"/>
      <c r="AN860" s="22"/>
      <c r="AO860" s="22"/>
      <c r="AP860" s="22"/>
      <c r="AQ860" s="22"/>
      <c r="AR860" s="22"/>
      <c r="AS860" s="22"/>
      <c r="AT860" s="22"/>
    </row>
    <row r="861" spans="7:46" ht="13">
      <c r="G861" s="34"/>
      <c r="J861" s="18"/>
      <c r="N861" s="18"/>
      <c r="O861" s="1"/>
      <c r="P861" s="1"/>
      <c r="Q861" s="1"/>
      <c r="R861" s="18"/>
      <c r="S861" s="1"/>
      <c r="T861" s="1"/>
      <c r="U861" s="1"/>
      <c r="V861" s="1"/>
      <c r="Z861" s="18"/>
      <c r="AD861" s="18"/>
      <c r="AH861" s="18"/>
      <c r="AL861" s="18"/>
      <c r="AM861" s="22"/>
      <c r="AN861" s="22"/>
      <c r="AO861" s="22"/>
      <c r="AP861" s="22"/>
      <c r="AQ861" s="22"/>
      <c r="AR861" s="22"/>
      <c r="AS861" s="22"/>
      <c r="AT861" s="22"/>
    </row>
    <row r="862" spans="7:46" ht="13">
      <c r="G862" s="34"/>
      <c r="J862" s="18"/>
      <c r="N862" s="18"/>
      <c r="O862" s="1"/>
      <c r="P862" s="1"/>
      <c r="Q862" s="1"/>
      <c r="R862" s="18"/>
      <c r="S862" s="1"/>
      <c r="T862" s="1"/>
      <c r="U862" s="1"/>
      <c r="V862" s="1"/>
      <c r="Z862" s="18"/>
      <c r="AD862" s="18"/>
      <c r="AH862" s="18"/>
      <c r="AL862" s="18"/>
      <c r="AM862" s="22"/>
      <c r="AN862" s="22"/>
      <c r="AO862" s="22"/>
      <c r="AP862" s="22"/>
      <c r="AQ862" s="22"/>
      <c r="AR862" s="22"/>
      <c r="AS862" s="22"/>
      <c r="AT862" s="22"/>
    </row>
    <row r="863" spans="7:46" ht="13">
      <c r="G863" s="34"/>
      <c r="J863" s="18"/>
      <c r="N863" s="18"/>
      <c r="O863" s="1"/>
      <c r="P863" s="1"/>
      <c r="Q863" s="1"/>
      <c r="R863" s="18"/>
      <c r="S863" s="1"/>
      <c r="T863" s="1"/>
      <c r="U863" s="1"/>
      <c r="V863" s="1"/>
      <c r="Z863" s="18"/>
      <c r="AD863" s="18"/>
      <c r="AH863" s="18"/>
      <c r="AL863" s="18"/>
      <c r="AM863" s="22"/>
      <c r="AN863" s="22"/>
      <c r="AO863" s="22"/>
      <c r="AP863" s="22"/>
      <c r="AQ863" s="22"/>
      <c r="AR863" s="22"/>
      <c r="AS863" s="22"/>
      <c r="AT863" s="22"/>
    </row>
    <row r="864" spans="7:46" ht="13">
      <c r="G864" s="34"/>
      <c r="J864" s="18"/>
      <c r="N864" s="18"/>
      <c r="O864" s="1"/>
      <c r="P864" s="1"/>
      <c r="Q864" s="1"/>
      <c r="R864" s="18"/>
      <c r="S864" s="1"/>
      <c r="T864" s="1"/>
      <c r="U864" s="1"/>
      <c r="V864" s="1"/>
      <c r="Z864" s="18"/>
      <c r="AD864" s="18"/>
      <c r="AH864" s="18"/>
      <c r="AL864" s="18"/>
      <c r="AM864" s="22"/>
      <c r="AN864" s="22"/>
      <c r="AO864" s="22"/>
      <c r="AP864" s="22"/>
      <c r="AQ864" s="22"/>
      <c r="AR864" s="22"/>
      <c r="AS864" s="22"/>
      <c r="AT864" s="22"/>
    </row>
    <row r="865" spans="7:46" ht="13">
      <c r="G865" s="34"/>
      <c r="J865" s="18"/>
      <c r="N865" s="18"/>
      <c r="O865" s="1"/>
      <c r="P865" s="1"/>
      <c r="Q865" s="1"/>
      <c r="R865" s="18"/>
      <c r="S865" s="1"/>
      <c r="T865" s="1"/>
      <c r="U865" s="1"/>
      <c r="V865" s="1"/>
      <c r="Z865" s="18"/>
      <c r="AD865" s="18"/>
      <c r="AH865" s="18"/>
      <c r="AL865" s="18"/>
      <c r="AM865" s="22"/>
      <c r="AN865" s="22"/>
      <c r="AO865" s="22"/>
      <c r="AP865" s="22"/>
      <c r="AQ865" s="22"/>
      <c r="AR865" s="22"/>
      <c r="AS865" s="22"/>
      <c r="AT865" s="22"/>
    </row>
    <row r="866" spans="7:46" ht="13">
      <c r="G866" s="34"/>
      <c r="J866" s="18"/>
      <c r="N866" s="18"/>
      <c r="O866" s="1"/>
      <c r="P866" s="1"/>
      <c r="Q866" s="1"/>
      <c r="R866" s="18"/>
      <c r="S866" s="1"/>
      <c r="T866" s="1"/>
      <c r="U866" s="1"/>
      <c r="V866" s="1"/>
      <c r="Z866" s="18"/>
      <c r="AD866" s="18"/>
      <c r="AH866" s="18"/>
      <c r="AL866" s="18"/>
      <c r="AM866" s="22"/>
      <c r="AN866" s="22"/>
      <c r="AO866" s="22"/>
      <c r="AP866" s="22"/>
      <c r="AQ866" s="22"/>
      <c r="AR866" s="22"/>
      <c r="AS866" s="22"/>
      <c r="AT866" s="22"/>
    </row>
    <row r="867" spans="7:46" ht="13">
      <c r="G867" s="34"/>
      <c r="J867" s="18"/>
      <c r="N867" s="18"/>
      <c r="O867" s="1"/>
      <c r="P867" s="1"/>
      <c r="Q867" s="1"/>
      <c r="R867" s="18"/>
      <c r="S867" s="1"/>
      <c r="T867" s="1"/>
      <c r="U867" s="1"/>
      <c r="V867" s="1"/>
      <c r="Z867" s="18"/>
      <c r="AD867" s="18"/>
      <c r="AH867" s="18"/>
      <c r="AL867" s="18"/>
      <c r="AM867" s="22"/>
      <c r="AN867" s="22"/>
      <c r="AO867" s="22"/>
      <c r="AP867" s="22"/>
      <c r="AQ867" s="22"/>
      <c r="AR867" s="22"/>
      <c r="AS867" s="22"/>
      <c r="AT867" s="22"/>
    </row>
    <row r="868" spans="7:46" ht="13">
      <c r="G868" s="34"/>
      <c r="J868" s="18"/>
      <c r="N868" s="18"/>
      <c r="O868" s="1"/>
      <c r="P868" s="1"/>
      <c r="Q868" s="1"/>
      <c r="R868" s="18"/>
      <c r="S868" s="1"/>
      <c r="T868" s="1"/>
      <c r="U868" s="1"/>
      <c r="V868" s="1"/>
      <c r="Z868" s="18"/>
      <c r="AD868" s="18"/>
      <c r="AH868" s="18"/>
      <c r="AL868" s="18"/>
      <c r="AM868" s="22"/>
      <c r="AN868" s="22"/>
      <c r="AO868" s="22"/>
      <c r="AP868" s="22"/>
      <c r="AQ868" s="22"/>
      <c r="AR868" s="22"/>
      <c r="AS868" s="22"/>
      <c r="AT868" s="22"/>
    </row>
    <row r="869" spans="7:46" ht="13">
      <c r="G869" s="34"/>
      <c r="J869" s="18"/>
      <c r="N869" s="18"/>
      <c r="O869" s="1"/>
      <c r="P869" s="1"/>
      <c r="Q869" s="1"/>
      <c r="R869" s="18"/>
      <c r="S869" s="1"/>
      <c r="T869" s="1"/>
      <c r="U869" s="1"/>
      <c r="V869" s="1"/>
      <c r="Z869" s="18"/>
      <c r="AD869" s="18"/>
      <c r="AH869" s="18"/>
      <c r="AL869" s="18"/>
      <c r="AM869" s="22"/>
      <c r="AN869" s="22"/>
      <c r="AO869" s="22"/>
      <c r="AP869" s="22"/>
      <c r="AQ869" s="22"/>
      <c r="AR869" s="22"/>
      <c r="AS869" s="22"/>
      <c r="AT869" s="22"/>
    </row>
    <row r="870" spans="7:46" ht="13">
      <c r="G870" s="34"/>
      <c r="J870" s="18"/>
      <c r="N870" s="18"/>
      <c r="O870" s="1"/>
      <c r="P870" s="1"/>
      <c r="Q870" s="1"/>
      <c r="R870" s="18"/>
      <c r="S870" s="1"/>
      <c r="T870" s="1"/>
      <c r="U870" s="1"/>
      <c r="V870" s="1"/>
      <c r="Z870" s="18"/>
      <c r="AD870" s="18"/>
      <c r="AH870" s="18"/>
      <c r="AL870" s="18"/>
      <c r="AM870" s="22"/>
      <c r="AN870" s="22"/>
      <c r="AO870" s="22"/>
      <c r="AP870" s="22"/>
      <c r="AQ870" s="22"/>
      <c r="AR870" s="22"/>
      <c r="AS870" s="22"/>
      <c r="AT870" s="22"/>
    </row>
    <row r="871" spans="7:46" ht="13">
      <c r="G871" s="34"/>
      <c r="J871" s="18"/>
      <c r="N871" s="18"/>
      <c r="O871" s="1"/>
      <c r="P871" s="1"/>
      <c r="Q871" s="1"/>
      <c r="R871" s="18"/>
      <c r="S871" s="1"/>
      <c r="T871" s="1"/>
      <c r="U871" s="1"/>
      <c r="V871" s="1"/>
      <c r="Z871" s="18"/>
      <c r="AD871" s="18"/>
      <c r="AH871" s="18"/>
      <c r="AL871" s="18"/>
      <c r="AM871" s="22"/>
      <c r="AN871" s="22"/>
      <c r="AO871" s="22"/>
      <c r="AP871" s="22"/>
      <c r="AQ871" s="22"/>
      <c r="AR871" s="22"/>
      <c r="AS871" s="22"/>
      <c r="AT871" s="22"/>
    </row>
    <row r="872" spans="7:46" ht="13">
      <c r="G872" s="34"/>
      <c r="J872" s="18"/>
      <c r="N872" s="18"/>
      <c r="O872" s="1"/>
      <c r="P872" s="1"/>
      <c r="Q872" s="1"/>
      <c r="R872" s="18"/>
      <c r="S872" s="1"/>
      <c r="T872" s="1"/>
      <c r="U872" s="1"/>
      <c r="V872" s="1"/>
      <c r="Z872" s="18"/>
      <c r="AD872" s="18"/>
      <c r="AH872" s="18"/>
      <c r="AL872" s="18"/>
      <c r="AM872" s="22"/>
      <c r="AN872" s="22"/>
      <c r="AO872" s="22"/>
      <c r="AP872" s="22"/>
      <c r="AQ872" s="22"/>
      <c r="AR872" s="22"/>
      <c r="AS872" s="22"/>
      <c r="AT872" s="22"/>
    </row>
    <row r="873" spans="7:46" ht="13">
      <c r="G873" s="34"/>
      <c r="J873" s="18"/>
      <c r="N873" s="18"/>
      <c r="O873" s="1"/>
      <c r="P873" s="1"/>
      <c r="Q873" s="1"/>
      <c r="R873" s="18"/>
      <c r="S873" s="1"/>
      <c r="T873" s="1"/>
      <c r="U873" s="1"/>
      <c r="V873" s="1"/>
      <c r="Z873" s="18"/>
      <c r="AD873" s="18"/>
      <c r="AH873" s="18"/>
      <c r="AL873" s="18"/>
      <c r="AM873" s="22"/>
      <c r="AN873" s="22"/>
      <c r="AO873" s="22"/>
      <c r="AP873" s="22"/>
      <c r="AQ873" s="22"/>
      <c r="AR873" s="22"/>
      <c r="AS873" s="22"/>
      <c r="AT873" s="22"/>
    </row>
    <row r="874" spans="7:46" ht="13">
      <c r="G874" s="34"/>
      <c r="J874" s="18"/>
      <c r="N874" s="18"/>
      <c r="O874" s="1"/>
      <c r="P874" s="1"/>
      <c r="Q874" s="1"/>
      <c r="R874" s="18"/>
      <c r="S874" s="1"/>
      <c r="T874" s="1"/>
      <c r="U874" s="1"/>
      <c r="V874" s="1"/>
      <c r="Z874" s="18"/>
      <c r="AD874" s="18"/>
      <c r="AH874" s="18"/>
      <c r="AL874" s="18"/>
      <c r="AM874" s="22"/>
      <c r="AN874" s="22"/>
      <c r="AO874" s="22"/>
      <c r="AP874" s="22"/>
      <c r="AQ874" s="22"/>
      <c r="AR874" s="22"/>
      <c r="AS874" s="22"/>
      <c r="AT874" s="22"/>
    </row>
    <row r="875" spans="7:46" ht="13">
      <c r="G875" s="34"/>
      <c r="J875" s="18"/>
      <c r="N875" s="18"/>
      <c r="O875" s="1"/>
      <c r="P875" s="1"/>
      <c r="Q875" s="1"/>
      <c r="R875" s="18"/>
      <c r="S875" s="1"/>
      <c r="T875" s="1"/>
      <c r="U875" s="1"/>
      <c r="V875" s="1"/>
      <c r="Z875" s="18"/>
      <c r="AD875" s="18"/>
      <c r="AH875" s="18"/>
      <c r="AL875" s="18"/>
      <c r="AM875" s="22"/>
      <c r="AN875" s="22"/>
      <c r="AO875" s="22"/>
      <c r="AP875" s="22"/>
      <c r="AQ875" s="22"/>
      <c r="AR875" s="22"/>
      <c r="AS875" s="22"/>
      <c r="AT875" s="22"/>
    </row>
    <row r="876" spans="7:46" ht="13">
      <c r="G876" s="34"/>
      <c r="J876" s="18"/>
      <c r="N876" s="18"/>
      <c r="O876" s="1"/>
      <c r="P876" s="1"/>
      <c r="Q876" s="1"/>
      <c r="R876" s="18"/>
      <c r="S876" s="1"/>
      <c r="T876" s="1"/>
      <c r="U876" s="1"/>
      <c r="V876" s="1"/>
      <c r="Z876" s="18"/>
      <c r="AD876" s="18"/>
      <c r="AH876" s="18"/>
      <c r="AL876" s="18"/>
      <c r="AM876" s="22"/>
      <c r="AN876" s="22"/>
      <c r="AO876" s="22"/>
      <c r="AP876" s="22"/>
      <c r="AQ876" s="22"/>
      <c r="AR876" s="22"/>
      <c r="AS876" s="22"/>
      <c r="AT876" s="22"/>
    </row>
    <row r="877" spans="7:46" ht="13">
      <c r="G877" s="34"/>
      <c r="J877" s="18"/>
      <c r="N877" s="18"/>
      <c r="O877" s="1"/>
      <c r="P877" s="1"/>
      <c r="Q877" s="1"/>
      <c r="R877" s="18"/>
      <c r="S877" s="1"/>
      <c r="T877" s="1"/>
      <c r="U877" s="1"/>
      <c r="V877" s="1"/>
      <c r="Z877" s="18"/>
      <c r="AD877" s="18"/>
      <c r="AH877" s="18"/>
      <c r="AL877" s="18"/>
      <c r="AM877" s="22"/>
      <c r="AN877" s="22"/>
      <c r="AO877" s="22"/>
      <c r="AP877" s="22"/>
      <c r="AQ877" s="22"/>
      <c r="AR877" s="22"/>
      <c r="AS877" s="22"/>
      <c r="AT877" s="22"/>
    </row>
    <row r="878" spans="7:46" ht="13">
      <c r="G878" s="34"/>
      <c r="J878" s="18"/>
      <c r="N878" s="18"/>
      <c r="O878" s="1"/>
      <c r="P878" s="1"/>
      <c r="Q878" s="1"/>
      <c r="R878" s="18"/>
      <c r="S878" s="1"/>
      <c r="T878" s="1"/>
      <c r="U878" s="1"/>
      <c r="V878" s="1"/>
      <c r="Z878" s="18"/>
      <c r="AD878" s="18"/>
      <c r="AH878" s="18"/>
      <c r="AL878" s="18"/>
      <c r="AM878" s="22"/>
      <c r="AN878" s="22"/>
      <c r="AO878" s="22"/>
      <c r="AP878" s="22"/>
      <c r="AQ878" s="22"/>
      <c r="AR878" s="22"/>
      <c r="AS878" s="22"/>
      <c r="AT878" s="22"/>
    </row>
    <row r="879" spans="7:46" ht="13">
      <c r="G879" s="34"/>
      <c r="J879" s="18"/>
      <c r="N879" s="18"/>
      <c r="O879" s="1"/>
      <c r="P879" s="1"/>
      <c r="Q879" s="1"/>
      <c r="R879" s="18"/>
      <c r="S879" s="1"/>
      <c r="T879" s="1"/>
      <c r="U879" s="1"/>
      <c r="V879" s="1"/>
      <c r="Z879" s="18"/>
      <c r="AD879" s="18"/>
      <c r="AH879" s="18"/>
      <c r="AL879" s="18"/>
      <c r="AM879" s="22"/>
      <c r="AN879" s="22"/>
      <c r="AO879" s="22"/>
      <c r="AP879" s="22"/>
      <c r="AQ879" s="22"/>
      <c r="AR879" s="22"/>
      <c r="AS879" s="22"/>
      <c r="AT879" s="22"/>
    </row>
    <row r="880" spans="7:46" ht="13">
      <c r="G880" s="34"/>
      <c r="J880" s="18"/>
      <c r="N880" s="18"/>
      <c r="O880" s="1"/>
      <c r="P880" s="1"/>
      <c r="Q880" s="1"/>
      <c r="R880" s="18"/>
      <c r="S880" s="1"/>
      <c r="T880" s="1"/>
      <c r="U880" s="1"/>
      <c r="V880" s="1"/>
      <c r="Z880" s="18"/>
      <c r="AD880" s="18"/>
      <c r="AH880" s="18"/>
      <c r="AL880" s="18"/>
      <c r="AM880" s="22"/>
      <c r="AN880" s="22"/>
      <c r="AO880" s="22"/>
      <c r="AP880" s="22"/>
      <c r="AQ880" s="22"/>
      <c r="AR880" s="22"/>
      <c r="AS880" s="22"/>
      <c r="AT880" s="22"/>
    </row>
    <row r="881" spans="7:46" ht="13">
      <c r="G881" s="34"/>
      <c r="J881" s="18"/>
      <c r="N881" s="18"/>
      <c r="O881" s="1"/>
      <c r="P881" s="1"/>
      <c r="Q881" s="1"/>
      <c r="R881" s="18"/>
      <c r="S881" s="1"/>
      <c r="T881" s="1"/>
      <c r="U881" s="1"/>
      <c r="V881" s="1"/>
      <c r="Z881" s="18"/>
      <c r="AD881" s="18"/>
      <c r="AH881" s="18"/>
      <c r="AL881" s="18"/>
      <c r="AM881" s="22"/>
      <c r="AN881" s="22"/>
      <c r="AO881" s="22"/>
      <c r="AP881" s="22"/>
      <c r="AQ881" s="22"/>
      <c r="AR881" s="22"/>
      <c r="AS881" s="22"/>
      <c r="AT881" s="22"/>
    </row>
    <row r="882" spans="7:46" ht="13">
      <c r="G882" s="34"/>
      <c r="J882" s="18"/>
      <c r="N882" s="18"/>
      <c r="O882" s="1"/>
      <c r="P882" s="1"/>
      <c r="Q882" s="1"/>
      <c r="R882" s="18"/>
      <c r="S882" s="1"/>
      <c r="T882" s="1"/>
      <c r="U882" s="1"/>
      <c r="V882" s="1"/>
      <c r="Z882" s="18"/>
      <c r="AD882" s="18"/>
      <c r="AH882" s="18"/>
      <c r="AL882" s="18"/>
      <c r="AM882" s="22"/>
      <c r="AN882" s="22"/>
      <c r="AO882" s="22"/>
      <c r="AP882" s="22"/>
      <c r="AQ882" s="22"/>
      <c r="AR882" s="22"/>
      <c r="AS882" s="22"/>
      <c r="AT882" s="22"/>
    </row>
    <row r="883" spans="7:46" ht="13">
      <c r="G883" s="34"/>
      <c r="J883" s="18"/>
      <c r="N883" s="18"/>
      <c r="O883" s="1"/>
      <c r="P883" s="1"/>
      <c r="Q883" s="1"/>
      <c r="R883" s="18"/>
      <c r="S883" s="1"/>
      <c r="T883" s="1"/>
      <c r="U883" s="1"/>
      <c r="V883" s="1"/>
      <c r="Z883" s="18"/>
      <c r="AD883" s="18"/>
      <c r="AH883" s="18"/>
      <c r="AL883" s="18"/>
      <c r="AM883" s="22"/>
      <c r="AN883" s="22"/>
      <c r="AO883" s="22"/>
      <c r="AP883" s="22"/>
      <c r="AQ883" s="22"/>
      <c r="AR883" s="22"/>
      <c r="AS883" s="22"/>
      <c r="AT883" s="22"/>
    </row>
    <row r="884" spans="7:46" ht="13">
      <c r="G884" s="34"/>
      <c r="J884" s="18"/>
      <c r="N884" s="18"/>
      <c r="O884" s="1"/>
      <c r="P884" s="1"/>
      <c r="Q884" s="1"/>
      <c r="R884" s="18"/>
      <c r="S884" s="1"/>
      <c r="T884" s="1"/>
      <c r="U884" s="1"/>
      <c r="V884" s="1"/>
      <c r="Z884" s="18"/>
      <c r="AD884" s="18"/>
      <c r="AH884" s="18"/>
      <c r="AL884" s="18"/>
      <c r="AM884" s="22"/>
      <c r="AN884" s="22"/>
      <c r="AO884" s="22"/>
      <c r="AP884" s="22"/>
      <c r="AQ884" s="22"/>
      <c r="AR884" s="22"/>
      <c r="AS884" s="22"/>
      <c r="AT884" s="22"/>
    </row>
    <row r="885" spans="7:46" ht="13">
      <c r="G885" s="34"/>
      <c r="J885" s="18"/>
      <c r="N885" s="18"/>
      <c r="O885" s="1"/>
      <c r="P885" s="1"/>
      <c r="Q885" s="1"/>
      <c r="R885" s="18"/>
      <c r="S885" s="1"/>
      <c r="T885" s="1"/>
      <c r="U885" s="1"/>
      <c r="V885" s="1"/>
      <c r="Z885" s="18"/>
      <c r="AD885" s="18"/>
      <c r="AH885" s="18"/>
      <c r="AL885" s="18"/>
      <c r="AM885" s="22"/>
      <c r="AN885" s="22"/>
      <c r="AO885" s="22"/>
      <c r="AP885" s="22"/>
      <c r="AQ885" s="22"/>
      <c r="AR885" s="22"/>
      <c r="AS885" s="22"/>
      <c r="AT885" s="22"/>
    </row>
    <row r="886" spans="7:46" ht="13">
      <c r="G886" s="34"/>
      <c r="J886" s="18"/>
      <c r="N886" s="18"/>
      <c r="O886" s="1"/>
      <c r="P886" s="1"/>
      <c r="Q886" s="1"/>
      <c r="R886" s="18"/>
      <c r="S886" s="1"/>
      <c r="T886" s="1"/>
      <c r="U886" s="1"/>
      <c r="V886" s="1"/>
      <c r="Z886" s="18"/>
      <c r="AD886" s="18"/>
      <c r="AH886" s="18"/>
      <c r="AL886" s="18"/>
      <c r="AM886" s="22"/>
      <c r="AN886" s="22"/>
      <c r="AO886" s="22"/>
      <c r="AP886" s="22"/>
      <c r="AQ886" s="22"/>
      <c r="AR886" s="22"/>
      <c r="AS886" s="22"/>
      <c r="AT886" s="22"/>
    </row>
    <row r="887" spans="7:46" ht="13">
      <c r="G887" s="34"/>
      <c r="J887" s="18"/>
      <c r="N887" s="18"/>
      <c r="O887" s="1"/>
      <c r="P887" s="1"/>
      <c r="Q887" s="1"/>
      <c r="R887" s="18"/>
      <c r="S887" s="1"/>
      <c r="T887" s="1"/>
      <c r="U887" s="1"/>
      <c r="V887" s="1"/>
      <c r="Z887" s="18"/>
      <c r="AD887" s="18"/>
      <c r="AH887" s="18"/>
      <c r="AL887" s="18"/>
      <c r="AM887" s="22"/>
      <c r="AN887" s="22"/>
      <c r="AO887" s="22"/>
      <c r="AP887" s="22"/>
      <c r="AQ887" s="22"/>
      <c r="AR887" s="22"/>
      <c r="AS887" s="22"/>
      <c r="AT887" s="22"/>
    </row>
    <row r="888" spans="7:46" ht="13">
      <c r="G888" s="34"/>
      <c r="J888" s="18"/>
      <c r="N888" s="18"/>
      <c r="O888" s="1"/>
      <c r="P888" s="1"/>
      <c r="Q888" s="1"/>
      <c r="R888" s="18"/>
      <c r="S888" s="1"/>
      <c r="T888" s="1"/>
      <c r="U888" s="1"/>
      <c r="V888" s="1"/>
      <c r="Z888" s="18"/>
      <c r="AD888" s="18"/>
      <c r="AH888" s="18"/>
      <c r="AL888" s="18"/>
      <c r="AM888" s="22"/>
      <c r="AN888" s="22"/>
      <c r="AO888" s="22"/>
      <c r="AP888" s="22"/>
      <c r="AQ888" s="22"/>
      <c r="AR888" s="22"/>
      <c r="AS888" s="22"/>
      <c r="AT888" s="22"/>
    </row>
    <row r="889" spans="7:46" ht="13">
      <c r="G889" s="34"/>
      <c r="J889" s="18"/>
      <c r="N889" s="18"/>
      <c r="O889" s="1"/>
      <c r="P889" s="1"/>
      <c r="Q889" s="1"/>
      <c r="R889" s="18"/>
      <c r="S889" s="1"/>
      <c r="T889" s="1"/>
      <c r="U889" s="1"/>
      <c r="V889" s="1"/>
      <c r="Z889" s="18"/>
      <c r="AD889" s="18"/>
      <c r="AH889" s="18"/>
      <c r="AL889" s="18"/>
      <c r="AM889" s="22"/>
      <c r="AN889" s="22"/>
      <c r="AO889" s="22"/>
      <c r="AP889" s="22"/>
      <c r="AQ889" s="22"/>
      <c r="AR889" s="22"/>
      <c r="AS889" s="22"/>
      <c r="AT889" s="22"/>
    </row>
    <row r="890" spans="7:46" ht="13">
      <c r="G890" s="34"/>
      <c r="J890" s="18"/>
      <c r="N890" s="18"/>
      <c r="O890" s="1"/>
      <c r="P890" s="1"/>
      <c r="Q890" s="1"/>
      <c r="R890" s="18"/>
      <c r="S890" s="1"/>
      <c r="T890" s="1"/>
      <c r="U890" s="1"/>
      <c r="V890" s="1"/>
      <c r="Z890" s="18"/>
      <c r="AD890" s="18"/>
      <c r="AH890" s="18"/>
      <c r="AL890" s="18"/>
      <c r="AM890" s="22"/>
      <c r="AN890" s="22"/>
      <c r="AO890" s="22"/>
      <c r="AP890" s="22"/>
      <c r="AQ890" s="22"/>
      <c r="AR890" s="22"/>
      <c r="AS890" s="22"/>
      <c r="AT890" s="22"/>
    </row>
    <row r="891" spans="7:46" ht="13">
      <c r="G891" s="34"/>
      <c r="J891" s="18"/>
      <c r="N891" s="18"/>
      <c r="O891" s="1"/>
      <c r="P891" s="1"/>
      <c r="Q891" s="1"/>
      <c r="R891" s="18"/>
      <c r="S891" s="1"/>
      <c r="T891" s="1"/>
      <c r="U891" s="1"/>
      <c r="V891" s="1"/>
      <c r="Z891" s="18"/>
      <c r="AD891" s="18"/>
      <c r="AH891" s="18"/>
      <c r="AL891" s="18"/>
      <c r="AM891" s="22"/>
      <c r="AN891" s="22"/>
      <c r="AO891" s="22"/>
      <c r="AP891" s="22"/>
      <c r="AQ891" s="22"/>
      <c r="AR891" s="22"/>
      <c r="AS891" s="22"/>
      <c r="AT891" s="22"/>
    </row>
    <row r="892" spans="7:46" ht="13">
      <c r="G892" s="34"/>
      <c r="J892" s="18"/>
      <c r="N892" s="18"/>
      <c r="O892" s="1"/>
      <c r="P892" s="1"/>
      <c r="Q892" s="1"/>
      <c r="R892" s="18"/>
      <c r="S892" s="1"/>
      <c r="T892" s="1"/>
      <c r="U892" s="1"/>
      <c r="V892" s="1"/>
      <c r="Z892" s="18"/>
      <c r="AD892" s="18"/>
      <c r="AH892" s="18"/>
      <c r="AL892" s="18"/>
      <c r="AM892" s="22"/>
      <c r="AN892" s="22"/>
      <c r="AO892" s="22"/>
      <c r="AP892" s="22"/>
      <c r="AQ892" s="22"/>
      <c r="AR892" s="22"/>
      <c r="AS892" s="22"/>
      <c r="AT892" s="22"/>
    </row>
    <row r="893" spans="7:46" ht="13">
      <c r="G893" s="34"/>
      <c r="J893" s="18"/>
      <c r="N893" s="18"/>
      <c r="O893" s="1"/>
      <c r="P893" s="1"/>
      <c r="Q893" s="1"/>
      <c r="R893" s="18"/>
      <c r="S893" s="1"/>
      <c r="T893" s="1"/>
      <c r="U893" s="1"/>
      <c r="V893" s="1"/>
      <c r="Z893" s="18"/>
      <c r="AD893" s="18"/>
      <c r="AH893" s="18"/>
      <c r="AL893" s="18"/>
      <c r="AM893" s="22"/>
      <c r="AN893" s="22"/>
      <c r="AO893" s="22"/>
      <c r="AP893" s="22"/>
      <c r="AQ893" s="22"/>
      <c r="AR893" s="22"/>
      <c r="AS893" s="22"/>
      <c r="AT893" s="22"/>
    </row>
    <row r="894" spans="7:46" ht="13">
      <c r="G894" s="34"/>
      <c r="J894" s="18"/>
      <c r="N894" s="18"/>
      <c r="O894" s="1"/>
      <c r="P894" s="1"/>
      <c r="Q894" s="1"/>
      <c r="R894" s="18"/>
      <c r="S894" s="1"/>
      <c r="T894" s="1"/>
      <c r="U894" s="1"/>
      <c r="V894" s="1"/>
      <c r="Z894" s="18"/>
      <c r="AD894" s="18"/>
      <c r="AH894" s="18"/>
      <c r="AL894" s="18"/>
      <c r="AM894" s="22"/>
      <c r="AN894" s="22"/>
      <c r="AO894" s="22"/>
      <c r="AP894" s="22"/>
      <c r="AQ894" s="22"/>
      <c r="AR894" s="22"/>
      <c r="AS894" s="22"/>
      <c r="AT894" s="22"/>
    </row>
    <row r="895" spans="7:46" ht="13">
      <c r="G895" s="34"/>
      <c r="J895" s="18"/>
      <c r="N895" s="18"/>
      <c r="O895" s="1"/>
      <c r="P895" s="1"/>
      <c r="Q895" s="1"/>
      <c r="R895" s="18"/>
      <c r="S895" s="1"/>
      <c r="T895" s="1"/>
      <c r="U895" s="1"/>
      <c r="V895" s="1"/>
      <c r="Z895" s="18"/>
      <c r="AD895" s="18"/>
      <c r="AH895" s="18"/>
      <c r="AL895" s="18"/>
      <c r="AM895" s="22"/>
      <c r="AN895" s="22"/>
      <c r="AO895" s="22"/>
      <c r="AP895" s="22"/>
      <c r="AQ895" s="22"/>
      <c r="AR895" s="22"/>
      <c r="AS895" s="22"/>
      <c r="AT895" s="22"/>
    </row>
    <row r="896" spans="7:46" ht="13">
      <c r="G896" s="34"/>
      <c r="J896" s="18"/>
      <c r="N896" s="18"/>
      <c r="O896" s="1"/>
      <c r="P896" s="1"/>
      <c r="Q896" s="1"/>
      <c r="R896" s="18"/>
      <c r="S896" s="1"/>
      <c r="T896" s="1"/>
      <c r="U896" s="1"/>
      <c r="V896" s="1"/>
      <c r="Z896" s="18"/>
      <c r="AD896" s="18"/>
      <c r="AH896" s="18"/>
      <c r="AL896" s="18"/>
      <c r="AM896" s="22"/>
      <c r="AN896" s="22"/>
      <c r="AO896" s="22"/>
      <c r="AP896" s="22"/>
      <c r="AQ896" s="22"/>
      <c r="AR896" s="22"/>
      <c r="AS896" s="22"/>
      <c r="AT896" s="22"/>
    </row>
    <row r="897" spans="7:46" ht="13">
      <c r="G897" s="34"/>
      <c r="J897" s="18"/>
      <c r="N897" s="18"/>
      <c r="O897" s="1"/>
      <c r="P897" s="1"/>
      <c r="Q897" s="1"/>
      <c r="R897" s="18"/>
      <c r="S897" s="1"/>
      <c r="T897" s="1"/>
      <c r="U897" s="1"/>
      <c r="V897" s="1"/>
      <c r="Z897" s="18"/>
      <c r="AD897" s="18"/>
      <c r="AH897" s="18"/>
      <c r="AL897" s="18"/>
      <c r="AM897" s="22"/>
      <c r="AN897" s="22"/>
      <c r="AO897" s="22"/>
      <c r="AP897" s="22"/>
      <c r="AQ897" s="22"/>
      <c r="AR897" s="22"/>
      <c r="AS897" s="22"/>
      <c r="AT897" s="22"/>
    </row>
    <row r="898" spans="7:46" ht="13">
      <c r="G898" s="34"/>
      <c r="J898" s="18"/>
      <c r="N898" s="18"/>
      <c r="O898" s="1"/>
      <c r="P898" s="1"/>
      <c r="Q898" s="1"/>
      <c r="R898" s="18"/>
      <c r="S898" s="1"/>
      <c r="T898" s="1"/>
      <c r="U898" s="1"/>
      <c r="V898" s="1"/>
      <c r="Z898" s="18"/>
      <c r="AD898" s="18"/>
      <c r="AH898" s="18"/>
      <c r="AL898" s="18"/>
      <c r="AM898" s="22"/>
      <c r="AN898" s="22"/>
      <c r="AO898" s="22"/>
      <c r="AP898" s="22"/>
      <c r="AQ898" s="22"/>
      <c r="AR898" s="22"/>
      <c r="AS898" s="22"/>
      <c r="AT898" s="22"/>
    </row>
    <row r="899" spans="7:46" ht="13">
      <c r="G899" s="34"/>
      <c r="J899" s="18"/>
      <c r="N899" s="18"/>
      <c r="O899" s="1"/>
      <c r="P899" s="1"/>
      <c r="Q899" s="1"/>
      <c r="R899" s="18"/>
      <c r="S899" s="1"/>
      <c r="T899" s="1"/>
      <c r="U899" s="1"/>
      <c r="V899" s="1"/>
      <c r="Z899" s="18"/>
      <c r="AD899" s="18"/>
      <c r="AH899" s="18"/>
      <c r="AL899" s="18"/>
      <c r="AM899" s="22"/>
      <c r="AN899" s="22"/>
      <c r="AO899" s="22"/>
      <c r="AP899" s="22"/>
      <c r="AQ899" s="22"/>
      <c r="AR899" s="22"/>
      <c r="AS899" s="22"/>
      <c r="AT899" s="22"/>
    </row>
    <row r="900" spans="7:46" ht="13">
      <c r="G900" s="34"/>
      <c r="J900" s="18"/>
      <c r="N900" s="18"/>
      <c r="O900" s="1"/>
      <c r="P900" s="1"/>
      <c r="Q900" s="1"/>
      <c r="R900" s="18"/>
      <c r="S900" s="1"/>
      <c r="T900" s="1"/>
      <c r="U900" s="1"/>
      <c r="V900" s="1"/>
      <c r="Z900" s="18"/>
      <c r="AD900" s="18"/>
      <c r="AH900" s="18"/>
      <c r="AL900" s="18"/>
      <c r="AM900" s="22"/>
      <c r="AN900" s="22"/>
      <c r="AO900" s="22"/>
      <c r="AP900" s="22"/>
      <c r="AQ900" s="22"/>
      <c r="AR900" s="22"/>
      <c r="AS900" s="22"/>
      <c r="AT900" s="22"/>
    </row>
    <row r="901" spans="7:46" ht="13">
      <c r="G901" s="34"/>
      <c r="J901" s="18"/>
      <c r="N901" s="18"/>
      <c r="O901" s="1"/>
      <c r="P901" s="1"/>
      <c r="Q901" s="1"/>
      <c r="R901" s="18"/>
      <c r="S901" s="1"/>
      <c r="T901" s="1"/>
      <c r="U901" s="1"/>
      <c r="V901" s="1"/>
      <c r="Z901" s="18"/>
      <c r="AD901" s="18"/>
      <c r="AH901" s="18"/>
      <c r="AL901" s="18"/>
      <c r="AM901" s="22"/>
      <c r="AN901" s="22"/>
      <c r="AO901" s="22"/>
      <c r="AP901" s="22"/>
      <c r="AQ901" s="22"/>
      <c r="AR901" s="22"/>
      <c r="AS901" s="22"/>
      <c r="AT901" s="22"/>
    </row>
    <row r="902" spans="7:46" ht="13">
      <c r="G902" s="34"/>
      <c r="J902" s="18"/>
      <c r="N902" s="18"/>
      <c r="O902" s="1"/>
      <c r="P902" s="1"/>
      <c r="Q902" s="1"/>
      <c r="R902" s="18"/>
      <c r="S902" s="1"/>
      <c r="T902" s="1"/>
      <c r="U902" s="1"/>
      <c r="V902" s="1"/>
      <c r="Z902" s="18"/>
      <c r="AD902" s="18"/>
      <c r="AH902" s="18"/>
      <c r="AL902" s="18"/>
      <c r="AM902" s="22"/>
      <c r="AN902" s="22"/>
      <c r="AO902" s="22"/>
      <c r="AP902" s="22"/>
      <c r="AQ902" s="22"/>
      <c r="AR902" s="22"/>
      <c r="AS902" s="22"/>
      <c r="AT902" s="22"/>
    </row>
    <row r="903" spans="7:46" ht="13">
      <c r="G903" s="34"/>
      <c r="J903" s="18"/>
      <c r="N903" s="18"/>
      <c r="O903" s="1"/>
      <c r="P903" s="1"/>
      <c r="Q903" s="1"/>
      <c r="R903" s="18"/>
      <c r="S903" s="1"/>
      <c r="T903" s="1"/>
      <c r="U903" s="1"/>
      <c r="V903" s="1"/>
      <c r="Z903" s="18"/>
      <c r="AD903" s="18"/>
      <c r="AH903" s="18"/>
      <c r="AL903" s="18"/>
      <c r="AM903" s="22"/>
      <c r="AN903" s="22"/>
      <c r="AO903" s="22"/>
      <c r="AP903" s="22"/>
      <c r="AQ903" s="22"/>
      <c r="AR903" s="22"/>
      <c r="AS903" s="22"/>
      <c r="AT903" s="22"/>
    </row>
    <row r="904" spans="7:46" ht="13">
      <c r="G904" s="34"/>
      <c r="J904" s="18"/>
      <c r="N904" s="18"/>
      <c r="O904" s="1"/>
      <c r="P904" s="1"/>
      <c r="Q904" s="1"/>
      <c r="R904" s="18"/>
      <c r="S904" s="1"/>
      <c r="T904" s="1"/>
      <c r="U904" s="1"/>
      <c r="V904" s="1"/>
      <c r="Z904" s="18"/>
      <c r="AD904" s="18"/>
      <c r="AH904" s="18"/>
      <c r="AL904" s="18"/>
      <c r="AM904" s="22"/>
      <c r="AN904" s="22"/>
      <c r="AO904" s="22"/>
      <c r="AP904" s="22"/>
      <c r="AQ904" s="22"/>
      <c r="AR904" s="22"/>
      <c r="AS904" s="22"/>
      <c r="AT904" s="22"/>
    </row>
    <row r="905" spans="7:46" ht="13">
      <c r="G905" s="34"/>
      <c r="J905" s="18"/>
      <c r="N905" s="18"/>
      <c r="O905" s="1"/>
      <c r="P905" s="1"/>
      <c r="Q905" s="1"/>
      <c r="R905" s="18"/>
      <c r="S905" s="1"/>
      <c r="T905" s="1"/>
      <c r="U905" s="1"/>
      <c r="V905" s="1"/>
      <c r="Z905" s="18"/>
      <c r="AD905" s="18"/>
      <c r="AH905" s="18"/>
      <c r="AL905" s="18"/>
      <c r="AM905" s="22"/>
      <c r="AN905" s="22"/>
      <c r="AO905" s="22"/>
      <c r="AP905" s="22"/>
      <c r="AQ905" s="22"/>
      <c r="AR905" s="22"/>
      <c r="AS905" s="22"/>
      <c r="AT905" s="22"/>
    </row>
    <row r="906" spans="7:46" ht="13">
      <c r="G906" s="34"/>
      <c r="J906" s="18"/>
      <c r="N906" s="18"/>
      <c r="O906" s="1"/>
      <c r="P906" s="1"/>
      <c r="Q906" s="1"/>
      <c r="R906" s="18"/>
      <c r="S906" s="1"/>
      <c r="T906" s="1"/>
      <c r="U906" s="1"/>
      <c r="V906" s="1"/>
      <c r="Z906" s="18"/>
      <c r="AD906" s="18"/>
      <c r="AH906" s="18"/>
      <c r="AL906" s="18"/>
      <c r="AM906" s="22"/>
      <c r="AN906" s="22"/>
      <c r="AO906" s="22"/>
      <c r="AP906" s="22"/>
      <c r="AQ906" s="22"/>
      <c r="AR906" s="22"/>
      <c r="AS906" s="22"/>
      <c r="AT906" s="22"/>
    </row>
    <row r="907" spans="7:46" ht="13">
      <c r="G907" s="34"/>
      <c r="J907" s="18"/>
      <c r="N907" s="18"/>
      <c r="O907" s="1"/>
      <c r="P907" s="1"/>
      <c r="Q907" s="1"/>
      <c r="R907" s="18"/>
      <c r="S907" s="1"/>
      <c r="T907" s="1"/>
      <c r="U907" s="1"/>
      <c r="V907" s="1"/>
      <c r="Z907" s="18"/>
      <c r="AD907" s="18"/>
      <c r="AH907" s="18"/>
      <c r="AL907" s="18"/>
      <c r="AM907" s="22"/>
      <c r="AN907" s="22"/>
      <c r="AO907" s="22"/>
      <c r="AP907" s="22"/>
      <c r="AQ907" s="22"/>
      <c r="AR907" s="22"/>
      <c r="AS907" s="22"/>
      <c r="AT907" s="22"/>
    </row>
    <row r="908" spans="7:46" ht="13">
      <c r="G908" s="34"/>
      <c r="J908" s="18"/>
      <c r="N908" s="18"/>
      <c r="O908" s="1"/>
      <c r="P908" s="1"/>
      <c r="Q908" s="1"/>
      <c r="R908" s="18"/>
      <c r="S908" s="1"/>
      <c r="T908" s="1"/>
      <c r="U908" s="1"/>
      <c r="V908" s="1"/>
      <c r="Z908" s="18"/>
      <c r="AD908" s="18"/>
      <c r="AH908" s="18"/>
      <c r="AL908" s="18"/>
      <c r="AM908" s="22"/>
      <c r="AN908" s="22"/>
      <c r="AO908" s="22"/>
      <c r="AP908" s="22"/>
      <c r="AQ908" s="22"/>
      <c r="AR908" s="22"/>
      <c r="AS908" s="22"/>
      <c r="AT908" s="22"/>
    </row>
    <row r="909" spans="7:46" ht="13">
      <c r="G909" s="34"/>
      <c r="J909" s="18"/>
      <c r="N909" s="18"/>
      <c r="O909" s="1"/>
      <c r="P909" s="1"/>
      <c r="Q909" s="1"/>
      <c r="R909" s="18"/>
      <c r="S909" s="1"/>
      <c r="T909" s="1"/>
      <c r="U909" s="1"/>
      <c r="V909" s="1"/>
      <c r="Z909" s="18"/>
      <c r="AD909" s="18"/>
      <c r="AH909" s="18"/>
      <c r="AL909" s="18"/>
      <c r="AM909" s="22"/>
      <c r="AN909" s="22"/>
      <c r="AO909" s="22"/>
      <c r="AP909" s="22"/>
      <c r="AQ909" s="22"/>
      <c r="AR909" s="22"/>
      <c r="AS909" s="22"/>
      <c r="AT909" s="22"/>
    </row>
    <row r="910" spans="7:46" ht="13">
      <c r="G910" s="34"/>
      <c r="J910" s="18"/>
      <c r="N910" s="18"/>
      <c r="O910" s="1"/>
      <c r="P910" s="1"/>
      <c r="Q910" s="1"/>
      <c r="R910" s="18"/>
      <c r="S910" s="1"/>
      <c r="T910" s="1"/>
      <c r="U910" s="1"/>
      <c r="V910" s="1"/>
      <c r="Z910" s="18"/>
      <c r="AD910" s="18"/>
      <c r="AH910" s="18"/>
      <c r="AL910" s="18"/>
      <c r="AM910" s="22"/>
      <c r="AN910" s="22"/>
      <c r="AO910" s="22"/>
      <c r="AP910" s="22"/>
      <c r="AQ910" s="22"/>
      <c r="AR910" s="22"/>
      <c r="AS910" s="22"/>
      <c r="AT910" s="22"/>
    </row>
    <row r="911" spans="7:46" ht="13">
      <c r="G911" s="34"/>
      <c r="J911" s="18"/>
      <c r="N911" s="18"/>
      <c r="O911" s="1"/>
      <c r="P911" s="1"/>
      <c r="Q911" s="1"/>
      <c r="R911" s="18"/>
      <c r="S911" s="1"/>
      <c r="T911" s="1"/>
      <c r="U911" s="1"/>
      <c r="V911" s="1"/>
      <c r="Z911" s="18"/>
      <c r="AD911" s="18"/>
      <c r="AH911" s="18"/>
      <c r="AL911" s="18"/>
      <c r="AM911" s="22"/>
      <c r="AN911" s="22"/>
      <c r="AO911" s="22"/>
      <c r="AP911" s="22"/>
      <c r="AQ911" s="22"/>
      <c r="AR911" s="22"/>
      <c r="AS911" s="22"/>
      <c r="AT911" s="22"/>
    </row>
    <row r="912" spans="7:46" ht="13">
      <c r="G912" s="34"/>
      <c r="J912" s="18"/>
      <c r="N912" s="18"/>
      <c r="O912" s="1"/>
      <c r="P912" s="1"/>
      <c r="Q912" s="1"/>
      <c r="R912" s="18"/>
      <c r="S912" s="1"/>
      <c r="T912" s="1"/>
      <c r="U912" s="1"/>
      <c r="V912" s="1"/>
      <c r="Z912" s="18"/>
      <c r="AD912" s="18"/>
      <c r="AH912" s="18"/>
      <c r="AL912" s="18"/>
      <c r="AM912" s="22"/>
      <c r="AN912" s="22"/>
      <c r="AO912" s="22"/>
      <c r="AP912" s="22"/>
      <c r="AQ912" s="22"/>
      <c r="AR912" s="22"/>
      <c r="AS912" s="22"/>
      <c r="AT912" s="22"/>
    </row>
    <row r="913" spans="7:46" ht="13">
      <c r="G913" s="34"/>
      <c r="J913" s="18"/>
      <c r="N913" s="18"/>
      <c r="O913" s="1"/>
      <c r="P913" s="1"/>
      <c r="Q913" s="1"/>
      <c r="R913" s="18"/>
      <c r="S913" s="1"/>
      <c r="T913" s="1"/>
      <c r="U913" s="1"/>
      <c r="V913" s="1"/>
      <c r="Z913" s="18"/>
      <c r="AD913" s="18"/>
      <c r="AH913" s="18"/>
      <c r="AL913" s="18"/>
      <c r="AM913" s="22"/>
      <c r="AN913" s="22"/>
      <c r="AO913" s="22"/>
      <c r="AP913" s="22"/>
      <c r="AQ913" s="22"/>
      <c r="AR913" s="22"/>
      <c r="AS913" s="22"/>
      <c r="AT913" s="22"/>
    </row>
    <row r="914" spans="7:46" ht="13">
      <c r="G914" s="34"/>
      <c r="J914" s="18"/>
      <c r="N914" s="18"/>
      <c r="O914" s="1"/>
      <c r="P914" s="1"/>
      <c r="Q914" s="1"/>
      <c r="R914" s="18"/>
      <c r="S914" s="1"/>
      <c r="T914" s="1"/>
      <c r="U914" s="1"/>
      <c r="V914" s="1"/>
      <c r="Z914" s="18"/>
      <c r="AD914" s="18"/>
      <c r="AH914" s="18"/>
      <c r="AL914" s="18"/>
      <c r="AM914" s="22"/>
      <c r="AN914" s="22"/>
      <c r="AO914" s="22"/>
      <c r="AP914" s="22"/>
      <c r="AQ914" s="22"/>
      <c r="AR914" s="22"/>
      <c r="AS914" s="22"/>
      <c r="AT914" s="22"/>
    </row>
    <row r="915" spans="7:46" ht="13">
      <c r="G915" s="34"/>
      <c r="J915" s="18"/>
      <c r="N915" s="18"/>
      <c r="O915" s="1"/>
      <c r="P915" s="1"/>
      <c r="Q915" s="1"/>
      <c r="R915" s="18"/>
      <c r="S915" s="1"/>
      <c r="T915" s="1"/>
      <c r="U915" s="1"/>
      <c r="V915" s="1"/>
      <c r="Z915" s="18"/>
      <c r="AD915" s="18"/>
      <c r="AH915" s="18"/>
      <c r="AL915" s="18"/>
      <c r="AM915" s="22"/>
      <c r="AN915" s="22"/>
      <c r="AO915" s="22"/>
      <c r="AP915" s="22"/>
      <c r="AQ915" s="22"/>
      <c r="AR915" s="22"/>
      <c r="AS915" s="22"/>
      <c r="AT915" s="22"/>
    </row>
    <row r="916" spans="7:46" ht="13">
      <c r="G916" s="34"/>
      <c r="J916" s="18"/>
      <c r="N916" s="18"/>
      <c r="O916" s="1"/>
      <c r="P916" s="1"/>
      <c r="Q916" s="1"/>
      <c r="R916" s="18"/>
      <c r="S916" s="1"/>
      <c r="T916" s="1"/>
      <c r="U916" s="1"/>
      <c r="V916" s="1"/>
      <c r="Z916" s="18"/>
      <c r="AD916" s="18"/>
      <c r="AH916" s="18"/>
      <c r="AL916" s="18"/>
      <c r="AM916" s="22"/>
      <c r="AN916" s="22"/>
      <c r="AO916" s="22"/>
      <c r="AP916" s="22"/>
      <c r="AQ916" s="22"/>
      <c r="AR916" s="22"/>
      <c r="AS916" s="22"/>
      <c r="AT916" s="22"/>
    </row>
    <row r="917" spans="7:46" ht="13">
      <c r="G917" s="34"/>
      <c r="J917" s="18"/>
      <c r="N917" s="18"/>
      <c r="O917" s="1"/>
      <c r="P917" s="1"/>
      <c r="Q917" s="1"/>
      <c r="R917" s="18"/>
      <c r="S917" s="1"/>
      <c r="T917" s="1"/>
      <c r="U917" s="1"/>
      <c r="V917" s="1"/>
      <c r="Z917" s="18"/>
      <c r="AD917" s="18"/>
      <c r="AH917" s="18"/>
      <c r="AL917" s="18"/>
      <c r="AM917" s="22"/>
      <c r="AN917" s="22"/>
      <c r="AO917" s="22"/>
      <c r="AP917" s="22"/>
      <c r="AQ917" s="22"/>
      <c r="AR917" s="22"/>
      <c r="AS917" s="22"/>
      <c r="AT917" s="22"/>
    </row>
    <row r="918" spans="7:46" ht="13">
      <c r="G918" s="34"/>
      <c r="J918" s="18"/>
      <c r="N918" s="18"/>
      <c r="O918" s="1"/>
      <c r="P918" s="1"/>
      <c r="Q918" s="1"/>
      <c r="R918" s="18"/>
      <c r="S918" s="1"/>
      <c r="T918" s="1"/>
      <c r="U918" s="1"/>
      <c r="V918" s="1"/>
      <c r="Z918" s="18"/>
      <c r="AD918" s="18"/>
      <c r="AH918" s="18"/>
      <c r="AL918" s="18"/>
      <c r="AM918" s="22"/>
      <c r="AN918" s="22"/>
      <c r="AO918" s="22"/>
      <c r="AP918" s="22"/>
      <c r="AQ918" s="22"/>
      <c r="AR918" s="22"/>
      <c r="AS918" s="22"/>
      <c r="AT918" s="22"/>
    </row>
    <row r="919" spans="7:46" ht="13">
      <c r="G919" s="34"/>
      <c r="J919" s="18"/>
      <c r="N919" s="18"/>
      <c r="O919" s="1"/>
      <c r="P919" s="1"/>
      <c r="Q919" s="1"/>
      <c r="R919" s="18"/>
      <c r="S919" s="1"/>
      <c r="T919" s="1"/>
      <c r="U919" s="1"/>
      <c r="V919" s="1"/>
      <c r="Z919" s="18"/>
      <c r="AD919" s="18"/>
      <c r="AH919" s="18"/>
      <c r="AL919" s="18"/>
      <c r="AM919" s="22"/>
      <c r="AN919" s="22"/>
      <c r="AO919" s="22"/>
      <c r="AP919" s="22"/>
      <c r="AQ919" s="22"/>
      <c r="AR919" s="22"/>
      <c r="AS919" s="22"/>
      <c r="AT919" s="22"/>
    </row>
    <row r="920" spans="7:46" ht="13">
      <c r="G920" s="34"/>
      <c r="J920" s="18"/>
      <c r="N920" s="18"/>
      <c r="O920" s="1"/>
      <c r="P920" s="1"/>
      <c r="Q920" s="1"/>
      <c r="R920" s="18"/>
      <c r="S920" s="1"/>
      <c r="T920" s="1"/>
      <c r="U920" s="1"/>
      <c r="V920" s="1"/>
      <c r="Z920" s="18"/>
      <c r="AD920" s="18"/>
      <c r="AH920" s="18"/>
      <c r="AL920" s="18"/>
      <c r="AM920" s="22"/>
      <c r="AN920" s="22"/>
      <c r="AO920" s="22"/>
      <c r="AP920" s="22"/>
      <c r="AQ920" s="22"/>
      <c r="AR920" s="22"/>
      <c r="AS920" s="22"/>
      <c r="AT920" s="22"/>
    </row>
    <row r="921" spans="7:46" ht="13">
      <c r="G921" s="34"/>
      <c r="J921" s="18"/>
      <c r="N921" s="18"/>
      <c r="O921" s="1"/>
      <c r="P921" s="1"/>
      <c r="Q921" s="1"/>
      <c r="R921" s="18"/>
      <c r="S921" s="1"/>
      <c r="T921" s="1"/>
      <c r="U921" s="1"/>
      <c r="V921" s="1"/>
      <c r="Z921" s="18"/>
      <c r="AD921" s="18"/>
      <c r="AH921" s="18"/>
      <c r="AL921" s="18"/>
      <c r="AM921" s="22"/>
      <c r="AN921" s="22"/>
      <c r="AO921" s="22"/>
      <c r="AP921" s="22"/>
      <c r="AQ921" s="22"/>
      <c r="AR921" s="22"/>
      <c r="AS921" s="22"/>
      <c r="AT921" s="22"/>
    </row>
    <row r="922" spans="7:46" ht="13">
      <c r="G922" s="34"/>
      <c r="J922" s="18"/>
      <c r="N922" s="18"/>
      <c r="O922" s="1"/>
      <c r="P922" s="1"/>
      <c r="Q922" s="1"/>
      <c r="R922" s="18"/>
      <c r="S922" s="1"/>
      <c r="T922" s="1"/>
      <c r="U922" s="1"/>
      <c r="V922" s="1"/>
      <c r="Z922" s="18"/>
      <c r="AD922" s="18"/>
      <c r="AH922" s="18"/>
      <c r="AL922" s="18"/>
      <c r="AM922" s="22"/>
      <c r="AN922" s="22"/>
      <c r="AO922" s="22"/>
      <c r="AP922" s="22"/>
      <c r="AQ922" s="22"/>
      <c r="AR922" s="22"/>
      <c r="AS922" s="22"/>
      <c r="AT922" s="22"/>
    </row>
    <row r="923" spans="7:46" ht="13">
      <c r="G923" s="34"/>
      <c r="J923" s="18"/>
      <c r="N923" s="18"/>
      <c r="O923" s="1"/>
      <c r="P923" s="1"/>
      <c r="Q923" s="1"/>
      <c r="R923" s="18"/>
      <c r="S923" s="1"/>
      <c r="T923" s="1"/>
      <c r="U923" s="1"/>
      <c r="V923" s="1"/>
      <c r="Z923" s="18"/>
      <c r="AD923" s="18"/>
      <c r="AH923" s="18"/>
      <c r="AL923" s="18"/>
      <c r="AM923" s="22"/>
      <c r="AN923" s="22"/>
      <c r="AO923" s="22"/>
      <c r="AP923" s="22"/>
      <c r="AQ923" s="22"/>
      <c r="AR923" s="22"/>
      <c r="AS923" s="22"/>
      <c r="AT923" s="22"/>
    </row>
    <row r="924" spans="7:46" ht="13">
      <c r="G924" s="34"/>
      <c r="J924" s="18"/>
      <c r="N924" s="18"/>
      <c r="O924" s="1"/>
      <c r="P924" s="1"/>
      <c r="Q924" s="1"/>
      <c r="R924" s="18"/>
      <c r="S924" s="1"/>
      <c r="T924" s="1"/>
      <c r="U924" s="1"/>
      <c r="V924" s="1"/>
      <c r="Z924" s="18"/>
      <c r="AD924" s="18"/>
      <c r="AH924" s="18"/>
      <c r="AL924" s="18"/>
      <c r="AM924" s="22"/>
      <c r="AN924" s="22"/>
      <c r="AO924" s="22"/>
      <c r="AP924" s="22"/>
      <c r="AQ924" s="22"/>
      <c r="AR924" s="22"/>
      <c r="AS924" s="22"/>
      <c r="AT924" s="22"/>
    </row>
    <row r="925" spans="7:46" ht="13">
      <c r="G925" s="34"/>
      <c r="J925" s="18"/>
      <c r="N925" s="18"/>
      <c r="O925" s="1"/>
      <c r="P925" s="1"/>
      <c r="Q925" s="1"/>
      <c r="R925" s="18"/>
      <c r="S925" s="1"/>
      <c r="T925" s="1"/>
      <c r="U925" s="1"/>
      <c r="V925" s="1"/>
      <c r="Z925" s="18"/>
      <c r="AD925" s="18"/>
      <c r="AH925" s="18"/>
      <c r="AL925" s="18"/>
      <c r="AM925" s="22"/>
      <c r="AN925" s="22"/>
      <c r="AO925" s="22"/>
      <c r="AP925" s="22"/>
      <c r="AQ925" s="22"/>
      <c r="AR925" s="22"/>
      <c r="AS925" s="22"/>
      <c r="AT925" s="22"/>
    </row>
    <row r="926" spans="7:46" ht="13">
      <c r="G926" s="34"/>
      <c r="J926" s="18"/>
      <c r="N926" s="18"/>
      <c r="O926" s="1"/>
      <c r="P926" s="1"/>
      <c r="Q926" s="1"/>
      <c r="R926" s="18"/>
      <c r="S926" s="1"/>
      <c r="T926" s="1"/>
      <c r="U926" s="1"/>
      <c r="V926" s="1"/>
      <c r="Z926" s="18"/>
      <c r="AD926" s="18"/>
      <c r="AH926" s="18"/>
      <c r="AL926" s="18"/>
      <c r="AM926" s="22"/>
      <c r="AN926" s="22"/>
      <c r="AO926" s="22"/>
      <c r="AP926" s="22"/>
      <c r="AQ926" s="22"/>
      <c r="AR926" s="22"/>
      <c r="AS926" s="22"/>
      <c r="AT926" s="22"/>
    </row>
    <row r="927" spans="7:46" ht="13">
      <c r="G927" s="34"/>
      <c r="J927" s="18"/>
      <c r="N927" s="18"/>
      <c r="O927" s="1"/>
      <c r="P927" s="1"/>
      <c r="Q927" s="1"/>
      <c r="R927" s="18"/>
      <c r="S927" s="1"/>
      <c r="T927" s="1"/>
      <c r="U927" s="1"/>
      <c r="V927" s="1"/>
      <c r="Z927" s="18"/>
      <c r="AD927" s="18"/>
      <c r="AH927" s="18"/>
      <c r="AL927" s="18"/>
      <c r="AM927" s="22"/>
      <c r="AN927" s="22"/>
      <c r="AO927" s="22"/>
      <c r="AP927" s="22"/>
      <c r="AQ927" s="22"/>
      <c r="AR927" s="22"/>
      <c r="AS927" s="22"/>
      <c r="AT927" s="22"/>
    </row>
    <row r="928" spans="7:46" ht="13">
      <c r="G928" s="34"/>
      <c r="J928" s="18"/>
      <c r="N928" s="18"/>
      <c r="O928" s="1"/>
      <c r="P928" s="1"/>
      <c r="Q928" s="1"/>
      <c r="R928" s="18"/>
      <c r="S928" s="1"/>
      <c r="T928" s="1"/>
      <c r="U928" s="1"/>
      <c r="V928" s="1"/>
      <c r="Z928" s="18"/>
      <c r="AD928" s="18"/>
      <c r="AH928" s="18"/>
      <c r="AL928" s="18"/>
      <c r="AM928" s="22"/>
      <c r="AN928" s="22"/>
      <c r="AO928" s="22"/>
      <c r="AP928" s="22"/>
      <c r="AQ928" s="22"/>
      <c r="AR928" s="22"/>
      <c r="AS928" s="22"/>
      <c r="AT928" s="22"/>
    </row>
    <row r="929" spans="7:46" ht="13">
      <c r="G929" s="34"/>
      <c r="J929" s="18"/>
      <c r="N929" s="18"/>
      <c r="O929" s="1"/>
      <c r="P929" s="1"/>
      <c r="Q929" s="1"/>
      <c r="R929" s="18"/>
      <c r="S929" s="1"/>
      <c r="T929" s="1"/>
      <c r="U929" s="1"/>
      <c r="V929" s="1"/>
      <c r="Z929" s="18"/>
      <c r="AD929" s="18"/>
      <c r="AH929" s="18"/>
      <c r="AL929" s="18"/>
      <c r="AM929" s="22"/>
      <c r="AN929" s="22"/>
      <c r="AO929" s="22"/>
      <c r="AP929" s="22"/>
      <c r="AQ929" s="22"/>
      <c r="AR929" s="22"/>
      <c r="AS929" s="22"/>
      <c r="AT929" s="22"/>
    </row>
    <row r="930" spans="7:46" ht="13">
      <c r="G930" s="34"/>
      <c r="J930" s="18"/>
      <c r="N930" s="18"/>
      <c r="O930" s="1"/>
      <c r="P930" s="1"/>
      <c r="Q930" s="1"/>
      <c r="R930" s="18"/>
      <c r="S930" s="1"/>
      <c r="T930" s="1"/>
      <c r="U930" s="1"/>
      <c r="V930" s="1"/>
      <c r="Z930" s="18"/>
      <c r="AD930" s="18"/>
      <c r="AH930" s="18"/>
      <c r="AL930" s="18"/>
      <c r="AM930" s="22"/>
      <c r="AN930" s="22"/>
      <c r="AO930" s="22"/>
      <c r="AP930" s="22"/>
      <c r="AQ930" s="22"/>
      <c r="AR930" s="22"/>
      <c r="AS930" s="22"/>
      <c r="AT930" s="22"/>
    </row>
    <row r="931" spans="7:46" ht="13">
      <c r="G931" s="34"/>
      <c r="J931" s="18"/>
      <c r="N931" s="18"/>
      <c r="O931" s="1"/>
      <c r="P931" s="1"/>
      <c r="Q931" s="1"/>
      <c r="R931" s="18"/>
      <c r="S931" s="1"/>
      <c r="T931" s="1"/>
      <c r="U931" s="1"/>
      <c r="V931" s="1"/>
      <c r="Z931" s="18"/>
      <c r="AD931" s="18"/>
      <c r="AH931" s="18"/>
      <c r="AL931" s="18"/>
      <c r="AM931" s="22"/>
      <c r="AN931" s="22"/>
      <c r="AO931" s="22"/>
      <c r="AP931" s="22"/>
      <c r="AQ931" s="22"/>
      <c r="AR931" s="22"/>
      <c r="AS931" s="22"/>
      <c r="AT931" s="22"/>
    </row>
    <row r="932" spans="7:46" ht="13">
      <c r="G932" s="34"/>
      <c r="J932" s="18"/>
      <c r="N932" s="18"/>
      <c r="O932" s="1"/>
      <c r="P932" s="1"/>
      <c r="Q932" s="1"/>
      <c r="R932" s="18"/>
      <c r="S932" s="1"/>
      <c r="T932" s="1"/>
      <c r="U932" s="1"/>
      <c r="V932" s="1"/>
      <c r="Z932" s="18"/>
      <c r="AD932" s="18"/>
      <c r="AH932" s="18"/>
      <c r="AL932" s="18"/>
      <c r="AM932" s="22"/>
      <c r="AN932" s="22"/>
      <c r="AO932" s="22"/>
      <c r="AP932" s="22"/>
      <c r="AQ932" s="22"/>
      <c r="AR932" s="22"/>
      <c r="AS932" s="22"/>
      <c r="AT932" s="22"/>
    </row>
    <row r="933" spans="7:46" ht="13">
      <c r="G933" s="34"/>
      <c r="J933" s="18"/>
      <c r="N933" s="18"/>
      <c r="O933" s="1"/>
      <c r="P933" s="1"/>
      <c r="Q933" s="1"/>
      <c r="R933" s="18"/>
      <c r="S933" s="1"/>
      <c r="T933" s="1"/>
      <c r="U933" s="1"/>
      <c r="V933" s="1"/>
      <c r="Z933" s="18"/>
      <c r="AD933" s="18"/>
      <c r="AH933" s="18"/>
      <c r="AL933" s="18"/>
      <c r="AM933" s="22"/>
      <c r="AN933" s="22"/>
      <c r="AO933" s="22"/>
      <c r="AP933" s="22"/>
      <c r="AQ933" s="22"/>
      <c r="AR933" s="22"/>
      <c r="AS933" s="22"/>
      <c r="AT933" s="22"/>
    </row>
    <row r="934" spans="7:46" ht="13">
      <c r="G934" s="34"/>
      <c r="J934" s="18"/>
      <c r="N934" s="18"/>
      <c r="O934" s="1"/>
      <c r="P934" s="1"/>
      <c r="Q934" s="1"/>
      <c r="R934" s="18"/>
      <c r="S934" s="1"/>
      <c r="T934" s="1"/>
      <c r="U934" s="1"/>
      <c r="V934" s="1"/>
      <c r="Z934" s="18"/>
      <c r="AD934" s="18"/>
      <c r="AH934" s="18"/>
      <c r="AL934" s="18"/>
      <c r="AM934" s="22"/>
      <c r="AN934" s="22"/>
      <c r="AO934" s="22"/>
      <c r="AP934" s="22"/>
      <c r="AQ934" s="22"/>
      <c r="AR934" s="22"/>
      <c r="AS934" s="22"/>
      <c r="AT934" s="22"/>
    </row>
    <row r="935" spans="7:46" ht="13">
      <c r="G935" s="34"/>
      <c r="J935" s="18"/>
      <c r="N935" s="18"/>
      <c r="O935" s="1"/>
      <c r="P935" s="1"/>
      <c r="Q935" s="1"/>
      <c r="R935" s="18"/>
      <c r="S935" s="1"/>
      <c r="T935" s="1"/>
      <c r="U935" s="1"/>
      <c r="V935" s="1"/>
      <c r="Z935" s="18"/>
      <c r="AD935" s="18"/>
      <c r="AH935" s="18"/>
      <c r="AL935" s="18"/>
      <c r="AM935" s="22"/>
      <c r="AN935" s="22"/>
      <c r="AO935" s="22"/>
      <c r="AP935" s="22"/>
      <c r="AQ935" s="22"/>
      <c r="AR935" s="22"/>
      <c r="AS935" s="22"/>
      <c r="AT935" s="22"/>
    </row>
    <row r="936" spans="7:46" ht="13">
      <c r="G936" s="34"/>
      <c r="J936" s="18"/>
      <c r="N936" s="18"/>
      <c r="O936" s="1"/>
      <c r="P936" s="1"/>
      <c r="Q936" s="1"/>
      <c r="R936" s="18"/>
      <c r="S936" s="1"/>
      <c r="T936" s="1"/>
      <c r="U936" s="1"/>
      <c r="V936" s="1"/>
      <c r="Z936" s="18"/>
      <c r="AD936" s="18"/>
      <c r="AH936" s="18"/>
      <c r="AL936" s="18"/>
      <c r="AM936" s="22"/>
      <c r="AN936" s="22"/>
      <c r="AO936" s="22"/>
      <c r="AP936" s="22"/>
      <c r="AQ936" s="22"/>
      <c r="AR936" s="22"/>
      <c r="AS936" s="22"/>
      <c r="AT936" s="22"/>
    </row>
    <row r="937" spans="7:46" ht="13">
      <c r="G937" s="34"/>
      <c r="J937" s="18"/>
      <c r="N937" s="18"/>
      <c r="O937" s="1"/>
      <c r="P937" s="1"/>
      <c r="Q937" s="1"/>
      <c r="R937" s="18"/>
      <c r="S937" s="1"/>
      <c r="T937" s="1"/>
      <c r="U937" s="1"/>
      <c r="V937" s="1"/>
      <c r="Z937" s="18"/>
      <c r="AD937" s="18"/>
      <c r="AH937" s="18"/>
      <c r="AL937" s="18"/>
      <c r="AM937" s="22"/>
      <c r="AN937" s="22"/>
      <c r="AO937" s="22"/>
      <c r="AP937" s="22"/>
      <c r="AQ937" s="22"/>
      <c r="AR937" s="22"/>
      <c r="AS937" s="22"/>
      <c r="AT937" s="22"/>
    </row>
    <row r="938" spans="7:46" ht="13">
      <c r="G938" s="34"/>
      <c r="J938" s="18"/>
      <c r="N938" s="18"/>
      <c r="O938" s="1"/>
      <c r="P938" s="1"/>
      <c r="Q938" s="1"/>
      <c r="R938" s="18"/>
      <c r="S938" s="1"/>
      <c r="T938" s="1"/>
      <c r="U938" s="1"/>
      <c r="V938" s="1"/>
      <c r="Z938" s="18"/>
      <c r="AD938" s="18"/>
      <c r="AH938" s="18"/>
      <c r="AL938" s="18"/>
      <c r="AM938" s="22"/>
      <c r="AN938" s="22"/>
      <c r="AO938" s="22"/>
      <c r="AP938" s="22"/>
      <c r="AQ938" s="22"/>
      <c r="AR938" s="22"/>
      <c r="AS938" s="22"/>
      <c r="AT938" s="22"/>
    </row>
    <row r="939" spans="7:46" ht="13">
      <c r="G939" s="34"/>
      <c r="J939" s="18"/>
      <c r="N939" s="18"/>
      <c r="O939" s="1"/>
      <c r="P939" s="1"/>
      <c r="Q939" s="1"/>
      <c r="R939" s="18"/>
      <c r="S939" s="1"/>
      <c r="T939" s="1"/>
      <c r="U939" s="1"/>
      <c r="V939" s="1"/>
      <c r="Z939" s="18"/>
      <c r="AD939" s="18"/>
      <c r="AH939" s="18"/>
      <c r="AL939" s="18"/>
      <c r="AM939" s="22"/>
      <c r="AN939" s="22"/>
      <c r="AO939" s="22"/>
      <c r="AP939" s="22"/>
      <c r="AQ939" s="22"/>
      <c r="AR939" s="22"/>
      <c r="AS939" s="22"/>
      <c r="AT939" s="22"/>
    </row>
    <row r="940" spans="7:46" ht="13">
      <c r="G940" s="34"/>
      <c r="J940" s="18"/>
      <c r="N940" s="18"/>
      <c r="O940" s="1"/>
      <c r="P940" s="1"/>
      <c r="Q940" s="1"/>
      <c r="R940" s="18"/>
      <c r="S940" s="1"/>
      <c r="T940" s="1"/>
      <c r="U940" s="1"/>
      <c r="V940" s="1"/>
      <c r="Z940" s="18"/>
      <c r="AD940" s="18"/>
      <c r="AH940" s="18"/>
      <c r="AL940" s="18"/>
      <c r="AM940" s="22"/>
      <c r="AN940" s="22"/>
      <c r="AO940" s="22"/>
      <c r="AP940" s="22"/>
      <c r="AQ940" s="22"/>
      <c r="AR940" s="22"/>
      <c r="AS940" s="22"/>
      <c r="AT940" s="22"/>
    </row>
    <row r="941" spans="7:46" ht="13">
      <c r="G941" s="34"/>
      <c r="J941" s="18"/>
      <c r="N941" s="18"/>
      <c r="O941" s="1"/>
      <c r="P941" s="1"/>
      <c r="Q941" s="1"/>
      <c r="R941" s="18"/>
      <c r="S941" s="1"/>
      <c r="T941" s="1"/>
      <c r="U941" s="1"/>
      <c r="V941" s="1"/>
      <c r="Z941" s="18"/>
      <c r="AD941" s="18"/>
      <c r="AH941" s="18"/>
      <c r="AL941" s="18"/>
      <c r="AM941" s="22"/>
      <c r="AN941" s="22"/>
      <c r="AO941" s="22"/>
      <c r="AP941" s="22"/>
      <c r="AQ941" s="22"/>
      <c r="AR941" s="22"/>
      <c r="AS941" s="22"/>
      <c r="AT941" s="22"/>
    </row>
    <row r="942" spans="7:46" ht="13">
      <c r="G942" s="34"/>
      <c r="J942" s="18"/>
      <c r="N942" s="18"/>
      <c r="O942" s="1"/>
      <c r="P942" s="1"/>
      <c r="Q942" s="1"/>
      <c r="R942" s="18"/>
      <c r="S942" s="1"/>
      <c r="T942" s="1"/>
      <c r="U942" s="1"/>
      <c r="V942" s="1"/>
      <c r="Z942" s="18"/>
      <c r="AD942" s="18"/>
      <c r="AH942" s="18"/>
      <c r="AL942" s="18"/>
      <c r="AM942" s="22"/>
      <c r="AN942" s="22"/>
      <c r="AO942" s="22"/>
      <c r="AP942" s="22"/>
      <c r="AQ942" s="22"/>
      <c r="AR942" s="22"/>
      <c r="AS942" s="22"/>
      <c r="AT942" s="22"/>
    </row>
    <row r="943" spans="7:46" ht="13">
      <c r="G943" s="34"/>
      <c r="J943" s="18"/>
      <c r="N943" s="18"/>
      <c r="O943" s="1"/>
      <c r="P943" s="1"/>
      <c r="Q943" s="1"/>
      <c r="R943" s="18"/>
      <c r="S943" s="1"/>
      <c r="T943" s="1"/>
      <c r="U943" s="1"/>
      <c r="V943" s="1"/>
      <c r="Z943" s="18"/>
      <c r="AD943" s="18"/>
      <c r="AH943" s="18"/>
      <c r="AL943" s="18"/>
      <c r="AM943" s="22"/>
      <c r="AN943" s="22"/>
      <c r="AO943" s="22"/>
      <c r="AP943" s="22"/>
      <c r="AQ943" s="22"/>
      <c r="AR943" s="22"/>
      <c r="AS943" s="22"/>
      <c r="AT943" s="22"/>
    </row>
    <row r="944" spans="7:46" ht="13">
      <c r="G944" s="34"/>
      <c r="J944" s="18"/>
      <c r="N944" s="18"/>
      <c r="O944" s="1"/>
      <c r="P944" s="1"/>
      <c r="Q944" s="1"/>
      <c r="R944" s="18"/>
      <c r="S944" s="1"/>
      <c r="T944" s="1"/>
      <c r="U944" s="1"/>
      <c r="V944" s="1"/>
      <c r="Z944" s="18"/>
      <c r="AD944" s="18"/>
      <c r="AH944" s="18"/>
      <c r="AL944" s="18"/>
      <c r="AM944" s="22"/>
      <c r="AN944" s="22"/>
      <c r="AO944" s="22"/>
      <c r="AP944" s="22"/>
      <c r="AQ944" s="22"/>
      <c r="AR944" s="22"/>
      <c r="AS944" s="22"/>
      <c r="AT944" s="22"/>
    </row>
    <row r="945" spans="7:46" ht="13">
      <c r="G945" s="34"/>
      <c r="J945" s="18"/>
      <c r="N945" s="18"/>
      <c r="O945" s="1"/>
      <c r="P945" s="1"/>
      <c r="Q945" s="1"/>
      <c r="R945" s="18"/>
      <c r="S945" s="1"/>
      <c r="T945" s="1"/>
      <c r="U945" s="1"/>
      <c r="V945" s="1"/>
      <c r="Z945" s="18"/>
      <c r="AD945" s="18"/>
      <c r="AH945" s="18"/>
      <c r="AL945" s="18"/>
      <c r="AM945" s="22"/>
      <c r="AN945" s="22"/>
      <c r="AO945" s="22"/>
      <c r="AP945" s="22"/>
      <c r="AQ945" s="22"/>
      <c r="AR945" s="22"/>
      <c r="AS945" s="22"/>
      <c r="AT945" s="22"/>
    </row>
    <row r="946" spans="7:46" ht="13">
      <c r="G946" s="34"/>
      <c r="J946" s="18"/>
      <c r="N946" s="18"/>
      <c r="O946" s="1"/>
      <c r="P946" s="1"/>
      <c r="Q946" s="1"/>
      <c r="R946" s="18"/>
      <c r="S946" s="1"/>
      <c r="T946" s="1"/>
      <c r="U946" s="1"/>
      <c r="V946" s="1"/>
      <c r="Z946" s="18"/>
      <c r="AD946" s="18"/>
      <c r="AH946" s="18"/>
      <c r="AL946" s="18"/>
      <c r="AM946" s="22"/>
      <c r="AN946" s="22"/>
      <c r="AO946" s="22"/>
      <c r="AP946" s="22"/>
      <c r="AQ946" s="22"/>
      <c r="AR946" s="22"/>
      <c r="AS946" s="22"/>
      <c r="AT946" s="22"/>
    </row>
    <row r="947" spans="7:46" ht="13">
      <c r="G947" s="34"/>
      <c r="J947" s="18"/>
      <c r="N947" s="18"/>
      <c r="O947" s="1"/>
      <c r="P947" s="1"/>
      <c r="Q947" s="1"/>
      <c r="R947" s="18"/>
      <c r="S947" s="1"/>
      <c r="T947" s="1"/>
      <c r="U947" s="1"/>
      <c r="V947" s="1"/>
      <c r="Z947" s="18"/>
      <c r="AD947" s="18"/>
      <c r="AH947" s="18"/>
      <c r="AL947" s="18"/>
      <c r="AM947" s="22"/>
      <c r="AN947" s="22"/>
      <c r="AO947" s="22"/>
      <c r="AP947" s="22"/>
      <c r="AQ947" s="22"/>
      <c r="AR947" s="22"/>
      <c r="AS947" s="22"/>
      <c r="AT947" s="22"/>
    </row>
    <row r="948" spans="7:46" ht="13">
      <c r="G948" s="34"/>
      <c r="J948" s="18"/>
      <c r="N948" s="18"/>
      <c r="O948" s="1"/>
      <c r="P948" s="1"/>
      <c r="Q948" s="1"/>
      <c r="R948" s="18"/>
      <c r="S948" s="1"/>
      <c r="T948" s="1"/>
      <c r="U948" s="1"/>
      <c r="V948" s="1"/>
      <c r="Z948" s="18"/>
      <c r="AD948" s="18"/>
      <c r="AH948" s="18"/>
      <c r="AL948" s="18"/>
      <c r="AM948" s="22"/>
      <c r="AN948" s="22"/>
      <c r="AO948" s="22"/>
      <c r="AP948" s="22"/>
      <c r="AQ948" s="22"/>
      <c r="AR948" s="22"/>
      <c r="AS948" s="22"/>
      <c r="AT948" s="22"/>
    </row>
    <row r="949" spans="7:46" ht="13">
      <c r="G949" s="34"/>
      <c r="J949" s="18"/>
      <c r="N949" s="18"/>
      <c r="O949" s="1"/>
      <c r="P949" s="1"/>
      <c r="Q949" s="1"/>
      <c r="R949" s="18"/>
      <c r="S949" s="1"/>
      <c r="T949" s="1"/>
      <c r="U949" s="1"/>
      <c r="V949" s="1"/>
      <c r="Z949" s="18"/>
      <c r="AD949" s="18"/>
      <c r="AH949" s="18"/>
      <c r="AL949" s="18"/>
      <c r="AM949" s="22"/>
      <c r="AN949" s="22"/>
      <c r="AO949" s="22"/>
      <c r="AP949" s="22"/>
      <c r="AQ949" s="22"/>
      <c r="AR949" s="22"/>
      <c r="AS949" s="22"/>
      <c r="AT949" s="22"/>
    </row>
    <row r="950" spans="7:46" ht="13">
      <c r="G950" s="34"/>
      <c r="J950" s="18"/>
      <c r="N950" s="18"/>
      <c r="O950" s="1"/>
      <c r="P950" s="1"/>
      <c r="Q950" s="1"/>
      <c r="R950" s="18"/>
      <c r="S950" s="1"/>
      <c r="T950" s="1"/>
      <c r="U950" s="1"/>
      <c r="V950" s="1"/>
      <c r="Z950" s="18"/>
      <c r="AD950" s="18"/>
      <c r="AH950" s="18"/>
      <c r="AL950" s="18"/>
      <c r="AM950" s="22"/>
      <c r="AN950" s="22"/>
      <c r="AO950" s="22"/>
      <c r="AP950" s="22"/>
      <c r="AQ950" s="22"/>
      <c r="AR950" s="22"/>
      <c r="AS950" s="22"/>
      <c r="AT950" s="22"/>
    </row>
    <row r="951" spans="7:46" ht="13">
      <c r="G951" s="34"/>
      <c r="J951" s="18"/>
      <c r="N951" s="18"/>
      <c r="O951" s="1"/>
      <c r="P951" s="1"/>
      <c r="Q951" s="1"/>
      <c r="R951" s="18"/>
      <c r="S951" s="1"/>
      <c r="T951" s="1"/>
      <c r="U951" s="1"/>
      <c r="V951" s="1"/>
      <c r="Z951" s="18"/>
      <c r="AD951" s="18"/>
      <c r="AH951" s="18"/>
      <c r="AL951" s="18"/>
      <c r="AM951" s="22"/>
      <c r="AN951" s="22"/>
      <c r="AO951" s="22"/>
      <c r="AP951" s="22"/>
      <c r="AQ951" s="22"/>
      <c r="AR951" s="22"/>
      <c r="AS951" s="22"/>
      <c r="AT951" s="22"/>
    </row>
    <row r="952" spans="7:46" ht="13">
      <c r="G952" s="34"/>
      <c r="J952" s="18"/>
      <c r="N952" s="18"/>
      <c r="O952" s="1"/>
      <c r="P952" s="1"/>
      <c r="Q952" s="1"/>
      <c r="R952" s="18"/>
      <c r="S952" s="1"/>
      <c r="T952" s="1"/>
      <c r="U952" s="1"/>
      <c r="V952" s="1"/>
      <c r="Z952" s="18"/>
      <c r="AD952" s="18"/>
      <c r="AH952" s="18"/>
      <c r="AL952" s="18"/>
      <c r="AM952" s="22"/>
      <c r="AN952" s="22"/>
      <c r="AO952" s="22"/>
      <c r="AP952" s="22"/>
      <c r="AQ952" s="22"/>
      <c r="AR952" s="22"/>
      <c r="AS952" s="22"/>
      <c r="AT952" s="22"/>
    </row>
    <row r="953" spans="7:46" ht="13">
      <c r="G953" s="34"/>
      <c r="J953" s="18"/>
      <c r="N953" s="18"/>
      <c r="O953" s="1"/>
      <c r="P953" s="1"/>
      <c r="Q953" s="1"/>
      <c r="R953" s="18"/>
      <c r="S953" s="1"/>
      <c r="T953" s="1"/>
      <c r="U953" s="1"/>
      <c r="V953" s="1"/>
      <c r="Z953" s="18"/>
      <c r="AD953" s="18"/>
      <c r="AH953" s="18"/>
      <c r="AL953" s="18"/>
      <c r="AM953" s="22"/>
      <c r="AN953" s="22"/>
      <c r="AO953" s="22"/>
      <c r="AP953" s="22"/>
      <c r="AQ953" s="22"/>
      <c r="AR953" s="22"/>
      <c r="AS953" s="22"/>
      <c r="AT953" s="22"/>
    </row>
    <row r="954" spans="7:46" ht="13">
      <c r="G954" s="34"/>
      <c r="J954" s="18"/>
      <c r="N954" s="18"/>
      <c r="O954" s="1"/>
      <c r="P954" s="1"/>
      <c r="Q954" s="1"/>
      <c r="R954" s="18"/>
      <c r="S954" s="1"/>
      <c r="T954" s="1"/>
      <c r="U954" s="1"/>
      <c r="V954" s="1"/>
      <c r="Z954" s="18"/>
      <c r="AD954" s="18"/>
      <c r="AH954" s="18"/>
      <c r="AL954" s="18"/>
      <c r="AM954" s="22"/>
      <c r="AN954" s="22"/>
      <c r="AO954" s="22"/>
      <c r="AP954" s="22"/>
      <c r="AQ954" s="22"/>
      <c r="AR954" s="22"/>
      <c r="AS954" s="22"/>
      <c r="AT954" s="22"/>
    </row>
    <row r="955" spans="7:46" ht="13">
      <c r="G955" s="34"/>
      <c r="J955" s="18"/>
      <c r="N955" s="18"/>
      <c r="O955" s="1"/>
      <c r="P955" s="1"/>
      <c r="Q955" s="1"/>
      <c r="R955" s="18"/>
      <c r="S955" s="1"/>
      <c r="T955" s="1"/>
      <c r="U955" s="1"/>
      <c r="V955" s="1"/>
      <c r="Z955" s="18"/>
      <c r="AD955" s="18"/>
      <c r="AH955" s="18"/>
      <c r="AL955" s="18"/>
      <c r="AM955" s="22"/>
      <c r="AN955" s="22"/>
      <c r="AO955" s="22"/>
      <c r="AP955" s="22"/>
      <c r="AQ955" s="22"/>
      <c r="AR955" s="22"/>
      <c r="AS955" s="22"/>
      <c r="AT955" s="22"/>
    </row>
    <row r="956" spans="7:46" ht="13">
      <c r="G956" s="34"/>
      <c r="J956" s="18"/>
      <c r="N956" s="18"/>
      <c r="O956" s="1"/>
      <c r="P956" s="1"/>
      <c r="Q956" s="1"/>
      <c r="R956" s="18"/>
      <c r="S956" s="1"/>
      <c r="T956" s="1"/>
      <c r="U956" s="1"/>
      <c r="V956" s="1"/>
      <c r="Z956" s="18"/>
      <c r="AD956" s="18"/>
      <c r="AH956" s="18"/>
      <c r="AL956" s="18"/>
      <c r="AM956" s="22"/>
      <c r="AN956" s="22"/>
      <c r="AO956" s="22"/>
      <c r="AP956" s="22"/>
      <c r="AQ956" s="22"/>
      <c r="AR956" s="22"/>
      <c r="AS956" s="22"/>
      <c r="AT956" s="22"/>
    </row>
    <row r="957" spans="7:46" ht="13">
      <c r="G957" s="34"/>
      <c r="J957" s="18"/>
      <c r="N957" s="18"/>
      <c r="O957" s="1"/>
      <c r="P957" s="1"/>
      <c r="Q957" s="1"/>
      <c r="R957" s="18"/>
      <c r="S957" s="1"/>
      <c r="T957" s="1"/>
      <c r="U957" s="1"/>
      <c r="V957" s="1"/>
      <c r="Z957" s="18"/>
      <c r="AD957" s="18"/>
      <c r="AH957" s="18"/>
      <c r="AL957" s="18"/>
      <c r="AM957" s="22"/>
      <c r="AN957" s="22"/>
      <c r="AO957" s="22"/>
      <c r="AP957" s="22"/>
      <c r="AQ957" s="22"/>
      <c r="AR957" s="22"/>
      <c r="AS957" s="22"/>
      <c r="AT957" s="22"/>
    </row>
    <row r="958" spans="7:46" ht="13">
      <c r="G958" s="34"/>
      <c r="J958" s="18"/>
      <c r="N958" s="18"/>
      <c r="O958" s="1"/>
      <c r="P958" s="1"/>
      <c r="Q958" s="1"/>
      <c r="R958" s="18"/>
      <c r="S958" s="1"/>
      <c r="T958" s="1"/>
      <c r="U958" s="1"/>
      <c r="V958" s="1"/>
      <c r="Z958" s="18"/>
      <c r="AD958" s="18"/>
      <c r="AH958" s="18"/>
      <c r="AL958" s="18"/>
      <c r="AM958" s="22"/>
      <c r="AN958" s="22"/>
      <c r="AO958" s="22"/>
      <c r="AP958" s="22"/>
      <c r="AQ958" s="22"/>
      <c r="AR958" s="22"/>
      <c r="AS958" s="22"/>
      <c r="AT958" s="22"/>
    </row>
    <row r="959" spans="7:46" ht="13">
      <c r="G959" s="34"/>
      <c r="J959" s="18"/>
      <c r="N959" s="18"/>
      <c r="O959" s="1"/>
      <c r="P959" s="1"/>
      <c r="Q959" s="1"/>
      <c r="R959" s="18"/>
      <c r="S959" s="1"/>
      <c r="T959" s="1"/>
      <c r="U959" s="1"/>
      <c r="V959" s="1"/>
      <c r="Z959" s="18"/>
      <c r="AD959" s="18"/>
      <c r="AH959" s="18"/>
      <c r="AL959" s="18"/>
      <c r="AM959" s="22"/>
      <c r="AN959" s="22"/>
      <c r="AO959" s="22"/>
      <c r="AP959" s="22"/>
      <c r="AQ959" s="22"/>
      <c r="AR959" s="22"/>
      <c r="AS959" s="22"/>
      <c r="AT959" s="22"/>
    </row>
    <row r="960" spans="7:46" ht="13">
      <c r="G960" s="34"/>
      <c r="J960" s="18"/>
      <c r="N960" s="18"/>
      <c r="O960" s="1"/>
      <c r="P960" s="1"/>
      <c r="Q960" s="1"/>
      <c r="R960" s="18"/>
      <c r="S960" s="1"/>
      <c r="T960" s="1"/>
      <c r="U960" s="1"/>
      <c r="V960" s="1"/>
      <c r="Z960" s="18"/>
      <c r="AD960" s="18"/>
      <c r="AH960" s="18"/>
      <c r="AL960" s="18"/>
      <c r="AM960" s="22"/>
      <c r="AN960" s="22"/>
      <c r="AO960" s="22"/>
      <c r="AP960" s="22"/>
      <c r="AQ960" s="22"/>
      <c r="AR960" s="22"/>
      <c r="AS960" s="22"/>
      <c r="AT960" s="22"/>
    </row>
    <row r="961" spans="7:46" ht="13">
      <c r="G961" s="34"/>
      <c r="J961" s="18"/>
      <c r="N961" s="18"/>
      <c r="O961" s="1"/>
      <c r="P961" s="1"/>
      <c r="Q961" s="1"/>
      <c r="R961" s="18"/>
      <c r="S961" s="1"/>
      <c r="T961" s="1"/>
      <c r="U961" s="1"/>
      <c r="V961" s="1"/>
      <c r="Z961" s="18"/>
      <c r="AD961" s="18"/>
      <c r="AH961" s="18"/>
      <c r="AL961" s="18"/>
      <c r="AM961" s="22"/>
      <c r="AN961" s="22"/>
      <c r="AO961" s="22"/>
      <c r="AP961" s="22"/>
      <c r="AQ961" s="22"/>
      <c r="AR961" s="22"/>
      <c r="AS961" s="22"/>
      <c r="AT961" s="22"/>
    </row>
    <row r="962" spans="7:46" ht="13">
      <c r="G962" s="34"/>
      <c r="J962" s="18"/>
      <c r="N962" s="18"/>
      <c r="O962" s="1"/>
      <c r="P962" s="1"/>
      <c r="Q962" s="1"/>
      <c r="R962" s="18"/>
      <c r="S962" s="1"/>
      <c r="T962" s="1"/>
      <c r="U962" s="1"/>
      <c r="V962" s="1"/>
      <c r="Z962" s="18"/>
      <c r="AD962" s="18"/>
      <c r="AH962" s="18"/>
      <c r="AL962" s="18"/>
      <c r="AM962" s="22"/>
      <c r="AN962" s="22"/>
      <c r="AO962" s="22"/>
      <c r="AP962" s="22"/>
      <c r="AQ962" s="22"/>
      <c r="AR962" s="22"/>
      <c r="AS962" s="22"/>
      <c r="AT962" s="22"/>
    </row>
    <row r="963" spans="7:46" ht="13">
      <c r="G963" s="34"/>
      <c r="J963" s="18"/>
      <c r="N963" s="18"/>
      <c r="O963" s="1"/>
      <c r="P963" s="1"/>
      <c r="Q963" s="1"/>
      <c r="R963" s="18"/>
      <c r="S963" s="1"/>
      <c r="T963" s="1"/>
      <c r="U963" s="1"/>
      <c r="V963" s="1"/>
      <c r="Z963" s="18"/>
      <c r="AD963" s="18"/>
      <c r="AH963" s="18"/>
      <c r="AL963" s="18"/>
      <c r="AM963" s="22"/>
      <c r="AN963" s="22"/>
      <c r="AO963" s="22"/>
      <c r="AP963" s="22"/>
      <c r="AQ963" s="22"/>
      <c r="AR963" s="22"/>
      <c r="AS963" s="22"/>
      <c r="AT963" s="22"/>
    </row>
    <row r="964" spans="7:46" ht="13">
      <c r="G964" s="34"/>
      <c r="J964" s="18"/>
      <c r="N964" s="18"/>
      <c r="O964" s="1"/>
      <c r="P964" s="1"/>
      <c r="Q964" s="1"/>
      <c r="R964" s="18"/>
      <c r="S964" s="1"/>
      <c r="T964" s="1"/>
      <c r="U964" s="1"/>
      <c r="V964" s="1"/>
      <c r="Z964" s="18"/>
      <c r="AD964" s="18"/>
      <c r="AH964" s="18"/>
      <c r="AL964" s="18"/>
      <c r="AM964" s="22"/>
      <c r="AN964" s="22"/>
      <c r="AO964" s="22"/>
      <c r="AP964" s="22"/>
      <c r="AQ964" s="22"/>
      <c r="AR964" s="22"/>
      <c r="AS964" s="22"/>
      <c r="AT964" s="22"/>
    </row>
    <row r="965" spans="7:46" ht="13">
      <c r="G965" s="34"/>
      <c r="J965" s="18"/>
      <c r="N965" s="18"/>
      <c r="O965" s="1"/>
      <c r="P965" s="1"/>
      <c r="Q965" s="1"/>
      <c r="R965" s="18"/>
      <c r="S965" s="1"/>
      <c r="T965" s="1"/>
      <c r="U965" s="1"/>
      <c r="V965" s="1"/>
      <c r="Z965" s="18"/>
      <c r="AD965" s="18"/>
      <c r="AH965" s="18"/>
      <c r="AL965" s="18"/>
      <c r="AM965" s="22"/>
      <c r="AN965" s="22"/>
      <c r="AO965" s="22"/>
      <c r="AP965" s="22"/>
      <c r="AQ965" s="22"/>
      <c r="AR965" s="22"/>
      <c r="AS965" s="22"/>
      <c r="AT965" s="22"/>
    </row>
    <row r="966" spans="7:46" ht="13">
      <c r="G966" s="34"/>
      <c r="J966" s="18"/>
      <c r="N966" s="18"/>
      <c r="O966" s="1"/>
      <c r="P966" s="1"/>
      <c r="Q966" s="1"/>
      <c r="R966" s="18"/>
      <c r="S966" s="1"/>
      <c r="T966" s="1"/>
      <c r="U966" s="1"/>
      <c r="V966" s="1"/>
      <c r="Z966" s="18"/>
      <c r="AD966" s="18"/>
      <c r="AH966" s="18"/>
      <c r="AL966" s="18"/>
      <c r="AM966" s="22"/>
      <c r="AN966" s="22"/>
      <c r="AO966" s="22"/>
      <c r="AP966" s="22"/>
      <c r="AQ966" s="22"/>
      <c r="AR966" s="22"/>
      <c r="AS966" s="22"/>
      <c r="AT966" s="22"/>
    </row>
    <row r="967" spans="7:46" ht="13">
      <c r="G967" s="34"/>
      <c r="J967" s="18"/>
      <c r="N967" s="18"/>
      <c r="O967" s="1"/>
      <c r="P967" s="1"/>
      <c r="Q967" s="1"/>
      <c r="R967" s="18"/>
      <c r="S967" s="1"/>
      <c r="T967" s="1"/>
      <c r="U967" s="1"/>
      <c r="V967" s="1"/>
      <c r="Z967" s="18"/>
      <c r="AD967" s="18"/>
      <c r="AH967" s="18"/>
      <c r="AL967" s="18"/>
      <c r="AM967" s="22"/>
      <c r="AN967" s="22"/>
      <c r="AO967" s="22"/>
      <c r="AP967" s="22"/>
      <c r="AQ967" s="22"/>
      <c r="AR967" s="22"/>
      <c r="AS967" s="22"/>
      <c r="AT967" s="22"/>
    </row>
    <row r="968" spans="7:46" ht="13">
      <c r="G968" s="34"/>
      <c r="J968" s="18"/>
      <c r="N968" s="18"/>
      <c r="O968" s="1"/>
      <c r="P968" s="1"/>
      <c r="Q968" s="1"/>
      <c r="R968" s="18"/>
      <c r="S968" s="1"/>
      <c r="T968" s="1"/>
      <c r="U968" s="1"/>
      <c r="V968" s="1"/>
      <c r="Z968" s="18"/>
      <c r="AD968" s="18"/>
      <c r="AH968" s="18"/>
      <c r="AL968" s="18"/>
      <c r="AM968" s="22"/>
      <c r="AN968" s="22"/>
      <c r="AO968" s="22"/>
      <c r="AP968" s="22"/>
      <c r="AQ968" s="22"/>
      <c r="AR968" s="22"/>
      <c r="AS968" s="22"/>
      <c r="AT968" s="22"/>
    </row>
    <row r="969" spans="7:46" ht="13">
      <c r="G969" s="34"/>
      <c r="J969" s="18"/>
      <c r="N969" s="18"/>
      <c r="O969" s="1"/>
      <c r="P969" s="1"/>
      <c r="Q969" s="1"/>
      <c r="R969" s="18"/>
      <c r="S969" s="1"/>
      <c r="T969" s="1"/>
      <c r="U969" s="1"/>
      <c r="V969" s="1"/>
      <c r="Z969" s="18"/>
      <c r="AD969" s="18"/>
      <c r="AH969" s="18"/>
      <c r="AL969" s="18"/>
      <c r="AM969" s="22"/>
      <c r="AN969" s="22"/>
      <c r="AO969" s="22"/>
      <c r="AP969" s="22"/>
      <c r="AQ969" s="22"/>
      <c r="AR969" s="22"/>
      <c r="AS969" s="22"/>
      <c r="AT969" s="22"/>
    </row>
    <row r="970" spans="7:46" ht="13">
      <c r="G970" s="34"/>
      <c r="J970" s="18"/>
      <c r="N970" s="18"/>
      <c r="O970" s="1"/>
      <c r="P970" s="1"/>
      <c r="Q970" s="1"/>
      <c r="R970" s="18"/>
      <c r="S970" s="1"/>
      <c r="T970" s="1"/>
      <c r="U970" s="1"/>
      <c r="V970" s="1"/>
      <c r="Z970" s="18"/>
      <c r="AD970" s="18"/>
      <c r="AH970" s="18"/>
      <c r="AL970" s="18"/>
      <c r="AM970" s="22"/>
      <c r="AN970" s="22"/>
      <c r="AO970" s="22"/>
      <c r="AP970" s="22"/>
      <c r="AQ970" s="22"/>
      <c r="AR970" s="22"/>
      <c r="AS970" s="22"/>
      <c r="AT970" s="22"/>
    </row>
    <row r="971" spans="7:46" ht="13">
      <c r="G971" s="34"/>
      <c r="J971" s="18"/>
      <c r="N971" s="18"/>
      <c r="O971" s="1"/>
      <c r="P971" s="1"/>
      <c r="Q971" s="1"/>
      <c r="R971" s="18"/>
      <c r="S971" s="1"/>
      <c r="T971" s="1"/>
      <c r="U971" s="1"/>
      <c r="V971" s="1"/>
      <c r="Z971" s="18"/>
      <c r="AD971" s="18"/>
      <c r="AH971" s="18"/>
      <c r="AL971" s="18"/>
      <c r="AM971" s="22"/>
      <c r="AN971" s="22"/>
      <c r="AO971" s="22"/>
      <c r="AP971" s="22"/>
      <c r="AQ971" s="22"/>
      <c r="AR971" s="22"/>
      <c r="AS971" s="22"/>
      <c r="AT971" s="22"/>
    </row>
    <row r="972" spans="7:46" ht="13">
      <c r="G972" s="34"/>
      <c r="J972" s="18"/>
      <c r="N972" s="18"/>
      <c r="O972" s="1"/>
      <c r="P972" s="1"/>
      <c r="Q972" s="1"/>
      <c r="R972" s="18"/>
      <c r="S972" s="1"/>
      <c r="T972" s="1"/>
      <c r="U972" s="1"/>
      <c r="V972" s="1"/>
      <c r="Z972" s="18"/>
      <c r="AD972" s="18"/>
      <c r="AH972" s="18"/>
      <c r="AL972" s="18"/>
      <c r="AM972" s="22"/>
      <c r="AN972" s="22"/>
      <c r="AO972" s="22"/>
      <c r="AP972" s="22"/>
      <c r="AQ972" s="22"/>
      <c r="AR972" s="22"/>
      <c r="AS972" s="22"/>
      <c r="AT972" s="22"/>
    </row>
    <row r="973" spans="7:46" ht="13">
      <c r="G973" s="34"/>
      <c r="J973" s="18"/>
      <c r="N973" s="18"/>
      <c r="O973" s="1"/>
      <c r="P973" s="1"/>
      <c r="Q973" s="1"/>
      <c r="R973" s="18"/>
      <c r="S973" s="1"/>
      <c r="T973" s="1"/>
      <c r="U973" s="1"/>
      <c r="V973" s="1"/>
      <c r="Z973" s="18"/>
      <c r="AD973" s="18"/>
      <c r="AH973" s="18"/>
      <c r="AL973" s="18"/>
      <c r="AM973" s="22"/>
      <c r="AN973" s="22"/>
      <c r="AO973" s="22"/>
      <c r="AP973" s="22"/>
      <c r="AQ973" s="22"/>
      <c r="AR973" s="22"/>
      <c r="AS973" s="22"/>
      <c r="AT973" s="22"/>
    </row>
    <row r="974" spans="7:46" ht="13">
      <c r="G974" s="34"/>
      <c r="J974" s="18"/>
      <c r="N974" s="18"/>
      <c r="O974" s="1"/>
      <c r="P974" s="1"/>
      <c r="Q974" s="1"/>
      <c r="R974" s="18"/>
      <c r="S974" s="1"/>
      <c r="T974" s="1"/>
      <c r="U974" s="1"/>
      <c r="V974" s="1"/>
      <c r="Z974" s="18"/>
      <c r="AD974" s="18"/>
      <c r="AH974" s="18"/>
      <c r="AL974" s="18"/>
      <c r="AM974" s="22"/>
      <c r="AN974" s="22"/>
      <c r="AO974" s="22"/>
      <c r="AP974" s="22"/>
      <c r="AQ974" s="22"/>
      <c r="AR974" s="22"/>
      <c r="AS974" s="22"/>
      <c r="AT974" s="22"/>
    </row>
    <row r="975" spans="7:46" ht="13">
      <c r="G975" s="34"/>
      <c r="J975" s="18"/>
      <c r="N975" s="18"/>
      <c r="O975" s="1"/>
      <c r="P975" s="1"/>
      <c r="Q975" s="1"/>
      <c r="R975" s="18"/>
      <c r="S975" s="1"/>
      <c r="T975" s="1"/>
      <c r="U975" s="1"/>
      <c r="V975" s="1"/>
      <c r="Z975" s="18"/>
      <c r="AD975" s="18"/>
      <c r="AH975" s="18"/>
      <c r="AL975" s="18"/>
      <c r="AM975" s="22"/>
      <c r="AN975" s="22"/>
      <c r="AO975" s="22"/>
      <c r="AP975" s="22"/>
      <c r="AQ975" s="22"/>
      <c r="AR975" s="22"/>
      <c r="AS975" s="22"/>
      <c r="AT975" s="22"/>
    </row>
    <row r="976" spans="7:46" ht="13">
      <c r="G976" s="34"/>
      <c r="J976" s="18"/>
      <c r="N976" s="18"/>
      <c r="O976" s="1"/>
      <c r="P976" s="1"/>
      <c r="Q976" s="1"/>
      <c r="R976" s="18"/>
      <c r="S976" s="1"/>
      <c r="T976" s="1"/>
      <c r="U976" s="1"/>
      <c r="V976" s="1"/>
      <c r="Z976" s="18"/>
      <c r="AD976" s="18"/>
      <c r="AH976" s="18"/>
      <c r="AL976" s="18"/>
      <c r="AM976" s="22"/>
      <c r="AN976" s="22"/>
      <c r="AO976" s="22"/>
      <c r="AP976" s="22"/>
      <c r="AQ976" s="22"/>
      <c r="AR976" s="22"/>
      <c r="AS976" s="22"/>
      <c r="AT976" s="22"/>
    </row>
    <row r="977" spans="7:46" ht="13">
      <c r="G977" s="34"/>
      <c r="J977" s="18"/>
      <c r="N977" s="18"/>
      <c r="O977" s="1"/>
      <c r="P977" s="1"/>
      <c r="Q977" s="1"/>
      <c r="R977" s="18"/>
      <c r="S977" s="1"/>
      <c r="T977" s="1"/>
      <c r="U977" s="1"/>
      <c r="V977" s="1"/>
      <c r="Z977" s="18"/>
      <c r="AD977" s="18"/>
      <c r="AH977" s="18"/>
      <c r="AL977" s="18"/>
      <c r="AM977" s="22"/>
      <c r="AN977" s="22"/>
      <c r="AO977" s="22"/>
      <c r="AP977" s="22"/>
      <c r="AQ977" s="22"/>
      <c r="AR977" s="22"/>
      <c r="AS977" s="22"/>
      <c r="AT977" s="22"/>
    </row>
    <row r="978" spans="7:46" ht="13">
      <c r="G978" s="34"/>
      <c r="J978" s="18"/>
      <c r="N978" s="18"/>
      <c r="O978" s="1"/>
      <c r="P978" s="1"/>
      <c r="Q978" s="1"/>
      <c r="R978" s="18"/>
      <c r="S978" s="1"/>
      <c r="T978" s="1"/>
      <c r="U978" s="1"/>
      <c r="V978" s="1"/>
      <c r="Z978" s="18"/>
      <c r="AD978" s="18"/>
      <c r="AH978" s="18"/>
      <c r="AL978" s="18"/>
      <c r="AM978" s="22"/>
      <c r="AN978" s="22"/>
      <c r="AO978" s="22"/>
      <c r="AP978" s="22"/>
      <c r="AQ978" s="22"/>
      <c r="AR978" s="22"/>
      <c r="AS978" s="22"/>
      <c r="AT978" s="22"/>
    </row>
    <row r="979" spans="7:46" ht="13">
      <c r="G979" s="34"/>
      <c r="J979" s="18"/>
      <c r="N979" s="18"/>
      <c r="O979" s="1"/>
      <c r="P979" s="1"/>
      <c r="Q979" s="1"/>
      <c r="R979" s="18"/>
      <c r="S979" s="1"/>
      <c r="T979" s="1"/>
      <c r="U979" s="1"/>
      <c r="V979" s="1"/>
      <c r="Z979" s="18"/>
      <c r="AD979" s="18"/>
      <c r="AH979" s="18"/>
      <c r="AL979" s="18"/>
      <c r="AM979" s="22"/>
      <c r="AN979" s="22"/>
      <c r="AO979" s="22"/>
      <c r="AP979" s="22"/>
      <c r="AQ979" s="22"/>
      <c r="AR979" s="22"/>
      <c r="AS979" s="22"/>
      <c r="AT979" s="22"/>
    </row>
    <row r="980" spans="7:46" ht="13">
      <c r="G980" s="34"/>
      <c r="J980" s="18"/>
      <c r="N980" s="18"/>
      <c r="O980" s="1"/>
      <c r="P980" s="1"/>
      <c r="Q980" s="1"/>
      <c r="R980" s="18"/>
      <c r="S980" s="1"/>
      <c r="T980" s="1"/>
      <c r="U980" s="1"/>
      <c r="V980" s="1"/>
      <c r="Z980" s="18"/>
      <c r="AD980" s="18"/>
      <c r="AH980" s="18"/>
      <c r="AL980" s="18"/>
      <c r="AM980" s="22"/>
      <c r="AN980" s="22"/>
      <c r="AO980" s="22"/>
      <c r="AP980" s="22"/>
      <c r="AQ980" s="22"/>
      <c r="AR980" s="22"/>
      <c r="AS980" s="22"/>
      <c r="AT980" s="22"/>
    </row>
    <row r="981" spans="7:46" ht="13">
      <c r="G981" s="34"/>
      <c r="J981" s="18"/>
      <c r="N981" s="18"/>
      <c r="O981" s="1"/>
      <c r="P981" s="1"/>
      <c r="Q981" s="1"/>
      <c r="R981" s="18"/>
      <c r="S981" s="1"/>
      <c r="T981" s="1"/>
      <c r="U981" s="1"/>
      <c r="V981" s="1"/>
      <c r="Z981" s="18"/>
      <c r="AD981" s="18"/>
      <c r="AH981" s="18"/>
      <c r="AL981" s="18"/>
      <c r="AM981" s="22"/>
      <c r="AN981" s="22"/>
      <c r="AO981" s="22"/>
      <c r="AP981" s="22"/>
      <c r="AQ981" s="22"/>
      <c r="AR981" s="22"/>
      <c r="AS981" s="22"/>
      <c r="AT981" s="22"/>
    </row>
    <row r="982" spans="7:46" ht="13">
      <c r="G982" s="34"/>
      <c r="J982" s="18"/>
      <c r="N982" s="18"/>
      <c r="O982" s="1"/>
      <c r="P982" s="1"/>
      <c r="Q982" s="1"/>
      <c r="R982" s="18"/>
      <c r="S982" s="1"/>
      <c r="T982" s="1"/>
      <c r="U982" s="1"/>
      <c r="V982" s="1"/>
      <c r="Z982" s="18"/>
      <c r="AD982" s="18"/>
      <c r="AH982" s="18"/>
      <c r="AL982" s="18"/>
      <c r="AM982" s="22"/>
      <c r="AN982" s="22"/>
      <c r="AO982" s="22"/>
      <c r="AP982" s="22"/>
      <c r="AQ982" s="22"/>
      <c r="AR982" s="22"/>
      <c r="AS982" s="22"/>
      <c r="AT982" s="22"/>
    </row>
    <row r="983" spans="7:46" ht="13">
      <c r="G983" s="34"/>
      <c r="J983" s="18"/>
      <c r="N983" s="18"/>
      <c r="O983" s="1"/>
      <c r="P983" s="1"/>
      <c r="Q983" s="1"/>
      <c r="R983" s="18"/>
      <c r="S983" s="1"/>
      <c r="T983" s="1"/>
      <c r="U983" s="1"/>
      <c r="V983" s="1"/>
      <c r="Z983" s="18"/>
      <c r="AD983" s="18"/>
      <c r="AH983" s="18"/>
      <c r="AL983" s="18"/>
      <c r="AM983" s="22"/>
      <c r="AN983" s="22"/>
      <c r="AO983" s="22"/>
      <c r="AP983" s="22"/>
      <c r="AQ983" s="22"/>
      <c r="AR983" s="22"/>
      <c r="AS983" s="22"/>
      <c r="AT983" s="22"/>
    </row>
    <row r="984" spans="7:46" ht="13">
      <c r="G984" s="34"/>
      <c r="J984" s="18"/>
      <c r="N984" s="18"/>
      <c r="O984" s="1"/>
      <c r="P984" s="1"/>
      <c r="Q984" s="1"/>
      <c r="R984" s="18"/>
      <c r="S984" s="1"/>
      <c r="T984" s="1"/>
      <c r="U984" s="1"/>
      <c r="V984" s="1"/>
      <c r="Z984" s="18"/>
      <c r="AD984" s="18"/>
      <c r="AH984" s="18"/>
      <c r="AL984" s="18"/>
      <c r="AM984" s="22"/>
      <c r="AN984" s="22"/>
      <c r="AO984" s="22"/>
      <c r="AP984" s="22"/>
      <c r="AQ984" s="22"/>
      <c r="AR984" s="22"/>
      <c r="AS984" s="22"/>
      <c r="AT984" s="22"/>
    </row>
    <row r="985" spans="7:46" ht="13">
      <c r="G985" s="34"/>
      <c r="J985" s="18"/>
      <c r="N985" s="18"/>
      <c r="O985" s="1"/>
      <c r="P985" s="1"/>
      <c r="Q985" s="1"/>
      <c r="R985" s="18"/>
      <c r="S985" s="1"/>
      <c r="T985" s="1"/>
      <c r="U985" s="1"/>
      <c r="V985" s="1"/>
      <c r="Z985" s="18"/>
      <c r="AD985" s="18"/>
      <c r="AH985" s="18"/>
      <c r="AL985" s="18"/>
      <c r="AM985" s="22"/>
      <c r="AN985" s="22"/>
      <c r="AO985" s="22"/>
      <c r="AP985" s="22"/>
      <c r="AQ985" s="22"/>
      <c r="AR985" s="22"/>
      <c r="AS985" s="22"/>
      <c r="AT985" s="22"/>
    </row>
    <row r="986" spans="7:46" ht="13">
      <c r="G986" s="34"/>
      <c r="J986" s="18"/>
      <c r="N986" s="18"/>
      <c r="O986" s="1"/>
      <c r="P986" s="1"/>
      <c r="Q986" s="1"/>
      <c r="R986" s="18"/>
      <c r="S986" s="1"/>
      <c r="T986" s="1"/>
      <c r="U986" s="1"/>
      <c r="V986" s="1"/>
      <c r="Z986" s="18"/>
      <c r="AD986" s="18"/>
      <c r="AH986" s="18"/>
      <c r="AL986" s="18"/>
      <c r="AM986" s="22"/>
      <c r="AN986" s="22"/>
      <c r="AO986" s="22"/>
      <c r="AP986" s="22"/>
      <c r="AQ986" s="22"/>
      <c r="AR986" s="22"/>
      <c r="AS986" s="22"/>
      <c r="AT986" s="22"/>
    </row>
    <row r="987" spans="7:46" ht="13">
      <c r="G987" s="34"/>
      <c r="J987" s="18"/>
      <c r="N987" s="18"/>
      <c r="O987" s="1"/>
      <c r="P987" s="1"/>
      <c r="Q987" s="1"/>
      <c r="R987" s="18"/>
      <c r="S987" s="1"/>
      <c r="T987" s="1"/>
      <c r="U987" s="1"/>
      <c r="V987" s="1"/>
      <c r="Z987" s="18"/>
      <c r="AD987" s="18"/>
      <c r="AH987" s="18"/>
      <c r="AL987" s="18"/>
      <c r="AM987" s="22"/>
      <c r="AN987" s="22"/>
      <c r="AO987" s="22"/>
      <c r="AP987" s="22"/>
      <c r="AQ987" s="22"/>
      <c r="AR987" s="22"/>
      <c r="AS987" s="22"/>
      <c r="AT987" s="22"/>
    </row>
    <row r="988" spans="7:46" ht="13">
      <c r="G988" s="34"/>
      <c r="J988" s="18"/>
      <c r="N988" s="18"/>
      <c r="O988" s="1"/>
      <c r="P988" s="1"/>
      <c r="Q988" s="1"/>
      <c r="R988" s="18"/>
      <c r="S988" s="1"/>
      <c r="T988" s="1"/>
      <c r="U988" s="1"/>
      <c r="V988" s="1"/>
      <c r="Z988" s="18"/>
      <c r="AD988" s="18"/>
      <c r="AH988" s="18"/>
      <c r="AL988" s="18"/>
      <c r="AM988" s="22"/>
      <c r="AN988" s="22"/>
      <c r="AO988" s="22"/>
      <c r="AP988" s="22"/>
      <c r="AQ988" s="22"/>
      <c r="AR988" s="22"/>
      <c r="AS988" s="22"/>
      <c r="AT988" s="22"/>
    </row>
    <row r="989" spans="7:46" ht="13">
      <c r="G989" s="34"/>
      <c r="J989" s="18"/>
      <c r="N989" s="18"/>
      <c r="O989" s="1"/>
      <c r="P989" s="1"/>
      <c r="Q989" s="1"/>
      <c r="R989" s="18"/>
      <c r="S989" s="1"/>
      <c r="T989" s="1"/>
      <c r="U989" s="1"/>
      <c r="V989" s="1"/>
      <c r="Z989" s="18"/>
      <c r="AD989" s="18"/>
      <c r="AH989" s="18"/>
      <c r="AL989" s="18"/>
      <c r="AM989" s="22"/>
      <c r="AN989" s="22"/>
      <c r="AO989" s="22"/>
      <c r="AP989" s="22"/>
      <c r="AQ989" s="22"/>
      <c r="AR989" s="22"/>
      <c r="AS989" s="22"/>
      <c r="AT989" s="22"/>
    </row>
    <row r="990" spans="7:46" ht="13">
      <c r="G990" s="34"/>
      <c r="J990" s="18"/>
      <c r="N990" s="18"/>
      <c r="O990" s="1"/>
      <c r="P990" s="1"/>
      <c r="Q990" s="1"/>
      <c r="R990" s="18"/>
      <c r="S990" s="1"/>
      <c r="T990" s="1"/>
      <c r="U990" s="1"/>
      <c r="V990" s="1"/>
      <c r="Z990" s="18"/>
      <c r="AD990" s="18"/>
      <c r="AH990" s="18"/>
      <c r="AL990" s="18"/>
      <c r="AM990" s="22"/>
      <c r="AN990" s="22"/>
      <c r="AO990" s="22"/>
      <c r="AP990" s="22"/>
      <c r="AQ990" s="22"/>
      <c r="AR990" s="22"/>
      <c r="AS990" s="22"/>
      <c r="AT990" s="22"/>
    </row>
    <row r="991" spans="7:46" ht="13">
      <c r="G991" s="34"/>
      <c r="J991" s="18"/>
      <c r="N991" s="18"/>
      <c r="O991" s="1"/>
      <c r="P991" s="1"/>
      <c r="Q991" s="1"/>
      <c r="R991" s="18"/>
      <c r="S991" s="1"/>
      <c r="T991" s="1"/>
      <c r="U991" s="1"/>
      <c r="V991" s="1"/>
      <c r="Z991" s="18"/>
      <c r="AD991" s="18"/>
      <c r="AH991" s="18"/>
      <c r="AL991" s="18"/>
      <c r="AM991" s="22"/>
      <c r="AN991" s="22"/>
      <c r="AO991" s="22"/>
      <c r="AP991" s="22"/>
      <c r="AQ991" s="22"/>
      <c r="AR991" s="22"/>
      <c r="AS991" s="22"/>
      <c r="AT991" s="22"/>
    </row>
    <row r="992" spans="7:46" ht="13">
      <c r="G992" s="34"/>
      <c r="J992" s="18"/>
      <c r="N992" s="18"/>
      <c r="O992" s="1"/>
      <c r="P992" s="1"/>
      <c r="Q992" s="1"/>
      <c r="R992" s="18"/>
      <c r="S992" s="1"/>
      <c r="T992" s="1"/>
      <c r="U992" s="1"/>
      <c r="V992" s="1"/>
      <c r="Z992" s="18"/>
      <c r="AD992" s="18"/>
      <c r="AH992" s="18"/>
      <c r="AL992" s="18"/>
      <c r="AM992" s="22"/>
      <c r="AN992" s="22"/>
      <c r="AO992" s="22"/>
      <c r="AP992" s="22"/>
      <c r="AQ992" s="22"/>
      <c r="AR992" s="22"/>
      <c r="AS992" s="22"/>
      <c r="AT992" s="22"/>
    </row>
    <row r="993" spans="7:46" ht="13">
      <c r="G993" s="34"/>
      <c r="J993" s="18"/>
      <c r="N993" s="18"/>
      <c r="O993" s="1"/>
      <c r="P993" s="1"/>
      <c r="Q993" s="1"/>
      <c r="R993" s="18"/>
      <c r="S993" s="1"/>
      <c r="T993" s="1"/>
      <c r="U993" s="1"/>
      <c r="V993" s="1"/>
      <c r="Z993" s="18"/>
      <c r="AD993" s="18"/>
      <c r="AH993" s="18"/>
      <c r="AL993" s="18"/>
      <c r="AM993" s="22"/>
      <c r="AN993" s="22"/>
      <c r="AO993" s="22"/>
      <c r="AP993" s="22"/>
      <c r="AQ993" s="22"/>
      <c r="AR993" s="22"/>
      <c r="AS993" s="22"/>
      <c r="AT993" s="22"/>
    </row>
    <row r="994" spans="7:46" ht="13">
      <c r="G994" s="34"/>
      <c r="J994" s="18"/>
      <c r="N994" s="18"/>
      <c r="O994" s="1"/>
      <c r="P994" s="1"/>
      <c r="Q994" s="1"/>
      <c r="R994" s="18"/>
      <c r="S994" s="1"/>
      <c r="T994" s="1"/>
      <c r="U994" s="1"/>
      <c r="V994" s="1"/>
      <c r="Z994" s="18"/>
      <c r="AD994" s="18"/>
      <c r="AH994" s="18"/>
      <c r="AL994" s="18"/>
      <c r="AM994" s="22"/>
      <c r="AN994" s="22"/>
      <c r="AO994" s="22"/>
      <c r="AP994" s="22"/>
      <c r="AQ994" s="22"/>
      <c r="AR994" s="22"/>
      <c r="AS994" s="22"/>
      <c r="AT994" s="22"/>
    </row>
    <row r="995" spans="7:46" ht="13">
      <c r="G995" s="34"/>
      <c r="J995" s="18"/>
      <c r="N995" s="18"/>
      <c r="O995" s="1"/>
      <c r="P995" s="1"/>
      <c r="Q995" s="1"/>
      <c r="R995" s="18"/>
      <c r="S995" s="1"/>
      <c r="T995" s="1"/>
      <c r="U995" s="1"/>
      <c r="V995" s="1"/>
      <c r="Z995" s="18"/>
      <c r="AD995" s="18"/>
      <c r="AH995" s="18"/>
      <c r="AL995" s="18"/>
      <c r="AM995" s="22"/>
      <c r="AN995" s="22"/>
      <c r="AO995" s="22"/>
      <c r="AP995" s="22"/>
      <c r="AQ995" s="22"/>
      <c r="AR995" s="22"/>
      <c r="AS995" s="22"/>
      <c r="AT995" s="22"/>
    </row>
    <row r="996" spans="7:46" ht="13">
      <c r="G996" s="34"/>
      <c r="J996" s="18"/>
      <c r="N996" s="18"/>
      <c r="O996" s="1"/>
      <c r="P996" s="1"/>
      <c r="Q996" s="1"/>
      <c r="R996" s="18"/>
      <c r="S996" s="1"/>
      <c r="T996" s="1"/>
      <c r="U996" s="1"/>
      <c r="V996" s="1"/>
      <c r="Z996" s="18"/>
      <c r="AD996" s="18"/>
      <c r="AH996" s="18"/>
      <c r="AL996" s="18"/>
      <c r="AM996" s="22"/>
      <c r="AN996" s="22"/>
      <c r="AO996" s="22"/>
      <c r="AP996" s="22"/>
      <c r="AQ996" s="22"/>
      <c r="AR996" s="22"/>
      <c r="AS996" s="22"/>
      <c r="AT996" s="22"/>
    </row>
    <row r="997" spans="7:46" ht="13">
      <c r="G997" s="34"/>
      <c r="J997" s="18"/>
      <c r="N997" s="18"/>
      <c r="O997" s="1"/>
      <c r="P997" s="1"/>
      <c r="Q997" s="1"/>
      <c r="R997" s="18"/>
      <c r="S997" s="1"/>
      <c r="T997" s="1"/>
      <c r="U997" s="1"/>
      <c r="V997" s="1"/>
      <c r="Z997" s="18"/>
      <c r="AD997" s="18"/>
      <c r="AH997" s="18"/>
      <c r="AL997" s="18"/>
      <c r="AM997" s="22"/>
      <c r="AN997" s="22"/>
      <c r="AO997" s="22"/>
      <c r="AP997" s="22"/>
      <c r="AQ997" s="22"/>
      <c r="AR997" s="22"/>
      <c r="AS997" s="22"/>
      <c r="AT997" s="22"/>
    </row>
    <row r="998" spans="7:46" ht="13">
      <c r="G998" s="34"/>
      <c r="J998" s="18"/>
      <c r="N998" s="18"/>
      <c r="O998" s="1"/>
      <c r="P998" s="1"/>
      <c r="Q998" s="1"/>
      <c r="R998" s="18"/>
      <c r="S998" s="1"/>
      <c r="T998" s="1"/>
      <c r="U998" s="1"/>
      <c r="V998" s="1"/>
      <c r="Z998" s="18"/>
      <c r="AD998" s="18"/>
      <c r="AH998" s="18"/>
      <c r="AL998" s="18"/>
      <c r="AM998" s="22"/>
      <c r="AN998" s="22"/>
      <c r="AO998" s="22"/>
      <c r="AP998" s="22"/>
      <c r="AQ998" s="22"/>
      <c r="AR998" s="22"/>
      <c r="AS998" s="22"/>
      <c r="AT998" s="22"/>
    </row>
    <row r="999" spans="7:46" ht="13">
      <c r="G999" s="34"/>
      <c r="J999" s="18"/>
      <c r="N999" s="18"/>
      <c r="O999" s="1"/>
      <c r="P999" s="1"/>
      <c r="Q999" s="1"/>
      <c r="R999" s="18"/>
      <c r="S999" s="1"/>
      <c r="T999" s="1"/>
      <c r="U999" s="1"/>
      <c r="V999" s="1"/>
      <c r="Z999" s="18"/>
      <c r="AD999" s="18"/>
      <c r="AH999" s="18"/>
      <c r="AL999" s="18"/>
      <c r="AM999" s="22"/>
      <c r="AN999" s="22"/>
      <c r="AO999" s="22"/>
      <c r="AP999" s="22"/>
      <c r="AQ999" s="22"/>
      <c r="AR999" s="22"/>
      <c r="AS999" s="22"/>
      <c r="AT999" s="22"/>
    </row>
    <row r="1000" spans="7:46" ht="13">
      <c r="G1000" s="34"/>
      <c r="J1000" s="18"/>
      <c r="N1000" s="18"/>
      <c r="O1000" s="1"/>
      <c r="P1000" s="1"/>
      <c r="Q1000" s="1"/>
      <c r="R1000" s="18"/>
      <c r="S1000" s="1"/>
      <c r="T1000" s="1"/>
      <c r="U1000" s="1"/>
      <c r="V1000" s="1"/>
      <c r="Z1000" s="18"/>
      <c r="AD1000" s="18"/>
      <c r="AH1000" s="18"/>
      <c r="AL1000" s="18"/>
      <c r="AM1000" s="22"/>
      <c r="AN1000" s="22"/>
      <c r="AO1000" s="22"/>
      <c r="AP1000" s="22"/>
      <c r="AQ1000" s="22"/>
      <c r="AR1000" s="22"/>
      <c r="AS1000" s="22"/>
      <c r="AT1000" s="22"/>
    </row>
  </sheetData>
  <mergeCells count="4">
    <mergeCell ref="G2:N2"/>
    <mergeCell ref="O2:V2"/>
    <mergeCell ref="W2:AD2"/>
    <mergeCell ref="AE2:AL2"/>
  </mergeCells>
  <pageMargins left="0.69930555555555596" right="0.69930555555555596" top="0.75" bottom="0.75" header="0" footer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BB1000"/>
  <sheetViews>
    <sheetView topLeftCell="AF1" workbookViewId="0">
      <selection activeCell="AY4" sqref="AY4:BB103"/>
    </sheetView>
  </sheetViews>
  <sheetFormatPr baseColWidth="10" defaultColWidth="12.6640625" defaultRowHeight="15.75" customHeight="1"/>
  <cols>
    <col min="1" max="1" width="4.33203125" customWidth="1"/>
    <col min="2" max="2" width="28.33203125" customWidth="1"/>
    <col min="3" max="4" width="22.33203125" hidden="1" customWidth="1"/>
    <col min="5" max="6" width="12.6640625" hidden="1" customWidth="1"/>
    <col min="7" max="8" width="9.83203125" customWidth="1"/>
    <col min="9" max="9" width="9.6640625" customWidth="1"/>
    <col min="10" max="10" width="10.6640625" customWidth="1"/>
    <col min="11" max="11" width="15.1640625" customWidth="1"/>
    <col min="13" max="17" width="12.6640625" customWidth="1"/>
    <col min="18" max="18" width="11.33203125" customWidth="1"/>
    <col min="19" max="22" width="12.6640625" customWidth="1"/>
    <col min="26" max="26" width="12.6640625" customWidth="1"/>
    <col min="30" max="30" width="12.6640625" customWidth="1"/>
    <col min="34" max="34" width="12.6640625" customWidth="1"/>
    <col min="37" max="38" width="12.6640625" customWidth="1"/>
  </cols>
  <sheetData>
    <row r="1" spans="1:54" ht="13">
      <c r="A1" s="1"/>
      <c r="B1" s="1"/>
      <c r="C1" s="2"/>
      <c r="D1" s="2"/>
      <c r="E1" s="2"/>
      <c r="F1" s="2"/>
      <c r="G1" s="7">
        <v>2022</v>
      </c>
      <c r="H1" s="8"/>
      <c r="I1" s="2"/>
      <c r="J1" s="2"/>
      <c r="N1" s="18"/>
      <c r="O1" s="1"/>
      <c r="P1" s="1"/>
      <c r="Q1" s="1"/>
      <c r="R1" s="18"/>
      <c r="S1" s="1"/>
      <c r="T1" s="1"/>
      <c r="U1" s="1"/>
      <c r="V1" s="1"/>
      <c r="Z1" s="18"/>
      <c r="AD1" s="18"/>
      <c r="AE1" s="1"/>
      <c r="AH1" s="18"/>
      <c r="AL1" s="18"/>
      <c r="AM1" s="22"/>
      <c r="AN1" s="22"/>
      <c r="AO1" s="22"/>
      <c r="AP1" s="22"/>
      <c r="AQ1" s="22"/>
      <c r="AR1" s="22"/>
      <c r="AS1" s="22"/>
      <c r="AT1" s="22"/>
    </row>
    <row r="2" spans="1:54" ht="13">
      <c r="A2" s="1"/>
      <c r="B2" s="1"/>
      <c r="C2" s="2"/>
      <c r="D2" s="2"/>
      <c r="E2" s="2"/>
      <c r="F2" s="2"/>
      <c r="G2" s="159" t="s">
        <v>153</v>
      </c>
      <c r="H2" s="157"/>
      <c r="I2" s="157"/>
      <c r="J2" s="157"/>
      <c r="K2" s="157"/>
      <c r="L2" s="157"/>
      <c r="M2" s="157"/>
      <c r="N2" s="158"/>
      <c r="O2" s="156" t="s">
        <v>154</v>
      </c>
      <c r="P2" s="157"/>
      <c r="Q2" s="157"/>
      <c r="R2" s="157"/>
      <c r="S2" s="157"/>
      <c r="T2" s="157"/>
      <c r="U2" s="157"/>
      <c r="V2" s="158"/>
      <c r="W2" s="156" t="s">
        <v>155</v>
      </c>
      <c r="X2" s="157"/>
      <c r="Y2" s="157"/>
      <c r="Z2" s="157"/>
      <c r="AA2" s="157"/>
      <c r="AB2" s="157"/>
      <c r="AC2" s="157"/>
      <c r="AD2" s="160"/>
      <c r="AE2" s="159" t="s">
        <v>156</v>
      </c>
      <c r="AF2" s="157"/>
      <c r="AG2" s="157"/>
      <c r="AH2" s="157"/>
      <c r="AI2" s="157"/>
      <c r="AJ2" s="157"/>
      <c r="AK2" s="157"/>
      <c r="AL2" s="158"/>
      <c r="AM2" s="161" t="s">
        <v>0</v>
      </c>
      <c r="AN2" s="157"/>
      <c r="AO2" s="157"/>
      <c r="AP2" s="157"/>
      <c r="AQ2" s="157"/>
      <c r="AR2" s="157"/>
      <c r="AS2" s="157"/>
      <c r="AT2" s="158"/>
      <c r="AU2" s="161" t="s">
        <v>179</v>
      </c>
      <c r="AV2" s="157"/>
      <c r="AW2" s="157"/>
      <c r="AX2" s="157"/>
      <c r="AY2" s="157"/>
      <c r="AZ2" s="157"/>
      <c r="BA2" s="157"/>
      <c r="BB2" s="158"/>
    </row>
    <row r="3" spans="1:54" ht="52" customHeight="1">
      <c r="A3" s="3"/>
      <c r="B3" s="4" t="s">
        <v>5</v>
      </c>
      <c r="C3" s="5" t="s">
        <v>6</v>
      </c>
      <c r="D3" s="5" t="s">
        <v>7</v>
      </c>
      <c r="E3" s="5" t="s">
        <v>8</v>
      </c>
      <c r="F3" s="9" t="s">
        <v>9</v>
      </c>
      <c r="G3" s="10" t="s">
        <v>10</v>
      </c>
      <c r="H3" s="10" t="s">
        <v>11</v>
      </c>
      <c r="I3" s="10" t="s">
        <v>12</v>
      </c>
      <c r="J3" s="10" t="s">
        <v>148</v>
      </c>
      <c r="K3" s="14" t="s">
        <v>13</v>
      </c>
      <c r="L3" s="14" t="s">
        <v>14</v>
      </c>
      <c r="M3" s="19" t="s">
        <v>15</v>
      </c>
      <c r="N3" s="14" t="s">
        <v>149</v>
      </c>
      <c r="O3" s="10" t="s">
        <v>10</v>
      </c>
      <c r="P3" s="10" t="s">
        <v>11</v>
      </c>
      <c r="Q3" s="10" t="s">
        <v>12</v>
      </c>
      <c r="R3" s="10" t="s">
        <v>150</v>
      </c>
      <c r="S3" s="14" t="s">
        <v>13</v>
      </c>
      <c r="T3" s="14" t="s">
        <v>14</v>
      </c>
      <c r="U3" s="14" t="s">
        <v>15</v>
      </c>
      <c r="V3" s="14" t="s">
        <v>149</v>
      </c>
      <c r="W3" s="10" t="s">
        <v>10</v>
      </c>
      <c r="X3" s="10" t="s">
        <v>11</v>
      </c>
      <c r="Y3" s="10" t="s">
        <v>12</v>
      </c>
      <c r="Z3" s="10" t="s">
        <v>148</v>
      </c>
      <c r="AA3" s="14" t="s">
        <v>13</v>
      </c>
      <c r="AB3" s="14" t="s">
        <v>14</v>
      </c>
      <c r="AC3" s="14" t="s">
        <v>15</v>
      </c>
      <c r="AD3" s="21" t="s">
        <v>149</v>
      </c>
      <c r="AE3" s="10" t="s">
        <v>10</v>
      </c>
      <c r="AF3" s="10" t="s">
        <v>11</v>
      </c>
      <c r="AG3" s="10" t="s">
        <v>12</v>
      </c>
      <c r="AH3" s="10" t="s">
        <v>148</v>
      </c>
      <c r="AI3" s="14" t="s">
        <v>13</v>
      </c>
      <c r="AJ3" s="14" t="s">
        <v>14</v>
      </c>
      <c r="AK3" s="14" t="s">
        <v>15</v>
      </c>
      <c r="AL3" s="23" t="s">
        <v>149</v>
      </c>
      <c r="AM3" s="24" t="s">
        <v>10</v>
      </c>
      <c r="AN3" s="24" t="s">
        <v>11</v>
      </c>
      <c r="AO3" s="24" t="s">
        <v>12</v>
      </c>
      <c r="AP3" s="24" t="s">
        <v>148</v>
      </c>
      <c r="AQ3" s="27" t="s">
        <v>13</v>
      </c>
      <c r="AR3" s="27" t="s">
        <v>14</v>
      </c>
      <c r="AS3" s="27" t="s">
        <v>15</v>
      </c>
      <c r="AT3" s="29" t="s">
        <v>149</v>
      </c>
      <c r="AU3" s="52" t="s">
        <v>10</v>
      </c>
      <c r="AV3" s="52" t="s">
        <v>11</v>
      </c>
      <c r="AW3" s="52" t="s">
        <v>12</v>
      </c>
      <c r="AX3" s="52" t="s">
        <v>148</v>
      </c>
      <c r="AY3" s="27" t="s">
        <v>13</v>
      </c>
      <c r="AZ3" s="27" t="s">
        <v>14</v>
      </c>
      <c r="BA3" s="27" t="s">
        <v>15</v>
      </c>
      <c r="BB3" s="29" t="s">
        <v>149</v>
      </c>
    </row>
    <row r="4" spans="1:54" ht="14">
      <c r="A4" s="6">
        <v>1</v>
      </c>
      <c r="B4" s="6" t="s">
        <v>16</v>
      </c>
      <c r="F4" s="11"/>
      <c r="G4" s="12">
        <v>44</v>
      </c>
      <c r="H4" s="13"/>
      <c r="I4" s="12">
        <v>0</v>
      </c>
      <c r="J4" s="12">
        <v>15</v>
      </c>
      <c r="K4" s="15">
        <f>G4*100</f>
        <v>4400</v>
      </c>
      <c r="L4" s="16"/>
      <c r="M4" s="20">
        <f>I4*300</f>
        <v>0</v>
      </c>
      <c r="N4" s="3">
        <f>J4*300</f>
        <v>4500</v>
      </c>
      <c r="O4" s="12">
        <v>40</v>
      </c>
      <c r="P4" s="6"/>
      <c r="Q4" s="12">
        <v>0</v>
      </c>
      <c r="R4" s="12">
        <v>10</v>
      </c>
      <c r="S4" s="17">
        <f>O4*100</f>
        <v>4000</v>
      </c>
      <c r="T4" s="17"/>
      <c r="U4" s="17">
        <f>Q4*300</f>
        <v>0</v>
      </c>
      <c r="V4" s="6">
        <f>R4*300</f>
        <v>3000</v>
      </c>
      <c r="W4" s="12">
        <v>40</v>
      </c>
      <c r="X4" s="6"/>
      <c r="Y4" s="12">
        <v>0</v>
      </c>
      <c r="Z4" s="12">
        <v>10</v>
      </c>
      <c r="AA4" s="17">
        <f>W4*100</f>
        <v>4000</v>
      </c>
      <c r="AB4" s="17"/>
      <c r="AC4" s="17">
        <f>Y4*300</f>
        <v>0</v>
      </c>
      <c r="AD4" s="6">
        <f>Z4*300</f>
        <v>3000</v>
      </c>
      <c r="AE4" s="12">
        <v>55</v>
      </c>
      <c r="AF4" s="6">
        <v>0</v>
      </c>
      <c r="AG4" s="12">
        <v>0</v>
      </c>
      <c r="AH4" s="12">
        <v>6</v>
      </c>
      <c r="AI4" s="17">
        <f>AE4*100</f>
        <v>5500</v>
      </c>
      <c r="AJ4" s="17">
        <f>AF4*100</f>
        <v>0</v>
      </c>
      <c r="AK4" s="17">
        <f>AG4*300</f>
        <v>0</v>
      </c>
      <c r="AL4" s="25">
        <f>AH4*300</f>
        <v>1800</v>
      </c>
      <c r="AM4" s="12">
        <v>56</v>
      </c>
      <c r="AN4" s="26">
        <v>0</v>
      </c>
      <c r="AO4" s="12">
        <v>0</v>
      </c>
      <c r="AP4" s="12">
        <v>9</v>
      </c>
      <c r="AQ4" s="28">
        <f>AM4*100</f>
        <v>5600</v>
      </c>
      <c r="AR4" s="28">
        <f>AN4*100</f>
        <v>0</v>
      </c>
      <c r="AS4" s="28">
        <f>AO4*300</f>
        <v>0</v>
      </c>
      <c r="AT4" s="30">
        <f>AP4*300</f>
        <v>2700</v>
      </c>
      <c r="AU4" s="12">
        <v>46</v>
      </c>
      <c r="AV4" s="26">
        <v>0</v>
      </c>
      <c r="AW4" s="12">
        <v>0</v>
      </c>
      <c r="AX4" s="12">
        <v>19</v>
      </c>
      <c r="AY4" s="28">
        <f>AU4*100</f>
        <v>4600</v>
      </c>
      <c r="AZ4" s="28">
        <f>AV4*100</f>
        <v>0</v>
      </c>
      <c r="BA4" s="28">
        <f>AW4*300</f>
        <v>0</v>
      </c>
      <c r="BB4" s="30">
        <f>AX4*300</f>
        <v>5700</v>
      </c>
    </row>
    <row r="5" spans="1:54" ht="14">
      <c r="A5" s="6">
        <v>2</v>
      </c>
      <c r="B5" s="6" t="s">
        <v>18</v>
      </c>
      <c r="F5" s="11"/>
      <c r="G5" s="12">
        <v>42</v>
      </c>
      <c r="H5" s="13"/>
      <c r="I5" s="12">
        <v>0</v>
      </c>
      <c r="J5" s="12">
        <v>10</v>
      </c>
      <c r="K5" s="15">
        <f t="shared" ref="K5:K68" si="0">G5*100</f>
        <v>4200</v>
      </c>
      <c r="L5" s="16"/>
      <c r="M5" s="20">
        <f t="shared" ref="M5:M68" si="1">I5*300</f>
        <v>0</v>
      </c>
      <c r="N5" s="3">
        <f t="shared" ref="N5:N68" si="2">J5*300</f>
        <v>3000</v>
      </c>
      <c r="O5" s="12">
        <v>40</v>
      </c>
      <c r="P5" s="6"/>
      <c r="Q5" s="12">
        <v>0</v>
      </c>
      <c r="R5" s="12">
        <v>10</v>
      </c>
      <c r="S5" s="17">
        <f t="shared" ref="S5:S68" si="3">O5*100</f>
        <v>4000</v>
      </c>
      <c r="T5" s="17"/>
      <c r="U5" s="17">
        <f t="shared" ref="U5:U68" si="4">Q5*300</f>
        <v>0</v>
      </c>
      <c r="V5" s="6">
        <f t="shared" ref="V5:V68" si="5">R5*300</f>
        <v>3000</v>
      </c>
      <c r="W5" s="12">
        <v>45</v>
      </c>
      <c r="X5" s="6"/>
      <c r="Y5" s="12">
        <v>0</v>
      </c>
      <c r="Z5" s="12">
        <v>8</v>
      </c>
      <c r="AA5" s="17">
        <f t="shared" ref="AA5:AA68" si="6">W5*100</f>
        <v>4500</v>
      </c>
      <c r="AB5" s="17"/>
      <c r="AC5" s="17">
        <f t="shared" ref="AC5:AC68" si="7">Y5*300</f>
        <v>0</v>
      </c>
      <c r="AD5" s="6">
        <f t="shared" ref="AD5:AD68" si="8">Z5*300</f>
        <v>2400</v>
      </c>
      <c r="AE5" s="12">
        <v>40</v>
      </c>
      <c r="AF5" s="6">
        <v>0</v>
      </c>
      <c r="AG5" s="12">
        <v>0</v>
      </c>
      <c r="AH5" s="12">
        <v>10</v>
      </c>
      <c r="AI5" s="17">
        <f t="shared" ref="AI5:AI68" si="9">AE5*100</f>
        <v>4000</v>
      </c>
      <c r="AJ5" s="17">
        <f t="shared" ref="AJ5:AJ16" si="10">AF5*100</f>
        <v>0</v>
      </c>
      <c r="AK5" s="17">
        <f t="shared" ref="AK5:AK68" si="11">AG5*300</f>
        <v>0</v>
      </c>
      <c r="AL5" s="25">
        <f t="shared" ref="AL5:AL68" si="12">AH5*300</f>
        <v>3000</v>
      </c>
      <c r="AM5" s="12">
        <v>42</v>
      </c>
      <c r="AN5" s="6">
        <v>0</v>
      </c>
      <c r="AO5" s="12">
        <v>0</v>
      </c>
      <c r="AP5" s="12">
        <v>12</v>
      </c>
      <c r="AQ5" s="17">
        <f t="shared" ref="AQ5:AQ68" si="13">AM5*100</f>
        <v>4200</v>
      </c>
      <c r="AR5" s="17">
        <f t="shared" ref="AR5:AR16" si="14">AN5*100</f>
        <v>0</v>
      </c>
      <c r="AS5" s="17">
        <f t="shared" ref="AS5:AS68" si="15">AO5*300</f>
        <v>0</v>
      </c>
      <c r="AT5" s="25">
        <f t="shared" ref="AT5:AT68" si="16">AP5*300</f>
        <v>3600</v>
      </c>
      <c r="AU5" s="12">
        <v>52</v>
      </c>
      <c r="AV5" s="6">
        <v>0</v>
      </c>
      <c r="AW5" s="12">
        <v>0</v>
      </c>
      <c r="AX5" s="12">
        <v>6</v>
      </c>
      <c r="AY5" s="17">
        <f t="shared" ref="AY5:AZ68" si="17">AU5*100</f>
        <v>5200</v>
      </c>
      <c r="AZ5" s="17">
        <f t="shared" si="17"/>
        <v>0</v>
      </c>
      <c r="BA5" s="17">
        <f t="shared" ref="BA5:BB68" si="18">AW5*300</f>
        <v>0</v>
      </c>
      <c r="BB5" s="25">
        <f t="shared" si="18"/>
        <v>1800</v>
      </c>
    </row>
    <row r="6" spans="1:54" ht="14">
      <c r="A6" s="6">
        <v>3</v>
      </c>
      <c r="B6" s="6" t="s">
        <v>20</v>
      </c>
      <c r="F6" s="11"/>
      <c r="G6" s="12">
        <v>32</v>
      </c>
      <c r="H6" s="13"/>
      <c r="I6" s="12">
        <v>0</v>
      </c>
      <c r="J6" s="12">
        <v>5</v>
      </c>
      <c r="K6" s="15">
        <f t="shared" si="0"/>
        <v>3200</v>
      </c>
      <c r="L6" s="16"/>
      <c r="M6" s="20">
        <f t="shared" si="1"/>
        <v>0</v>
      </c>
      <c r="N6" s="3">
        <f t="shared" si="2"/>
        <v>1500</v>
      </c>
      <c r="O6" s="12">
        <v>35</v>
      </c>
      <c r="P6" s="6"/>
      <c r="Q6" s="12">
        <v>0</v>
      </c>
      <c r="R6" s="12">
        <v>5</v>
      </c>
      <c r="S6" s="17">
        <f t="shared" si="3"/>
        <v>3500</v>
      </c>
      <c r="T6" s="17"/>
      <c r="U6" s="17">
        <f t="shared" si="4"/>
        <v>0</v>
      </c>
      <c r="V6" s="6">
        <f t="shared" si="5"/>
        <v>1500</v>
      </c>
      <c r="W6" s="12">
        <v>35</v>
      </c>
      <c r="X6" s="6"/>
      <c r="Y6" s="12">
        <v>0</v>
      </c>
      <c r="Z6" s="12">
        <v>10</v>
      </c>
      <c r="AA6" s="17">
        <f t="shared" si="6"/>
        <v>3500</v>
      </c>
      <c r="AB6" s="17"/>
      <c r="AC6" s="17">
        <f t="shared" si="7"/>
        <v>0</v>
      </c>
      <c r="AD6" s="6">
        <f t="shared" si="8"/>
        <v>3000</v>
      </c>
      <c r="AE6" s="12">
        <v>37</v>
      </c>
      <c r="AF6" s="6">
        <v>0</v>
      </c>
      <c r="AG6" s="12">
        <v>0</v>
      </c>
      <c r="AH6" s="12">
        <v>15</v>
      </c>
      <c r="AI6" s="17">
        <f t="shared" si="9"/>
        <v>3700</v>
      </c>
      <c r="AJ6" s="17">
        <f t="shared" si="10"/>
        <v>0</v>
      </c>
      <c r="AK6" s="17">
        <f t="shared" si="11"/>
        <v>0</v>
      </c>
      <c r="AL6" s="25">
        <f t="shared" si="12"/>
        <v>4500</v>
      </c>
      <c r="AM6" s="12">
        <v>30</v>
      </c>
      <c r="AN6" s="6">
        <v>0</v>
      </c>
      <c r="AO6" s="12">
        <v>0</v>
      </c>
      <c r="AP6" s="12">
        <v>17</v>
      </c>
      <c r="AQ6" s="17">
        <f t="shared" si="13"/>
        <v>3000</v>
      </c>
      <c r="AR6" s="17">
        <f t="shared" si="14"/>
        <v>0</v>
      </c>
      <c r="AS6" s="17">
        <f t="shared" si="15"/>
        <v>0</v>
      </c>
      <c r="AT6" s="25">
        <f t="shared" si="16"/>
        <v>5100</v>
      </c>
      <c r="AU6" s="12">
        <v>40</v>
      </c>
      <c r="AV6" s="6">
        <v>0</v>
      </c>
      <c r="AW6" s="12">
        <v>0</v>
      </c>
      <c r="AX6" s="12">
        <v>20</v>
      </c>
      <c r="AY6" s="17">
        <f t="shared" si="17"/>
        <v>4000</v>
      </c>
      <c r="AZ6" s="17">
        <f t="shared" si="17"/>
        <v>0</v>
      </c>
      <c r="BA6" s="17">
        <f t="shared" si="18"/>
        <v>0</v>
      </c>
      <c r="BB6" s="25">
        <f t="shared" si="18"/>
        <v>6000</v>
      </c>
    </row>
    <row r="7" spans="1:54" ht="14">
      <c r="A7" s="6">
        <v>4</v>
      </c>
      <c r="B7" s="6" t="s">
        <v>22</v>
      </c>
      <c r="F7" s="11"/>
      <c r="G7" s="12">
        <v>35</v>
      </c>
      <c r="H7" s="13"/>
      <c r="I7" s="12">
        <v>0</v>
      </c>
      <c r="J7" s="12">
        <v>10</v>
      </c>
      <c r="K7" s="15">
        <f t="shared" si="0"/>
        <v>3500</v>
      </c>
      <c r="L7" s="16"/>
      <c r="M7" s="20">
        <f t="shared" si="1"/>
        <v>0</v>
      </c>
      <c r="N7" s="3">
        <f t="shared" si="2"/>
        <v>3000</v>
      </c>
      <c r="O7" s="12">
        <v>30</v>
      </c>
      <c r="P7" s="6"/>
      <c r="Q7" s="12">
        <v>0</v>
      </c>
      <c r="R7" s="12">
        <v>10</v>
      </c>
      <c r="S7" s="17">
        <f t="shared" si="3"/>
        <v>3000</v>
      </c>
      <c r="T7" s="17"/>
      <c r="U7" s="17">
        <f t="shared" si="4"/>
        <v>0</v>
      </c>
      <c r="V7" s="6">
        <f t="shared" si="5"/>
        <v>3000</v>
      </c>
      <c r="W7" s="12">
        <v>30</v>
      </c>
      <c r="X7" s="6"/>
      <c r="Y7" s="12">
        <v>0</v>
      </c>
      <c r="Z7" s="12">
        <v>10</v>
      </c>
      <c r="AA7" s="17">
        <f t="shared" si="6"/>
        <v>3000</v>
      </c>
      <c r="AB7" s="17"/>
      <c r="AC7" s="17">
        <f t="shared" si="7"/>
        <v>0</v>
      </c>
      <c r="AD7" s="6">
        <f t="shared" si="8"/>
        <v>3000</v>
      </c>
      <c r="AE7" s="12">
        <v>35</v>
      </c>
      <c r="AF7" s="6">
        <v>0</v>
      </c>
      <c r="AG7" s="12">
        <v>0</v>
      </c>
      <c r="AH7" s="12">
        <v>12</v>
      </c>
      <c r="AI7" s="17">
        <f t="shared" si="9"/>
        <v>3500</v>
      </c>
      <c r="AJ7" s="17">
        <f t="shared" si="10"/>
        <v>0</v>
      </c>
      <c r="AK7" s="17">
        <f t="shared" si="11"/>
        <v>0</v>
      </c>
      <c r="AL7" s="25">
        <f t="shared" si="12"/>
        <v>3600</v>
      </c>
      <c r="AM7" s="12">
        <v>32</v>
      </c>
      <c r="AN7" s="6">
        <v>0</v>
      </c>
      <c r="AO7" s="12">
        <v>0</v>
      </c>
      <c r="AP7" s="12">
        <v>14</v>
      </c>
      <c r="AQ7" s="17">
        <f t="shared" si="13"/>
        <v>3200</v>
      </c>
      <c r="AR7" s="17">
        <f t="shared" si="14"/>
        <v>0</v>
      </c>
      <c r="AS7" s="17">
        <f t="shared" si="15"/>
        <v>0</v>
      </c>
      <c r="AT7" s="25">
        <f t="shared" si="16"/>
        <v>4200</v>
      </c>
      <c r="AU7" s="12">
        <v>42</v>
      </c>
      <c r="AV7" s="6">
        <v>0</v>
      </c>
      <c r="AW7" s="12">
        <v>0</v>
      </c>
      <c r="AX7" s="12">
        <v>8</v>
      </c>
      <c r="AY7" s="17">
        <f t="shared" si="17"/>
        <v>4200</v>
      </c>
      <c r="AZ7" s="17">
        <f t="shared" si="17"/>
        <v>0</v>
      </c>
      <c r="BA7" s="17">
        <f t="shared" si="18"/>
        <v>0</v>
      </c>
      <c r="BB7" s="25">
        <f t="shared" si="18"/>
        <v>2400</v>
      </c>
    </row>
    <row r="8" spans="1:54" ht="14">
      <c r="A8" s="6">
        <v>5</v>
      </c>
      <c r="B8" s="6" t="s">
        <v>23</v>
      </c>
      <c r="F8" s="11"/>
      <c r="G8" s="12">
        <v>45</v>
      </c>
      <c r="H8" s="13"/>
      <c r="I8" s="12">
        <v>0</v>
      </c>
      <c r="J8" s="12">
        <v>10</v>
      </c>
      <c r="K8" s="15">
        <f t="shared" si="0"/>
        <v>4500</v>
      </c>
      <c r="L8" s="16"/>
      <c r="M8" s="20">
        <f t="shared" si="1"/>
        <v>0</v>
      </c>
      <c r="N8" s="3">
        <f t="shared" si="2"/>
        <v>3000</v>
      </c>
      <c r="O8" s="12">
        <v>42</v>
      </c>
      <c r="P8" s="6"/>
      <c r="Q8" s="12">
        <v>0</v>
      </c>
      <c r="R8" s="12">
        <v>5</v>
      </c>
      <c r="S8" s="17">
        <f t="shared" si="3"/>
        <v>4200</v>
      </c>
      <c r="T8" s="17"/>
      <c r="U8" s="17">
        <f t="shared" si="4"/>
        <v>0</v>
      </c>
      <c r="V8" s="6">
        <f t="shared" si="5"/>
        <v>1500</v>
      </c>
      <c r="W8" s="12">
        <v>50</v>
      </c>
      <c r="X8" s="6"/>
      <c r="Y8" s="12">
        <v>0</v>
      </c>
      <c r="Z8" s="12">
        <v>3</v>
      </c>
      <c r="AA8" s="17">
        <f t="shared" si="6"/>
        <v>5000</v>
      </c>
      <c r="AB8" s="17"/>
      <c r="AC8" s="17">
        <f t="shared" si="7"/>
        <v>0</v>
      </c>
      <c r="AD8" s="6">
        <f t="shared" si="8"/>
        <v>900</v>
      </c>
      <c r="AE8" s="12">
        <v>45</v>
      </c>
      <c r="AF8" s="6">
        <v>0</v>
      </c>
      <c r="AG8" s="12">
        <v>0</v>
      </c>
      <c r="AH8" s="12">
        <v>5</v>
      </c>
      <c r="AI8" s="17">
        <f t="shared" si="9"/>
        <v>4500</v>
      </c>
      <c r="AJ8" s="17">
        <f t="shared" si="10"/>
        <v>0</v>
      </c>
      <c r="AK8" s="17">
        <f t="shared" si="11"/>
        <v>0</v>
      </c>
      <c r="AL8" s="25">
        <f t="shared" si="12"/>
        <v>1500</v>
      </c>
      <c r="AM8" s="12">
        <v>50</v>
      </c>
      <c r="AN8" s="6">
        <v>0</v>
      </c>
      <c r="AO8" s="12">
        <v>0</v>
      </c>
      <c r="AP8" s="12">
        <v>8</v>
      </c>
      <c r="AQ8" s="17">
        <f t="shared" si="13"/>
        <v>5000</v>
      </c>
      <c r="AR8" s="17">
        <f t="shared" si="14"/>
        <v>0</v>
      </c>
      <c r="AS8" s="17">
        <f t="shared" si="15"/>
        <v>0</v>
      </c>
      <c r="AT8" s="25">
        <f t="shared" si="16"/>
        <v>2400</v>
      </c>
      <c r="AU8" s="12">
        <v>40</v>
      </c>
      <c r="AV8" s="6">
        <v>0</v>
      </c>
      <c r="AW8" s="12">
        <v>0</v>
      </c>
      <c r="AX8" s="12">
        <v>18</v>
      </c>
      <c r="AY8" s="17">
        <f t="shared" si="17"/>
        <v>4000</v>
      </c>
      <c r="AZ8" s="17">
        <f t="shared" si="17"/>
        <v>0</v>
      </c>
      <c r="BA8" s="17">
        <f t="shared" si="18"/>
        <v>0</v>
      </c>
      <c r="BB8" s="25">
        <f t="shared" si="18"/>
        <v>5400</v>
      </c>
    </row>
    <row r="9" spans="1:54" ht="14">
      <c r="A9" s="6">
        <v>6</v>
      </c>
      <c r="B9" s="6" t="s">
        <v>25</v>
      </c>
      <c r="F9" s="11"/>
      <c r="G9" s="12">
        <v>37</v>
      </c>
      <c r="H9" s="13"/>
      <c r="I9" s="12">
        <v>0</v>
      </c>
      <c r="J9" s="12">
        <v>10</v>
      </c>
      <c r="K9" s="15">
        <f t="shared" si="0"/>
        <v>3700</v>
      </c>
      <c r="L9" s="16"/>
      <c r="M9" s="20">
        <f t="shared" si="1"/>
        <v>0</v>
      </c>
      <c r="N9" s="3">
        <f t="shared" si="2"/>
        <v>3000</v>
      </c>
      <c r="O9" s="12">
        <v>30</v>
      </c>
      <c r="P9" s="6"/>
      <c r="Q9" s="12">
        <v>0</v>
      </c>
      <c r="R9" s="12">
        <v>5</v>
      </c>
      <c r="S9" s="17">
        <f t="shared" si="3"/>
        <v>3000</v>
      </c>
      <c r="T9" s="17"/>
      <c r="U9" s="17">
        <f t="shared" si="4"/>
        <v>0</v>
      </c>
      <c r="V9" s="6">
        <f t="shared" si="5"/>
        <v>1500</v>
      </c>
      <c r="W9" s="12">
        <v>30</v>
      </c>
      <c r="X9" s="6"/>
      <c r="Y9" s="12">
        <v>0</v>
      </c>
      <c r="Z9" s="12">
        <v>5</v>
      </c>
      <c r="AA9" s="17">
        <f t="shared" si="6"/>
        <v>3000</v>
      </c>
      <c r="AB9" s="17"/>
      <c r="AC9" s="17">
        <f t="shared" si="7"/>
        <v>0</v>
      </c>
      <c r="AD9" s="6">
        <f t="shared" si="8"/>
        <v>1500</v>
      </c>
      <c r="AE9" s="12">
        <v>42</v>
      </c>
      <c r="AF9" s="6">
        <v>0</v>
      </c>
      <c r="AG9" s="12">
        <v>0</v>
      </c>
      <c r="AH9" s="12">
        <v>8</v>
      </c>
      <c r="AI9" s="17">
        <f t="shared" si="9"/>
        <v>4200</v>
      </c>
      <c r="AJ9" s="17">
        <f t="shared" si="10"/>
        <v>0</v>
      </c>
      <c r="AK9" s="17">
        <f t="shared" si="11"/>
        <v>0</v>
      </c>
      <c r="AL9" s="25">
        <f t="shared" si="12"/>
        <v>2400</v>
      </c>
      <c r="AM9" s="12">
        <v>45</v>
      </c>
      <c r="AN9" s="6">
        <v>0</v>
      </c>
      <c r="AO9" s="12">
        <v>0</v>
      </c>
      <c r="AP9" s="12">
        <v>5</v>
      </c>
      <c r="AQ9" s="17">
        <f t="shared" si="13"/>
        <v>4500</v>
      </c>
      <c r="AR9" s="17">
        <f t="shared" si="14"/>
        <v>0</v>
      </c>
      <c r="AS9" s="17">
        <f t="shared" si="15"/>
        <v>0</v>
      </c>
      <c r="AT9" s="25">
        <f t="shared" si="16"/>
        <v>1500</v>
      </c>
      <c r="AU9" s="12">
        <v>35</v>
      </c>
      <c r="AV9" s="6">
        <v>0</v>
      </c>
      <c r="AW9" s="12">
        <v>0</v>
      </c>
      <c r="AX9" s="12">
        <v>15</v>
      </c>
      <c r="AY9" s="17">
        <f t="shared" si="17"/>
        <v>3500</v>
      </c>
      <c r="AZ9" s="17">
        <f t="shared" si="17"/>
        <v>0</v>
      </c>
      <c r="BA9" s="17">
        <f t="shared" si="18"/>
        <v>0</v>
      </c>
      <c r="BB9" s="25">
        <f t="shared" si="18"/>
        <v>4500</v>
      </c>
    </row>
    <row r="10" spans="1:54" ht="14">
      <c r="A10" s="6">
        <v>7</v>
      </c>
      <c r="B10" s="6" t="s">
        <v>27</v>
      </c>
      <c r="F10" s="11"/>
      <c r="G10" s="12">
        <v>45</v>
      </c>
      <c r="H10" s="13"/>
      <c r="I10" s="12">
        <v>0</v>
      </c>
      <c r="J10" s="12">
        <v>15</v>
      </c>
      <c r="K10" s="15">
        <f t="shared" si="0"/>
        <v>4500</v>
      </c>
      <c r="L10" s="16"/>
      <c r="M10" s="20">
        <f t="shared" si="1"/>
        <v>0</v>
      </c>
      <c r="N10" s="3">
        <f t="shared" si="2"/>
        <v>4500</v>
      </c>
      <c r="O10" s="12">
        <v>45</v>
      </c>
      <c r="P10" s="6"/>
      <c r="Q10" s="12">
        <v>0</v>
      </c>
      <c r="R10" s="12">
        <v>15</v>
      </c>
      <c r="S10" s="17">
        <f t="shared" si="3"/>
        <v>4500</v>
      </c>
      <c r="T10" s="17"/>
      <c r="U10" s="17">
        <f t="shared" si="4"/>
        <v>0</v>
      </c>
      <c r="V10" s="6">
        <f t="shared" si="5"/>
        <v>4500</v>
      </c>
      <c r="W10" s="12">
        <v>45</v>
      </c>
      <c r="X10" s="6"/>
      <c r="Y10" s="12">
        <v>0</v>
      </c>
      <c r="Z10" s="12">
        <v>10</v>
      </c>
      <c r="AA10" s="17">
        <f t="shared" si="6"/>
        <v>4500</v>
      </c>
      <c r="AB10" s="17"/>
      <c r="AC10" s="17">
        <f t="shared" si="7"/>
        <v>0</v>
      </c>
      <c r="AD10" s="6">
        <f t="shared" si="8"/>
        <v>3000</v>
      </c>
      <c r="AE10" s="12">
        <v>55</v>
      </c>
      <c r="AF10" s="6">
        <v>0</v>
      </c>
      <c r="AG10" s="12">
        <v>0</v>
      </c>
      <c r="AH10" s="12">
        <v>15</v>
      </c>
      <c r="AI10" s="17">
        <f t="shared" si="9"/>
        <v>5500</v>
      </c>
      <c r="AJ10" s="17">
        <f t="shared" si="10"/>
        <v>0</v>
      </c>
      <c r="AK10" s="17">
        <f t="shared" si="11"/>
        <v>0</v>
      </c>
      <c r="AL10" s="25">
        <f t="shared" si="12"/>
        <v>4500</v>
      </c>
      <c r="AM10" s="12">
        <v>55</v>
      </c>
      <c r="AN10" s="6">
        <v>0</v>
      </c>
      <c r="AO10" s="12">
        <v>0</v>
      </c>
      <c r="AP10" s="12">
        <v>15</v>
      </c>
      <c r="AQ10" s="17">
        <f t="shared" si="13"/>
        <v>5500</v>
      </c>
      <c r="AR10" s="17">
        <f t="shared" si="14"/>
        <v>0</v>
      </c>
      <c r="AS10" s="17">
        <f t="shared" si="15"/>
        <v>0</v>
      </c>
      <c r="AT10" s="25">
        <f t="shared" si="16"/>
        <v>4500</v>
      </c>
      <c r="AU10" s="12">
        <v>50</v>
      </c>
      <c r="AV10" s="6">
        <v>0</v>
      </c>
      <c r="AW10" s="12">
        <v>0</v>
      </c>
      <c r="AX10" s="12">
        <v>20</v>
      </c>
      <c r="AY10" s="17">
        <f t="shared" si="17"/>
        <v>5000</v>
      </c>
      <c r="AZ10" s="17">
        <f t="shared" si="17"/>
        <v>0</v>
      </c>
      <c r="BA10" s="17">
        <f t="shared" si="18"/>
        <v>0</v>
      </c>
      <c r="BB10" s="25">
        <f t="shared" si="18"/>
        <v>6000</v>
      </c>
    </row>
    <row r="11" spans="1:54" ht="14">
      <c r="A11" s="6">
        <v>8</v>
      </c>
      <c r="B11" s="6" t="s">
        <v>28</v>
      </c>
      <c r="F11" s="11"/>
      <c r="G11" s="12">
        <v>50</v>
      </c>
      <c r="H11" s="13"/>
      <c r="I11" s="12">
        <v>0</v>
      </c>
      <c r="J11" s="12">
        <v>20</v>
      </c>
      <c r="K11" s="15">
        <f t="shared" si="0"/>
        <v>5000</v>
      </c>
      <c r="L11" s="16"/>
      <c r="M11" s="20">
        <f t="shared" si="1"/>
        <v>0</v>
      </c>
      <c r="N11" s="3">
        <f t="shared" si="2"/>
        <v>6000</v>
      </c>
      <c r="O11" s="12">
        <v>55</v>
      </c>
      <c r="P11" s="6"/>
      <c r="Q11" s="12">
        <v>0</v>
      </c>
      <c r="R11" s="12">
        <v>15</v>
      </c>
      <c r="S11" s="17">
        <f t="shared" si="3"/>
        <v>5500</v>
      </c>
      <c r="T11" s="17"/>
      <c r="U11" s="17">
        <f t="shared" si="4"/>
        <v>0</v>
      </c>
      <c r="V11" s="6">
        <f t="shared" si="5"/>
        <v>4500</v>
      </c>
      <c r="W11" s="12">
        <v>50</v>
      </c>
      <c r="X11" s="6"/>
      <c r="Y11" s="12">
        <v>0</v>
      </c>
      <c r="Z11" s="12">
        <v>15</v>
      </c>
      <c r="AA11" s="17">
        <f t="shared" si="6"/>
        <v>5000</v>
      </c>
      <c r="AB11" s="17"/>
      <c r="AC11" s="17">
        <f t="shared" si="7"/>
        <v>0</v>
      </c>
      <c r="AD11" s="6">
        <f t="shared" si="8"/>
        <v>4500</v>
      </c>
      <c r="AE11" s="12">
        <v>50</v>
      </c>
      <c r="AF11" s="6">
        <v>0</v>
      </c>
      <c r="AG11" s="12">
        <v>0</v>
      </c>
      <c r="AH11" s="12">
        <v>10</v>
      </c>
      <c r="AI11" s="17">
        <f t="shared" si="9"/>
        <v>5000</v>
      </c>
      <c r="AJ11" s="17">
        <f t="shared" si="10"/>
        <v>0</v>
      </c>
      <c r="AK11" s="17">
        <f t="shared" si="11"/>
        <v>0</v>
      </c>
      <c r="AL11" s="25">
        <f t="shared" si="12"/>
        <v>3000</v>
      </c>
      <c r="AM11" s="12">
        <v>48</v>
      </c>
      <c r="AN11" s="6">
        <v>0</v>
      </c>
      <c r="AO11" s="12">
        <v>0</v>
      </c>
      <c r="AP11" s="12">
        <v>12</v>
      </c>
      <c r="AQ11" s="17">
        <f t="shared" si="13"/>
        <v>4800</v>
      </c>
      <c r="AR11" s="17">
        <f t="shared" si="14"/>
        <v>0</v>
      </c>
      <c r="AS11" s="17">
        <f t="shared" si="15"/>
        <v>0</v>
      </c>
      <c r="AT11" s="25">
        <f t="shared" si="16"/>
        <v>3600</v>
      </c>
      <c r="AU11" s="12">
        <v>50</v>
      </c>
      <c r="AV11" s="6">
        <v>0</v>
      </c>
      <c r="AW11" s="12">
        <v>0</v>
      </c>
      <c r="AX11" s="12">
        <v>15</v>
      </c>
      <c r="AY11" s="17">
        <f t="shared" si="17"/>
        <v>5000</v>
      </c>
      <c r="AZ11" s="17">
        <f t="shared" si="17"/>
        <v>0</v>
      </c>
      <c r="BA11" s="17">
        <f t="shared" si="18"/>
        <v>0</v>
      </c>
      <c r="BB11" s="25">
        <f t="shared" si="18"/>
        <v>4500</v>
      </c>
    </row>
    <row r="12" spans="1:54" ht="14">
      <c r="A12" s="6">
        <v>9</v>
      </c>
      <c r="B12" s="6" t="s">
        <v>29</v>
      </c>
      <c r="F12" s="11"/>
      <c r="G12" s="12">
        <v>36</v>
      </c>
      <c r="H12" s="13"/>
      <c r="I12" s="12">
        <v>0</v>
      </c>
      <c r="J12" s="12">
        <v>15</v>
      </c>
      <c r="K12" s="15">
        <f t="shared" si="0"/>
        <v>3600</v>
      </c>
      <c r="L12" s="16"/>
      <c r="M12" s="20">
        <f t="shared" si="1"/>
        <v>0</v>
      </c>
      <c r="N12" s="3">
        <f t="shared" si="2"/>
        <v>4500</v>
      </c>
      <c r="O12" s="12">
        <v>30</v>
      </c>
      <c r="P12" s="6"/>
      <c r="Q12" s="12">
        <v>0</v>
      </c>
      <c r="R12" s="12">
        <v>15</v>
      </c>
      <c r="S12" s="17">
        <f t="shared" si="3"/>
        <v>3000</v>
      </c>
      <c r="T12" s="17"/>
      <c r="U12" s="17">
        <f t="shared" si="4"/>
        <v>0</v>
      </c>
      <c r="V12" s="6">
        <f t="shared" si="5"/>
        <v>4500</v>
      </c>
      <c r="W12" s="12">
        <v>30</v>
      </c>
      <c r="X12" s="6"/>
      <c r="Y12" s="12">
        <v>0</v>
      </c>
      <c r="Z12" s="12">
        <v>12</v>
      </c>
      <c r="AA12" s="17">
        <f t="shared" si="6"/>
        <v>3000</v>
      </c>
      <c r="AB12" s="17"/>
      <c r="AC12" s="17">
        <f t="shared" si="7"/>
        <v>0</v>
      </c>
      <c r="AD12" s="6">
        <f t="shared" si="8"/>
        <v>3600</v>
      </c>
      <c r="AE12" s="12">
        <v>38</v>
      </c>
      <c r="AF12" s="6">
        <v>0</v>
      </c>
      <c r="AG12" s="12">
        <v>0</v>
      </c>
      <c r="AH12" s="12">
        <v>10</v>
      </c>
      <c r="AI12" s="17">
        <f t="shared" si="9"/>
        <v>3800</v>
      </c>
      <c r="AJ12" s="17">
        <f t="shared" si="10"/>
        <v>0</v>
      </c>
      <c r="AK12" s="17">
        <f t="shared" si="11"/>
        <v>0</v>
      </c>
      <c r="AL12" s="25">
        <f t="shared" si="12"/>
        <v>3000</v>
      </c>
      <c r="AM12" s="12">
        <v>40</v>
      </c>
      <c r="AN12" s="6">
        <v>0</v>
      </c>
      <c r="AO12" s="12">
        <v>0</v>
      </c>
      <c r="AP12" s="12">
        <v>15</v>
      </c>
      <c r="AQ12" s="17">
        <f t="shared" si="13"/>
        <v>4000</v>
      </c>
      <c r="AR12" s="17">
        <f t="shared" si="14"/>
        <v>0</v>
      </c>
      <c r="AS12" s="17">
        <f t="shared" si="15"/>
        <v>0</v>
      </c>
      <c r="AT12" s="25">
        <f t="shared" si="16"/>
        <v>4500</v>
      </c>
      <c r="AU12" s="12">
        <v>40</v>
      </c>
      <c r="AV12" s="6">
        <v>0</v>
      </c>
      <c r="AW12" s="12">
        <v>0</v>
      </c>
      <c r="AX12" s="12">
        <v>15</v>
      </c>
      <c r="AY12" s="17">
        <f t="shared" si="17"/>
        <v>4000</v>
      </c>
      <c r="AZ12" s="17">
        <f t="shared" si="17"/>
        <v>0</v>
      </c>
      <c r="BA12" s="17">
        <f t="shared" si="18"/>
        <v>0</v>
      </c>
      <c r="BB12" s="25">
        <f t="shared" si="18"/>
        <v>4500</v>
      </c>
    </row>
    <row r="13" spans="1:54" ht="14">
      <c r="A13" s="6">
        <v>10</v>
      </c>
      <c r="B13" s="6" t="s">
        <v>30</v>
      </c>
      <c r="F13" s="11"/>
      <c r="G13" s="12">
        <v>20</v>
      </c>
      <c r="H13" s="13"/>
      <c r="I13" s="12">
        <v>0</v>
      </c>
      <c r="J13" s="12">
        <v>20</v>
      </c>
      <c r="K13" s="15">
        <f t="shared" si="0"/>
        <v>2000</v>
      </c>
      <c r="L13" s="16"/>
      <c r="M13" s="20">
        <f t="shared" si="1"/>
        <v>0</v>
      </c>
      <c r="N13" s="3">
        <f t="shared" si="2"/>
        <v>6000</v>
      </c>
      <c r="O13" s="12">
        <v>15</v>
      </c>
      <c r="P13" s="6"/>
      <c r="Q13" s="12">
        <v>0</v>
      </c>
      <c r="R13" s="12">
        <v>20</v>
      </c>
      <c r="S13" s="17">
        <f t="shared" si="3"/>
        <v>1500</v>
      </c>
      <c r="T13" s="17"/>
      <c r="U13" s="17">
        <f t="shared" si="4"/>
        <v>0</v>
      </c>
      <c r="V13" s="6">
        <f t="shared" si="5"/>
        <v>6000</v>
      </c>
      <c r="W13" s="12">
        <v>15</v>
      </c>
      <c r="X13" s="6"/>
      <c r="Y13" s="12">
        <v>0</v>
      </c>
      <c r="Z13" s="12">
        <v>10</v>
      </c>
      <c r="AA13" s="17">
        <f t="shared" si="6"/>
        <v>1500</v>
      </c>
      <c r="AB13" s="17"/>
      <c r="AC13" s="17">
        <f t="shared" si="7"/>
        <v>0</v>
      </c>
      <c r="AD13" s="6">
        <f t="shared" si="8"/>
        <v>3000</v>
      </c>
      <c r="AE13" s="12">
        <v>25</v>
      </c>
      <c r="AF13" s="6">
        <v>0</v>
      </c>
      <c r="AG13" s="12">
        <v>0</v>
      </c>
      <c r="AH13" s="12">
        <v>15</v>
      </c>
      <c r="AI13" s="17">
        <f t="shared" si="9"/>
        <v>2500</v>
      </c>
      <c r="AJ13" s="17">
        <f t="shared" si="10"/>
        <v>0</v>
      </c>
      <c r="AK13" s="17">
        <f t="shared" si="11"/>
        <v>0</v>
      </c>
      <c r="AL13" s="25">
        <f t="shared" si="12"/>
        <v>4500</v>
      </c>
      <c r="AM13" s="12">
        <v>28</v>
      </c>
      <c r="AN13" s="6">
        <v>0</v>
      </c>
      <c r="AO13" s="12">
        <v>0</v>
      </c>
      <c r="AP13" s="12">
        <v>18</v>
      </c>
      <c r="AQ13" s="17">
        <f t="shared" si="13"/>
        <v>2800</v>
      </c>
      <c r="AR13" s="17">
        <f t="shared" si="14"/>
        <v>0</v>
      </c>
      <c r="AS13" s="17">
        <f t="shared" si="15"/>
        <v>0</v>
      </c>
      <c r="AT13" s="25">
        <f t="shared" si="16"/>
        <v>5400</v>
      </c>
      <c r="AU13" s="12">
        <v>30</v>
      </c>
      <c r="AV13" s="6">
        <v>0</v>
      </c>
      <c r="AW13" s="12">
        <v>0</v>
      </c>
      <c r="AX13" s="12">
        <v>20</v>
      </c>
      <c r="AY13" s="17">
        <f t="shared" si="17"/>
        <v>3000</v>
      </c>
      <c r="AZ13" s="17">
        <f t="shared" si="17"/>
        <v>0</v>
      </c>
      <c r="BA13" s="17">
        <f t="shared" si="18"/>
        <v>0</v>
      </c>
      <c r="BB13" s="25">
        <f t="shared" si="18"/>
        <v>6000</v>
      </c>
    </row>
    <row r="14" spans="1:54" ht="14">
      <c r="A14" s="6">
        <v>11</v>
      </c>
      <c r="B14" s="6" t="s">
        <v>31</v>
      </c>
      <c r="F14" s="11"/>
      <c r="G14" s="12">
        <v>45</v>
      </c>
      <c r="H14" s="13"/>
      <c r="I14" s="12">
        <v>0</v>
      </c>
      <c r="J14" s="12">
        <v>10</v>
      </c>
      <c r="K14" s="15">
        <f t="shared" si="0"/>
        <v>4500</v>
      </c>
      <c r="L14" s="16"/>
      <c r="M14" s="20">
        <f t="shared" si="1"/>
        <v>0</v>
      </c>
      <c r="N14" s="3">
        <f t="shared" si="2"/>
        <v>3000</v>
      </c>
      <c r="O14" s="12">
        <v>50</v>
      </c>
      <c r="P14" s="6"/>
      <c r="Q14" s="12">
        <v>0</v>
      </c>
      <c r="R14" s="12">
        <v>10</v>
      </c>
      <c r="S14" s="17">
        <f t="shared" si="3"/>
        <v>5000</v>
      </c>
      <c r="T14" s="17"/>
      <c r="U14" s="17">
        <f t="shared" si="4"/>
        <v>0</v>
      </c>
      <c r="V14" s="6">
        <f t="shared" si="5"/>
        <v>3000</v>
      </c>
      <c r="W14" s="12">
        <v>50</v>
      </c>
      <c r="X14" s="6"/>
      <c r="Y14" s="12">
        <v>0</v>
      </c>
      <c r="Z14" s="12">
        <v>10</v>
      </c>
      <c r="AA14" s="17">
        <f t="shared" si="6"/>
        <v>5000</v>
      </c>
      <c r="AB14" s="17"/>
      <c r="AC14" s="17">
        <f t="shared" si="7"/>
        <v>0</v>
      </c>
      <c r="AD14" s="6">
        <f t="shared" si="8"/>
        <v>3000</v>
      </c>
      <c r="AE14" s="12">
        <v>45</v>
      </c>
      <c r="AF14" s="6">
        <v>0</v>
      </c>
      <c r="AG14" s="12">
        <v>0</v>
      </c>
      <c r="AH14" s="12">
        <v>15</v>
      </c>
      <c r="AI14" s="17">
        <f t="shared" si="9"/>
        <v>4500</v>
      </c>
      <c r="AJ14" s="17">
        <f t="shared" si="10"/>
        <v>0</v>
      </c>
      <c r="AK14" s="17">
        <f t="shared" si="11"/>
        <v>0</v>
      </c>
      <c r="AL14" s="25">
        <f t="shared" si="12"/>
        <v>4500</v>
      </c>
      <c r="AM14" s="12">
        <v>46</v>
      </c>
      <c r="AN14" s="6">
        <v>0</v>
      </c>
      <c r="AO14" s="12">
        <v>0</v>
      </c>
      <c r="AP14" s="12">
        <v>18</v>
      </c>
      <c r="AQ14" s="17">
        <f t="shared" si="13"/>
        <v>4600</v>
      </c>
      <c r="AR14" s="17">
        <f t="shared" si="14"/>
        <v>0</v>
      </c>
      <c r="AS14" s="17">
        <f t="shared" si="15"/>
        <v>0</v>
      </c>
      <c r="AT14" s="25">
        <f t="shared" si="16"/>
        <v>5400</v>
      </c>
      <c r="AU14" s="12">
        <v>48</v>
      </c>
      <c r="AV14" s="6">
        <v>0</v>
      </c>
      <c r="AW14" s="12">
        <v>0</v>
      </c>
      <c r="AX14" s="12">
        <v>20</v>
      </c>
      <c r="AY14" s="17">
        <f t="shared" si="17"/>
        <v>4800</v>
      </c>
      <c r="AZ14" s="17">
        <f t="shared" si="17"/>
        <v>0</v>
      </c>
      <c r="BA14" s="17">
        <f t="shared" si="18"/>
        <v>0</v>
      </c>
      <c r="BB14" s="25">
        <f t="shared" si="18"/>
        <v>6000</v>
      </c>
    </row>
    <row r="15" spans="1:54" ht="14">
      <c r="A15" s="6">
        <v>12</v>
      </c>
      <c r="B15" s="6" t="s">
        <v>33</v>
      </c>
      <c r="F15" s="11"/>
      <c r="G15" s="12">
        <v>22</v>
      </c>
      <c r="H15" s="13"/>
      <c r="I15" s="12">
        <v>0</v>
      </c>
      <c r="J15" s="12">
        <v>15</v>
      </c>
      <c r="K15" s="15">
        <f t="shared" si="0"/>
        <v>2200</v>
      </c>
      <c r="L15" s="16"/>
      <c r="M15" s="20">
        <f t="shared" si="1"/>
        <v>0</v>
      </c>
      <c r="N15" s="3">
        <f t="shared" si="2"/>
        <v>4500</v>
      </c>
      <c r="O15" s="12">
        <v>25</v>
      </c>
      <c r="P15" s="6"/>
      <c r="Q15" s="12">
        <v>0</v>
      </c>
      <c r="R15" s="12">
        <v>10</v>
      </c>
      <c r="S15" s="17">
        <f t="shared" si="3"/>
        <v>2500</v>
      </c>
      <c r="T15" s="17"/>
      <c r="U15" s="17">
        <f t="shared" si="4"/>
        <v>0</v>
      </c>
      <c r="V15" s="6">
        <f t="shared" si="5"/>
        <v>3000</v>
      </c>
      <c r="W15" s="12">
        <v>25</v>
      </c>
      <c r="X15" s="6"/>
      <c r="Y15" s="12">
        <v>0</v>
      </c>
      <c r="Z15" s="12">
        <v>10</v>
      </c>
      <c r="AA15" s="17">
        <f t="shared" si="6"/>
        <v>2500</v>
      </c>
      <c r="AB15" s="17"/>
      <c r="AC15" s="17">
        <f t="shared" si="7"/>
        <v>0</v>
      </c>
      <c r="AD15" s="6">
        <f t="shared" si="8"/>
        <v>3000</v>
      </c>
      <c r="AE15" s="12">
        <v>0</v>
      </c>
      <c r="AF15" s="6">
        <v>40</v>
      </c>
      <c r="AG15" s="12">
        <v>0</v>
      </c>
      <c r="AH15" s="12">
        <v>20</v>
      </c>
      <c r="AI15" s="17">
        <f t="shared" si="9"/>
        <v>0</v>
      </c>
      <c r="AJ15" s="17">
        <f t="shared" si="10"/>
        <v>4000</v>
      </c>
      <c r="AK15" s="17">
        <f t="shared" si="11"/>
        <v>0</v>
      </c>
      <c r="AL15" s="25">
        <f t="shared" si="12"/>
        <v>6000</v>
      </c>
      <c r="AM15" s="12">
        <v>10</v>
      </c>
      <c r="AN15" s="6">
        <v>0</v>
      </c>
      <c r="AO15" s="12">
        <v>0</v>
      </c>
      <c r="AP15" s="12">
        <v>18</v>
      </c>
      <c r="AQ15" s="17">
        <f t="shared" si="13"/>
        <v>1000</v>
      </c>
      <c r="AR15" s="17">
        <f t="shared" si="14"/>
        <v>0</v>
      </c>
      <c r="AS15" s="17">
        <f t="shared" si="15"/>
        <v>0</v>
      </c>
      <c r="AT15" s="25">
        <f t="shared" si="16"/>
        <v>5400</v>
      </c>
      <c r="AU15" s="12">
        <v>12</v>
      </c>
      <c r="AV15" s="6">
        <v>0</v>
      </c>
      <c r="AW15" s="12">
        <v>0</v>
      </c>
      <c r="AX15" s="12">
        <v>10</v>
      </c>
      <c r="AY15" s="17">
        <f t="shared" si="17"/>
        <v>1200</v>
      </c>
      <c r="AZ15" s="17">
        <f>AV15*100</f>
        <v>0</v>
      </c>
      <c r="BA15" s="17">
        <f t="shared" si="18"/>
        <v>0</v>
      </c>
      <c r="BB15" s="25">
        <f t="shared" si="18"/>
        <v>3000</v>
      </c>
    </row>
    <row r="16" spans="1:54" ht="14">
      <c r="A16" s="6">
        <v>13</v>
      </c>
      <c r="B16" s="6" t="s">
        <v>34</v>
      </c>
      <c r="F16" s="11"/>
      <c r="G16" s="12">
        <v>24</v>
      </c>
      <c r="H16" s="13"/>
      <c r="I16" s="12">
        <v>0</v>
      </c>
      <c r="J16" s="12">
        <v>10</v>
      </c>
      <c r="K16" s="15">
        <f t="shared" si="0"/>
        <v>2400</v>
      </c>
      <c r="L16" s="16"/>
      <c r="M16" s="20">
        <f t="shared" si="1"/>
        <v>0</v>
      </c>
      <c r="N16" s="3">
        <f t="shared" si="2"/>
        <v>3000</v>
      </c>
      <c r="O16" s="12">
        <v>20</v>
      </c>
      <c r="P16" s="6"/>
      <c r="Q16" s="12">
        <v>0</v>
      </c>
      <c r="R16" s="12">
        <v>5</v>
      </c>
      <c r="S16" s="17">
        <f t="shared" si="3"/>
        <v>2000</v>
      </c>
      <c r="T16" s="17"/>
      <c r="U16" s="17">
        <f t="shared" si="4"/>
        <v>0</v>
      </c>
      <c r="V16" s="6">
        <f t="shared" si="5"/>
        <v>1500</v>
      </c>
      <c r="W16" s="12">
        <v>25</v>
      </c>
      <c r="X16" s="6"/>
      <c r="Y16" s="12">
        <v>0</v>
      </c>
      <c r="Z16" s="12">
        <v>5</v>
      </c>
      <c r="AA16" s="17">
        <f t="shared" si="6"/>
        <v>2500</v>
      </c>
      <c r="AB16" s="17"/>
      <c r="AC16" s="17">
        <f t="shared" si="7"/>
        <v>0</v>
      </c>
      <c r="AD16" s="6">
        <f t="shared" si="8"/>
        <v>1500</v>
      </c>
      <c r="AE16" s="12">
        <v>30</v>
      </c>
      <c r="AF16" s="6">
        <v>0</v>
      </c>
      <c r="AG16" s="12">
        <v>0</v>
      </c>
      <c r="AH16" s="12">
        <v>10</v>
      </c>
      <c r="AI16" s="17">
        <f t="shared" si="9"/>
        <v>3000</v>
      </c>
      <c r="AJ16" s="17">
        <f t="shared" si="10"/>
        <v>0</v>
      </c>
      <c r="AK16" s="17">
        <f t="shared" si="11"/>
        <v>0</v>
      </c>
      <c r="AL16" s="25">
        <f t="shared" si="12"/>
        <v>3000</v>
      </c>
      <c r="AM16" s="12">
        <v>32</v>
      </c>
      <c r="AN16" s="6">
        <v>0</v>
      </c>
      <c r="AO16" s="12">
        <v>0</v>
      </c>
      <c r="AP16" s="12">
        <v>12</v>
      </c>
      <c r="AQ16" s="17">
        <f t="shared" si="13"/>
        <v>3200</v>
      </c>
      <c r="AR16" s="17">
        <f t="shared" si="14"/>
        <v>0</v>
      </c>
      <c r="AS16" s="17">
        <f t="shared" si="15"/>
        <v>0</v>
      </c>
      <c r="AT16" s="25">
        <f t="shared" si="16"/>
        <v>3600</v>
      </c>
      <c r="AU16" s="12">
        <v>40</v>
      </c>
      <c r="AV16" s="6">
        <v>0</v>
      </c>
      <c r="AW16" s="12">
        <v>0</v>
      </c>
      <c r="AX16" s="12">
        <v>15</v>
      </c>
      <c r="AY16" s="17">
        <f t="shared" si="17"/>
        <v>4000</v>
      </c>
      <c r="AZ16" s="17">
        <f>AV16*100</f>
        <v>0</v>
      </c>
      <c r="BA16" s="17">
        <f t="shared" si="18"/>
        <v>0</v>
      </c>
      <c r="BB16" s="25">
        <f t="shared" si="18"/>
        <v>4500</v>
      </c>
    </row>
    <row r="17" spans="1:54" ht="14">
      <c r="A17" s="6">
        <v>14</v>
      </c>
      <c r="B17" s="6" t="s">
        <v>35</v>
      </c>
      <c r="F17" s="11"/>
      <c r="G17" s="12">
        <v>38</v>
      </c>
      <c r="H17" s="13"/>
      <c r="I17" s="12">
        <v>0</v>
      </c>
      <c r="J17" s="12">
        <v>12.5</v>
      </c>
      <c r="K17" s="15">
        <f t="shared" si="0"/>
        <v>3800</v>
      </c>
      <c r="L17" s="16"/>
      <c r="M17" s="20">
        <f t="shared" si="1"/>
        <v>0</v>
      </c>
      <c r="N17" s="3">
        <f t="shared" si="2"/>
        <v>3750</v>
      </c>
      <c r="O17" s="12">
        <v>35</v>
      </c>
      <c r="P17" s="6"/>
      <c r="Q17" s="12">
        <v>0</v>
      </c>
      <c r="R17" s="12">
        <v>15</v>
      </c>
      <c r="S17" s="17">
        <f t="shared" si="3"/>
        <v>3500</v>
      </c>
      <c r="T17" s="17"/>
      <c r="U17" s="17">
        <f t="shared" si="4"/>
        <v>0</v>
      </c>
      <c r="V17" s="6">
        <f t="shared" si="5"/>
        <v>4500</v>
      </c>
      <c r="W17" s="12">
        <v>35</v>
      </c>
      <c r="X17" s="6"/>
      <c r="Y17" s="12">
        <v>0</v>
      </c>
      <c r="Z17" s="12">
        <v>10.5</v>
      </c>
      <c r="AA17" s="17">
        <f t="shared" si="6"/>
        <v>3500</v>
      </c>
      <c r="AB17" s="17"/>
      <c r="AC17" s="17">
        <f t="shared" si="7"/>
        <v>0</v>
      </c>
      <c r="AD17" s="6">
        <f t="shared" si="8"/>
        <v>3150</v>
      </c>
      <c r="AE17" s="12">
        <v>30</v>
      </c>
      <c r="AF17" s="6">
        <v>0</v>
      </c>
      <c r="AG17" s="12">
        <v>0</v>
      </c>
      <c r="AH17" s="12">
        <v>10</v>
      </c>
      <c r="AI17" s="17">
        <f t="shared" si="9"/>
        <v>3000</v>
      </c>
      <c r="AJ17" s="17">
        <f t="shared" ref="AJ17:AJ21" si="19">AF17*100</f>
        <v>0</v>
      </c>
      <c r="AK17" s="17">
        <f t="shared" si="11"/>
        <v>0</v>
      </c>
      <c r="AL17" s="25">
        <f t="shared" si="12"/>
        <v>3000</v>
      </c>
      <c r="AM17" s="12">
        <v>0</v>
      </c>
      <c r="AN17" s="6">
        <v>32</v>
      </c>
      <c r="AO17" s="12">
        <v>0</v>
      </c>
      <c r="AP17" s="12">
        <v>14</v>
      </c>
      <c r="AQ17" s="17">
        <f t="shared" si="13"/>
        <v>0</v>
      </c>
      <c r="AR17" s="17">
        <f t="shared" ref="AR17:AR21" si="20">AN17*100</f>
        <v>3200</v>
      </c>
      <c r="AS17" s="17">
        <f t="shared" si="15"/>
        <v>0</v>
      </c>
      <c r="AT17" s="25">
        <f t="shared" si="16"/>
        <v>4200</v>
      </c>
      <c r="AU17" s="12">
        <v>0</v>
      </c>
      <c r="AV17" s="6">
        <v>30</v>
      </c>
      <c r="AW17" s="12">
        <v>0</v>
      </c>
      <c r="AX17" s="12">
        <v>16</v>
      </c>
      <c r="AY17" s="17">
        <f t="shared" si="17"/>
        <v>0</v>
      </c>
      <c r="AZ17" s="17">
        <f t="shared" si="17"/>
        <v>3000</v>
      </c>
      <c r="BA17" s="17">
        <f t="shared" si="18"/>
        <v>0</v>
      </c>
      <c r="BB17" s="25">
        <f t="shared" si="18"/>
        <v>4800</v>
      </c>
    </row>
    <row r="18" spans="1:54" ht="14">
      <c r="A18" s="6">
        <v>15</v>
      </c>
      <c r="B18" s="6" t="s">
        <v>36</v>
      </c>
      <c r="F18" s="11"/>
      <c r="G18" s="12">
        <v>35</v>
      </c>
      <c r="H18" s="13"/>
      <c r="I18" s="12">
        <v>0</v>
      </c>
      <c r="J18" s="12">
        <v>10</v>
      </c>
      <c r="K18" s="15">
        <f t="shared" si="0"/>
        <v>3500</v>
      </c>
      <c r="L18" s="16"/>
      <c r="M18" s="20">
        <f t="shared" si="1"/>
        <v>0</v>
      </c>
      <c r="N18" s="3">
        <f t="shared" si="2"/>
        <v>3000</v>
      </c>
      <c r="O18" s="12">
        <v>25</v>
      </c>
      <c r="P18" s="6"/>
      <c r="Q18" s="12">
        <v>0</v>
      </c>
      <c r="R18" s="12">
        <v>5</v>
      </c>
      <c r="S18" s="17">
        <f t="shared" si="3"/>
        <v>2500</v>
      </c>
      <c r="T18" s="17"/>
      <c r="U18" s="17">
        <f t="shared" si="4"/>
        <v>0</v>
      </c>
      <c r="V18" s="6">
        <f t="shared" si="5"/>
        <v>1500</v>
      </c>
      <c r="W18" s="12">
        <v>25</v>
      </c>
      <c r="X18" s="6"/>
      <c r="Y18" s="12">
        <v>0</v>
      </c>
      <c r="Z18" s="12">
        <v>10</v>
      </c>
      <c r="AA18" s="17">
        <f t="shared" si="6"/>
        <v>2500</v>
      </c>
      <c r="AB18" s="17"/>
      <c r="AC18" s="17">
        <f t="shared" si="7"/>
        <v>0</v>
      </c>
      <c r="AD18" s="6">
        <f t="shared" si="8"/>
        <v>3000</v>
      </c>
      <c r="AE18" s="12">
        <v>30</v>
      </c>
      <c r="AF18" s="6">
        <v>0</v>
      </c>
      <c r="AG18" s="12">
        <v>0</v>
      </c>
      <c r="AH18" s="12">
        <v>15</v>
      </c>
      <c r="AI18" s="17">
        <f t="shared" si="9"/>
        <v>3000</v>
      </c>
      <c r="AJ18" s="17">
        <f t="shared" si="19"/>
        <v>0</v>
      </c>
      <c r="AK18" s="17">
        <f t="shared" si="11"/>
        <v>0</v>
      </c>
      <c r="AL18" s="25">
        <f t="shared" si="12"/>
        <v>4500</v>
      </c>
      <c r="AM18" s="12">
        <v>30</v>
      </c>
      <c r="AN18" s="6">
        <v>0</v>
      </c>
      <c r="AO18" s="12">
        <v>0</v>
      </c>
      <c r="AP18" s="12">
        <v>16</v>
      </c>
      <c r="AQ18" s="17">
        <f t="shared" si="13"/>
        <v>3000</v>
      </c>
      <c r="AR18" s="17">
        <f t="shared" si="20"/>
        <v>0</v>
      </c>
      <c r="AS18" s="17">
        <f t="shared" si="15"/>
        <v>0</v>
      </c>
      <c r="AT18" s="25">
        <f t="shared" si="16"/>
        <v>4800</v>
      </c>
      <c r="AU18" s="12">
        <v>30</v>
      </c>
      <c r="AV18" s="6">
        <v>0</v>
      </c>
      <c r="AW18" s="12">
        <v>0</v>
      </c>
      <c r="AX18" s="12">
        <v>16</v>
      </c>
      <c r="AY18" s="17">
        <f t="shared" si="17"/>
        <v>3000</v>
      </c>
      <c r="AZ18" s="17">
        <f t="shared" si="17"/>
        <v>0</v>
      </c>
      <c r="BA18" s="17">
        <f t="shared" si="18"/>
        <v>0</v>
      </c>
      <c r="BB18" s="25">
        <f t="shared" si="18"/>
        <v>4800</v>
      </c>
    </row>
    <row r="19" spans="1:54" ht="14">
      <c r="A19" s="6">
        <v>16</v>
      </c>
      <c r="B19" s="6" t="s">
        <v>37</v>
      </c>
      <c r="F19" s="11"/>
      <c r="G19" s="12">
        <v>30</v>
      </c>
      <c r="H19" s="13"/>
      <c r="I19" s="12">
        <v>0</v>
      </c>
      <c r="J19" s="12">
        <v>10</v>
      </c>
      <c r="K19" s="15">
        <f t="shared" si="0"/>
        <v>3000</v>
      </c>
      <c r="L19" s="16"/>
      <c r="M19" s="20">
        <f t="shared" si="1"/>
        <v>0</v>
      </c>
      <c r="N19" s="3">
        <f t="shared" si="2"/>
        <v>3000</v>
      </c>
      <c r="O19" s="12">
        <v>25</v>
      </c>
      <c r="P19" s="6"/>
      <c r="Q19" s="12">
        <v>0</v>
      </c>
      <c r="R19" s="12">
        <v>10</v>
      </c>
      <c r="S19" s="17">
        <f t="shared" si="3"/>
        <v>2500</v>
      </c>
      <c r="T19" s="17"/>
      <c r="U19" s="17">
        <f t="shared" si="4"/>
        <v>0</v>
      </c>
      <c r="V19" s="6">
        <f t="shared" si="5"/>
        <v>3000</v>
      </c>
      <c r="W19" s="12">
        <v>25</v>
      </c>
      <c r="X19" s="6"/>
      <c r="Y19" s="12">
        <v>0</v>
      </c>
      <c r="Z19" s="12">
        <v>10</v>
      </c>
      <c r="AA19" s="17">
        <f t="shared" si="6"/>
        <v>2500</v>
      </c>
      <c r="AB19" s="17"/>
      <c r="AC19" s="17">
        <f t="shared" si="7"/>
        <v>0</v>
      </c>
      <c r="AD19" s="6">
        <f t="shared" si="8"/>
        <v>3000</v>
      </c>
      <c r="AE19" s="12">
        <v>25</v>
      </c>
      <c r="AF19" s="6">
        <v>0</v>
      </c>
      <c r="AG19" s="12">
        <v>0</v>
      </c>
      <c r="AH19" s="12">
        <v>12</v>
      </c>
      <c r="AI19" s="17">
        <f t="shared" si="9"/>
        <v>2500</v>
      </c>
      <c r="AJ19" s="17">
        <f t="shared" si="19"/>
        <v>0</v>
      </c>
      <c r="AK19" s="17">
        <f t="shared" si="11"/>
        <v>0</v>
      </c>
      <c r="AL19" s="25">
        <f t="shared" si="12"/>
        <v>3600</v>
      </c>
      <c r="AM19" s="12">
        <v>30</v>
      </c>
      <c r="AN19" s="6">
        <v>0</v>
      </c>
      <c r="AO19" s="12">
        <v>0</v>
      </c>
      <c r="AP19" s="12">
        <v>20</v>
      </c>
      <c r="AQ19" s="17">
        <f t="shared" si="13"/>
        <v>3000</v>
      </c>
      <c r="AR19" s="17">
        <f t="shared" si="20"/>
        <v>0</v>
      </c>
      <c r="AS19" s="17">
        <f t="shared" si="15"/>
        <v>0</v>
      </c>
      <c r="AT19" s="25">
        <f t="shared" si="16"/>
        <v>6000</v>
      </c>
      <c r="AU19" s="12">
        <v>40</v>
      </c>
      <c r="AV19" s="6">
        <v>0</v>
      </c>
      <c r="AW19" s="12">
        <v>0</v>
      </c>
      <c r="AX19" s="12">
        <v>20</v>
      </c>
      <c r="AY19" s="17">
        <f t="shared" si="17"/>
        <v>4000</v>
      </c>
      <c r="AZ19" s="17">
        <f t="shared" si="17"/>
        <v>0</v>
      </c>
      <c r="BA19" s="17">
        <f t="shared" si="18"/>
        <v>0</v>
      </c>
      <c r="BB19" s="25">
        <f t="shared" si="18"/>
        <v>6000</v>
      </c>
    </row>
    <row r="20" spans="1:54" ht="14">
      <c r="A20" s="6">
        <v>17</v>
      </c>
      <c r="B20" s="6" t="s">
        <v>39</v>
      </c>
      <c r="F20" s="11"/>
      <c r="G20" s="12">
        <v>40</v>
      </c>
      <c r="H20" s="13"/>
      <c r="I20" s="12">
        <v>0</v>
      </c>
      <c r="J20" s="12">
        <v>0</v>
      </c>
      <c r="K20" s="15">
        <f t="shared" si="0"/>
        <v>4000</v>
      </c>
      <c r="L20" s="16"/>
      <c r="M20" s="20">
        <f t="shared" si="1"/>
        <v>0</v>
      </c>
      <c r="N20" s="3">
        <f t="shared" si="2"/>
        <v>0</v>
      </c>
      <c r="O20" s="12">
        <v>45</v>
      </c>
      <c r="P20" s="6"/>
      <c r="Q20" s="12">
        <v>0</v>
      </c>
      <c r="R20" s="12">
        <v>0</v>
      </c>
      <c r="S20" s="17">
        <f t="shared" si="3"/>
        <v>4500</v>
      </c>
      <c r="T20" s="17"/>
      <c r="U20" s="17">
        <f t="shared" si="4"/>
        <v>0</v>
      </c>
      <c r="V20" s="6">
        <f t="shared" si="5"/>
        <v>0</v>
      </c>
      <c r="W20" s="12">
        <v>50</v>
      </c>
      <c r="X20" s="6"/>
      <c r="Y20" s="12">
        <v>0</v>
      </c>
      <c r="Z20" s="12">
        <v>0</v>
      </c>
      <c r="AA20" s="17">
        <f t="shared" si="6"/>
        <v>5000</v>
      </c>
      <c r="AB20" s="17"/>
      <c r="AC20" s="17">
        <f t="shared" si="7"/>
        <v>0</v>
      </c>
      <c r="AD20" s="6">
        <f t="shared" si="8"/>
        <v>0</v>
      </c>
      <c r="AE20" s="12">
        <v>45</v>
      </c>
      <c r="AF20" s="6">
        <v>15</v>
      </c>
      <c r="AG20" s="12">
        <v>0</v>
      </c>
      <c r="AH20" s="12">
        <v>0</v>
      </c>
      <c r="AI20" s="17">
        <f t="shared" si="9"/>
        <v>4500</v>
      </c>
      <c r="AJ20" s="17">
        <f t="shared" si="19"/>
        <v>1500</v>
      </c>
      <c r="AK20" s="17">
        <f t="shared" si="11"/>
        <v>0</v>
      </c>
      <c r="AL20" s="25">
        <f t="shared" si="12"/>
        <v>0</v>
      </c>
      <c r="AM20" s="12">
        <v>45</v>
      </c>
      <c r="AN20" s="6">
        <v>15</v>
      </c>
      <c r="AO20" s="12">
        <v>0</v>
      </c>
      <c r="AP20" s="12">
        <v>0</v>
      </c>
      <c r="AQ20" s="17">
        <f t="shared" si="13"/>
        <v>4500</v>
      </c>
      <c r="AR20" s="17">
        <f t="shared" si="20"/>
        <v>1500</v>
      </c>
      <c r="AS20" s="17">
        <f t="shared" si="15"/>
        <v>0</v>
      </c>
      <c r="AT20" s="25">
        <f t="shared" si="16"/>
        <v>0</v>
      </c>
      <c r="AU20" s="12">
        <v>40</v>
      </c>
      <c r="AV20" s="6">
        <v>15</v>
      </c>
      <c r="AW20" s="12">
        <v>0</v>
      </c>
      <c r="AX20" s="12">
        <v>5</v>
      </c>
      <c r="AY20" s="17">
        <f t="shared" si="17"/>
        <v>4000</v>
      </c>
      <c r="AZ20" s="17">
        <f>AV20*100</f>
        <v>1500</v>
      </c>
      <c r="BA20" s="17">
        <f t="shared" si="18"/>
        <v>0</v>
      </c>
      <c r="BB20" s="25">
        <f t="shared" si="18"/>
        <v>1500</v>
      </c>
    </row>
    <row r="21" spans="1:54" ht="14">
      <c r="A21" s="6">
        <v>18</v>
      </c>
      <c r="B21" s="6" t="s">
        <v>41</v>
      </c>
      <c r="F21" s="11"/>
      <c r="G21" s="12">
        <v>30</v>
      </c>
      <c r="H21" s="13"/>
      <c r="I21" s="12">
        <v>0</v>
      </c>
      <c r="J21" s="12">
        <v>15</v>
      </c>
      <c r="K21" s="15">
        <f t="shared" si="0"/>
        <v>3000</v>
      </c>
      <c r="L21" s="16"/>
      <c r="M21" s="20">
        <f t="shared" si="1"/>
        <v>0</v>
      </c>
      <c r="N21" s="3">
        <f t="shared" si="2"/>
        <v>4500</v>
      </c>
      <c r="O21" s="12">
        <v>30</v>
      </c>
      <c r="P21" s="6"/>
      <c r="Q21" s="12">
        <v>0</v>
      </c>
      <c r="R21" s="12">
        <v>10</v>
      </c>
      <c r="S21" s="17">
        <f t="shared" si="3"/>
        <v>3000</v>
      </c>
      <c r="T21" s="17"/>
      <c r="U21" s="17">
        <f t="shared" si="4"/>
        <v>0</v>
      </c>
      <c r="V21" s="6">
        <f t="shared" si="5"/>
        <v>3000</v>
      </c>
      <c r="W21" s="12">
        <v>30</v>
      </c>
      <c r="X21" s="6"/>
      <c r="Y21" s="12">
        <v>0</v>
      </c>
      <c r="Z21" s="12">
        <v>10</v>
      </c>
      <c r="AA21" s="17">
        <f t="shared" si="6"/>
        <v>3000</v>
      </c>
      <c r="AB21" s="17"/>
      <c r="AC21" s="17">
        <f t="shared" si="7"/>
        <v>0</v>
      </c>
      <c r="AD21" s="6">
        <f t="shared" si="8"/>
        <v>3000</v>
      </c>
      <c r="AE21" s="12">
        <v>33</v>
      </c>
      <c r="AF21" s="6">
        <v>0</v>
      </c>
      <c r="AG21" s="12">
        <v>0</v>
      </c>
      <c r="AH21" s="12">
        <v>10</v>
      </c>
      <c r="AI21" s="17">
        <f t="shared" si="9"/>
        <v>3300</v>
      </c>
      <c r="AJ21" s="17">
        <f t="shared" si="19"/>
        <v>0</v>
      </c>
      <c r="AK21" s="17">
        <f t="shared" si="11"/>
        <v>0</v>
      </c>
      <c r="AL21" s="25">
        <f t="shared" si="12"/>
        <v>3000</v>
      </c>
      <c r="AM21" s="12">
        <v>35</v>
      </c>
      <c r="AN21" s="6">
        <v>0</v>
      </c>
      <c r="AO21" s="12">
        <v>0</v>
      </c>
      <c r="AP21" s="12">
        <v>3</v>
      </c>
      <c r="AQ21" s="17">
        <f t="shared" si="13"/>
        <v>3500</v>
      </c>
      <c r="AR21" s="17">
        <f t="shared" si="20"/>
        <v>0</v>
      </c>
      <c r="AS21" s="17">
        <f t="shared" si="15"/>
        <v>0</v>
      </c>
      <c r="AT21" s="25">
        <f t="shared" si="16"/>
        <v>900</v>
      </c>
      <c r="AU21" s="12">
        <v>35</v>
      </c>
      <c r="AV21" s="6">
        <v>0</v>
      </c>
      <c r="AW21" s="12">
        <v>0</v>
      </c>
      <c r="AX21" s="12">
        <v>5</v>
      </c>
      <c r="AY21" s="17">
        <f t="shared" si="17"/>
        <v>3500</v>
      </c>
      <c r="AZ21" s="17">
        <f>AV21*100</f>
        <v>0</v>
      </c>
      <c r="BA21" s="17">
        <f t="shared" si="18"/>
        <v>0</v>
      </c>
      <c r="BB21" s="25">
        <f t="shared" si="18"/>
        <v>1500</v>
      </c>
    </row>
    <row r="22" spans="1:54" ht="14">
      <c r="A22" s="6">
        <v>19</v>
      </c>
      <c r="B22" s="6" t="s">
        <v>42</v>
      </c>
      <c r="F22" s="11"/>
      <c r="G22" s="12">
        <v>35</v>
      </c>
      <c r="H22" s="13"/>
      <c r="I22" s="12">
        <v>0</v>
      </c>
      <c r="J22" s="12">
        <v>10</v>
      </c>
      <c r="K22" s="15">
        <f t="shared" si="0"/>
        <v>3500</v>
      </c>
      <c r="L22" s="17"/>
      <c r="M22" s="20">
        <f t="shared" si="1"/>
        <v>0</v>
      </c>
      <c r="N22" s="3">
        <f t="shared" si="2"/>
        <v>3000</v>
      </c>
      <c r="O22" s="12">
        <v>30</v>
      </c>
      <c r="P22" s="6"/>
      <c r="Q22" s="12">
        <v>0</v>
      </c>
      <c r="R22" s="12">
        <v>7.5</v>
      </c>
      <c r="S22" s="17">
        <f t="shared" si="3"/>
        <v>3000</v>
      </c>
      <c r="T22" s="17"/>
      <c r="U22" s="17">
        <f t="shared" si="4"/>
        <v>0</v>
      </c>
      <c r="V22" s="6">
        <f t="shared" si="5"/>
        <v>2250</v>
      </c>
      <c r="W22" s="12">
        <v>33</v>
      </c>
      <c r="X22" s="6"/>
      <c r="Y22" s="12">
        <v>0</v>
      </c>
      <c r="Z22" s="12">
        <v>7.5</v>
      </c>
      <c r="AA22" s="17">
        <f t="shared" si="6"/>
        <v>3300</v>
      </c>
      <c r="AB22" s="17"/>
      <c r="AC22" s="17">
        <f t="shared" si="7"/>
        <v>0</v>
      </c>
      <c r="AD22" s="6">
        <f t="shared" si="8"/>
        <v>2250</v>
      </c>
      <c r="AE22" s="12">
        <v>35</v>
      </c>
      <c r="AF22" s="6">
        <v>0</v>
      </c>
      <c r="AG22" s="12">
        <v>0</v>
      </c>
      <c r="AH22" s="12">
        <v>10</v>
      </c>
      <c r="AI22" s="17">
        <f t="shared" si="9"/>
        <v>3500</v>
      </c>
      <c r="AJ22" s="17">
        <f t="shared" ref="AJ22:AJ44" si="21">AF22*100</f>
        <v>0</v>
      </c>
      <c r="AK22" s="17">
        <f t="shared" si="11"/>
        <v>0</v>
      </c>
      <c r="AL22" s="25">
        <f t="shared" si="12"/>
        <v>3000</v>
      </c>
      <c r="AM22" s="12">
        <v>30</v>
      </c>
      <c r="AN22" s="6">
        <v>0</v>
      </c>
      <c r="AO22" s="12">
        <v>0</v>
      </c>
      <c r="AP22" s="12">
        <v>8</v>
      </c>
      <c r="AQ22" s="17">
        <f t="shared" si="13"/>
        <v>3000</v>
      </c>
      <c r="AR22" s="17">
        <f t="shared" ref="AR22:AR44" si="22">AN22*100</f>
        <v>0</v>
      </c>
      <c r="AS22" s="17">
        <f t="shared" si="15"/>
        <v>0</v>
      </c>
      <c r="AT22" s="25">
        <f t="shared" si="16"/>
        <v>2400</v>
      </c>
      <c r="AU22" s="12">
        <v>30</v>
      </c>
      <c r="AV22" s="6">
        <v>0</v>
      </c>
      <c r="AW22" s="12">
        <v>0</v>
      </c>
      <c r="AX22" s="12">
        <v>10</v>
      </c>
      <c r="AY22" s="17">
        <f t="shared" si="17"/>
        <v>3000</v>
      </c>
      <c r="AZ22" s="17">
        <f t="shared" si="17"/>
        <v>0</v>
      </c>
      <c r="BA22" s="17">
        <f t="shared" si="18"/>
        <v>0</v>
      </c>
      <c r="BB22" s="25">
        <f t="shared" si="18"/>
        <v>3000</v>
      </c>
    </row>
    <row r="23" spans="1:54" ht="14">
      <c r="A23" s="6">
        <v>20</v>
      </c>
      <c r="B23" s="6" t="s">
        <v>43</v>
      </c>
      <c r="F23" s="11"/>
      <c r="G23" s="12">
        <v>50</v>
      </c>
      <c r="H23" s="13"/>
      <c r="I23" s="12">
        <v>0</v>
      </c>
      <c r="J23" s="12">
        <v>12.5</v>
      </c>
      <c r="K23" s="15">
        <f t="shared" si="0"/>
        <v>5000</v>
      </c>
      <c r="L23" s="16"/>
      <c r="M23" s="20">
        <f t="shared" si="1"/>
        <v>0</v>
      </c>
      <c r="N23" s="3">
        <f t="shared" si="2"/>
        <v>3750</v>
      </c>
      <c r="O23" s="12">
        <v>45</v>
      </c>
      <c r="P23" s="6"/>
      <c r="Q23" s="12">
        <v>0</v>
      </c>
      <c r="R23" s="12">
        <v>15</v>
      </c>
      <c r="S23" s="17">
        <f t="shared" si="3"/>
        <v>4500</v>
      </c>
      <c r="T23" s="17"/>
      <c r="U23" s="17">
        <f t="shared" si="4"/>
        <v>0</v>
      </c>
      <c r="V23" s="6">
        <f t="shared" si="5"/>
        <v>4500</v>
      </c>
      <c r="W23" s="12">
        <v>45</v>
      </c>
      <c r="X23" s="6"/>
      <c r="Y23" s="12">
        <v>0</v>
      </c>
      <c r="Z23" s="12">
        <v>10</v>
      </c>
      <c r="AA23" s="17">
        <f t="shared" si="6"/>
        <v>4500</v>
      </c>
      <c r="AB23" s="17"/>
      <c r="AC23" s="17">
        <f t="shared" si="7"/>
        <v>0</v>
      </c>
      <c r="AD23" s="6">
        <f t="shared" si="8"/>
        <v>3000</v>
      </c>
      <c r="AE23" s="12">
        <v>40</v>
      </c>
      <c r="AF23" s="6">
        <v>0</v>
      </c>
      <c r="AG23" s="12">
        <v>0</v>
      </c>
      <c r="AH23" s="12">
        <v>12</v>
      </c>
      <c r="AI23" s="17">
        <f t="shared" si="9"/>
        <v>4000</v>
      </c>
      <c r="AJ23" s="17">
        <f t="shared" si="21"/>
        <v>0</v>
      </c>
      <c r="AK23" s="17">
        <f t="shared" si="11"/>
        <v>0</v>
      </c>
      <c r="AL23" s="25">
        <f t="shared" si="12"/>
        <v>3600</v>
      </c>
      <c r="AM23" s="12">
        <v>40</v>
      </c>
      <c r="AN23" s="6">
        <v>0</v>
      </c>
      <c r="AO23" s="12">
        <v>0</v>
      </c>
      <c r="AP23" s="12">
        <v>15</v>
      </c>
      <c r="AQ23" s="17">
        <f t="shared" si="13"/>
        <v>4000</v>
      </c>
      <c r="AR23" s="17">
        <f t="shared" si="22"/>
        <v>0</v>
      </c>
      <c r="AS23" s="17">
        <f t="shared" si="15"/>
        <v>0</v>
      </c>
      <c r="AT23" s="25">
        <f t="shared" si="16"/>
        <v>4500</v>
      </c>
      <c r="AU23" s="12">
        <v>35</v>
      </c>
      <c r="AV23" s="6">
        <v>0</v>
      </c>
      <c r="AW23" s="12">
        <v>0</v>
      </c>
      <c r="AX23" s="12">
        <v>20</v>
      </c>
      <c r="AY23" s="17">
        <f t="shared" si="17"/>
        <v>3500</v>
      </c>
      <c r="AZ23" s="17">
        <f t="shared" si="17"/>
        <v>0</v>
      </c>
      <c r="BA23" s="17">
        <f t="shared" si="18"/>
        <v>0</v>
      </c>
      <c r="BB23" s="25">
        <f t="shared" si="18"/>
        <v>6000</v>
      </c>
    </row>
    <row r="24" spans="1:54" ht="14">
      <c r="A24" s="6">
        <v>21</v>
      </c>
      <c r="B24" s="6" t="s">
        <v>44</v>
      </c>
      <c r="F24" s="11"/>
      <c r="G24" s="12">
        <v>30</v>
      </c>
      <c r="H24" s="13"/>
      <c r="I24" s="12">
        <v>0</v>
      </c>
      <c r="J24" s="12">
        <v>10</v>
      </c>
      <c r="K24" s="15">
        <f t="shared" si="0"/>
        <v>3000</v>
      </c>
      <c r="L24" s="16"/>
      <c r="M24" s="20">
        <f t="shared" si="1"/>
        <v>0</v>
      </c>
      <c r="N24" s="3">
        <f t="shared" si="2"/>
        <v>3000</v>
      </c>
      <c r="O24" s="12">
        <v>25</v>
      </c>
      <c r="P24" s="6"/>
      <c r="Q24" s="12">
        <v>0</v>
      </c>
      <c r="R24" s="12">
        <v>15</v>
      </c>
      <c r="S24" s="17">
        <f t="shared" si="3"/>
        <v>2500</v>
      </c>
      <c r="T24" s="17"/>
      <c r="U24" s="17">
        <f t="shared" si="4"/>
        <v>0</v>
      </c>
      <c r="V24" s="6">
        <f t="shared" si="5"/>
        <v>4500</v>
      </c>
      <c r="W24" s="12">
        <v>25</v>
      </c>
      <c r="X24" s="6"/>
      <c r="Y24" s="12">
        <v>0</v>
      </c>
      <c r="Z24" s="12">
        <v>12</v>
      </c>
      <c r="AA24" s="17">
        <f t="shared" si="6"/>
        <v>2500</v>
      </c>
      <c r="AB24" s="17"/>
      <c r="AC24" s="17">
        <f t="shared" si="7"/>
        <v>0</v>
      </c>
      <c r="AD24" s="6">
        <f t="shared" si="8"/>
        <v>3600</v>
      </c>
      <c r="AE24" s="12">
        <v>30</v>
      </c>
      <c r="AF24" s="6">
        <v>0</v>
      </c>
      <c r="AG24" s="12">
        <v>0</v>
      </c>
      <c r="AH24" s="12">
        <v>15</v>
      </c>
      <c r="AI24" s="17">
        <f t="shared" si="9"/>
        <v>3000</v>
      </c>
      <c r="AJ24" s="17">
        <f t="shared" si="21"/>
        <v>0</v>
      </c>
      <c r="AK24" s="17">
        <f t="shared" si="11"/>
        <v>0</v>
      </c>
      <c r="AL24" s="25">
        <f t="shared" si="12"/>
        <v>4500</v>
      </c>
      <c r="AM24" s="12">
        <v>30</v>
      </c>
      <c r="AN24" s="6">
        <v>0</v>
      </c>
      <c r="AO24" s="12">
        <v>0</v>
      </c>
      <c r="AP24" s="12">
        <v>15</v>
      </c>
      <c r="AQ24" s="17">
        <f t="shared" si="13"/>
        <v>3000</v>
      </c>
      <c r="AR24" s="17">
        <f t="shared" si="22"/>
        <v>0</v>
      </c>
      <c r="AS24" s="17">
        <f t="shared" si="15"/>
        <v>0</v>
      </c>
      <c r="AT24" s="25">
        <f t="shared" si="16"/>
        <v>4500</v>
      </c>
      <c r="AU24" s="12">
        <v>30</v>
      </c>
      <c r="AV24" s="6">
        <v>0</v>
      </c>
      <c r="AW24" s="12">
        <v>0</v>
      </c>
      <c r="AX24" s="12">
        <v>15</v>
      </c>
      <c r="AY24" s="17">
        <f t="shared" si="17"/>
        <v>3000</v>
      </c>
      <c r="AZ24" s="17">
        <f t="shared" si="17"/>
        <v>0</v>
      </c>
      <c r="BA24" s="17">
        <f t="shared" si="18"/>
        <v>0</v>
      </c>
      <c r="BB24" s="25">
        <f t="shared" si="18"/>
        <v>4500</v>
      </c>
    </row>
    <row r="25" spans="1:54" ht="14">
      <c r="A25" s="6">
        <v>22</v>
      </c>
      <c r="B25" s="6" t="s">
        <v>45</v>
      </c>
      <c r="F25" s="11"/>
      <c r="G25" s="12">
        <v>35</v>
      </c>
      <c r="H25" s="13"/>
      <c r="I25" s="12">
        <v>0</v>
      </c>
      <c r="J25" s="12">
        <v>10</v>
      </c>
      <c r="K25" s="15">
        <f t="shared" si="0"/>
        <v>3500</v>
      </c>
      <c r="L25" s="16"/>
      <c r="M25" s="20">
        <f t="shared" si="1"/>
        <v>0</v>
      </c>
      <c r="N25" s="3">
        <f t="shared" si="2"/>
        <v>3000</v>
      </c>
      <c r="O25" s="12">
        <v>30</v>
      </c>
      <c r="P25" s="6"/>
      <c r="Q25" s="12">
        <v>0</v>
      </c>
      <c r="R25" s="12">
        <v>10</v>
      </c>
      <c r="S25" s="17">
        <f t="shared" si="3"/>
        <v>3000</v>
      </c>
      <c r="T25" s="17"/>
      <c r="U25" s="17">
        <f t="shared" si="4"/>
        <v>0</v>
      </c>
      <c r="V25" s="6">
        <f t="shared" si="5"/>
        <v>3000</v>
      </c>
      <c r="W25" s="12">
        <v>38</v>
      </c>
      <c r="X25" s="6"/>
      <c r="Y25" s="12">
        <v>0</v>
      </c>
      <c r="Z25" s="12">
        <v>10</v>
      </c>
      <c r="AA25" s="17">
        <f t="shared" si="6"/>
        <v>3800</v>
      </c>
      <c r="AB25" s="17"/>
      <c r="AC25" s="17">
        <f t="shared" si="7"/>
        <v>0</v>
      </c>
      <c r="AD25" s="6">
        <f t="shared" si="8"/>
        <v>3000</v>
      </c>
      <c r="AE25" s="12">
        <v>35</v>
      </c>
      <c r="AF25" s="6">
        <v>0</v>
      </c>
      <c r="AG25" s="12">
        <v>0</v>
      </c>
      <c r="AH25" s="12">
        <v>10</v>
      </c>
      <c r="AI25" s="17">
        <f t="shared" si="9"/>
        <v>3500</v>
      </c>
      <c r="AJ25" s="17">
        <f t="shared" si="21"/>
        <v>0</v>
      </c>
      <c r="AK25" s="17">
        <f t="shared" si="11"/>
        <v>0</v>
      </c>
      <c r="AL25" s="25">
        <f t="shared" si="12"/>
        <v>3000</v>
      </c>
      <c r="AM25" s="12">
        <v>35</v>
      </c>
      <c r="AN25" s="6">
        <v>0</v>
      </c>
      <c r="AO25" s="12">
        <v>0</v>
      </c>
      <c r="AP25" s="12">
        <v>15</v>
      </c>
      <c r="AQ25" s="17">
        <f t="shared" si="13"/>
        <v>3500</v>
      </c>
      <c r="AR25" s="17">
        <f t="shared" si="22"/>
        <v>0</v>
      </c>
      <c r="AS25" s="17">
        <f t="shared" si="15"/>
        <v>0</v>
      </c>
      <c r="AT25" s="25">
        <f t="shared" si="16"/>
        <v>4500</v>
      </c>
      <c r="AU25" s="12">
        <v>40</v>
      </c>
      <c r="AV25" s="6">
        <v>0</v>
      </c>
      <c r="AW25" s="12">
        <v>0</v>
      </c>
      <c r="AX25" s="12">
        <v>20</v>
      </c>
      <c r="AY25" s="17">
        <f t="shared" si="17"/>
        <v>4000</v>
      </c>
      <c r="AZ25" s="17">
        <f t="shared" si="17"/>
        <v>0</v>
      </c>
      <c r="BA25" s="17">
        <f t="shared" si="18"/>
        <v>0</v>
      </c>
      <c r="BB25" s="25">
        <f t="shared" si="18"/>
        <v>6000</v>
      </c>
    </row>
    <row r="26" spans="1:54" ht="14">
      <c r="A26" s="6">
        <v>23</v>
      </c>
      <c r="B26" s="6" t="s">
        <v>46</v>
      </c>
      <c r="F26" s="11"/>
      <c r="G26" s="12">
        <v>25</v>
      </c>
      <c r="H26" s="13"/>
      <c r="I26" s="12">
        <v>0</v>
      </c>
      <c r="J26" s="12">
        <v>15</v>
      </c>
      <c r="K26" s="15">
        <f t="shared" si="0"/>
        <v>2500</v>
      </c>
      <c r="L26" s="16"/>
      <c r="M26" s="20">
        <f t="shared" si="1"/>
        <v>0</v>
      </c>
      <c r="N26" s="3">
        <f t="shared" si="2"/>
        <v>4500</v>
      </c>
      <c r="O26" s="12">
        <v>30</v>
      </c>
      <c r="P26" s="6"/>
      <c r="Q26" s="12">
        <v>0</v>
      </c>
      <c r="R26" s="12">
        <v>12.5</v>
      </c>
      <c r="S26" s="17">
        <f t="shared" si="3"/>
        <v>3000</v>
      </c>
      <c r="T26" s="17"/>
      <c r="U26" s="17">
        <f t="shared" si="4"/>
        <v>0</v>
      </c>
      <c r="V26" s="6">
        <f t="shared" si="5"/>
        <v>3750</v>
      </c>
      <c r="W26" s="12">
        <v>30</v>
      </c>
      <c r="X26" s="6"/>
      <c r="Y26" s="12">
        <v>0</v>
      </c>
      <c r="Z26" s="12">
        <v>8</v>
      </c>
      <c r="AA26" s="17">
        <f t="shared" si="6"/>
        <v>3000</v>
      </c>
      <c r="AB26" s="17"/>
      <c r="AC26" s="17">
        <f t="shared" si="7"/>
        <v>0</v>
      </c>
      <c r="AD26" s="6">
        <f t="shared" si="8"/>
        <v>2400</v>
      </c>
      <c r="AE26" s="12">
        <v>25</v>
      </c>
      <c r="AF26" s="6">
        <v>0</v>
      </c>
      <c r="AG26" s="12">
        <v>0</v>
      </c>
      <c r="AH26" s="12">
        <v>10</v>
      </c>
      <c r="AI26" s="17">
        <f t="shared" si="9"/>
        <v>2500</v>
      </c>
      <c r="AJ26" s="17">
        <f t="shared" si="21"/>
        <v>0</v>
      </c>
      <c r="AK26" s="17">
        <f t="shared" si="11"/>
        <v>0</v>
      </c>
      <c r="AL26" s="25">
        <f t="shared" si="12"/>
        <v>3000</v>
      </c>
      <c r="AM26" s="12">
        <v>25</v>
      </c>
      <c r="AN26" s="6">
        <v>0</v>
      </c>
      <c r="AO26" s="12">
        <v>0</v>
      </c>
      <c r="AP26" s="12">
        <v>5</v>
      </c>
      <c r="AQ26" s="17">
        <f t="shared" si="13"/>
        <v>2500</v>
      </c>
      <c r="AR26" s="17">
        <f t="shared" si="22"/>
        <v>0</v>
      </c>
      <c r="AS26" s="17">
        <f t="shared" si="15"/>
        <v>0</v>
      </c>
      <c r="AT26" s="25">
        <f t="shared" si="16"/>
        <v>1500</v>
      </c>
      <c r="AU26" s="12">
        <v>20</v>
      </c>
      <c r="AV26" s="6">
        <v>0</v>
      </c>
      <c r="AW26" s="12">
        <v>0</v>
      </c>
      <c r="AX26" s="12">
        <v>10</v>
      </c>
      <c r="AY26" s="17">
        <f t="shared" si="17"/>
        <v>2000</v>
      </c>
      <c r="AZ26" s="17">
        <f t="shared" si="17"/>
        <v>0</v>
      </c>
      <c r="BA26" s="17">
        <f t="shared" si="18"/>
        <v>0</v>
      </c>
      <c r="BB26" s="25">
        <f t="shared" si="18"/>
        <v>3000</v>
      </c>
    </row>
    <row r="27" spans="1:54" ht="14">
      <c r="A27" s="6">
        <v>24</v>
      </c>
      <c r="B27" s="6" t="s">
        <v>47</v>
      </c>
      <c r="F27" s="11"/>
      <c r="G27" s="12">
        <v>0</v>
      </c>
      <c r="H27" s="13"/>
      <c r="I27" s="12">
        <v>0</v>
      </c>
      <c r="J27" s="12">
        <v>5</v>
      </c>
      <c r="K27" s="15">
        <f t="shared" si="0"/>
        <v>0</v>
      </c>
      <c r="L27" s="16"/>
      <c r="M27" s="20">
        <f t="shared" si="1"/>
        <v>0</v>
      </c>
      <c r="N27" s="3">
        <f t="shared" si="2"/>
        <v>1500</v>
      </c>
      <c r="O27" s="12">
        <v>0</v>
      </c>
      <c r="P27" s="6"/>
      <c r="Q27" s="12">
        <v>0</v>
      </c>
      <c r="R27" s="12">
        <v>10</v>
      </c>
      <c r="S27" s="17">
        <f t="shared" si="3"/>
        <v>0</v>
      </c>
      <c r="T27" s="17"/>
      <c r="U27" s="17">
        <f t="shared" si="4"/>
        <v>0</v>
      </c>
      <c r="V27" s="6">
        <f t="shared" si="5"/>
        <v>3000</v>
      </c>
      <c r="W27" s="12">
        <v>20</v>
      </c>
      <c r="X27" s="6"/>
      <c r="Y27" s="12">
        <v>0</v>
      </c>
      <c r="Z27" s="12">
        <v>10</v>
      </c>
      <c r="AA27" s="17">
        <f t="shared" si="6"/>
        <v>2000</v>
      </c>
      <c r="AB27" s="17"/>
      <c r="AC27" s="17">
        <f t="shared" si="7"/>
        <v>0</v>
      </c>
      <c r="AD27" s="6">
        <f t="shared" si="8"/>
        <v>3000</v>
      </c>
      <c r="AE27" s="12">
        <v>25</v>
      </c>
      <c r="AF27" s="6">
        <v>0</v>
      </c>
      <c r="AG27" s="12">
        <v>0</v>
      </c>
      <c r="AH27" s="12">
        <v>8</v>
      </c>
      <c r="AI27" s="17">
        <f t="shared" si="9"/>
        <v>2500</v>
      </c>
      <c r="AJ27" s="17">
        <f t="shared" si="21"/>
        <v>0</v>
      </c>
      <c r="AK27" s="17">
        <f t="shared" si="11"/>
        <v>0</v>
      </c>
      <c r="AL27" s="25">
        <f t="shared" si="12"/>
        <v>2400</v>
      </c>
      <c r="AM27" s="12">
        <v>30</v>
      </c>
      <c r="AN27" s="6">
        <v>0</v>
      </c>
      <c r="AO27" s="12">
        <v>0</v>
      </c>
      <c r="AP27" s="12">
        <v>10</v>
      </c>
      <c r="AQ27" s="17">
        <f t="shared" si="13"/>
        <v>3000</v>
      </c>
      <c r="AR27" s="17">
        <f t="shared" si="22"/>
        <v>0</v>
      </c>
      <c r="AS27" s="17">
        <f t="shared" si="15"/>
        <v>0</v>
      </c>
      <c r="AT27" s="25">
        <f t="shared" si="16"/>
        <v>3000</v>
      </c>
      <c r="AU27" s="12">
        <v>32</v>
      </c>
      <c r="AV27" s="6">
        <v>0</v>
      </c>
      <c r="AW27" s="12">
        <v>0</v>
      </c>
      <c r="AX27" s="12">
        <v>12</v>
      </c>
      <c r="AY27" s="17">
        <f t="shared" si="17"/>
        <v>3200</v>
      </c>
      <c r="AZ27" s="17">
        <f t="shared" si="17"/>
        <v>0</v>
      </c>
      <c r="BA27" s="17">
        <f t="shared" si="18"/>
        <v>0</v>
      </c>
      <c r="BB27" s="25">
        <f t="shared" si="18"/>
        <v>3600</v>
      </c>
    </row>
    <row r="28" spans="1:54" ht="14">
      <c r="A28" s="6">
        <v>25</v>
      </c>
      <c r="B28" s="6" t="s">
        <v>48</v>
      </c>
      <c r="F28" s="11"/>
      <c r="G28" s="12">
        <v>43</v>
      </c>
      <c r="H28" s="13"/>
      <c r="I28" s="12">
        <v>0</v>
      </c>
      <c r="J28" s="12">
        <v>7</v>
      </c>
      <c r="K28" s="15">
        <f t="shared" si="0"/>
        <v>4300</v>
      </c>
      <c r="L28" s="16"/>
      <c r="M28" s="20">
        <f t="shared" si="1"/>
        <v>0</v>
      </c>
      <c r="N28" s="3">
        <f t="shared" si="2"/>
        <v>2100</v>
      </c>
      <c r="O28" s="12">
        <v>25</v>
      </c>
      <c r="P28" s="6"/>
      <c r="Q28" s="12">
        <v>0</v>
      </c>
      <c r="R28" s="12">
        <v>10</v>
      </c>
      <c r="S28" s="17">
        <f t="shared" si="3"/>
        <v>2500</v>
      </c>
      <c r="T28" s="17"/>
      <c r="U28" s="17">
        <f t="shared" si="4"/>
        <v>0</v>
      </c>
      <c r="V28" s="6">
        <f t="shared" si="5"/>
        <v>3000</v>
      </c>
      <c r="W28" s="12">
        <v>25</v>
      </c>
      <c r="X28" s="6"/>
      <c r="Y28" s="12">
        <v>0</v>
      </c>
      <c r="Z28" s="12">
        <v>10</v>
      </c>
      <c r="AA28" s="17">
        <f t="shared" si="6"/>
        <v>2500</v>
      </c>
      <c r="AB28" s="17"/>
      <c r="AC28" s="17">
        <f t="shared" si="7"/>
        <v>0</v>
      </c>
      <c r="AD28" s="6">
        <f t="shared" si="8"/>
        <v>3000</v>
      </c>
      <c r="AE28" s="12">
        <v>30</v>
      </c>
      <c r="AF28" s="6">
        <v>0</v>
      </c>
      <c r="AG28" s="12">
        <v>0</v>
      </c>
      <c r="AH28" s="12">
        <v>7</v>
      </c>
      <c r="AI28" s="17">
        <f t="shared" si="9"/>
        <v>3000</v>
      </c>
      <c r="AJ28" s="17">
        <f t="shared" si="21"/>
        <v>0</v>
      </c>
      <c r="AK28" s="17">
        <f t="shared" si="11"/>
        <v>0</v>
      </c>
      <c r="AL28" s="25">
        <f t="shared" si="12"/>
        <v>2100</v>
      </c>
      <c r="AM28" s="12">
        <v>30</v>
      </c>
      <c r="AN28" s="6">
        <v>0</v>
      </c>
      <c r="AO28" s="12">
        <v>0</v>
      </c>
      <c r="AP28" s="12">
        <v>8</v>
      </c>
      <c r="AQ28" s="17">
        <f t="shared" si="13"/>
        <v>3000</v>
      </c>
      <c r="AR28" s="17">
        <f t="shared" si="22"/>
        <v>0</v>
      </c>
      <c r="AS28" s="17">
        <f t="shared" si="15"/>
        <v>0</v>
      </c>
      <c r="AT28" s="25">
        <f t="shared" si="16"/>
        <v>2400</v>
      </c>
      <c r="AU28" s="12">
        <v>32</v>
      </c>
      <c r="AV28" s="6">
        <v>0</v>
      </c>
      <c r="AW28" s="12">
        <v>0</v>
      </c>
      <c r="AX28" s="12">
        <v>10</v>
      </c>
      <c r="AY28" s="17">
        <f t="shared" si="17"/>
        <v>3200</v>
      </c>
      <c r="AZ28" s="17">
        <f t="shared" si="17"/>
        <v>0</v>
      </c>
      <c r="BA28" s="17">
        <f t="shared" si="18"/>
        <v>0</v>
      </c>
      <c r="BB28" s="25">
        <f t="shared" si="18"/>
        <v>3000</v>
      </c>
    </row>
    <row r="29" spans="1:54" ht="14">
      <c r="A29" s="6">
        <v>26</v>
      </c>
      <c r="B29" s="6" t="s">
        <v>49</v>
      </c>
      <c r="F29" s="11"/>
      <c r="G29" s="12">
        <v>37</v>
      </c>
      <c r="H29" s="13"/>
      <c r="I29" s="12">
        <v>0</v>
      </c>
      <c r="J29" s="12">
        <v>20</v>
      </c>
      <c r="K29" s="15">
        <f t="shared" si="0"/>
        <v>3700</v>
      </c>
      <c r="L29" s="16"/>
      <c r="M29" s="20">
        <f t="shared" si="1"/>
        <v>0</v>
      </c>
      <c r="N29" s="3">
        <f t="shared" si="2"/>
        <v>6000</v>
      </c>
      <c r="O29" s="12">
        <v>30</v>
      </c>
      <c r="P29" s="6"/>
      <c r="Q29" s="12">
        <v>0</v>
      </c>
      <c r="R29" s="12">
        <v>20</v>
      </c>
      <c r="S29" s="17">
        <f t="shared" si="3"/>
        <v>3000</v>
      </c>
      <c r="T29" s="17"/>
      <c r="U29" s="17">
        <f t="shared" si="4"/>
        <v>0</v>
      </c>
      <c r="V29" s="6">
        <f t="shared" si="5"/>
        <v>6000</v>
      </c>
      <c r="W29" s="12">
        <v>30</v>
      </c>
      <c r="X29" s="6"/>
      <c r="Y29" s="12">
        <v>0</v>
      </c>
      <c r="Z29" s="12">
        <v>15</v>
      </c>
      <c r="AA29" s="17">
        <f t="shared" si="6"/>
        <v>3000</v>
      </c>
      <c r="AB29" s="17"/>
      <c r="AC29" s="17">
        <f t="shared" si="7"/>
        <v>0</v>
      </c>
      <c r="AD29" s="6">
        <f t="shared" si="8"/>
        <v>4500</v>
      </c>
      <c r="AE29" s="12">
        <v>25</v>
      </c>
      <c r="AF29" s="6">
        <v>0</v>
      </c>
      <c r="AG29" s="12">
        <v>0</v>
      </c>
      <c r="AH29" s="12">
        <v>10</v>
      </c>
      <c r="AI29" s="17">
        <f t="shared" si="9"/>
        <v>2500</v>
      </c>
      <c r="AJ29" s="17">
        <f t="shared" si="21"/>
        <v>0</v>
      </c>
      <c r="AK29" s="17">
        <f t="shared" si="11"/>
        <v>0</v>
      </c>
      <c r="AL29" s="25">
        <f t="shared" si="12"/>
        <v>3000</v>
      </c>
      <c r="AM29" s="12">
        <v>25</v>
      </c>
      <c r="AN29" s="6">
        <v>0</v>
      </c>
      <c r="AO29" s="12">
        <v>0</v>
      </c>
      <c r="AP29" s="12">
        <v>12</v>
      </c>
      <c r="AQ29" s="17">
        <f t="shared" si="13"/>
        <v>2500</v>
      </c>
      <c r="AR29" s="17">
        <f t="shared" si="22"/>
        <v>0</v>
      </c>
      <c r="AS29" s="17">
        <f t="shared" si="15"/>
        <v>0</v>
      </c>
      <c r="AT29" s="25">
        <f t="shared" si="16"/>
        <v>3600</v>
      </c>
      <c r="AU29" s="12">
        <v>27</v>
      </c>
      <c r="AV29" s="6">
        <v>0</v>
      </c>
      <c r="AW29" s="12">
        <v>0</v>
      </c>
      <c r="AX29" s="12">
        <v>14</v>
      </c>
      <c r="AY29" s="17">
        <f t="shared" si="17"/>
        <v>2700</v>
      </c>
      <c r="AZ29" s="17">
        <f t="shared" si="17"/>
        <v>0</v>
      </c>
      <c r="BA29" s="17">
        <f t="shared" si="18"/>
        <v>0</v>
      </c>
      <c r="BB29" s="25">
        <f t="shared" si="18"/>
        <v>4200</v>
      </c>
    </row>
    <row r="30" spans="1:54" ht="14">
      <c r="A30" s="6">
        <v>27</v>
      </c>
      <c r="B30" s="6" t="s">
        <v>50</v>
      </c>
      <c r="F30" s="11"/>
      <c r="G30" s="12">
        <v>25</v>
      </c>
      <c r="H30" s="13"/>
      <c r="I30" s="12">
        <v>0</v>
      </c>
      <c r="J30" s="12">
        <v>10</v>
      </c>
      <c r="K30" s="15">
        <f t="shared" si="0"/>
        <v>2500</v>
      </c>
      <c r="L30" s="16"/>
      <c r="M30" s="20">
        <f t="shared" si="1"/>
        <v>0</v>
      </c>
      <c r="N30" s="3">
        <f t="shared" si="2"/>
        <v>3000</v>
      </c>
      <c r="O30" s="12">
        <v>30</v>
      </c>
      <c r="P30" s="6"/>
      <c r="Q30" s="12">
        <v>0</v>
      </c>
      <c r="R30" s="12">
        <v>7.5</v>
      </c>
      <c r="S30" s="17">
        <f t="shared" si="3"/>
        <v>3000</v>
      </c>
      <c r="T30" s="17"/>
      <c r="U30" s="17">
        <f t="shared" si="4"/>
        <v>0</v>
      </c>
      <c r="V30" s="6">
        <f t="shared" si="5"/>
        <v>2250</v>
      </c>
      <c r="W30" s="12">
        <v>30</v>
      </c>
      <c r="X30" s="6"/>
      <c r="Y30" s="12">
        <v>0</v>
      </c>
      <c r="Z30" s="12">
        <v>7.5</v>
      </c>
      <c r="AA30" s="17">
        <f t="shared" si="6"/>
        <v>3000</v>
      </c>
      <c r="AB30" s="17"/>
      <c r="AC30" s="17">
        <f t="shared" si="7"/>
        <v>0</v>
      </c>
      <c r="AD30" s="6">
        <f t="shared" si="8"/>
        <v>2250</v>
      </c>
      <c r="AE30" s="12">
        <v>32</v>
      </c>
      <c r="AF30" s="6">
        <v>0</v>
      </c>
      <c r="AG30" s="12">
        <v>0</v>
      </c>
      <c r="AH30" s="12">
        <v>10</v>
      </c>
      <c r="AI30" s="17">
        <f t="shared" si="9"/>
        <v>3200</v>
      </c>
      <c r="AJ30" s="17">
        <f t="shared" si="21"/>
        <v>0</v>
      </c>
      <c r="AK30" s="17">
        <f t="shared" si="11"/>
        <v>0</v>
      </c>
      <c r="AL30" s="25">
        <f t="shared" si="12"/>
        <v>3000</v>
      </c>
      <c r="AM30" s="12">
        <v>32</v>
      </c>
      <c r="AN30" s="6">
        <v>0</v>
      </c>
      <c r="AO30" s="12">
        <v>0</v>
      </c>
      <c r="AP30" s="12">
        <v>10</v>
      </c>
      <c r="AQ30" s="17">
        <f t="shared" si="13"/>
        <v>3200</v>
      </c>
      <c r="AR30" s="17">
        <f t="shared" si="22"/>
        <v>0</v>
      </c>
      <c r="AS30" s="17">
        <f t="shared" si="15"/>
        <v>0</v>
      </c>
      <c r="AT30" s="25">
        <f t="shared" si="16"/>
        <v>3000</v>
      </c>
      <c r="AU30" s="12">
        <v>30</v>
      </c>
      <c r="AV30" s="6">
        <v>0</v>
      </c>
      <c r="AW30" s="12">
        <v>0</v>
      </c>
      <c r="AX30" s="12">
        <v>8</v>
      </c>
      <c r="AY30" s="17">
        <f t="shared" si="17"/>
        <v>3000</v>
      </c>
      <c r="AZ30" s="17">
        <f t="shared" si="17"/>
        <v>0</v>
      </c>
      <c r="BA30" s="17">
        <f t="shared" si="18"/>
        <v>0</v>
      </c>
      <c r="BB30" s="25">
        <f t="shared" si="18"/>
        <v>2400</v>
      </c>
    </row>
    <row r="31" spans="1:54" ht="14">
      <c r="A31" s="6">
        <v>28</v>
      </c>
      <c r="B31" s="6" t="s">
        <v>51</v>
      </c>
      <c r="F31" s="11"/>
      <c r="G31" s="12">
        <v>40</v>
      </c>
      <c r="H31" s="13"/>
      <c r="I31" s="12">
        <v>0</v>
      </c>
      <c r="J31" s="12">
        <v>20</v>
      </c>
      <c r="K31" s="15">
        <f t="shared" si="0"/>
        <v>4000</v>
      </c>
      <c r="L31" s="16"/>
      <c r="M31" s="20">
        <f t="shared" si="1"/>
        <v>0</v>
      </c>
      <c r="N31" s="3">
        <f t="shared" si="2"/>
        <v>6000</v>
      </c>
      <c r="O31" s="12">
        <v>25</v>
      </c>
      <c r="P31" s="6"/>
      <c r="Q31" s="12">
        <v>0</v>
      </c>
      <c r="R31" s="12">
        <v>20</v>
      </c>
      <c r="S31" s="17">
        <f t="shared" si="3"/>
        <v>2500</v>
      </c>
      <c r="T31" s="17"/>
      <c r="U31" s="17">
        <f t="shared" si="4"/>
        <v>0</v>
      </c>
      <c r="V31" s="6">
        <f t="shared" si="5"/>
        <v>6000</v>
      </c>
      <c r="W31" s="12">
        <v>25</v>
      </c>
      <c r="X31" s="6"/>
      <c r="Y31" s="12">
        <v>0</v>
      </c>
      <c r="Z31" s="12">
        <v>20</v>
      </c>
      <c r="AA31" s="17">
        <f t="shared" si="6"/>
        <v>2500</v>
      </c>
      <c r="AB31" s="17"/>
      <c r="AC31" s="17">
        <f t="shared" si="7"/>
        <v>0</v>
      </c>
      <c r="AD31" s="6">
        <f t="shared" si="8"/>
        <v>6000</v>
      </c>
      <c r="AE31" s="12">
        <v>28</v>
      </c>
      <c r="AF31" s="6">
        <v>0</v>
      </c>
      <c r="AG31" s="12">
        <v>0</v>
      </c>
      <c r="AH31" s="12">
        <v>15</v>
      </c>
      <c r="AI31" s="17">
        <f t="shared" si="9"/>
        <v>2800</v>
      </c>
      <c r="AJ31" s="17">
        <f t="shared" si="21"/>
        <v>0</v>
      </c>
      <c r="AK31" s="17">
        <f t="shared" si="11"/>
        <v>0</v>
      </c>
      <c r="AL31" s="25">
        <f t="shared" si="12"/>
        <v>4500</v>
      </c>
      <c r="AM31" s="12">
        <v>30</v>
      </c>
      <c r="AN31" s="6">
        <v>0</v>
      </c>
      <c r="AO31" s="12">
        <v>0</v>
      </c>
      <c r="AP31" s="12">
        <v>16</v>
      </c>
      <c r="AQ31" s="17">
        <f t="shared" si="13"/>
        <v>3000</v>
      </c>
      <c r="AR31" s="17">
        <f t="shared" si="22"/>
        <v>0</v>
      </c>
      <c r="AS31" s="17">
        <f t="shared" si="15"/>
        <v>0</v>
      </c>
      <c r="AT31" s="25">
        <f t="shared" si="16"/>
        <v>4800</v>
      </c>
      <c r="AU31" s="12">
        <v>30</v>
      </c>
      <c r="AV31" s="6">
        <v>0</v>
      </c>
      <c r="AW31" s="12">
        <v>0</v>
      </c>
      <c r="AX31" s="12">
        <v>16</v>
      </c>
      <c r="AY31" s="17">
        <f t="shared" si="17"/>
        <v>3000</v>
      </c>
      <c r="AZ31" s="17">
        <f t="shared" si="17"/>
        <v>0</v>
      </c>
      <c r="BA31" s="17">
        <f t="shared" si="18"/>
        <v>0</v>
      </c>
      <c r="BB31" s="25">
        <f t="shared" si="18"/>
        <v>4800</v>
      </c>
    </row>
    <row r="32" spans="1:54" ht="14">
      <c r="A32" s="6">
        <v>29</v>
      </c>
      <c r="B32" s="6" t="s">
        <v>52</v>
      </c>
      <c r="F32" s="11"/>
      <c r="G32" s="12">
        <v>40</v>
      </c>
      <c r="H32" s="13"/>
      <c r="I32" s="12">
        <v>0</v>
      </c>
      <c r="J32" s="12">
        <v>20</v>
      </c>
      <c r="K32" s="15">
        <f t="shared" si="0"/>
        <v>4000</v>
      </c>
      <c r="L32" s="16"/>
      <c r="M32" s="20">
        <f t="shared" si="1"/>
        <v>0</v>
      </c>
      <c r="N32" s="3">
        <f t="shared" si="2"/>
        <v>6000</v>
      </c>
      <c r="O32" s="12">
        <v>55</v>
      </c>
      <c r="P32" s="6"/>
      <c r="Q32" s="12">
        <v>0</v>
      </c>
      <c r="R32" s="12">
        <v>10</v>
      </c>
      <c r="S32" s="17">
        <f t="shared" si="3"/>
        <v>5500</v>
      </c>
      <c r="T32" s="17"/>
      <c r="U32" s="17">
        <f t="shared" si="4"/>
        <v>0</v>
      </c>
      <c r="V32" s="6">
        <f t="shared" si="5"/>
        <v>3000</v>
      </c>
      <c r="W32" s="12">
        <v>55</v>
      </c>
      <c r="X32" s="6"/>
      <c r="Y32" s="12">
        <v>0</v>
      </c>
      <c r="Z32" s="12">
        <v>10</v>
      </c>
      <c r="AA32" s="17">
        <f t="shared" si="6"/>
        <v>5500</v>
      </c>
      <c r="AB32" s="17"/>
      <c r="AC32" s="17">
        <f t="shared" si="7"/>
        <v>0</v>
      </c>
      <c r="AD32" s="6">
        <f t="shared" si="8"/>
        <v>3000</v>
      </c>
      <c r="AE32" s="12">
        <v>50</v>
      </c>
      <c r="AF32" s="6">
        <v>0</v>
      </c>
      <c r="AG32" s="12">
        <v>0</v>
      </c>
      <c r="AH32" s="12">
        <v>15</v>
      </c>
      <c r="AI32" s="17">
        <f t="shared" si="9"/>
        <v>5000</v>
      </c>
      <c r="AJ32" s="17">
        <f t="shared" si="21"/>
        <v>0</v>
      </c>
      <c r="AK32" s="17">
        <f t="shared" si="11"/>
        <v>0</v>
      </c>
      <c r="AL32" s="25">
        <f t="shared" si="12"/>
        <v>4500</v>
      </c>
      <c r="AM32" s="12">
        <v>50</v>
      </c>
      <c r="AN32" s="6">
        <v>0</v>
      </c>
      <c r="AO32" s="12">
        <v>0</v>
      </c>
      <c r="AP32" s="12">
        <v>15</v>
      </c>
      <c r="AQ32" s="17">
        <f t="shared" si="13"/>
        <v>5000</v>
      </c>
      <c r="AR32" s="17">
        <f t="shared" si="22"/>
        <v>0</v>
      </c>
      <c r="AS32" s="17">
        <f t="shared" si="15"/>
        <v>0</v>
      </c>
      <c r="AT32" s="25">
        <f t="shared" si="16"/>
        <v>4500</v>
      </c>
      <c r="AU32" s="12">
        <v>45</v>
      </c>
      <c r="AV32" s="6">
        <v>0</v>
      </c>
      <c r="AW32" s="12">
        <v>0</v>
      </c>
      <c r="AX32" s="12">
        <v>15</v>
      </c>
      <c r="AY32" s="17">
        <f t="shared" si="17"/>
        <v>4500</v>
      </c>
      <c r="AZ32" s="17">
        <f t="shared" si="17"/>
        <v>0</v>
      </c>
      <c r="BA32" s="17">
        <f t="shared" si="18"/>
        <v>0</v>
      </c>
      <c r="BB32" s="25">
        <f t="shared" si="18"/>
        <v>4500</v>
      </c>
    </row>
    <row r="33" spans="1:54" ht="14">
      <c r="A33" s="6">
        <v>30</v>
      </c>
      <c r="B33" s="6" t="s">
        <v>53</v>
      </c>
      <c r="F33" s="11"/>
      <c r="G33" s="12">
        <v>52</v>
      </c>
      <c r="H33" s="13"/>
      <c r="I33" s="12">
        <v>0</v>
      </c>
      <c r="J33" s="12">
        <v>20</v>
      </c>
      <c r="K33" s="15">
        <f t="shared" si="0"/>
        <v>5200</v>
      </c>
      <c r="L33" s="16"/>
      <c r="M33" s="20">
        <f t="shared" si="1"/>
        <v>0</v>
      </c>
      <c r="N33" s="3">
        <f t="shared" si="2"/>
        <v>6000</v>
      </c>
      <c r="O33" s="12">
        <v>60</v>
      </c>
      <c r="P33" s="6"/>
      <c r="Q33" s="12">
        <v>0</v>
      </c>
      <c r="R33" s="12">
        <v>15</v>
      </c>
      <c r="S33" s="17">
        <f t="shared" si="3"/>
        <v>6000</v>
      </c>
      <c r="T33" s="17"/>
      <c r="U33" s="17">
        <f t="shared" si="4"/>
        <v>0</v>
      </c>
      <c r="V33" s="6">
        <f t="shared" si="5"/>
        <v>4500</v>
      </c>
      <c r="W33" s="12">
        <v>60</v>
      </c>
      <c r="X33" s="6"/>
      <c r="Y33" s="12">
        <v>0</v>
      </c>
      <c r="Z33" s="12">
        <v>15</v>
      </c>
      <c r="AA33" s="17">
        <f t="shared" si="6"/>
        <v>6000</v>
      </c>
      <c r="AB33" s="17"/>
      <c r="AC33" s="17">
        <f t="shared" si="7"/>
        <v>0</v>
      </c>
      <c r="AD33" s="6">
        <f t="shared" si="8"/>
        <v>4500</v>
      </c>
      <c r="AE33" s="12">
        <v>55</v>
      </c>
      <c r="AF33" s="6">
        <v>0</v>
      </c>
      <c r="AG33" s="12">
        <v>0</v>
      </c>
      <c r="AH33" s="12">
        <v>10</v>
      </c>
      <c r="AI33" s="17">
        <f t="shared" si="9"/>
        <v>5500</v>
      </c>
      <c r="AJ33" s="17">
        <f t="shared" si="21"/>
        <v>0</v>
      </c>
      <c r="AK33" s="17">
        <f t="shared" si="11"/>
        <v>0</v>
      </c>
      <c r="AL33" s="25">
        <f t="shared" si="12"/>
        <v>3000</v>
      </c>
      <c r="AM33" s="12">
        <v>55</v>
      </c>
      <c r="AN33" s="6">
        <v>0</v>
      </c>
      <c r="AO33" s="12">
        <v>0</v>
      </c>
      <c r="AP33" s="12">
        <v>15</v>
      </c>
      <c r="AQ33" s="17">
        <f t="shared" si="13"/>
        <v>5500</v>
      </c>
      <c r="AR33" s="17">
        <f t="shared" si="22"/>
        <v>0</v>
      </c>
      <c r="AS33" s="17">
        <f t="shared" si="15"/>
        <v>0</v>
      </c>
      <c r="AT33" s="25">
        <f t="shared" si="16"/>
        <v>4500</v>
      </c>
      <c r="AU33" s="12">
        <v>55</v>
      </c>
      <c r="AV33" s="6">
        <v>0</v>
      </c>
      <c r="AW33" s="12">
        <v>0</v>
      </c>
      <c r="AX33" s="12">
        <v>15</v>
      </c>
      <c r="AY33" s="17">
        <f t="shared" si="17"/>
        <v>5500</v>
      </c>
      <c r="AZ33" s="17">
        <f t="shared" si="17"/>
        <v>0</v>
      </c>
      <c r="BA33" s="17">
        <f t="shared" si="18"/>
        <v>0</v>
      </c>
      <c r="BB33" s="25">
        <f t="shared" si="18"/>
        <v>4500</v>
      </c>
    </row>
    <row r="34" spans="1:54" ht="14">
      <c r="A34" s="6">
        <v>31</v>
      </c>
      <c r="B34" s="6" t="s">
        <v>54</v>
      </c>
      <c r="F34" s="11"/>
      <c r="G34" s="12">
        <v>50</v>
      </c>
      <c r="H34" s="13"/>
      <c r="I34" s="12">
        <v>0</v>
      </c>
      <c r="J34" s="12">
        <v>15</v>
      </c>
      <c r="K34" s="15">
        <f t="shared" si="0"/>
        <v>5000</v>
      </c>
      <c r="L34" s="16"/>
      <c r="M34" s="20">
        <f t="shared" si="1"/>
        <v>0</v>
      </c>
      <c r="N34" s="3">
        <f t="shared" si="2"/>
        <v>4500</v>
      </c>
      <c r="O34" s="12">
        <v>40</v>
      </c>
      <c r="P34" s="6"/>
      <c r="Q34" s="12">
        <v>0</v>
      </c>
      <c r="R34" s="12">
        <v>10</v>
      </c>
      <c r="S34" s="17">
        <f t="shared" si="3"/>
        <v>4000</v>
      </c>
      <c r="T34" s="17"/>
      <c r="U34" s="17">
        <f t="shared" si="4"/>
        <v>0</v>
      </c>
      <c r="V34" s="6">
        <f t="shared" si="5"/>
        <v>3000</v>
      </c>
      <c r="W34" s="12">
        <v>40</v>
      </c>
      <c r="X34" s="6"/>
      <c r="Y34" s="12">
        <v>0</v>
      </c>
      <c r="Z34" s="12">
        <v>10</v>
      </c>
      <c r="AA34" s="17">
        <f t="shared" si="6"/>
        <v>4000</v>
      </c>
      <c r="AB34" s="17"/>
      <c r="AC34" s="17">
        <f t="shared" si="7"/>
        <v>0</v>
      </c>
      <c r="AD34" s="6">
        <f t="shared" si="8"/>
        <v>3000</v>
      </c>
      <c r="AE34" s="12">
        <v>35</v>
      </c>
      <c r="AF34" s="6">
        <v>0</v>
      </c>
      <c r="AG34" s="12">
        <v>0</v>
      </c>
      <c r="AH34" s="12">
        <v>8</v>
      </c>
      <c r="AI34" s="17">
        <f t="shared" si="9"/>
        <v>3500</v>
      </c>
      <c r="AJ34" s="17">
        <f t="shared" si="21"/>
        <v>0</v>
      </c>
      <c r="AK34" s="17">
        <f t="shared" si="11"/>
        <v>0</v>
      </c>
      <c r="AL34" s="25">
        <f t="shared" si="12"/>
        <v>2400</v>
      </c>
      <c r="AM34" s="12">
        <v>40</v>
      </c>
      <c r="AN34" s="6">
        <v>0</v>
      </c>
      <c r="AO34" s="12">
        <v>0</v>
      </c>
      <c r="AP34" s="12">
        <v>12</v>
      </c>
      <c r="AQ34" s="17">
        <f t="shared" si="13"/>
        <v>4000</v>
      </c>
      <c r="AR34" s="17">
        <f t="shared" si="22"/>
        <v>0</v>
      </c>
      <c r="AS34" s="17">
        <f t="shared" si="15"/>
        <v>0</v>
      </c>
      <c r="AT34" s="25">
        <f t="shared" si="16"/>
        <v>3600</v>
      </c>
      <c r="AU34" s="12">
        <v>50</v>
      </c>
      <c r="AV34" s="6">
        <v>0</v>
      </c>
      <c r="AW34" s="12">
        <v>0</v>
      </c>
      <c r="AX34" s="12">
        <v>15</v>
      </c>
      <c r="AY34" s="17">
        <f t="shared" si="17"/>
        <v>5000</v>
      </c>
      <c r="AZ34" s="17">
        <f t="shared" si="17"/>
        <v>0</v>
      </c>
      <c r="BA34" s="17">
        <f t="shared" si="18"/>
        <v>0</v>
      </c>
      <c r="BB34" s="25">
        <f t="shared" si="18"/>
        <v>4500</v>
      </c>
    </row>
    <row r="35" spans="1:54" ht="14">
      <c r="A35" s="6">
        <v>32</v>
      </c>
      <c r="B35" s="6" t="s">
        <v>55</v>
      </c>
      <c r="F35" s="11"/>
      <c r="G35" s="12">
        <v>0</v>
      </c>
      <c r="H35" s="13"/>
      <c r="I35" s="12">
        <v>0</v>
      </c>
      <c r="J35" s="12">
        <v>10</v>
      </c>
      <c r="K35" s="15">
        <f t="shared" si="0"/>
        <v>0</v>
      </c>
      <c r="L35" s="16"/>
      <c r="M35" s="20">
        <f t="shared" si="1"/>
        <v>0</v>
      </c>
      <c r="N35" s="3">
        <f t="shared" si="2"/>
        <v>3000</v>
      </c>
      <c r="O35" s="12">
        <v>0</v>
      </c>
      <c r="P35" s="6"/>
      <c r="Q35" s="12">
        <v>0</v>
      </c>
      <c r="R35" s="12">
        <v>15</v>
      </c>
      <c r="S35" s="17">
        <f t="shared" si="3"/>
        <v>0</v>
      </c>
      <c r="T35" s="17"/>
      <c r="U35" s="17">
        <f t="shared" si="4"/>
        <v>0</v>
      </c>
      <c r="V35" s="6">
        <f t="shared" si="5"/>
        <v>4500</v>
      </c>
      <c r="W35" s="12">
        <v>40</v>
      </c>
      <c r="X35" s="6"/>
      <c r="Y35" s="12">
        <v>0</v>
      </c>
      <c r="Z35" s="12">
        <v>7</v>
      </c>
      <c r="AA35" s="17">
        <f t="shared" si="6"/>
        <v>4000</v>
      </c>
      <c r="AB35" s="17"/>
      <c r="AC35" s="17">
        <f t="shared" si="7"/>
        <v>0</v>
      </c>
      <c r="AD35" s="6">
        <f t="shared" si="8"/>
        <v>2100</v>
      </c>
      <c r="AE35" s="12">
        <v>47</v>
      </c>
      <c r="AF35" s="6">
        <v>0</v>
      </c>
      <c r="AG35" s="12">
        <v>0</v>
      </c>
      <c r="AH35" s="12">
        <v>10</v>
      </c>
      <c r="AI35" s="17">
        <f t="shared" si="9"/>
        <v>4700</v>
      </c>
      <c r="AJ35" s="17">
        <f t="shared" si="21"/>
        <v>0</v>
      </c>
      <c r="AK35" s="17">
        <f t="shared" si="11"/>
        <v>0</v>
      </c>
      <c r="AL35" s="25">
        <f t="shared" si="12"/>
        <v>3000</v>
      </c>
      <c r="AM35" s="12">
        <v>45</v>
      </c>
      <c r="AN35" s="6">
        <v>0</v>
      </c>
      <c r="AO35" s="12">
        <v>0</v>
      </c>
      <c r="AP35" s="12">
        <v>20</v>
      </c>
      <c r="AQ35" s="17">
        <f t="shared" si="13"/>
        <v>4500</v>
      </c>
      <c r="AR35" s="17">
        <f t="shared" si="22"/>
        <v>0</v>
      </c>
      <c r="AS35" s="17">
        <f t="shared" si="15"/>
        <v>0</v>
      </c>
      <c r="AT35" s="25">
        <f t="shared" si="16"/>
        <v>6000</v>
      </c>
      <c r="AU35" s="12">
        <v>40</v>
      </c>
      <c r="AV35" s="6">
        <v>0</v>
      </c>
      <c r="AW35" s="12">
        <v>0</v>
      </c>
      <c r="AX35" s="12">
        <v>20</v>
      </c>
      <c r="AY35" s="17">
        <f t="shared" si="17"/>
        <v>4000</v>
      </c>
      <c r="AZ35" s="17">
        <f t="shared" si="17"/>
        <v>0</v>
      </c>
      <c r="BA35" s="17">
        <f t="shared" si="18"/>
        <v>0</v>
      </c>
      <c r="BB35" s="25">
        <f t="shared" si="18"/>
        <v>6000</v>
      </c>
    </row>
    <row r="36" spans="1:54" ht="14">
      <c r="A36" s="6">
        <v>33</v>
      </c>
      <c r="B36" s="6" t="s">
        <v>57</v>
      </c>
      <c r="F36" s="11"/>
      <c r="G36" s="12">
        <v>35</v>
      </c>
      <c r="H36" s="13"/>
      <c r="I36" s="12">
        <v>0</v>
      </c>
      <c r="J36" s="12">
        <v>15</v>
      </c>
      <c r="K36" s="15">
        <f t="shared" si="0"/>
        <v>3500</v>
      </c>
      <c r="L36" s="16"/>
      <c r="M36" s="20">
        <f t="shared" si="1"/>
        <v>0</v>
      </c>
      <c r="N36" s="3">
        <f t="shared" si="2"/>
        <v>4500</v>
      </c>
      <c r="O36" s="12">
        <v>30</v>
      </c>
      <c r="P36" s="6"/>
      <c r="Q36" s="12">
        <v>0</v>
      </c>
      <c r="R36" s="12">
        <v>10</v>
      </c>
      <c r="S36" s="17">
        <f t="shared" si="3"/>
        <v>3000</v>
      </c>
      <c r="T36" s="17"/>
      <c r="U36" s="17">
        <f t="shared" si="4"/>
        <v>0</v>
      </c>
      <c r="V36" s="6">
        <f t="shared" si="5"/>
        <v>3000</v>
      </c>
      <c r="W36" s="12">
        <v>30</v>
      </c>
      <c r="X36" s="6"/>
      <c r="Y36" s="12">
        <v>0</v>
      </c>
      <c r="Z36" s="12">
        <v>10</v>
      </c>
      <c r="AA36" s="17">
        <f t="shared" si="6"/>
        <v>3000</v>
      </c>
      <c r="AB36" s="17"/>
      <c r="AC36" s="17">
        <f t="shared" si="7"/>
        <v>0</v>
      </c>
      <c r="AD36" s="6">
        <f t="shared" si="8"/>
        <v>3000</v>
      </c>
      <c r="AE36" s="12">
        <v>25</v>
      </c>
      <c r="AF36" s="6">
        <v>0</v>
      </c>
      <c r="AG36" s="12">
        <v>0</v>
      </c>
      <c r="AH36" s="12">
        <v>15</v>
      </c>
      <c r="AI36" s="17">
        <f t="shared" si="9"/>
        <v>2500</v>
      </c>
      <c r="AJ36" s="17">
        <f t="shared" si="21"/>
        <v>0</v>
      </c>
      <c r="AK36" s="17">
        <f t="shared" si="11"/>
        <v>0</v>
      </c>
      <c r="AL36" s="25">
        <f t="shared" si="12"/>
        <v>4500</v>
      </c>
      <c r="AM36" s="12">
        <v>25</v>
      </c>
      <c r="AN36" s="6">
        <v>0</v>
      </c>
      <c r="AO36" s="12">
        <v>0</v>
      </c>
      <c r="AP36" s="12">
        <v>15</v>
      </c>
      <c r="AQ36" s="17">
        <f t="shared" si="13"/>
        <v>2500</v>
      </c>
      <c r="AR36" s="17">
        <f t="shared" si="22"/>
        <v>0</v>
      </c>
      <c r="AS36" s="17">
        <f t="shared" si="15"/>
        <v>0</v>
      </c>
      <c r="AT36" s="25">
        <f t="shared" si="16"/>
        <v>4500</v>
      </c>
      <c r="AU36" s="12">
        <v>25</v>
      </c>
      <c r="AV36" s="6">
        <v>0</v>
      </c>
      <c r="AW36" s="12">
        <v>0</v>
      </c>
      <c r="AX36" s="12">
        <v>15</v>
      </c>
      <c r="AY36" s="17">
        <f t="shared" si="17"/>
        <v>2500</v>
      </c>
      <c r="AZ36" s="17">
        <f t="shared" si="17"/>
        <v>0</v>
      </c>
      <c r="BA36" s="17">
        <f t="shared" si="18"/>
        <v>0</v>
      </c>
      <c r="BB36" s="25">
        <f t="shared" si="18"/>
        <v>4500</v>
      </c>
    </row>
    <row r="37" spans="1:54" ht="14">
      <c r="A37" s="6">
        <v>34</v>
      </c>
      <c r="B37" s="6" t="s">
        <v>58</v>
      </c>
      <c r="F37" s="11"/>
      <c r="G37" s="12">
        <v>28</v>
      </c>
      <c r="H37" s="13"/>
      <c r="I37" s="12">
        <v>0</v>
      </c>
      <c r="J37" s="12">
        <v>15</v>
      </c>
      <c r="K37" s="15">
        <f t="shared" si="0"/>
        <v>2800</v>
      </c>
      <c r="L37" s="16"/>
      <c r="M37" s="20">
        <f t="shared" si="1"/>
        <v>0</v>
      </c>
      <c r="N37" s="3">
        <f t="shared" si="2"/>
        <v>4500</v>
      </c>
      <c r="O37" s="12">
        <v>30</v>
      </c>
      <c r="P37" s="6"/>
      <c r="Q37" s="12">
        <v>0</v>
      </c>
      <c r="R37" s="12">
        <v>10</v>
      </c>
      <c r="S37" s="17">
        <f t="shared" si="3"/>
        <v>3000</v>
      </c>
      <c r="T37" s="17"/>
      <c r="U37" s="17">
        <f t="shared" si="4"/>
        <v>0</v>
      </c>
      <c r="V37" s="6">
        <f t="shared" si="5"/>
        <v>3000</v>
      </c>
      <c r="W37" s="12">
        <v>30</v>
      </c>
      <c r="X37" s="6"/>
      <c r="Y37" s="12">
        <v>0</v>
      </c>
      <c r="Z37" s="12">
        <v>10</v>
      </c>
      <c r="AA37" s="17">
        <f t="shared" si="6"/>
        <v>3000</v>
      </c>
      <c r="AB37" s="17"/>
      <c r="AC37" s="17">
        <f t="shared" si="7"/>
        <v>0</v>
      </c>
      <c r="AD37" s="6">
        <f t="shared" si="8"/>
        <v>3000</v>
      </c>
      <c r="AE37" s="12">
        <v>25</v>
      </c>
      <c r="AF37" s="6">
        <v>0</v>
      </c>
      <c r="AG37" s="12">
        <v>0</v>
      </c>
      <c r="AH37" s="12">
        <v>10</v>
      </c>
      <c r="AI37" s="17">
        <f t="shared" si="9"/>
        <v>2500</v>
      </c>
      <c r="AJ37" s="17">
        <f t="shared" si="21"/>
        <v>0</v>
      </c>
      <c r="AK37" s="17">
        <f t="shared" si="11"/>
        <v>0</v>
      </c>
      <c r="AL37" s="25">
        <f t="shared" si="12"/>
        <v>3000</v>
      </c>
      <c r="AM37">
        <v>30</v>
      </c>
      <c r="AN37" s="6">
        <v>0</v>
      </c>
      <c r="AO37" s="12">
        <v>0</v>
      </c>
      <c r="AP37" s="12">
        <v>5</v>
      </c>
      <c r="AQ37" s="17">
        <f t="shared" si="13"/>
        <v>3000</v>
      </c>
      <c r="AR37" s="17">
        <f t="shared" si="22"/>
        <v>0</v>
      </c>
      <c r="AS37" s="17">
        <f t="shared" si="15"/>
        <v>0</v>
      </c>
      <c r="AT37" s="25">
        <f t="shared" si="16"/>
        <v>1500</v>
      </c>
      <c r="AU37">
        <v>25</v>
      </c>
      <c r="AV37" s="6">
        <v>0</v>
      </c>
      <c r="AW37" s="12">
        <v>0</v>
      </c>
      <c r="AX37" s="12">
        <v>10</v>
      </c>
      <c r="AY37" s="17">
        <f t="shared" si="17"/>
        <v>2500</v>
      </c>
      <c r="AZ37" s="17">
        <f t="shared" si="17"/>
        <v>0</v>
      </c>
      <c r="BA37" s="17">
        <f t="shared" si="18"/>
        <v>0</v>
      </c>
      <c r="BB37" s="25">
        <f t="shared" si="18"/>
        <v>3000</v>
      </c>
    </row>
    <row r="38" spans="1:54" ht="14">
      <c r="A38" s="6">
        <v>35</v>
      </c>
      <c r="B38" s="6" t="s">
        <v>59</v>
      </c>
      <c r="F38" s="11"/>
      <c r="G38" s="12">
        <v>30</v>
      </c>
      <c r="H38" s="13"/>
      <c r="I38" s="12">
        <v>0</v>
      </c>
      <c r="J38" s="12">
        <v>15</v>
      </c>
      <c r="K38" s="15">
        <f t="shared" si="0"/>
        <v>3000</v>
      </c>
      <c r="L38" s="16"/>
      <c r="M38" s="20">
        <f t="shared" si="1"/>
        <v>0</v>
      </c>
      <c r="N38" s="3">
        <f t="shared" si="2"/>
        <v>4500</v>
      </c>
      <c r="O38" s="12">
        <v>40</v>
      </c>
      <c r="P38" s="6"/>
      <c r="Q38" s="12">
        <v>0</v>
      </c>
      <c r="R38" s="12">
        <v>10</v>
      </c>
      <c r="S38" s="17">
        <f t="shared" si="3"/>
        <v>4000</v>
      </c>
      <c r="T38" s="17"/>
      <c r="U38" s="17">
        <f t="shared" si="4"/>
        <v>0</v>
      </c>
      <c r="V38" s="6">
        <f t="shared" si="5"/>
        <v>3000</v>
      </c>
      <c r="W38" s="12">
        <v>34</v>
      </c>
      <c r="X38" s="6"/>
      <c r="Y38" s="12">
        <v>0</v>
      </c>
      <c r="Z38" s="12">
        <v>5</v>
      </c>
      <c r="AA38" s="17">
        <f t="shared" si="6"/>
        <v>3400</v>
      </c>
      <c r="AB38" s="17"/>
      <c r="AC38" s="17">
        <f t="shared" si="7"/>
        <v>0</v>
      </c>
      <c r="AD38" s="6">
        <f t="shared" si="8"/>
        <v>1500</v>
      </c>
      <c r="AE38" s="12">
        <v>30</v>
      </c>
      <c r="AF38" s="6">
        <v>0</v>
      </c>
      <c r="AG38" s="12">
        <v>0</v>
      </c>
      <c r="AH38" s="12">
        <v>8</v>
      </c>
      <c r="AI38" s="17">
        <f t="shared" si="9"/>
        <v>3000</v>
      </c>
      <c r="AJ38" s="17">
        <f t="shared" si="21"/>
        <v>0</v>
      </c>
      <c r="AK38" s="17">
        <f t="shared" si="11"/>
        <v>0</v>
      </c>
      <c r="AL38" s="25">
        <f t="shared" si="12"/>
        <v>2400</v>
      </c>
      <c r="AM38" s="12">
        <v>23</v>
      </c>
      <c r="AN38" s="6">
        <v>0</v>
      </c>
      <c r="AO38" s="12">
        <v>0</v>
      </c>
      <c r="AP38" s="12">
        <v>5</v>
      </c>
      <c r="AQ38" s="17">
        <f t="shared" si="13"/>
        <v>2300</v>
      </c>
      <c r="AR38" s="17">
        <f t="shared" si="22"/>
        <v>0</v>
      </c>
      <c r="AS38" s="17">
        <f t="shared" si="15"/>
        <v>0</v>
      </c>
      <c r="AT38" s="25">
        <f t="shared" si="16"/>
        <v>1500</v>
      </c>
      <c r="AU38" s="12">
        <v>30</v>
      </c>
      <c r="AV38" s="6">
        <v>0</v>
      </c>
      <c r="AW38" s="12">
        <v>0</v>
      </c>
      <c r="AX38" s="12">
        <v>5</v>
      </c>
      <c r="AY38" s="17">
        <f t="shared" si="17"/>
        <v>3000</v>
      </c>
      <c r="AZ38" s="17">
        <f t="shared" si="17"/>
        <v>0</v>
      </c>
      <c r="BA38" s="17">
        <f t="shared" si="18"/>
        <v>0</v>
      </c>
      <c r="BB38" s="25">
        <f t="shared" si="18"/>
        <v>1500</v>
      </c>
    </row>
    <row r="39" spans="1:54" ht="14">
      <c r="A39" s="6">
        <v>36</v>
      </c>
      <c r="B39" s="6" t="s">
        <v>60</v>
      </c>
      <c r="F39" s="11"/>
      <c r="G39" s="12">
        <v>20</v>
      </c>
      <c r="H39" s="13"/>
      <c r="I39" s="12">
        <v>0</v>
      </c>
      <c r="J39" s="12">
        <v>0</v>
      </c>
      <c r="K39" s="15">
        <f t="shared" si="0"/>
        <v>2000</v>
      </c>
      <c r="L39" s="16"/>
      <c r="M39" s="20">
        <f t="shared" si="1"/>
        <v>0</v>
      </c>
      <c r="N39" s="3">
        <f t="shared" si="2"/>
        <v>0</v>
      </c>
      <c r="O39" s="12">
        <v>25</v>
      </c>
      <c r="P39" s="6"/>
      <c r="Q39" s="12">
        <v>0</v>
      </c>
      <c r="R39" s="12">
        <v>0</v>
      </c>
      <c r="S39" s="17">
        <f t="shared" si="3"/>
        <v>2500</v>
      </c>
      <c r="T39" s="17"/>
      <c r="U39" s="17">
        <f t="shared" si="4"/>
        <v>0</v>
      </c>
      <c r="V39" s="6">
        <f t="shared" si="5"/>
        <v>0</v>
      </c>
      <c r="W39" s="12">
        <v>25</v>
      </c>
      <c r="X39" s="6"/>
      <c r="Y39" s="12">
        <v>0</v>
      </c>
      <c r="Z39" s="12">
        <v>10</v>
      </c>
      <c r="AA39" s="17">
        <f t="shared" si="6"/>
        <v>2500</v>
      </c>
      <c r="AB39" s="17"/>
      <c r="AC39" s="17">
        <f t="shared" si="7"/>
        <v>0</v>
      </c>
      <c r="AD39" s="6">
        <f t="shared" si="8"/>
        <v>3000</v>
      </c>
      <c r="AE39" s="12">
        <v>30</v>
      </c>
      <c r="AF39" s="6">
        <v>0</v>
      </c>
      <c r="AG39" s="12">
        <v>0</v>
      </c>
      <c r="AH39" s="12">
        <v>10</v>
      </c>
      <c r="AI39" s="17">
        <f t="shared" si="9"/>
        <v>3000</v>
      </c>
      <c r="AJ39" s="17">
        <f t="shared" si="21"/>
        <v>0</v>
      </c>
      <c r="AK39" s="17">
        <f t="shared" si="11"/>
        <v>0</v>
      </c>
      <c r="AL39" s="25">
        <f t="shared" si="12"/>
        <v>3000</v>
      </c>
      <c r="AM39" s="12">
        <v>45</v>
      </c>
      <c r="AN39" s="6">
        <v>0</v>
      </c>
      <c r="AO39" s="12">
        <v>0</v>
      </c>
      <c r="AP39" s="12">
        <v>5</v>
      </c>
      <c r="AQ39" s="17">
        <f t="shared" si="13"/>
        <v>4500</v>
      </c>
      <c r="AR39" s="17">
        <f t="shared" si="22"/>
        <v>0</v>
      </c>
      <c r="AS39" s="17">
        <f t="shared" si="15"/>
        <v>0</v>
      </c>
      <c r="AT39" s="25">
        <f t="shared" si="16"/>
        <v>1500</v>
      </c>
      <c r="AU39" s="12">
        <v>42</v>
      </c>
      <c r="AV39" s="6">
        <v>0</v>
      </c>
      <c r="AW39" s="12">
        <v>0</v>
      </c>
      <c r="AX39" s="12">
        <v>8</v>
      </c>
      <c r="AY39" s="17">
        <f t="shared" si="17"/>
        <v>4200</v>
      </c>
      <c r="AZ39" s="17">
        <f t="shared" si="17"/>
        <v>0</v>
      </c>
      <c r="BA39" s="17">
        <f t="shared" si="18"/>
        <v>0</v>
      </c>
      <c r="BB39" s="25">
        <f t="shared" si="18"/>
        <v>2400</v>
      </c>
    </row>
    <row r="40" spans="1:54" ht="14">
      <c r="A40" s="6">
        <v>37</v>
      </c>
      <c r="B40" s="6" t="s">
        <v>61</v>
      </c>
      <c r="F40" s="11"/>
      <c r="G40" s="12">
        <v>20</v>
      </c>
      <c r="H40" s="13"/>
      <c r="I40" s="12">
        <v>0</v>
      </c>
      <c r="J40" s="12">
        <v>15</v>
      </c>
      <c r="K40" s="15">
        <f t="shared" si="0"/>
        <v>2000</v>
      </c>
      <c r="L40" s="16"/>
      <c r="M40" s="20">
        <f t="shared" si="1"/>
        <v>0</v>
      </c>
      <c r="N40" s="3">
        <f t="shared" si="2"/>
        <v>4500</v>
      </c>
      <c r="O40" s="12">
        <v>22</v>
      </c>
      <c r="P40" s="6"/>
      <c r="Q40" s="12">
        <v>0</v>
      </c>
      <c r="R40" s="12">
        <v>20</v>
      </c>
      <c r="S40" s="17">
        <f t="shared" si="3"/>
        <v>2200</v>
      </c>
      <c r="T40" s="17"/>
      <c r="U40" s="17">
        <f t="shared" si="4"/>
        <v>0</v>
      </c>
      <c r="V40" s="6">
        <f t="shared" si="5"/>
        <v>6000</v>
      </c>
      <c r="W40" s="12">
        <v>22</v>
      </c>
      <c r="X40" s="6"/>
      <c r="Y40" s="12">
        <v>0</v>
      </c>
      <c r="Z40" s="12">
        <v>20</v>
      </c>
      <c r="AA40" s="17">
        <f t="shared" si="6"/>
        <v>2200</v>
      </c>
      <c r="AB40" s="17"/>
      <c r="AC40" s="17">
        <f t="shared" si="7"/>
        <v>0</v>
      </c>
      <c r="AD40" s="6">
        <f t="shared" si="8"/>
        <v>6000</v>
      </c>
      <c r="AE40" s="12">
        <v>25</v>
      </c>
      <c r="AF40" s="6">
        <v>0</v>
      </c>
      <c r="AG40" s="12">
        <v>0</v>
      </c>
      <c r="AH40" s="12">
        <v>20</v>
      </c>
      <c r="AI40" s="17">
        <f t="shared" si="9"/>
        <v>2500</v>
      </c>
      <c r="AJ40" s="17">
        <f t="shared" si="21"/>
        <v>0</v>
      </c>
      <c r="AK40" s="17">
        <f t="shared" si="11"/>
        <v>0</v>
      </c>
      <c r="AL40" s="25">
        <f t="shared" si="12"/>
        <v>6000</v>
      </c>
      <c r="AM40" s="12">
        <v>20</v>
      </c>
      <c r="AN40" s="6">
        <v>0</v>
      </c>
      <c r="AO40" s="12">
        <v>0</v>
      </c>
      <c r="AP40" s="12">
        <v>20</v>
      </c>
      <c r="AQ40" s="17">
        <f t="shared" si="13"/>
        <v>2000</v>
      </c>
      <c r="AR40" s="17">
        <f t="shared" si="22"/>
        <v>0</v>
      </c>
      <c r="AS40" s="17">
        <f t="shared" si="15"/>
        <v>0</v>
      </c>
      <c r="AT40" s="25">
        <f t="shared" si="16"/>
        <v>6000</v>
      </c>
      <c r="AU40" s="12">
        <v>22</v>
      </c>
      <c r="AV40" s="6">
        <v>0</v>
      </c>
      <c r="AW40" s="12">
        <v>0</v>
      </c>
      <c r="AX40" s="12">
        <v>20</v>
      </c>
      <c r="AY40" s="17">
        <f t="shared" si="17"/>
        <v>2200</v>
      </c>
      <c r="AZ40" s="17">
        <f t="shared" si="17"/>
        <v>0</v>
      </c>
      <c r="BA40" s="17">
        <f t="shared" si="18"/>
        <v>0</v>
      </c>
      <c r="BB40" s="25">
        <f t="shared" si="18"/>
        <v>6000</v>
      </c>
    </row>
    <row r="41" spans="1:54" ht="14">
      <c r="A41" s="6">
        <v>38</v>
      </c>
      <c r="B41" s="6" t="s">
        <v>62</v>
      </c>
      <c r="F41" s="11"/>
      <c r="G41" s="12">
        <v>48</v>
      </c>
      <c r="H41" s="13"/>
      <c r="I41" s="12">
        <v>0</v>
      </c>
      <c r="J41" s="12">
        <v>20</v>
      </c>
      <c r="K41" s="15">
        <f t="shared" si="0"/>
        <v>4800</v>
      </c>
      <c r="L41" s="16"/>
      <c r="M41" s="20">
        <f t="shared" si="1"/>
        <v>0</v>
      </c>
      <c r="N41" s="3">
        <f t="shared" si="2"/>
        <v>6000</v>
      </c>
      <c r="O41" s="12">
        <v>40</v>
      </c>
      <c r="P41" s="6"/>
      <c r="Q41" s="12">
        <v>0</v>
      </c>
      <c r="R41" s="12">
        <v>15</v>
      </c>
      <c r="S41" s="17">
        <f t="shared" si="3"/>
        <v>4000</v>
      </c>
      <c r="T41" s="17"/>
      <c r="U41" s="17">
        <f t="shared" si="4"/>
        <v>0</v>
      </c>
      <c r="V41" s="6">
        <f t="shared" si="5"/>
        <v>4500</v>
      </c>
      <c r="W41" s="12">
        <v>40</v>
      </c>
      <c r="X41" s="6"/>
      <c r="Y41" s="12">
        <v>0</v>
      </c>
      <c r="Z41" s="12">
        <v>15</v>
      </c>
      <c r="AA41" s="17">
        <f t="shared" si="6"/>
        <v>4000</v>
      </c>
      <c r="AB41" s="17"/>
      <c r="AC41" s="17">
        <f t="shared" si="7"/>
        <v>0</v>
      </c>
      <c r="AD41" s="6">
        <f t="shared" si="8"/>
        <v>4500</v>
      </c>
      <c r="AE41" s="12">
        <v>42</v>
      </c>
      <c r="AF41" s="6">
        <v>0</v>
      </c>
      <c r="AG41" s="12">
        <v>0</v>
      </c>
      <c r="AH41" s="12">
        <v>10</v>
      </c>
      <c r="AI41" s="17">
        <f t="shared" si="9"/>
        <v>4200</v>
      </c>
      <c r="AJ41" s="17">
        <f t="shared" si="21"/>
        <v>0</v>
      </c>
      <c r="AK41" s="17">
        <f t="shared" si="11"/>
        <v>0</v>
      </c>
      <c r="AL41" s="25">
        <f t="shared" si="12"/>
        <v>3000</v>
      </c>
      <c r="AM41" s="12">
        <v>42</v>
      </c>
      <c r="AN41" s="6">
        <v>0</v>
      </c>
      <c r="AO41" s="12">
        <v>0</v>
      </c>
      <c r="AP41" s="12">
        <v>10</v>
      </c>
      <c r="AQ41" s="17">
        <f t="shared" si="13"/>
        <v>4200</v>
      </c>
      <c r="AR41" s="17">
        <f t="shared" si="22"/>
        <v>0</v>
      </c>
      <c r="AS41" s="17">
        <f t="shared" si="15"/>
        <v>0</v>
      </c>
      <c r="AT41" s="25">
        <f t="shared" si="16"/>
        <v>3000</v>
      </c>
      <c r="AU41" s="12">
        <v>42</v>
      </c>
      <c r="AV41" s="6">
        <v>0</v>
      </c>
      <c r="AW41" s="12">
        <v>0</v>
      </c>
      <c r="AX41" s="12">
        <v>15</v>
      </c>
      <c r="AY41" s="17">
        <f t="shared" si="17"/>
        <v>4200</v>
      </c>
      <c r="AZ41" s="17">
        <f t="shared" si="17"/>
        <v>0</v>
      </c>
      <c r="BA41" s="17">
        <f t="shared" si="18"/>
        <v>0</v>
      </c>
      <c r="BB41" s="25">
        <f t="shared" si="18"/>
        <v>4500</v>
      </c>
    </row>
    <row r="42" spans="1:54" ht="14">
      <c r="A42" s="6">
        <v>39</v>
      </c>
      <c r="B42" s="6" t="s">
        <v>63</v>
      </c>
      <c r="F42" s="11"/>
      <c r="G42" s="12">
        <v>45</v>
      </c>
      <c r="H42" s="13"/>
      <c r="I42" s="12">
        <v>0</v>
      </c>
      <c r="J42" s="12">
        <v>20</v>
      </c>
      <c r="K42" s="15">
        <f t="shared" si="0"/>
        <v>4500</v>
      </c>
      <c r="L42" s="16"/>
      <c r="M42" s="20">
        <f t="shared" si="1"/>
        <v>0</v>
      </c>
      <c r="N42" s="3">
        <f t="shared" si="2"/>
        <v>6000</v>
      </c>
      <c r="O42" s="12">
        <v>50</v>
      </c>
      <c r="P42" s="6"/>
      <c r="Q42" s="12">
        <v>0</v>
      </c>
      <c r="R42" s="12">
        <v>20</v>
      </c>
      <c r="S42" s="17">
        <f t="shared" si="3"/>
        <v>5000</v>
      </c>
      <c r="T42" s="17"/>
      <c r="U42" s="17">
        <f t="shared" si="4"/>
        <v>0</v>
      </c>
      <c r="V42" s="6">
        <f t="shared" si="5"/>
        <v>6000</v>
      </c>
      <c r="W42" s="12">
        <v>50</v>
      </c>
      <c r="X42" s="6"/>
      <c r="Y42" s="12">
        <v>0</v>
      </c>
      <c r="Z42" s="12">
        <v>10</v>
      </c>
      <c r="AA42" s="17">
        <f t="shared" si="6"/>
        <v>5000</v>
      </c>
      <c r="AB42" s="17"/>
      <c r="AC42" s="17">
        <f t="shared" si="7"/>
        <v>0</v>
      </c>
      <c r="AD42" s="6">
        <f t="shared" si="8"/>
        <v>3000</v>
      </c>
      <c r="AE42" s="12">
        <v>55</v>
      </c>
      <c r="AF42" s="6">
        <v>0</v>
      </c>
      <c r="AG42" s="12">
        <v>0</v>
      </c>
      <c r="AH42" s="12">
        <v>12</v>
      </c>
      <c r="AI42" s="17">
        <f t="shared" si="9"/>
        <v>5500</v>
      </c>
      <c r="AJ42" s="17">
        <f t="shared" si="21"/>
        <v>0</v>
      </c>
      <c r="AK42" s="17">
        <f t="shared" si="11"/>
        <v>0</v>
      </c>
      <c r="AL42" s="25">
        <f t="shared" si="12"/>
        <v>3600</v>
      </c>
      <c r="AM42" s="12">
        <v>55</v>
      </c>
      <c r="AN42" s="6">
        <v>0</v>
      </c>
      <c r="AO42" s="12">
        <v>0</v>
      </c>
      <c r="AP42" s="12">
        <v>12</v>
      </c>
      <c r="AQ42" s="17">
        <f t="shared" si="13"/>
        <v>5500</v>
      </c>
      <c r="AR42" s="17">
        <f t="shared" si="22"/>
        <v>0</v>
      </c>
      <c r="AS42" s="17">
        <f t="shared" si="15"/>
        <v>0</v>
      </c>
      <c r="AT42" s="25">
        <f t="shared" si="16"/>
        <v>3600</v>
      </c>
      <c r="AU42" s="12">
        <v>52</v>
      </c>
      <c r="AV42" s="6">
        <v>0</v>
      </c>
      <c r="AW42" s="12">
        <v>0</v>
      </c>
      <c r="AX42" s="12">
        <v>17</v>
      </c>
      <c r="AY42" s="17">
        <f t="shared" si="17"/>
        <v>5200</v>
      </c>
      <c r="AZ42" s="17">
        <f t="shared" si="17"/>
        <v>0</v>
      </c>
      <c r="BA42" s="17">
        <f t="shared" si="18"/>
        <v>0</v>
      </c>
      <c r="BB42" s="25">
        <f t="shared" si="18"/>
        <v>5100</v>
      </c>
    </row>
    <row r="43" spans="1:54" ht="14">
      <c r="A43" s="6">
        <v>40</v>
      </c>
      <c r="B43" s="6" t="s">
        <v>64</v>
      </c>
      <c r="F43" s="11"/>
      <c r="G43" s="12">
        <v>0</v>
      </c>
      <c r="H43" s="13"/>
      <c r="I43" s="12">
        <v>0</v>
      </c>
      <c r="J43" s="12">
        <v>20</v>
      </c>
      <c r="K43" s="15">
        <f t="shared" si="0"/>
        <v>0</v>
      </c>
      <c r="L43" s="16"/>
      <c r="M43" s="20">
        <f t="shared" si="1"/>
        <v>0</v>
      </c>
      <c r="N43" s="3">
        <f t="shared" si="2"/>
        <v>6000</v>
      </c>
      <c r="O43" s="12">
        <v>0</v>
      </c>
      <c r="P43" s="6"/>
      <c r="Q43" s="12">
        <v>0</v>
      </c>
      <c r="R43" s="12">
        <v>20</v>
      </c>
      <c r="S43" s="17">
        <f t="shared" si="3"/>
        <v>0</v>
      </c>
      <c r="T43" s="17"/>
      <c r="U43" s="17">
        <f t="shared" si="4"/>
        <v>0</v>
      </c>
      <c r="V43" s="6">
        <f t="shared" si="5"/>
        <v>6000</v>
      </c>
      <c r="W43" s="12">
        <v>0</v>
      </c>
      <c r="X43" s="6"/>
      <c r="Y43" s="12">
        <v>0</v>
      </c>
      <c r="Z43" s="12">
        <v>20</v>
      </c>
      <c r="AA43" s="17">
        <f t="shared" si="6"/>
        <v>0</v>
      </c>
      <c r="AB43" s="17"/>
      <c r="AC43" s="17">
        <f t="shared" si="7"/>
        <v>0</v>
      </c>
      <c r="AD43" s="6">
        <f t="shared" si="8"/>
        <v>6000</v>
      </c>
      <c r="AE43" s="12">
        <v>35</v>
      </c>
      <c r="AF43" s="6">
        <v>25</v>
      </c>
      <c r="AG43" s="12">
        <v>0</v>
      </c>
      <c r="AH43" s="12">
        <v>0</v>
      </c>
      <c r="AI43" s="17">
        <f t="shared" si="9"/>
        <v>3500</v>
      </c>
      <c r="AJ43" s="17">
        <f t="shared" si="21"/>
        <v>2500</v>
      </c>
      <c r="AK43" s="17">
        <f t="shared" si="11"/>
        <v>0</v>
      </c>
      <c r="AL43" s="25">
        <f t="shared" si="12"/>
        <v>0</v>
      </c>
      <c r="AM43" s="12">
        <v>35</v>
      </c>
      <c r="AN43" s="6">
        <v>25</v>
      </c>
      <c r="AO43" s="12">
        <v>0</v>
      </c>
      <c r="AP43" s="12">
        <v>0</v>
      </c>
      <c r="AQ43" s="17">
        <f t="shared" si="13"/>
        <v>3500</v>
      </c>
      <c r="AR43" s="17">
        <f t="shared" si="22"/>
        <v>2500</v>
      </c>
      <c r="AS43" s="17">
        <f t="shared" si="15"/>
        <v>0</v>
      </c>
      <c r="AT43" s="25">
        <f t="shared" si="16"/>
        <v>0</v>
      </c>
      <c r="AU43" s="12">
        <v>35</v>
      </c>
      <c r="AV43" s="6">
        <v>35</v>
      </c>
      <c r="AW43" s="12">
        <v>0</v>
      </c>
      <c r="AX43" s="12">
        <v>0</v>
      </c>
      <c r="AY43" s="17">
        <f t="shared" si="17"/>
        <v>3500</v>
      </c>
      <c r="AZ43" s="17">
        <f>AV43*100</f>
        <v>3500</v>
      </c>
      <c r="BA43" s="17">
        <f t="shared" si="18"/>
        <v>0</v>
      </c>
      <c r="BB43" s="25">
        <f t="shared" si="18"/>
        <v>0</v>
      </c>
    </row>
    <row r="44" spans="1:54" ht="14">
      <c r="A44" s="6">
        <v>41</v>
      </c>
      <c r="B44" s="6" t="s">
        <v>66</v>
      </c>
      <c r="F44" s="11"/>
      <c r="G44" s="12">
        <v>40</v>
      </c>
      <c r="H44" s="13"/>
      <c r="I44" s="12">
        <v>0</v>
      </c>
      <c r="J44" s="12">
        <v>15</v>
      </c>
      <c r="K44" s="15">
        <f t="shared" si="0"/>
        <v>4000</v>
      </c>
      <c r="L44" s="16"/>
      <c r="M44" s="20">
        <f t="shared" si="1"/>
        <v>0</v>
      </c>
      <c r="N44" s="3">
        <f t="shared" si="2"/>
        <v>4500</v>
      </c>
      <c r="O44" s="12">
        <v>35</v>
      </c>
      <c r="P44" s="6"/>
      <c r="Q44" s="12">
        <v>0</v>
      </c>
      <c r="R44" s="12">
        <v>15</v>
      </c>
      <c r="S44" s="17">
        <f t="shared" si="3"/>
        <v>3500</v>
      </c>
      <c r="T44" s="17"/>
      <c r="U44" s="17">
        <f t="shared" si="4"/>
        <v>0</v>
      </c>
      <c r="V44" s="6">
        <f t="shared" si="5"/>
        <v>4500</v>
      </c>
      <c r="W44" s="12">
        <v>35</v>
      </c>
      <c r="X44" s="6"/>
      <c r="Y44" s="12">
        <v>0</v>
      </c>
      <c r="Z44" s="12">
        <v>15</v>
      </c>
      <c r="AA44" s="17">
        <f t="shared" si="6"/>
        <v>3500</v>
      </c>
      <c r="AB44" s="17"/>
      <c r="AC44" s="17">
        <f t="shared" si="7"/>
        <v>0</v>
      </c>
      <c r="AD44" s="6">
        <f t="shared" si="8"/>
        <v>4500</v>
      </c>
      <c r="AE44" s="12">
        <v>30</v>
      </c>
      <c r="AF44" s="6">
        <v>0</v>
      </c>
      <c r="AG44" s="12">
        <v>0</v>
      </c>
      <c r="AH44" s="12">
        <v>10</v>
      </c>
      <c r="AI44" s="17">
        <f t="shared" si="9"/>
        <v>3000</v>
      </c>
      <c r="AJ44" s="17">
        <f t="shared" si="21"/>
        <v>0</v>
      </c>
      <c r="AK44" s="17">
        <f t="shared" si="11"/>
        <v>0</v>
      </c>
      <c r="AL44" s="25">
        <f t="shared" si="12"/>
        <v>3000</v>
      </c>
      <c r="AM44" s="12">
        <v>30</v>
      </c>
      <c r="AN44" s="6">
        <v>0</v>
      </c>
      <c r="AO44" s="12">
        <v>0</v>
      </c>
      <c r="AP44" s="12">
        <v>15</v>
      </c>
      <c r="AQ44" s="17">
        <f t="shared" si="13"/>
        <v>3000</v>
      </c>
      <c r="AR44" s="17">
        <f t="shared" si="22"/>
        <v>0</v>
      </c>
      <c r="AS44" s="17">
        <f t="shared" si="15"/>
        <v>0</v>
      </c>
      <c r="AT44" s="25">
        <f t="shared" si="16"/>
        <v>4500</v>
      </c>
      <c r="AU44" s="12">
        <v>30</v>
      </c>
      <c r="AV44" s="6">
        <v>0</v>
      </c>
      <c r="AW44" s="12">
        <v>0</v>
      </c>
      <c r="AX44" s="12">
        <v>10</v>
      </c>
      <c r="AY44" s="17">
        <f t="shared" si="17"/>
        <v>3000</v>
      </c>
      <c r="AZ44" s="17">
        <f>AV44*100</f>
        <v>0</v>
      </c>
      <c r="BA44" s="17">
        <f t="shared" si="18"/>
        <v>0</v>
      </c>
      <c r="BB44" s="25">
        <f t="shared" si="18"/>
        <v>3000</v>
      </c>
    </row>
    <row r="45" spans="1:54" ht="14">
      <c r="A45" s="6">
        <v>42</v>
      </c>
      <c r="B45" s="6" t="s">
        <v>67</v>
      </c>
      <c r="F45" s="11"/>
      <c r="G45" s="12">
        <v>50</v>
      </c>
      <c r="H45" s="13"/>
      <c r="I45" s="12">
        <v>0</v>
      </c>
      <c r="J45" s="12">
        <v>10</v>
      </c>
      <c r="K45" s="15">
        <f t="shared" si="0"/>
        <v>5000</v>
      </c>
      <c r="L45" s="16"/>
      <c r="M45" s="20">
        <f t="shared" si="1"/>
        <v>0</v>
      </c>
      <c r="N45" s="3">
        <f t="shared" si="2"/>
        <v>3000</v>
      </c>
      <c r="O45" s="12">
        <v>48</v>
      </c>
      <c r="P45" s="6"/>
      <c r="Q45" s="12">
        <v>0</v>
      </c>
      <c r="R45" s="12">
        <v>10</v>
      </c>
      <c r="S45" s="17">
        <f t="shared" si="3"/>
        <v>4800</v>
      </c>
      <c r="T45" s="17"/>
      <c r="U45" s="17">
        <f t="shared" si="4"/>
        <v>0</v>
      </c>
      <c r="V45" s="6">
        <f t="shared" si="5"/>
        <v>3000</v>
      </c>
      <c r="W45" s="12">
        <v>40</v>
      </c>
      <c r="X45" s="6"/>
      <c r="Y45" s="12">
        <v>0</v>
      </c>
      <c r="Z45" s="12">
        <v>8</v>
      </c>
      <c r="AA45" s="17">
        <f t="shared" si="6"/>
        <v>4000</v>
      </c>
      <c r="AB45" s="17"/>
      <c r="AC45" s="17">
        <f t="shared" si="7"/>
        <v>0</v>
      </c>
      <c r="AD45" s="6">
        <f t="shared" si="8"/>
        <v>2400</v>
      </c>
      <c r="AE45" s="12">
        <v>43</v>
      </c>
      <c r="AF45" s="6">
        <v>0</v>
      </c>
      <c r="AG45" s="12">
        <v>0</v>
      </c>
      <c r="AH45" s="12">
        <v>10</v>
      </c>
      <c r="AI45" s="17">
        <f t="shared" si="9"/>
        <v>4300</v>
      </c>
      <c r="AJ45" s="17">
        <f t="shared" ref="AJ45:AJ53" si="23">AF45*100</f>
        <v>0</v>
      </c>
      <c r="AK45" s="17">
        <f t="shared" si="11"/>
        <v>0</v>
      </c>
      <c r="AL45" s="25">
        <f t="shared" si="12"/>
        <v>3000</v>
      </c>
      <c r="AM45" s="12">
        <v>43</v>
      </c>
      <c r="AN45" s="6">
        <v>0</v>
      </c>
      <c r="AO45" s="12">
        <v>0</v>
      </c>
      <c r="AP45" s="12">
        <v>10</v>
      </c>
      <c r="AQ45" s="17">
        <f t="shared" si="13"/>
        <v>4300</v>
      </c>
      <c r="AR45" s="17">
        <f t="shared" ref="AR45:AR53" si="24">AN45*100</f>
        <v>0</v>
      </c>
      <c r="AS45" s="17">
        <f t="shared" si="15"/>
        <v>0</v>
      </c>
      <c r="AT45" s="25">
        <f t="shared" si="16"/>
        <v>3000</v>
      </c>
      <c r="AU45" s="12">
        <v>43</v>
      </c>
      <c r="AV45" s="6">
        <v>0</v>
      </c>
      <c r="AW45" s="12">
        <v>0</v>
      </c>
      <c r="AX45" s="12">
        <v>20</v>
      </c>
      <c r="AY45" s="17">
        <f t="shared" si="17"/>
        <v>4300</v>
      </c>
      <c r="AZ45" s="17">
        <f t="shared" si="17"/>
        <v>0</v>
      </c>
      <c r="BA45" s="17">
        <f t="shared" si="18"/>
        <v>0</v>
      </c>
      <c r="BB45" s="25">
        <f t="shared" si="18"/>
        <v>6000</v>
      </c>
    </row>
    <row r="46" spans="1:54" ht="14">
      <c r="A46" s="6">
        <v>43</v>
      </c>
      <c r="B46" s="6" t="s">
        <v>68</v>
      </c>
      <c r="F46" s="11"/>
      <c r="G46" s="12">
        <v>40</v>
      </c>
      <c r="H46" s="13"/>
      <c r="I46" s="12">
        <v>0</v>
      </c>
      <c r="J46" s="12">
        <v>15</v>
      </c>
      <c r="K46" s="15">
        <f t="shared" si="0"/>
        <v>4000</v>
      </c>
      <c r="L46" s="16"/>
      <c r="M46" s="20">
        <f t="shared" si="1"/>
        <v>0</v>
      </c>
      <c r="N46" s="3">
        <f t="shared" si="2"/>
        <v>4500</v>
      </c>
      <c r="O46" s="12">
        <v>38</v>
      </c>
      <c r="P46" s="6"/>
      <c r="Q46" s="12">
        <v>0</v>
      </c>
      <c r="R46" s="12">
        <v>15</v>
      </c>
      <c r="S46" s="17">
        <f t="shared" si="3"/>
        <v>3800</v>
      </c>
      <c r="T46" s="17"/>
      <c r="U46" s="17">
        <f t="shared" si="4"/>
        <v>0</v>
      </c>
      <c r="V46" s="6">
        <f t="shared" si="5"/>
        <v>4500</v>
      </c>
      <c r="W46" s="12">
        <v>38</v>
      </c>
      <c r="X46" s="6"/>
      <c r="Y46" s="12">
        <v>0</v>
      </c>
      <c r="Z46" s="12">
        <v>15</v>
      </c>
      <c r="AA46" s="17">
        <f t="shared" si="6"/>
        <v>3800</v>
      </c>
      <c r="AB46" s="17"/>
      <c r="AC46" s="17">
        <f t="shared" si="7"/>
        <v>0</v>
      </c>
      <c r="AD46" s="6">
        <f t="shared" si="8"/>
        <v>4500</v>
      </c>
      <c r="AE46" s="12">
        <v>30</v>
      </c>
      <c r="AF46" s="6">
        <v>0</v>
      </c>
      <c r="AG46" s="12">
        <v>0</v>
      </c>
      <c r="AH46" s="12">
        <v>15</v>
      </c>
      <c r="AI46" s="17">
        <f t="shared" si="9"/>
        <v>3000</v>
      </c>
      <c r="AJ46" s="17">
        <f t="shared" si="23"/>
        <v>0</v>
      </c>
      <c r="AK46" s="17">
        <f t="shared" si="11"/>
        <v>0</v>
      </c>
      <c r="AL46" s="25">
        <f t="shared" si="12"/>
        <v>4500</v>
      </c>
      <c r="AM46" s="12">
        <v>30</v>
      </c>
      <c r="AN46" s="6">
        <v>0</v>
      </c>
      <c r="AO46" s="12">
        <v>0</v>
      </c>
      <c r="AP46" s="12">
        <v>15</v>
      </c>
      <c r="AQ46" s="17">
        <f t="shared" si="13"/>
        <v>3000</v>
      </c>
      <c r="AR46" s="17">
        <f t="shared" si="24"/>
        <v>0</v>
      </c>
      <c r="AS46" s="17">
        <f t="shared" si="15"/>
        <v>0</v>
      </c>
      <c r="AT46" s="25">
        <f t="shared" si="16"/>
        <v>4500</v>
      </c>
      <c r="AU46" s="12">
        <v>28</v>
      </c>
      <c r="AV46" s="6">
        <v>0</v>
      </c>
      <c r="AW46" s="12">
        <v>0</v>
      </c>
      <c r="AX46" s="12">
        <v>12</v>
      </c>
      <c r="AY46" s="17">
        <f t="shared" si="17"/>
        <v>2800</v>
      </c>
      <c r="AZ46" s="17">
        <f t="shared" si="17"/>
        <v>0</v>
      </c>
      <c r="BA46" s="17">
        <f t="shared" si="18"/>
        <v>0</v>
      </c>
      <c r="BB46" s="25">
        <f t="shared" si="18"/>
        <v>3600</v>
      </c>
    </row>
    <row r="47" spans="1:54" ht="14">
      <c r="A47" s="6">
        <v>44</v>
      </c>
      <c r="B47" s="6" t="s">
        <v>69</v>
      </c>
      <c r="F47" s="11"/>
      <c r="G47" s="12">
        <v>30</v>
      </c>
      <c r="H47" s="13"/>
      <c r="I47" s="12">
        <v>0</v>
      </c>
      <c r="J47" s="12">
        <v>10</v>
      </c>
      <c r="K47" s="15">
        <f t="shared" si="0"/>
        <v>3000</v>
      </c>
      <c r="L47" s="16"/>
      <c r="M47" s="20">
        <f t="shared" si="1"/>
        <v>0</v>
      </c>
      <c r="N47" s="3">
        <f t="shared" si="2"/>
        <v>3000</v>
      </c>
      <c r="O47" s="12">
        <v>30</v>
      </c>
      <c r="P47" s="6"/>
      <c r="Q47" s="12">
        <v>0</v>
      </c>
      <c r="R47" s="12">
        <v>10</v>
      </c>
      <c r="S47" s="17">
        <f t="shared" si="3"/>
        <v>3000</v>
      </c>
      <c r="T47" s="17"/>
      <c r="U47" s="17">
        <f t="shared" si="4"/>
        <v>0</v>
      </c>
      <c r="V47" s="6">
        <f t="shared" si="5"/>
        <v>3000</v>
      </c>
      <c r="W47" s="12">
        <v>30</v>
      </c>
      <c r="X47" s="6"/>
      <c r="Y47" s="12">
        <v>0</v>
      </c>
      <c r="Z47" s="12">
        <v>10</v>
      </c>
      <c r="AA47" s="17">
        <f t="shared" si="6"/>
        <v>3000</v>
      </c>
      <c r="AB47" s="17"/>
      <c r="AC47" s="17">
        <f t="shared" si="7"/>
        <v>0</v>
      </c>
      <c r="AD47" s="6">
        <f t="shared" si="8"/>
        <v>3000</v>
      </c>
      <c r="AE47" s="12">
        <v>25</v>
      </c>
      <c r="AF47" s="6">
        <v>0</v>
      </c>
      <c r="AG47" s="12">
        <v>0</v>
      </c>
      <c r="AH47" s="12">
        <v>15</v>
      </c>
      <c r="AI47" s="17">
        <f t="shared" si="9"/>
        <v>2500</v>
      </c>
      <c r="AJ47" s="17">
        <f t="shared" si="23"/>
        <v>0</v>
      </c>
      <c r="AK47" s="17">
        <f t="shared" si="11"/>
        <v>0</v>
      </c>
      <c r="AL47" s="25">
        <f t="shared" si="12"/>
        <v>4500</v>
      </c>
      <c r="AM47" s="12">
        <v>25</v>
      </c>
      <c r="AN47" s="6">
        <v>0</v>
      </c>
      <c r="AO47" s="12">
        <v>0</v>
      </c>
      <c r="AP47" s="12">
        <v>15</v>
      </c>
      <c r="AQ47" s="17">
        <f t="shared" si="13"/>
        <v>2500</v>
      </c>
      <c r="AR47" s="17">
        <f t="shared" si="24"/>
        <v>0</v>
      </c>
      <c r="AS47" s="17">
        <f t="shared" si="15"/>
        <v>0</v>
      </c>
      <c r="AT47" s="25">
        <f t="shared" si="16"/>
        <v>4500</v>
      </c>
      <c r="AU47" s="12">
        <v>25</v>
      </c>
      <c r="AV47" s="6">
        <v>0</v>
      </c>
      <c r="AW47" s="12">
        <v>0</v>
      </c>
      <c r="AX47" s="12">
        <v>5</v>
      </c>
      <c r="AY47" s="17">
        <f t="shared" si="17"/>
        <v>2500</v>
      </c>
      <c r="AZ47" s="17">
        <f t="shared" si="17"/>
        <v>0</v>
      </c>
      <c r="BA47" s="17">
        <f t="shared" si="18"/>
        <v>0</v>
      </c>
      <c r="BB47" s="25">
        <f t="shared" si="18"/>
        <v>1500</v>
      </c>
    </row>
    <row r="48" spans="1:54" ht="14">
      <c r="A48" s="6">
        <v>45</v>
      </c>
      <c r="B48" s="6" t="s">
        <v>70</v>
      </c>
      <c r="F48" s="11"/>
      <c r="G48" s="12">
        <v>40</v>
      </c>
      <c r="H48" s="13"/>
      <c r="I48" s="12">
        <v>0</v>
      </c>
      <c r="J48" s="12">
        <v>15</v>
      </c>
      <c r="K48" s="15">
        <f t="shared" si="0"/>
        <v>4000</v>
      </c>
      <c r="L48" s="16"/>
      <c r="M48" s="20">
        <f t="shared" si="1"/>
        <v>0</v>
      </c>
      <c r="N48" s="3">
        <f t="shared" si="2"/>
        <v>4500</v>
      </c>
      <c r="O48" s="12">
        <v>42</v>
      </c>
      <c r="P48" s="6"/>
      <c r="Q48" s="12">
        <v>0</v>
      </c>
      <c r="R48" s="12">
        <v>10</v>
      </c>
      <c r="S48" s="17">
        <f t="shared" si="3"/>
        <v>4200</v>
      </c>
      <c r="T48" s="17"/>
      <c r="U48" s="17">
        <f t="shared" si="4"/>
        <v>0</v>
      </c>
      <c r="V48" s="6">
        <f t="shared" si="5"/>
        <v>3000</v>
      </c>
      <c r="W48" s="12">
        <v>42</v>
      </c>
      <c r="X48" s="6"/>
      <c r="Y48" s="12">
        <v>0</v>
      </c>
      <c r="Z48" s="12">
        <v>10</v>
      </c>
      <c r="AA48" s="17">
        <f t="shared" si="6"/>
        <v>4200</v>
      </c>
      <c r="AB48" s="17"/>
      <c r="AC48" s="17">
        <f t="shared" si="7"/>
        <v>0</v>
      </c>
      <c r="AD48" s="6">
        <f t="shared" si="8"/>
        <v>3000</v>
      </c>
      <c r="AE48" s="12">
        <v>45</v>
      </c>
      <c r="AF48" s="6">
        <v>0</v>
      </c>
      <c r="AG48" s="12">
        <v>0</v>
      </c>
      <c r="AH48" s="12">
        <v>10</v>
      </c>
      <c r="AI48" s="17">
        <f t="shared" si="9"/>
        <v>4500</v>
      </c>
      <c r="AJ48" s="17">
        <f t="shared" si="23"/>
        <v>0</v>
      </c>
      <c r="AK48" s="17">
        <f t="shared" si="11"/>
        <v>0</v>
      </c>
      <c r="AL48" s="25">
        <f t="shared" si="12"/>
        <v>3000</v>
      </c>
      <c r="AM48" s="12">
        <v>45</v>
      </c>
      <c r="AN48" s="6">
        <v>0</v>
      </c>
      <c r="AO48" s="12">
        <v>0</v>
      </c>
      <c r="AP48" s="12">
        <v>10</v>
      </c>
      <c r="AQ48" s="17">
        <f t="shared" si="13"/>
        <v>4500</v>
      </c>
      <c r="AR48" s="17">
        <f t="shared" si="24"/>
        <v>0</v>
      </c>
      <c r="AS48" s="17">
        <f t="shared" si="15"/>
        <v>0</v>
      </c>
      <c r="AT48" s="25">
        <f t="shared" si="16"/>
        <v>3000</v>
      </c>
      <c r="AU48" s="12">
        <v>41</v>
      </c>
      <c r="AV48" s="6">
        <v>0</v>
      </c>
      <c r="AW48" s="12">
        <v>0</v>
      </c>
      <c r="AX48" s="12">
        <v>8</v>
      </c>
      <c r="AY48" s="17">
        <f t="shared" si="17"/>
        <v>4100</v>
      </c>
      <c r="AZ48" s="17">
        <f t="shared" si="17"/>
        <v>0</v>
      </c>
      <c r="BA48" s="17">
        <f t="shared" si="18"/>
        <v>0</v>
      </c>
      <c r="BB48" s="25">
        <f t="shared" si="18"/>
        <v>2400</v>
      </c>
    </row>
    <row r="49" spans="1:54" ht="14">
      <c r="A49" s="6">
        <v>46</v>
      </c>
      <c r="B49" s="6" t="s">
        <v>71</v>
      </c>
      <c r="F49" s="11"/>
      <c r="G49" s="12">
        <v>30</v>
      </c>
      <c r="H49" s="13"/>
      <c r="I49" s="12">
        <v>0</v>
      </c>
      <c r="J49" s="12">
        <v>10</v>
      </c>
      <c r="K49" s="15">
        <f t="shared" si="0"/>
        <v>3000</v>
      </c>
      <c r="L49" s="16"/>
      <c r="M49" s="20">
        <f t="shared" si="1"/>
        <v>0</v>
      </c>
      <c r="N49" s="3">
        <f t="shared" si="2"/>
        <v>3000</v>
      </c>
      <c r="O49" s="12">
        <v>25</v>
      </c>
      <c r="P49" s="6"/>
      <c r="Q49" s="12">
        <v>0</v>
      </c>
      <c r="R49" s="12">
        <v>5</v>
      </c>
      <c r="S49" s="17">
        <f t="shared" si="3"/>
        <v>2500</v>
      </c>
      <c r="T49" s="17"/>
      <c r="U49" s="17">
        <f t="shared" si="4"/>
        <v>0</v>
      </c>
      <c r="V49" s="6">
        <f t="shared" si="5"/>
        <v>1500</v>
      </c>
      <c r="W49" s="12">
        <v>25</v>
      </c>
      <c r="X49" s="6"/>
      <c r="Y49" s="12">
        <v>0</v>
      </c>
      <c r="Z49" s="12">
        <v>5</v>
      </c>
      <c r="AA49" s="17">
        <f t="shared" si="6"/>
        <v>2500</v>
      </c>
      <c r="AB49" s="17"/>
      <c r="AC49" s="17">
        <f t="shared" si="7"/>
        <v>0</v>
      </c>
      <c r="AD49" s="6">
        <f t="shared" si="8"/>
        <v>1500</v>
      </c>
      <c r="AE49" s="12">
        <v>25</v>
      </c>
      <c r="AF49" s="6">
        <v>0</v>
      </c>
      <c r="AG49" s="12">
        <v>0</v>
      </c>
      <c r="AH49" s="12">
        <v>10</v>
      </c>
      <c r="AI49" s="17">
        <f t="shared" si="9"/>
        <v>2500</v>
      </c>
      <c r="AJ49" s="17">
        <f t="shared" si="23"/>
        <v>0</v>
      </c>
      <c r="AK49" s="17">
        <f t="shared" si="11"/>
        <v>0</v>
      </c>
      <c r="AL49" s="25">
        <f t="shared" si="12"/>
        <v>3000</v>
      </c>
      <c r="AM49" s="12">
        <v>25</v>
      </c>
      <c r="AN49" s="6">
        <v>0</v>
      </c>
      <c r="AO49" s="12">
        <v>0</v>
      </c>
      <c r="AP49" s="12">
        <v>10</v>
      </c>
      <c r="AQ49" s="17">
        <f t="shared" si="13"/>
        <v>2500</v>
      </c>
      <c r="AR49" s="17">
        <f t="shared" si="24"/>
        <v>0</v>
      </c>
      <c r="AS49" s="17">
        <f t="shared" si="15"/>
        <v>0</v>
      </c>
      <c r="AT49" s="25">
        <f t="shared" si="16"/>
        <v>3000</v>
      </c>
      <c r="AU49" s="12">
        <v>26</v>
      </c>
      <c r="AV49" s="6">
        <v>0</v>
      </c>
      <c r="AW49" s="12">
        <v>0</v>
      </c>
      <c r="AX49" s="12">
        <v>10</v>
      </c>
      <c r="AY49" s="17">
        <f t="shared" si="17"/>
        <v>2600</v>
      </c>
      <c r="AZ49" s="17">
        <f t="shared" si="17"/>
        <v>0</v>
      </c>
      <c r="BA49" s="17">
        <f t="shared" si="18"/>
        <v>0</v>
      </c>
      <c r="BB49" s="25">
        <f t="shared" si="18"/>
        <v>3000</v>
      </c>
    </row>
    <row r="50" spans="1:54" ht="14">
      <c r="A50" s="6">
        <v>47</v>
      </c>
      <c r="B50" s="6" t="s">
        <v>72</v>
      </c>
      <c r="F50" s="11"/>
      <c r="G50" s="12">
        <v>35</v>
      </c>
      <c r="H50" s="13"/>
      <c r="I50" s="12">
        <v>0</v>
      </c>
      <c r="J50" s="12">
        <v>101</v>
      </c>
      <c r="K50" s="15">
        <f t="shared" si="0"/>
        <v>3500</v>
      </c>
      <c r="L50" s="16"/>
      <c r="M50" s="20">
        <f t="shared" si="1"/>
        <v>0</v>
      </c>
      <c r="N50" s="3">
        <f t="shared" si="2"/>
        <v>30300</v>
      </c>
      <c r="O50" s="12">
        <v>35</v>
      </c>
      <c r="P50" s="6"/>
      <c r="Q50" s="12">
        <v>0</v>
      </c>
      <c r="R50" s="12">
        <v>0</v>
      </c>
      <c r="S50" s="17">
        <f t="shared" si="3"/>
        <v>3500</v>
      </c>
      <c r="T50" s="17"/>
      <c r="U50" s="17">
        <f t="shared" si="4"/>
        <v>0</v>
      </c>
      <c r="V50" s="6">
        <f t="shared" si="5"/>
        <v>0</v>
      </c>
      <c r="W50" s="12">
        <v>35</v>
      </c>
      <c r="X50" s="6"/>
      <c r="Y50" s="12">
        <v>0</v>
      </c>
      <c r="Z50" s="12">
        <v>0</v>
      </c>
      <c r="AA50" s="17">
        <f t="shared" si="6"/>
        <v>3500</v>
      </c>
      <c r="AB50" s="17"/>
      <c r="AC50" s="17">
        <f t="shared" si="7"/>
        <v>0</v>
      </c>
      <c r="AD50" s="6">
        <f t="shared" si="8"/>
        <v>0</v>
      </c>
      <c r="AE50" s="12">
        <v>30</v>
      </c>
      <c r="AF50" s="6">
        <v>0</v>
      </c>
      <c r="AG50" s="12">
        <v>0</v>
      </c>
      <c r="AH50" s="12">
        <v>0</v>
      </c>
      <c r="AI50" s="17">
        <f t="shared" si="9"/>
        <v>3000</v>
      </c>
      <c r="AJ50" s="17">
        <f t="shared" si="23"/>
        <v>0</v>
      </c>
      <c r="AK50" s="17">
        <f t="shared" si="11"/>
        <v>0</v>
      </c>
      <c r="AL50" s="25">
        <f t="shared" si="12"/>
        <v>0</v>
      </c>
      <c r="AM50" s="12">
        <v>30</v>
      </c>
      <c r="AN50" s="6">
        <v>0</v>
      </c>
      <c r="AO50" s="12">
        <v>0</v>
      </c>
      <c r="AP50" s="12">
        <v>10</v>
      </c>
      <c r="AQ50" s="17">
        <f t="shared" si="13"/>
        <v>3000</v>
      </c>
      <c r="AR50" s="17">
        <f t="shared" si="24"/>
        <v>0</v>
      </c>
      <c r="AS50" s="17">
        <f t="shared" si="15"/>
        <v>0</v>
      </c>
      <c r="AT50" s="25">
        <f t="shared" si="16"/>
        <v>3000</v>
      </c>
      <c r="AU50" s="12">
        <v>30</v>
      </c>
      <c r="AV50" s="6">
        <v>0</v>
      </c>
      <c r="AW50" s="12">
        <v>0</v>
      </c>
      <c r="AX50" s="12">
        <v>8</v>
      </c>
      <c r="AY50" s="17">
        <f t="shared" si="17"/>
        <v>3000</v>
      </c>
      <c r="AZ50" s="17">
        <f t="shared" si="17"/>
        <v>0</v>
      </c>
      <c r="BA50" s="17">
        <f t="shared" si="18"/>
        <v>0</v>
      </c>
      <c r="BB50" s="25">
        <f t="shared" si="18"/>
        <v>2400</v>
      </c>
    </row>
    <row r="51" spans="1:54" ht="14">
      <c r="A51" s="6">
        <v>48</v>
      </c>
      <c r="B51" s="6" t="s">
        <v>73</v>
      </c>
      <c r="F51" s="11"/>
      <c r="G51" s="12">
        <v>20</v>
      </c>
      <c r="H51" s="13"/>
      <c r="I51" s="12">
        <v>0</v>
      </c>
      <c r="J51" s="12">
        <v>10</v>
      </c>
      <c r="K51" s="15">
        <f t="shared" si="0"/>
        <v>2000</v>
      </c>
      <c r="L51" s="16"/>
      <c r="M51" s="20">
        <f t="shared" si="1"/>
        <v>0</v>
      </c>
      <c r="N51" s="3">
        <f t="shared" si="2"/>
        <v>3000</v>
      </c>
      <c r="O51" s="12">
        <v>25</v>
      </c>
      <c r="P51" s="6"/>
      <c r="Q51" s="12">
        <v>0</v>
      </c>
      <c r="R51" s="12">
        <v>10</v>
      </c>
      <c r="S51" s="17">
        <f t="shared" si="3"/>
        <v>2500</v>
      </c>
      <c r="T51" s="17"/>
      <c r="U51" s="17">
        <f t="shared" si="4"/>
        <v>0</v>
      </c>
      <c r="V51" s="6">
        <f t="shared" si="5"/>
        <v>3000</v>
      </c>
      <c r="W51" s="12">
        <v>25</v>
      </c>
      <c r="X51" s="6"/>
      <c r="Y51" s="12">
        <v>0</v>
      </c>
      <c r="Z51" s="12">
        <v>20</v>
      </c>
      <c r="AA51" s="17">
        <f t="shared" si="6"/>
        <v>2500</v>
      </c>
      <c r="AB51" s="17"/>
      <c r="AC51" s="17">
        <f t="shared" si="7"/>
        <v>0</v>
      </c>
      <c r="AD51" s="6">
        <f t="shared" si="8"/>
        <v>6000</v>
      </c>
      <c r="AE51" s="12">
        <v>30</v>
      </c>
      <c r="AF51" s="6">
        <v>0</v>
      </c>
      <c r="AG51" s="12">
        <v>0</v>
      </c>
      <c r="AH51" s="12">
        <v>40</v>
      </c>
      <c r="AI51" s="17">
        <f t="shared" si="9"/>
        <v>3000</v>
      </c>
      <c r="AJ51" s="17">
        <f t="shared" si="23"/>
        <v>0</v>
      </c>
      <c r="AK51" s="17">
        <f t="shared" si="11"/>
        <v>0</v>
      </c>
      <c r="AL51" s="25">
        <f t="shared" si="12"/>
        <v>12000</v>
      </c>
      <c r="AM51" s="12">
        <v>30</v>
      </c>
      <c r="AN51" s="6">
        <v>0</v>
      </c>
      <c r="AO51" s="12">
        <v>0</v>
      </c>
      <c r="AP51" s="12">
        <v>40</v>
      </c>
      <c r="AQ51" s="17">
        <f t="shared" si="13"/>
        <v>3000</v>
      </c>
      <c r="AR51" s="17">
        <f t="shared" si="24"/>
        <v>0</v>
      </c>
      <c r="AS51" s="17">
        <f t="shared" si="15"/>
        <v>0</v>
      </c>
      <c r="AT51" s="25">
        <f t="shared" si="16"/>
        <v>12000</v>
      </c>
      <c r="AU51" s="12">
        <v>25</v>
      </c>
      <c r="AV51" s="6">
        <v>0</v>
      </c>
      <c r="AW51" s="12">
        <v>0</v>
      </c>
      <c r="AX51" s="12">
        <v>10</v>
      </c>
      <c r="AY51" s="17">
        <f t="shared" si="17"/>
        <v>2500</v>
      </c>
      <c r="AZ51" s="17">
        <f t="shared" si="17"/>
        <v>0</v>
      </c>
      <c r="BA51" s="17">
        <f t="shared" si="18"/>
        <v>0</v>
      </c>
      <c r="BB51" s="25">
        <f t="shared" si="18"/>
        <v>3000</v>
      </c>
    </row>
    <row r="52" spans="1:54" ht="14">
      <c r="A52" s="6">
        <v>49</v>
      </c>
      <c r="B52" s="6" t="s">
        <v>74</v>
      </c>
      <c r="F52" s="11"/>
      <c r="G52" s="12">
        <v>32</v>
      </c>
      <c r="H52" s="13"/>
      <c r="I52" s="12">
        <v>0</v>
      </c>
      <c r="J52" s="12">
        <v>0</v>
      </c>
      <c r="K52" s="15">
        <f t="shared" si="0"/>
        <v>3200</v>
      </c>
      <c r="L52" s="16"/>
      <c r="M52" s="20">
        <f t="shared" si="1"/>
        <v>0</v>
      </c>
      <c r="N52" s="3">
        <f t="shared" si="2"/>
        <v>0</v>
      </c>
      <c r="O52" s="12">
        <v>30</v>
      </c>
      <c r="P52" s="6"/>
      <c r="Q52" s="12">
        <v>0</v>
      </c>
      <c r="R52" s="12">
        <v>0</v>
      </c>
      <c r="S52" s="17">
        <f t="shared" si="3"/>
        <v>3000</v>
      </c>
      <c r="T52" s="17"/>
      <c r="U52" s="17">
        <f t="shared" si="4"/>
        <v>0</v>
      </c>
      <c r="V52" s="6">
        <f t="shared" si="5"/>
        <v>0</v>
      </c>
      <c r="W52" s="12">
        <v>30</v>
      </c>
      <c r="X52" s="6"/>
      <c r="Y52" s="12">
        <v>0</v>
      </c>
      <c r="Z52" s="12">
        <v>0</v>
      </c>
      <c r="AA52" s="17">
        <f t="shared" si="6"/>
        <v>3000</v>
      </c>
      <c r="AB52" s="17"/>
      <c r="AC52" s="17">
        <f t="shared" si="7"/>
        <v>0</v>
      </c>
      <c r="AD52" s="6">
        <f t="shared" si="8"/>
        <v>0</v>
      </c>
      <c r="AE52" s="12">
        <v>25</v>
      </c>
      <c r="AF52" s="6">
        <v>15</v>
      </c>
      <c r="AG52" s="12">
        <v>0</v>
      </c>
      <c r="AH52" s="12">
        <v>0</v>
      </c>
      <c r="AI52" s="17">
        <f t="shared" si="9"/>
        <v>2500</v>
      </c>
      <c r="AJ52" s="17">
        <f t="shared" si="23"/>
        <v>1500</v>
      </c>
      <c r="AK52" s="17">
        <f t="shared" si="11"/>
        <v>0</v>
      </c>
      <c r="AL52" s="25">
        <f t="shared" si="12"/>
        <v>0</v>
      </c>
      <c r="AM52" s="12">
        <v>25</v>
      </c>
      <c r="AN52" s="6">
        <v>15</v>
      </c>
      <c r="AO52" s="12">
        <v>0</v>
      </c>
      <c r="AP52" s="12">
        <v>4</v>
      </c>
      <c r="AQ52" s="17">
        <f t="shared" si="13"/>
        <v>2500</v>
      </c>
      <c r="AR52" s="17">
        <f t="shared" si="24"/>
        <v>1500</v>
      </c>
      <c r="AS52" s="17">
        <f t="shared" si="15"/>
        <v>0</v>
      </c>
      <c r="AT52" s="25">
        <f t="shared" si="16"/>
        <v>1200</v>
      </c>
      <c r="AU52" s="12">
        <v>20</v>
      </c>
      <c r="AV52" s="6">
        <v>15</v>
      </c>
      <c r="AW52" s="12">
        <v>0</v>
      </c>
      <c r="AX52" s="12">
        <v>0</v>
      </c>
      <c r="AY52" s="17">
        <f t="shared" si="17"/>
        <v>2000</v>
      </c>
      <c r="AZ52" s="17">
        <f>AV52*100</f>
        <v>1500</v>
      </c>
      <c r="BA52" s="17">
        <f t="shared" si="18"/>
        <v>0</v>
      </c>
      <c r="BB52" s="25">
        <f t="shared" si="18"/>
        <v>0</v>
      </c>
    </row>
    <row r="53" spans="1:54" ht="14">
      <c r="A53" s="6">
        <v>50</v>
      </c>
      <c r="B53" s="6" t="s">
        <v>75</v>
      </c>
      <c r="F53" s="11"/>
      <c r="G53" s="12">
        <v>30</v>
      </c>
      <c r="H53" s="13"/>
      <c r="I53" s="12">
        <v>0</v>
      </c>
      <c r="J53" s="12">
        <v>10</v>
      </c>
      <c r="K53" s="15">
        <f t="shared" si="0"/>
        <v>3000</v>
      </c>
      <c r="L53" s="16"/>
      <c r="M53" s="20">
        <f t="shared" si="1"/>
        <v>0</v>
      </c>
      <c r="N53" s="3">
        <f t="shared" si="2"/>
        <v>3000</v>
      </c>
      <c r="O53" s="12">
        <v>35</v>
      </c>
      <c r="P53" s="6"/>
      <c r="Q53" s="12">
        <v>0</v>
      </c>
      <c r="R53" s="12">
        <v>10</v>
      </c>
      <c r="S53" s="17">
        <f t="shared" si="3"/>
        <v>3500</v>
      </c>
      <c r="T53" s="17"/>
      <c r="U53" s="17">
        <f t="shared" si="4"/>
        <v>0</v>
      </c>
      <c r="V53" s="6">
        <f t="shared" si="5"/>
        <v>3000</v>
      </c>
      <c r="W53" s="12">
        <v>35</v>
      </c>
      <c r="X53" s="6"/>
      <c r="Y53" s="12">
        <v>0</v>
      </c>
      <c r="Z53" s="12">
        <v>10</v>
      </c>
      <c r="AA53" s="17">
        <f t="shared" si="6"/>
        <v>3500</v>
      </c>
      <c r="AB53" s="17"/>
      <c r="AC53" s="17">
        <f t="shared" si="7"/>
        <v>0</v>
      </c>
      <c r="AD53" s="6">
        <f t="shared" si="8"/>
        <v>3000</v>
      </c>
      <c r="AE53" s="12">
        <v>30</v>
      </c>
      <c r="AF53" s="6">
        <v>0</v>
      </c>
      <c r="AG53" s="12">
        <v>0</v>
      </c>
      <c r="AH53" s="12">
        <v>12</v>
      </c>
      <c r="AI53" s="17">
        <f t="shared" si="9"/>
        <v>3000</v>
      </c>
      <c r="AJ53" s="17">
        <f t="shared" si="23"/>
        <v>0</v>
      </c>
      <c r="AK53" s="17">
        <f t="shared" si="11"/>
        <v>0</v>
      </c>
      <c r="AL53" s="25">
        <f t="shared" si="12"/>
        <v>3600</v>
      </c>
      <c r="AM53" s="12">
        <v>30</v>
      </c>
      <c r="AN53" s="6">
        <v>0</v>
      </c>
      <c r="AO53" s="12">
        <v>0</v>
      </c>
      <c r="AP53" s="12">
        <v>12</v>
      </c>
      <c r="AQ53" s="17">
        <f t="shared" si="13"/>
        <v>3000</v>
      </c>
      <c r="AR53" s="17">
        <f t="shared" si="24"/>
        <v>0</v>
      </c>
      <c r="AS53" s="17">
        <f t="shared" si="15"/>
        <v>0</v>
      </c>
      <c r="AT53" s="25">
        <f t="shared" si="16"/>
        <v>3600</v>
      </c>
      <c r="AU53" s="12">
        <v>30</v>
      </c>
      <c r="AV53" s="6">
        <v>0</v>
      </c>
      <c r="AW53" s="12">
        <v>0</v>
      </c>
      <c r="AX53" s="12">
        <v>10</v>
      </c>
      <c r="AY53" s="17">
        <f t="shared" si="17"/>
        <v>3000</v>
      </c>
      <c r="AZ53" s="17">
        <f>AV53*100</f>
        <v>0</v>
      </c>
      <c r="BA53" s="17">
        <f t="shared" si="18"/>
        <v>0</v>
      </c>
      <c r="BB53" s="25">
        <f t="shared" si="18"/>
        <v>3000</v>
      </c>
    </row>
    <row r="54" spans="1:54" ht="14">
      <c r="A54" s="6">
        <v>51</v>
      </c>
      <c r="B54" s="6" t="s">
        <v>76</v>
      </c>
      <c r="F54" s="11"/>
      <c r="G54" s="12">
        <v>20</v>
      </c>
      <c r="H54" s="13"/>
      <c r="I54" s="12">
        <v>0</v>
      </c>
      <c r="J54" s="12">
        <v>15</v>
      </c>
      <c r="K54" s="15">
        <f t="shared" si="0"/>
        <v>2000</v>
      </c>
      <c r="L54" s="16"/>
      <c r="M54" s="20">
        <f t="shared" si="1"/>
        <v>0</v>
      </c>
      <c r="N54" s="3">
        <f t="shared" si="2"/>
        <v>4500</v>
      </c>
      <c r="O54" s="12">
        <v>25</v>
      </c>
      <c r="P54" s="6"/>
      <c r="Q54" s="12">
        <v>0</v>
      </c>
      <c r="R54" s="12">
        <v>15</v>
      </c>
      <c r="S54" s="17">
        <f t="shared" si="3"/>
        <v>2500</v>
      </c>
      <c r="T54" s="17"/>
      <c r="U54" s="17">
        <f t="shared" si="4"/>
        <v>0</v>
      </c>
      <c r="V54" s="6">
        <f t="shared" si="5"/>
        <v>4500</v>
      </c>
      <c r="W54" s="12">
        <v>25</v>
      </c>
      <c r="X54" s="6"/>
      <c r="Y54" s="12">
        <v>0</v>
      </c>
      <c r="Z54" s="12">
        <v>15</v>
      </c>
      <c r="AA54" s="17">
        <f t="shared" si="6"/>
        <v>2500</v>
      </c>
      <c r="AB54" s="17"/>
      <c r="AC54" s="17">
        <f t="shared" si="7"/>
        <v>0</v>
      </c>
      <c r="AD54" s="6">
        <f t="shared" si="8"/>
        <v>4500</v>
      </c>
      <c r="AE54" s="12">
        <v>30</v>
      </c>
      <c r="AF54" s="6">
        <v>0</v>
      </c>
      <c r="AG54" s="12">
        <v>0</v>
      </c>
      <c r="AH54" s="12">
        <v>10</v>
      </c>
      <c r="AI54" s="17">
        <f t="shared" si="9"/>
        <v>3000</v>
      </c>
      <c r="AJ54" s="17">
        <f t="shared" ref="AJ54:AJ90" si="25">AF54*100</f>
        <v>0</v>
      </c>
      <c r="AK54" s="17">
        <f t="shared" si="11"/>
        <v>0</v>
      </c>
      <c r="AL54" s="25">
        <f t="shared" si="12"/>
        <v>3000</v>
      </c>
      <c r="AM54" s="12">
        <v>25</v>
      </c>
      <c r="AN54" s="6">
        <v>0</v>
      </c>
      <c r="AO54" s="12">
        <v>0</v>
      </c>
      <c r="AP54" s="12">
        <v>10</v>
      </c>
      <c r="AQ54" s="17">
        <f t="shared" si="13"/>
        <v>2500</v>
      </c>
      <c r="AR54" s="17">
        <f t="shared" ref="AR54:AR90" si="26">AN54*100</f>
        <v>0</v>
      </c>
      <c r="AS54" s="17">
        <f t="shared" si="15"/>
        <v>0</v>
      </c>
      <c r="AT54" s="25">
        <f t="shared" si="16"/>
        <v>3000</v>
      </c>
      <c r="AU54" s="12">
        <v>35</v>
      </c>
      <c r="AV54" s="6">
        <v>0</v>
      </c>
      <c r="AW54" s="12">
        <v>0</v>
      </c>
      <c r="AX54" s="12">
        <v>8</v>
      </c>
      <c r="AY54" s="17">
        <f t="shared" si="17"/>
        <v>3500</v>
      </c>
      <c r="AZ54" s="17">
        <f t="shared" si="17"/>
        <v>0</v>
      </c>
      <c r="BA54" s="17">
        <f t="shared" si="18"/>
        <v>0</v>
      </c>
      <c r="BB54" s="25">
        <f t="shared" si="18"/>
        <v>2400</v>
      </c>
    </row>
    <row r="55" spans="1:54" ht="14">
      <c r="A55" s="6">
        <v>52</v>
      </c>
      <c r="B55" s="6" t="s">
        <v>77</v>
      </c>
      <c r="F55" s="11"/>
      <c r="G55" s="12">
        <v>38</v>
      </c>
      <c r="H55" s="13"/>
      <c r="I55" s="12">
        <v>0</v>
      </c>
      <c r="J55" s="12">
        <v>15</v>
      </c>
      <c r="K55" s="15">
        <f t="shared" si="0"/>
        <v>3800</v>
      </c>
      <c r="L55" s="16"/>
      <c r="M55" s="20">
        <f t="shared" si="1"/>
        <v>0</v>
      </c>
      <c r="N55" s="3">
        <f t="shared" si="2"/>
        <v>4500</v>
      </c>
      <c r="O55" s="12">
        <v>35</v>
      </c>
      <c r="P55" s="6"/>
      <c r="Q55" s="12">
        <v>0</v>
      </c>
      <c r="R55" s="12">
        <v>10</v>
      </c>
      <c r="S55" s="17">
        <f t="shared" si="3"/>
        <v>3500</v>
      </c>
      <c r="T55" s="17"/>
      <c r="U55" s="17">
        <f t="shared" si="4"/>
        <v>0</v>
      </c>
      <c r="V55" s="6">
        <f t="shared" si="5"/>
        <v>3000</v>
      </c>
      <c r="W55" s="12">
        <v>35</v>
      </c>
      <c r="X55" s="6"/>
      <c r="Y55" s="12">
        <v>0</v>
      </c>
      <c r="Z55" s="12">
        <v>10</v>
      </c>
      <c r="AA55" s="17">
        <f t="shared" si="6"/>
        <v>3500</v>
      </c>
      <c r="AB55" s="17"/>
      <c r="AC55" s="17">
        <f t="shared" si="7"/>
        <v>0</v>
      </c>
      <c r="AD55" s="6">
        <f t="shared" si="8"/>
        <v>3000</v>
      </c>
      <c r="AE55" s="12">
        <v>30</v>
      </c>
      <c r="AF55" s="6">
        <v>0</v>
      </c>
      <c r="AG55" s="12">
        <v>0</v>
      </c>
      <c r="AH55" s="12">
        <v>15</v>
      </c>
      <c r="AI55" s="17">
        <f t="shared" si="9"/>
        <v>3000</v>
      </c>
      <c r="AJ55" s="17">
        <f t="shared" si="25"/>
        <v>0</v>
      </c>
      <c r="AK55" s="17">
        <f t="shared" si="11"/>
        <v>0</v>
      </c>
      <c r="AL55" s="25">
        <f t="shared" si="12"/>
        <v>4500</v>
      </c>
      <c r="AM55" s="12">
        <v>30</v>
      </c>
      <c r="AN55" s="6">
        <v>0</v>
      </c>
      <c r="AO55" s="12">
        <v>0</v>
      </c>
      <c r="AP55" s="12">
        <v>10</v>
      </c>
      <c r="AQ55" s="17">
        <f t="shared" si="13"/>
        <v>3000</v>
      </c>
      <c r="AR55" s="17">
        <f t="shared" si="26"/>
        <v>0</v>
      </c>
      <c r="AS55" s="17">
        <f t="shared" si="15"/>
        <v>0</v>
      </c>
      <c r="AT55" s="25">
        <f t="shared" si="16"/>
        <v>3000</v>
      </c>
      <c r="AU55" s="12">
        <v>42</v>
      </c>
      <c r="AV55" s="6">
        <v>0</v>
      </c>
      <c r="AW55" s="12">
        <v>0</v>
      </c>
      <c r="AX55" s="12">
        <v>10</v>
      </c>
      <c r="AY55" s="17">
        <f t="shared" si="17"/>
        <v>4200</v>
      </c>
      <c r="AZ55" s="17">
        <f t="shared" si="17"/>
        <v>0</v>
      </c>
      <c r="BA55" s="17">
        <f t="shared" si="18"/>
        <v>0</v>
      </c>
      <c r="BB55" s="25">
        <f t="shared" si="18"/>
        <v>3000</v>
      </c>
    </row>
    <row r="56" spans="1:54" ht="14">
      <c r="A56" s="6">
        <v>53</v>
      </c>
      <c r="B56" s="6" t="s">
        <v>78</v>
      </c>
      <c r="F56" s="11"/>
      <c r="G56" s="12">
        <v>25</v>
      </c>
      <c r="H56" s="13"/>
      <c r="I56" s="12">
        <v>0</v>
      </c>
      <c r="J56" s="12">
        <v>8</v>
      </c>
      <c r="K56" s="15">
        <f t="shared" si="0"/>
        <v>2500</v>
      </c>
      <c r="L56" s="16"/>
      <c r="M56" s="20">
        <f t="shared" si="1"/>
        <v>0</v>
      </c>
      <c r="N56" s="3">
        <f t="shared" si="2"/>
        <v>2400</v>
      </c>
      <c r="O56" s="12">
        <v>30</v>
      </c>
      <c r="P56" s="6"/>
      <c r="Q56" s="12">
        <v>0</v>
      </c>
      <c r="R56" s="12">
        <v>5</v>
      </c>
      <c r="S56" s="17">
        <f t="shared" si="3"/>
        <v>3000</v>
      </c>
      <c r="T56" s="17"/>
      <c r="U56" s="17">
        <f t="shared" si="4"/>
        <v>0</v>
      </c>
      <c r="V56" s="6">
        <f t="shared" si="5"/>
        <v>1500</v>
      </c>
      <c r="W56" s="12">
        <v>30</v>
      </c>
      <c r="X56" s="6"/>
      <c r="Y56" s="12">
        <v>0</v>
      </c>
      <c r="Z56" s="12">
        <v>5</v>
      </c>
      <c r="AA56" s="17">
        <f t="shared" si="6"/>
        <v>3000</v>
      </c>
      <c r="AB56" s="17"/>
      <c r="AC56" s="17">
        <f t="shared" si="7"/>
        <v>0</v>
      </c>
      <c r="AD56" s="6">
        <f t="shared" si="8"/>
        <v>1500</v>
      </c>
      <c r="AE56" s="12">
        <v>25</v>
      </c>
      <c r="AF56" s="6">
        <v>0</v>
      </c>
      <c r="AG56" s="12">
        <v>0</v>
      </c>
      <c r="AH56" s="12">
        <v>5</v>
      </c>
      <c r="AI56" s="17">
        <f t="shared" si="9"/>
        <v>2500</v>
      </c>
      <c r="AJ56" s="17">
        <f t="shared" si="25"/>
        <v>0</v>
      </c>
      <c r="AK56" s="17">
        <f t="shared" si="11"/>
        <v>0</v>
      </c>
      <c r="AL56" s="25">
        <f t="shared" si="12"/>
        <v>1500</v>
      </c>
      <c r="AM56" s="12">
        <v>25</v>
      </c>
      <c r="AN56" s="6">
        <v>0</v>
      </c>
      <c r="AO56" s="12">
        <v>0</v>
      </c>
      <c r="AP56" s="12">
        <v>5</v>
      </c>
      <c r="AQ56" s="17">
        <f t="shared" si="13"/>
        <v>2500</v>
      </c>
      <c r="AR56" s="17">
        <f t="shared" si="26"/>
        <v>0</v>
      </c>
      <c r="AS56" s="17">
        <f t="shared" si="15"/>
        <v>0</v>
      </c>
      <c r="AT56" s="25">
        <f t="shared" si="16"/>
        <v>1500</v>
      </c>
      <c r="AU56" s="12">
        <v>30</v>
      </c>
      <c r="AV56" s="6">
        <v>0</v>
      </c>
      <c r="AW56" s="12">
        <v>0</v>
      </c>
      <c r="AX56" s="12">
        <v>0</v>
      </c>
      <c r="AY56" s="17">
        <f t="shared" si="17"/>
        <v>3000</v>
      </c>
      <c r="AZ56" s="17">
        <f t="shared" si="17"/>
        <v>0</v>
      </c>
      <c r="BA56" s="17">
        <f t="shared" si="18"/>
        <v>0</v>
      </c>
      <c r="BB56" s="25">
        <f t="shared" si="18"/>
        <v>0</v>
      </c>
    </row>
    <row r="57" spans="1:54" ht="14">
      <c r="A57" s="6">
        <v>54</v>
      </c>
      <c r="B57" s="6" t="s">
        <v>79</v>
      </c>
      <c r="F57" s="11"/>
      <c r="G57" s="12">
        <v>41</v>
      </c>
      <c r="H57" s="13"/>
      <c r="I57" s="12">
        <v>0</v>
      </c>
      <c r="J57" s="12">
        <v>10</v>
      </c>
      <c r="K57" s="15">
        <f t="shared" si="0"/>
        <v>4100</v>
      </c>
      <c r="L57" s="16"/>
      <c r="M57" s="20">
        <f t="shared" si="1"/>
        <v>0</v>
      </c>
      <c r="N57" s="3">
        <f t="shared" si="2"/>
        <v>3000</v>
      </c>
      <c r="O57" s="12">
        <v>45</v>
      </c>
      <c r="P57" s="6"/>
      <c r="Q57" s="12">
        <v>0</v>
      </c>
      <c r="R57" s="12">
        <v>10</v>
      </c>
      <c r="S57" s="17">
        <f t="shared" si="3"/>
        <v>4500</v>
      </c>
      <c r="T57" s="17"/>
      <c r="U57" s="17">
        <f t="shared" si="4"/>
        <v>0</v>
      </c>
      <c r="V57" s="6">
        <f t="shared" si="5"/>
        <v>3000</v>
      </c>
      <c r="W57" s="12">
        <v>50</v>
      </c>
      <c r="X57" s="6"/>
      <c r="Y57" s="12">
        <v>0</v>
      </c>
      <c r="Z57" s="12">
        <v>8</v>
      </c>
      <c r="AA57" s="17">
        <f t="shared" si="6"/>
        <v>5000</v>
      </c>
      <c r="AB57" s="17"/>
      <c r="AC57" s="17">
        <f t="shared" si="7"/>
        <v>0</v>
      </c>
      <c r="AD57" s="6">
        <f t="shared" si="8"/>
        <v>2400</v>
      </c>
      <c r="AE57" s="12">
        <v>55</v>
      </c>
      <c r="AF57" s="6">
        <v>0</v>
      </c>
      <c r="AG57" s="12">
        <v>0</v>
      </c>
      <c r="AH57" s="12">
        <v>10</v>
      </c>
      <c r="AI57" s="17">
        <f t="shared" si="9"/>
        <v>5500</v>
      </c>
      <c r="AJ57" s="17">
        <f t="shared" si="25"/>
        <v>0</v>
      </c>
      <c r="AK57" s="17">
        <f t="shared" si="11"/>
        <v>0</v>
      </c>
      <c r="AL57" s="25">
        <f t="shared" si="12"/>
        <v>3000</v>
      </c>
      <c r="AM57" s="12">
        <v>55</v>
      </c>
      <c r="AN57" s="6">
        <v>0</v>
      </c>
      <c r="AO57" s="12">
        <v>0</v>
      </c>
      <c r="AP57" s="12">
        <v>10</v>
      </c>
      <c r="AQ57" s="17">
        <f t="shared" si="13"/>
        <v>5500</v>
      </c>
      <c r="AR57" s="17">
        <f t="shared" si="26"/>
        <v>0</v>
      </c>
      <c r="AS57" s="17">
        <f t="shared" si="15"/>
        <v>0</v>
      </c>
      <c r="AT57" s="25">
        <f t="shared" si="16"/>
        <v>3000</v>
      </c>
      <c r="AU57" s="12">
        <v>50</v>
      </c>
      <c r="AV57" s="6">
        <v>0</v>
      </c>
      <c r="AW57" s="12">
        <v>0</v>
      </c>
      <c r="AX57" s="12">
        <v>5</v>
      </c>
      <c r="AY57" s="17">
        <f t="shared" si="17"/>
        <v>5000</v>
      </c>
      <c r="AZ57" s="17">
        <f t="shared" si="17"/>
        <v>0</v>
      </c>
      <c r="BA57" s="17">
        <f t="shared" si="18"/>
        <v>0</v>
      </c>
      <c r="BB57" s="25">
        <f t="shared" si="18"/>
        <v>1500</v>
      </c>
    </row>
    <row r="58" spans="1:54" ht="14">
      <c r="A58" s="6">
        <v>55</v>
      </c>
      <c r="B58" s="6" t="s">
        <v>80</v>
      </c>
      <c r="F58" s="11"/>
      <c r="G58" s="12">
        <v>25</v>
      </c>
      <c r="H58" s="13"/>
      <c r="I58" s="12">
        <v>0</v>
      </c>
      <c r="J58" s="12">
        <v>0</v>
      </c>
      <c r="K58" s="15">
        <f t="shared" si="0"/>
        <v>2500</v>
      </c>
      <c r="L58" s="16"/>
      <c r="M58" s="20">
        <f t="shared" si="1"/>
        <v>0</v>
      </c>
      <c r="N58" s="3">
        <f t="shared" si="2"/>
        <v>0</v>
      </c>
      <c r="O58" s="12">
        <v>35</v>
      </c>
      <c r="P58" s="6"/>
      <c r="Q58" s="12">
        <v>0</v>
      </c>
      <c r="R58" s="12">
        <v>0</v>
      </c>
      <c r="S58" s="17">
        <f t="shared" si="3"/>
        <v>3500</v>
      </c>
      <c r="T58" s="17"/>
      <c r="U58" s="17">
        <f t="shared" si="4"/>
        <v>0</v>
      </c>
      <c r="V58" s="6">
        <f t="shared" si="5"/>
        <v>0</v>
      </c>
      <c r="W58" s="12">
        <v>35</v>
      </c>
      <c r="X58" s="6"/>
      <c r="Y58" s="12">
        <v>0</v>
      </c>
      <c r="Z58" s="12">
        <v>0</v>
      </c>
      <c r="AA58" s="17">
        <f t="shared" si="6"/>
        <v>3500</v>
      </c>
      <c r="AB58" s="17"/>
      <c r="AC58" s="17">
        <f t="shared" si="7"/>
        <v>0</v>
      </c>
      <c r="AD58" s="6">
        <f t="shared" si="8"/>
        <v>0</v>
      </c>
      <c r="AE58" s="12">
        <v>40</v>
      </c>
      <c r="AF58" s="6">
        <v>0</v>
      </c>
      <c r="AG58" s="12">
        <v>0</v>
      </c>
      <c r="AH58" s="12">
        <v>0</v>
      </c>
      <c r="AI58" s="17">
        <f t="shared" si="9"/>
        <v>4000</v>
      </c>
      <c r="AJ58" s="17">
        <f t="shared" si="25"/>
        <v>0</v>
      </c>
      <c r="AK58" s="17">
        <f t="shared" si="11"/>
        <v>0</v>
      </c>
      <c r="AL58" s="25">
        <f t="shared" si="12"/>
        <v>0</v>
      </c>
      <c r="AM58" s="12">
        <v>40</v>
      </c>
      <c r="AN58" s="6">
        <v>0</v>
      </c>
      <c r="AO58" s="12">
        <v>0</v>
      </c>
      <c r="AP58" s="12">
        <v>5</v>
      </c>
      <c r="AQ58" s="17">
        <f t="shared" si="13"/>
        <v>4000</v>
      </c>
      <c r="AR58" s="17">
        <f t="shared" si="26"/>
        <v>0</v>
      </c>
      <c r="AS58" s="17">
        <f t="shared" si="15"/>
        <v>0</v>
      </c>
      <c r="AT58" s="25">
        <f t="shared" si="16"/>
        <v>1500</v>
      </c>
      <c r="AU58" s="12">
        <v>43</v>
      </c>
      <c r="AV58" s="6">
        <v>0</v>
      </c>
      <c r="AW58" s="12">
        <v>0</v>
      </c>
      <c r="AX58" s="12">
        <v>5</v>
      </c>
      <c r="AY58" s="17">
        <f t="shared" si="17"/>
        <v>4300</v>
      </c>
      <c r="AZ58" s="17">
        <f t="shared" si="17"/>
        <v>0</v>
      </c>
      <c r="BA58" s="17">
        <f t="shared" si="18"/>
        <v>0</v>
      </c>
      <c r="BB58" s="25">
        <f t="shared" si="18"/>
        <v>1500</v>
      </c>
    </row>
    <row r="59" spans="1:54" ht="14">
      <c r="A59" s="6">
        <v>56</v>
      </c>
      <c r="B59" s="6" t="s">
        <v>81</v>
      </c>
      <c r="F59" s="11"/>
      <c r="G59" s="12">
        <v>55</v>
      </c>
      <c r="H59" s="13"/>
      <c r="I59" s="12">
        <v>0</v>
      </c>
      <c r="J59" s="12">
        <v>15</v>
      </c>
      <c r="K59" s="15">
        <f t="shared" si="0"/>
        <v>5500</v>
      </c>
      <c r="L59" s="16"/>
      <c r="M59" s="20">
        <f t="shared" si="1"/>
        <v>0</v>
      </c>
      <c r="N59" s="3">
        <f t="shared" si="2"/>
        <v>4500</v>
      </c>
      <c r="O59" s="12">
        <v>35</v>
      </c>
      <c r="P59" s="6"/>
      <c r="Q59" s="12">
        <v>0</v>
      </c>
      <c r="R59" s="12">
        <v>17.5</v>
      </c>
      <c r="S59" s="17">
        <f t="shared" si="3"/>
        <v>3500</v>
      </c>
      <c r="T59" s="17"/>
      <c r="U59" s="17">
        <f t="shared" si="4"/>
        <v>0</v>
      </c>
      <c r="V59" s="6">
        <f t="shared" si="5"/>
        <v>5250</v>
      </c>
      <c r="W59" s="12">
        <v>30</v>
      </c>
      <c r="X59" s="6"/>
      <c r="Y59" s="12">
        <v>0</v>
      </c>
      <c r="Z59" s="12">
        <v>11</v>
      </c>
      <c r="AA59" s="17">
        <f t="shared" si="6"/>
        <v>3000</v>
      </c>
      <c r="AB59" s="17"/>
      <c r="AC59" s="17">
        <f t="shared" si="7"/>
        <v>0</v>
      </c>
      <c r="AD59" s="6">
        <f t="shared" si="8"/>
        <v>3300</v>
      </c>
      <c r="AE59" s="12">
        <v>35</v>
      </c>
      <c r="AF59" s="6">
        <v>0</v>
      </c>
      <c r="AG59" s="12">
        <v>0</v>
      </c>
      <c r="AH59" s="12">
        <v>10</v>
      </c>
      <c r="AI59" s="17">
        <f t="shared" si="9"/>
        <v>3500</v>
      </c>
      <c r="AJ59" s="17">
        <f t="shared" si="25"/>
        <v>0</v>
      </c>
      <c r="AK59" s="17">
        <f t="shared" si="11"/>
        <v>0</v>
      </c>
      <c r="AL59" s="25">
        <f t="shared" si="12"/>
        <v>3000</v>
      </c>
      <c r="AM59" s="12">
        <v>35</v>
      </c>
      <c r="AN59" s="6">
        <v>0</v>
      </c>
      <c r="AO59" s="12">
        <v>0</v>
      </c>
      <c r="AP59" s="12">
        <v>5</v>
      </c>
      <c r="AQ59" s="17">
        <f t="shared" si="13"/>
        <v>3500</v>
      </c>
      <c r="AR59" s="17">
        <f t="shared" si="26"/>
        <v>0</v>
      </c>
      <c r="AS59" s="17">
        <f t="shared" si="15"/>
        <v>0</v>
      </c>
      <c r="AT59" s="25">
        <f t="shared" si="16"/>
        <v>1500</v>
      </c>
      <c r="AU59" s="12">
        <v>38</v>
      </c>
      <c r="AV59" s="6">
        <v>0</v>
      </c>
      <c r="AW59" s="12">
        <v>0</v>
      </c>
      <c r="AX59" s="12">
        <v>5</v>
      </c>
      <c r="AY59" s="17">
        <f t="shared" si="17"/>
        <v>3800</v>
      </c>
      <c r="AZ59" s="17">
        <f t="shared" si="17"/>
        <v>0</v>
      </c>
      <c r="BA59" s="17">
        <f t="shared" si="18"/>
        <v>0</v>
      </c>
      <c r="BB59" s="25">
        <f t="shared" si="18"/>
        <v>1500</v>
      </c>
    </row>
    <row r="60" spans="1:54" ht="14">
      <c r="A60" s="6">
        <v>57</v>
      </c>
      <c r="B60" s="6" t="s">
        <v>82</v>
      </c>
      <c r="F60" s="11"/>
      <c r="G60" s="12">
        <v>28</v>
      </c>
      <c r="H60" s="13"/>
      <c r="I60" s="12">
        <v>0</v>
      </c>
      <c r="J60" s="12">
        <v>10</v>
      </c>
      <c r="K60" s="15">
        <f t="shared" si="0"/>
        <v>2800</v>
      </c>
      <c r="L60" s="16"/>
      <c r="M60" s="20">
        <f t="shared" si="1"/>
        <v>0</v>
      </c>
      <c r="N60" s="3">
        <f t="shared" si="2"/>
        <v>3000</v>
      </c>
      <c r="O60" s="12">
        <v>30</v>
      </c>
      <c r="P60" s="6"/>
      <c r="Q60" s="12">
        <v>0</v>
      </c>
      <c r="R60" s="12">
        <v>10</v>
      </c>
      <c r="S60" s="17">
        <f t="shared" si="3"/>
        <v>3000</v>
      </c>
      <c r="T60" s="17"/>
      <c r="U60" s="17">
        <f t="shared" si="4"/>
        <v>0</v>
      </c>
      <c r="V60" s="6">
        <f t="shared" si="5"/>
        <v>3000</v>
      </c>
      <c r="W60" s="12">
        <v>30</v>
      </c>
      <c r="X60" s="6"/>
      <c r="Y60" s="12">
        <v>0</v>
      </c>
      <c r="Z60" s="12">
        <v>10</v>
      </c>
      <c r="AA60" s="17">
        <f t="shared" si="6"/>
        <v>3000</v>
      </c>
      <c r="AB60" s="17"/>
      <c r="AC60" s="17">
        <f t="shared" si="7"/>
        <v>0</v>
      </c>
      <c r="AD60" s="6">
        <f t="shared" si="8"/>
        <v>3000</v>
      </c>
      <c r="AE60" s="12">
        <v>25</v>
      </c>
      <c r="AF60" s="6">
        <v>0</v>
      </c>
      <c r="AG60" s="12">
        <v>0</v>
      </c>
      <c r="AH60" s="12">
        <v>15</v>
      </c>
      <c r="AI60" s="17">
        <f t="shared" si="9"/>
        <v>2500</v>
      </c>
      <c r="AJ60" s="17">
        <f t="shared" si="25"/>
        <v>0</v>
      </c>
      <c r="AK60" s="17">
        <f t="shared" si="11"/>
        <v>0</v>
      </c>
      <c r="AL60" s="25">
        <f t="shared" si="12"/>
        <v>4500</v>
      </c>
      <c r="AM60" s="12">
        <v>25</v>
      </c>
      <c r="AN60" s="6">
        <v>0</v>
      </c>
      <c r="AO60" s="12">
        <v>0</v>
      </c>
      <c r="AP60" s="12">
        <v>20</v>
      </c>
      <c r="AQ60" s="17">
        <f t="shared" si="13"/>
        <v>2500</v>
      </c>
      <c r="AR60" s="17">
        <f t="shared" si="26"/>
        <v>0</v>
      </c>
      <c r="AS60" s="17">
        <f t="shared" si="15"/>
        <v>0</v>
      </c>
      <c r="AT60" s="25">
        <f t="shared" si="16"/>
        <v>6000</v>
      </c>
      <c r="AU60" s="12">
        <v>30</v>
      </c>
      <c r="AV60" s="6">
        <v>0</v>
      </c>
      <c r="AW60" s="12">
        <v>0</v>
      </c>
      <c r="AX60" s="12">
        <v>12</v>
      </c>
      <c r="AY60" s="17">
        <f t="shared" si="17"/>
        <v>3000</v>
      </c>
      <c r="AZ60" s="17">
        <f t="shared" si="17"/>
        <v>0</v>
      </c>
      <c r="BA60" s="17">
        <f t="shared" si="18"/>
        <v>0</v>
      </c>
      <c r="BB60" s="25">
        <f t="shared" si="18"/>
        <v>3600</v>
      </c>
    </row>
    <row r="61" spans="1:54" ht="14">
      <c r="A61" s="6">
        <v>58</v>
      </c>
      <c r="B61" s="6" t="s">
        <v>84</v>
      </c>
      <c r="F61" s="11"/>
      <c r="G61" s="12">
        <v>60</v>
      </c>
      <c r="H61" s="13"/>
      <c r="I61" s="12">
        <v>0</v>
      </c>
      <c r="J61" s="12">
        <v>15</v>
      </c>
      <c r="K61" s="15">
        <f t="shared" si="0"/>
        <v>6000</v>
      </c>
      <c r="L61" s="16"/>
      <c r="M61" s="20">
        <f t="shared" si="1"/>
        <v>0</v>
      </c>
      <c r="N61" s="3">
        <f t="shared" si="2"/>
        <v>4500</v>
      </c>
      <c r="O61" s="12">
        <v>50</v>
      </c>
      <c r="P61" s="6"/>
      <c r="Q61" s="12">
        <v>0</v>
      </c>
      <c r="R61" s="12">
        <v>10</v>
      </c>
      <c r="S61" s="17">
        <f t="shared" si="3"/>
        <v>5000</v>
      </c>
      <c r="T61" s="17"/>
      <c r="U61" s="17">
        <f t="shared" si="4"/>
        <v>0</v>
      </c>
      <c r="V61" s="6">
        <f t="shared" si="5"/>
        <v>3000</v>
      </c>
      <c r="W61" s="12">
        <v>50</v>
      </c>
      <c r="X61" s="6"/>
      <c r="Y61" s="12">
        <v>0</v>
      </c>
      <c r="Z61" s="12">
        <v>20</v>
      </c>
      <c r="AA61" s="17">
        <f t="shared" si="6"/>
        <v>5000</v>
      </c>
      <c r="AB61" s="17"/>
      <c r="AC61" s="17">
        <f t="shared" si="7"/>
        <v>0</v>
      </c>
      <c r="AD61" s="6">
        <f t="shared" si="8"/>
        <v>6000</v>
      </c>
      <c r="AE61" s="12">
        <v>40</v>
      </c>
      <c r="AF61" s="6">
        <v>0</v>
      </c>
      <c r="AG61" s="12">
        <v>0</v>
      </c>
      <c r="AH61" s="12">
        <v>15</v>
      </c>
      <c r="AI61" s="17">
        <f t="shared" si="9"/>
        <v>4000</v>
      </c>
      <c r="AJ61" s="17">
        <f t="shared" si="25"/>
        <v>0</v>
      </c>
      <c r="AK61" s="17">
        <f t="shared" si="11"/>
        <v>0</v>
      </c>
      <c r="AL61" s="25">
        <f t="shared" si="12"/>
        <v>4500</v>
      </c>
      <c r="AM61" s="12">
        <v>40</v>
      </c>
      <c r="AN61" s="6">
        <v>0</v>
      </c>
      <c r="AO61" s="12">
        <v>0</v>
      </c>
      <c r="AP61" s="12">
        <v>10</v>
      </c>
      <c r="AQ61" s="17">
        <f t="shared" si="13"/>
        <v>4000</v>
      </c>
      <c r="AR61" s="17">
        <f t="shared" si="26"/>
        <v>0</v>
      </c>
      <c r="AS61" s="17">
        <f t="shared" si="15"/>
        <v>0</v>
      </c>
      <c r="AT61" s="25">
        <f t="shared" si="16"/>
        <v>3000</v>
      </c>
      <c r="AU61" s="12">
        <v>38</v>
      </c>
      <c r="AV61" s="6">
        <v>0</v>
      </c>
      <c r="AW61" s="12">
        <v>0</v>
      </c>
      <c r="AX61" s="12">
        <v>8</v>
      </c>
      <c r="AY61" s="17">
        <f t="shared" si="17"/>
        <v>3800</v>
      </c>
      <c r="AZ61" s="17">
        <f t="shared" si="17"/>
        <v>0</v>
      </c>
      <c r="BA61" s="17">
        <f t="shared" si="18"/>
        <v>0</v>
      </c>
      <c r="BB61" s="25">
        <f t="shared" si="18"/>
        <v>2400</v>
      </c>
    </row>
    <row r="62" spans="1:54" ht="14">
      <c r="A62" s="6">
        <v>59</v>
      </c>
      <c r="B62" s="6" t="s">
        <v>85</v>
      </c>
      <c r="F62" s="11"/>
      <c r="G62" s="12">
        <v>50</v>
      </c>
      <c r="H62" s="13"/>
      <c r="I62" s="12">
        <v>0</v>
      </c>
      <c r="J62" s="12">
        <v>15</v>
      </c>
      <c r="K62" s="15">
        <f t="shared" si="0"/>
        <v>5000</v>
      </c>
      <c r="L62" s="16"/>
      <c r="M62" s="20">
        <f t="shared" si="1"/>
        <v>0</v>
      </c>
      <c r="N62" s="3">
        <f t="shared" si="2"/>
        <v>4500</v>
      </c>
      <c r="O62" s="12">
        <v>35</v>
      </c>
      <c r="P62" s="6"/>
      <c r="Q62" s="12">
        <v>0</v>
      </c>
      <c r="R62" s="12">
        <v>20</v>
      </c>
      <c r="S62" s="17">
        <f t="shared" si="3"/>
        <v>3500</v>
      </c>
      <c r="T62" s="17"/>
      <c r="U62" s="17">
        <f t="shared" si="4"/>
        <v>0</v>
      </c>
      <c r="V62" s="6">
        <f t="shared" si="5"/>
        <v>6000</v>
      </c>
      <c r="W62" s="12">
        <v>35</v>
      </c>
      <c r="X62" s="6"/>
      <c r="Y62" s="12">
        <v>0</v>
      </c>
      <c r="Z62" s="12">
        <v>10</v>
      </c>
      <c r="AA62" s="17">
        <f t="shared" si="6"/>
        <v>3500</v>
      </c>
      <c r="AB62" s="17"/>
      <c r="AC62" s="17">
        <f t="shared" si="7"/>
        <v>0</v>
      </c>
      <c r="AD62" s="6">
        <f t="shared" si="8"/>
        <v>3000</v>
      </c>
      <c r="AE62" s="12">
        <v>35</v>
      </c>
      <c r="AF62" s="6">
        <v>0</v>
      </c>
      <c r="AG62" s="12">
        <v>0</v>
      </c>
      <c r="AH62" s="12">
        <v>14</v>
      </c>
      <c r="AI62" s="17">
        <f t="shared" si="9"/>
        <v>3500</v>
      </c>
      <c r="AJ62" s="17">
        <f t="shared" si="25"/>
        <v>0</v>
      </c>
      <c r="AK62" s="17">
        <f t="shared" si="11"/>
        <v>0</v>
      </c>
      <c r="AL62" s="25">
        <f t="shared" si="12"/>
        <v>4200</v>
      </c>
      <c r="AM62" s="12">
        <v>35</v>
      </c>
      <c r="AN62" s="6">
        <v>0</v>
      </c>
      <c r="AO62" s="12">
        <v>0</v>
      </c>
      <c r="AP62" s="12">
        <v>12</v>
      </c>
      <c r="AQ62" s="17">
        <f t="shared" si="13"/>
        <v>3500</v>
      </c>
      <c r="AR62" s="17">
        <f t="shared" si="26"/>
        <v>0</v>
      </c>
      <c r="AS62" s="17">
        <f t="shared" si="15"/>
        <v>0</v>
      </c>
      <c r="AT62" s="25">
        <f t="shared" si="16"/>
        <v>3600</v>
      </c>
      <c r="AU62" s="12">
        <v>32</v>
      </c>
      <c r="AV62" s="6">
        <v>0</v>
      </c>
      <c r="AW62" s="12">
        <v>0</v>
      </c>
      <c r="AX62" s="12">
        <v>10</v>
      </c>
      <c r="AY62" s="17">
        <f t="shared" si="17"/>
        <v>3200</v>
      </c>
      <c r="AZ62" s="17">
        <f t="shared" si="17"/>
        <v>0</v>
      </c>
      <c r="BA62" s="17">
        <f t="shared" si="18"/>
        <v>0</v>
      </c>
      <c r="BB62" s="25">
        <f t="shared" si="18"/>
        <v>3000</v>
      </c>
    </row>
    <row r="63" spans="1:54" ht="14">
      <c r="A63" s="6">
        <v>60</v>
      </c>
      <c r="B63" s="6" t="s">
        <v>86</v>
      </c>
      <c r="F63" s="11"/>
      <c r="G63" s="12">
        <v>20</v>
      </c>
      <c r="H63" s="13"/>
      <c r="I63" s="12">
        <v>0</v>
      </c>
      <c r="J63" s="12">
        <v>10</v>
      </c>
      <c r="K63" s="15">
        <f t="shared" si="0"/>
        <v>2000</v>
      </c>
      <c r="L63" s="16"/>
      <c r="M63" s="20">
        <f t="shared" si="1"/>
        <v>0</v>
      </c>
      <c r="N63" s="3">
        <f t="shared" si="2"/>
        <v>3000</v>
      </c>
      <c r="O63" s="12">
        <v>25</v>
      </c>
      <c r="P63" s="6"/>
      <c r="Q63" s="12">
        <v>0</v>
      </c>
      <c r="R63" s="12">
        <v>15</v>
      </c>
      <c r="S63" s="17">
        <f t="shared" si="3"/>
        <v>2500</v>
      </c>
      <c r="T63" s="17"/>
      <c r="U63" s="17">
        <f t="shared" si="4"/>
        <v>0</v>
      </c>
      <c r="V63" s="6">
        <f t="shared" si="5"/>
        <v>4500</v>
      </c>
      <c r="W63" s="12">
        <v>25</v>
      </c>
      <c r="X63" s="6"/>
      <c r="Y63" s="12">
        <v>0</v>
      </c>
      <c r="Z63" s="12">
        <v>15</v>
      </c>
      <c r="AA63" s="17">
        <f t="shared" si="6"/>
        <v>2500</v>
      </c>
      <c r="AB63" s="17"/>
      <c r="AC63" s="17">
        <f t="shared" si="7"/>
        <v>0</v>
      </c>
      <c r="AD63" s="6">
        <f t="shared" si="8"/>
        <v>4500</v>
      </c>
      <c r="AE63" s="12">
        <v>30</v>
      </c>
      <c r="AF63" s="6">
        <v>0</v>
      </c>
      <c r="AG63" s="12">
        <v>0</v>
      </c>
      <c r="AH63" s="12">
        <v>10</v>
      </c>
      <c r="AI63" s="17">
        <f t="shared" si="9"/>
        <v>3000</v>
      </c>
      <c r="AJ63" s="17">
        <f t="shared" si="25"/>
        <v>0</v>
      </c>
      <c r="AK63" s="17">
        <f t="shared" si="11"/>
        <v>0</v>
      </c>
      <c r="AL63" s="25">
        <f t="shared" si="12"/>
        <v>3000</v>
      </c>
      <c r="AM63" s="12">
        <v>30</v>
      </c>
      <c r="AN63" s="6">
        <v>0</v>
      </c>
      <c r="AO63" s="12">
        <v>0</v>
      </c>
      <c r="AP63" s="12">
        <v>10</v>
      </c>
      <c r="AQ63" s="17">
        <f t="shared" si="13"/>
        <v>3000</v>
      </c>
      <c r="AR63" s="17">
        <f t="shared" si="26"/>
        <v>0</v>
      </c>
      <c r="AS63" s="17">
        <f t="shared" si="15"/>
        <v>0</v>
      </c>
      <c r="AT63" s="25">
        <f t="shared" si="16"/>
        <v>3000</v>
      </c>
      <c r="AU63" s="12">
        <v>30</v>
      </c>
      <c r="AV63" s="6">
        <v>0</v>
      </c>
      <c r="AW63" s="12">
        <v>0</v>
      </c>
      <c r="AX63" s="12">
        <v>8</v>
      </c>
      <c r="AY63" s="17">
        <f t="shared" si="17"/>
        <v>3000</v>
      </c>
      <c r="AZ63" s="17">
        <f t="shared" si="17"/>
        <v>0</v>
      </c>
      <c r="BA63" s="17">
        <f t="shared" si="18"/>
        <v>0</v>
      </c>
      <c r="BB63" s="25">
        <f t="shared" si="18"/>
        <v>2400</v>
      </c>
    </row>
    <row r="64" spans="1:54" ht="14">
      <c r="A64" s="6">
        <v>61</v>
      </c>
      <c r="B64" s="6" t="s">
        <v>87</v>
      </c>
      <c r="F64" s="11"/>
      <c r="G64" s="12">
        <v>25</v>
      </c>
      <c r="H64" s="13"/>
      <c r="I64" s="12">
        <v>0</v>
      </c>
      <c r="J64" s="12">
        <v>12.5</v>
      </c>
      <c r="K64" s="15">
        <f t="shared" si="0"/>
        <v>2500</v>
      </c>
      <c r="L64" s="16"/>
      <c r="M64" s="20">
        <f t="shared" si="1"/>
        <v>0</v>
      </c>
      <c r="N64" s="3">
        <f t="shared" si="2"/>
        <v>3750</v>
      </c>
      <c r="O64" s="12">
        <v>30</v>
      </c>
      <c r="P64" s="6"/>
      <c r="Q64" s="12">
        <v>0</v>
      </c>
      <c r="R64" s="12">
        <v>10</v>
      </c>
      <c r="S64" s="17">
        <f t="shared" si="3"/>
        <v>3000</v>
      </c>
      <c r="T64" s="17"/>
      <c r="U64" s="17">
        <f t="shared" si="4"/>
        <v>0</v>
      </c>
      <c r="V64" s="6">
        <f t="shared" si="5"/>
        <v>3000</v>
      </c>
      <c r="W64" s="12">
        <v>30</v>
      </c>
      <c r="X64" s="6"/>
      <c r="Y64" s="12">
        <v>0</v>
      </c>
      <c r="Z64" s="12">
        <v>10</v>
      </c>
      <c r="AA64" s="17">
        <f t="shared" si="6"/>
        <v>3000</v>
      </c>
      <c r="AB64" s="17"/>
      <c r="AC64" s="17">
        <f t="shared" si="7"/>
        <v>0</v>
      </c>
      <c r="AD64" s="6">
        <f t="shared" si="8"/>
        <v>3000</v>
      </c>
      <c r="AE64" s="12">
        <v>35</v>
      </c>
      <c r="AF64" s="6">
        <v>0</v>
      </c>
      <c r="AG64" s="12">
        <v>0</v>
      </c>
      <c r="AH64" s="12">
        <v>11</v>
      </c>
      <c r="AI64" s="17">
        <f t="shared" si="9"/>
        <v>3500</v>
      </c>
      <c r="AJ64" s="17">
        <f t="shared" si="25"/>
        <v>0</v>
      </c>
      <c r="AK64" s="17">
        <f t="shared" si="11"/>
        <v>0</v>
      </c>
      <c r="AL64" s="25">
        <f t="shared" si="12"/>
        <v>3300</v>
      </c>
      <c r="AM64" s="12">
        <v>35</v>
      </c>
      <c r="AN64" s="6">
        <v>0</v>
      </c>
      <c r="AO64" s="12">
        <v>0</v>
      </c>
      <c r="AP64" s="12">
        <v>14</v>
      </c>
      <c r="AQ64" s="17">
        <f t="shared" si="13"/>
        <v>3500</v>
      </c>
      <c r="AR64" s="17">
        <f t="shared" si="26"/>
        <v>0</v>
      </c>
      <c r="AS64" s="17">
        <f t="shared" si="15"/>
        <v>0</v>
      </c>
      <c r="AT64" s="25">
        <f t="shared" si="16"/>
        <v>4200</v>
      </c>
      <c r="AU64" s="12">
        <v>35</v>
      </c>
      <c r="AV64" s="6">
        <v>0</v>
      </c>
      <c r="AW64" s="12">
        <v>0</v>
      </c>
      <c r="AX64" s="12">
        <v>12</v>
      </c>
      <c r="AY64" s="17">
        <f t="shared" si="17"/>
        <v>3500</v>
      </c>
      <c r="AZ64" s="17">
        <f t="shared" si="17"/>
        <v>0</v>
      </c>
      <c r="BA64" s="17">
        <f t="shared" si="18"/>
        <v>0</v>
      </c>
      <c r="BB64" s="25">
        <f t="shared" si="18"/>
        <v>3600</v>
      </c>
    </row>
    <row r="65" spans="1:54" ht="14">
      <c r="A65" s="6">
        <v>62</v>
      </c>
      <c r="B65" s="6" t="s">
        <v>88</v>
      </c>
      <c r="F65" s="11"/>
      <c r="G65" s="12">
        <v>20</v>
      </c>
      <c r="H65" s="13"/>
      <c r="I65" s="12">
        <v>0</v>
      </c>
      <c r="J65" s="12">
        <v>15</v>
      </c>
      <c r="K65" s="15">
        <f t="shared" si="0"/>
        <v>2000</v>
      </c>
      <c r="L65" s="16"/>
      <c r="M65" s="20">
        <f t="shared" si="1"/>
        <v>0</v>
      </c>
      <c r="N65" s="3">
        <f t="shared" si="2"/>
        <v>4500</v>
      </c>
      <c r="O65" s="12">
        <v>25</v>
      </c>
      <c r="P65" s="6"/>
      <c r="Q65" s="12">
        <v>0</v>
      </c>
      <c r="R65" s="12">
        <v>12.5</v>
      </c>
      <c r="S65" s="17">
        <f t="shared" si="3"/>
        <v>2500</v>
      </c>
      <c r="T65" s="17"/>
      <c r="U65" s="17">
        <f t="shared" si="4"/>
        <v>0</v>
      </c>
      <c r="V65" s="6">
        <f t="shared" si="5"/>
        <v>3750</v>
      </c>
      <c r="W65" s="12">
        <v>25</v>
      </c>
      <c r="X65" s="6"/>
      <c r="Y65" s="12">
        <v>0</v>
      </c>
      <c r="Z65" s="12">
        <v>10</v>
      </c>
      <c r="AA65" s="17">
        <f t="shared" si="6"/>
        <v>2500</v>
      </c>
      <c r="AB65" s="17"/>
      <c r="AC65" s="17">
        <f t="shared" si="7"/>
        <v>0</v>
      </c>
      <c r="AD65" s="6">
        <f t="shared" si="8"/>
        <v>3000</v>
      </c>
      <c r="AE65" s="12">
        <v>25</v>
      </c>
      <c r="AF65" s="6">
        <v>0</v>
      </c>
      <c r="AG65" s="12">
        <v>0</v>
      </c>
      <c r="AH65" s="12">
        <v>5</v>
      </c>
      <c r="AI65" s="17">
        <f t="shared" si="9"/>
        <v>2500</v>
      </c>
      <c r="AJ65" s="17">
        <f t="shared" si="25"/>
        <v>0</v>
      </c>
      <c r="AK65" s="17">
        <f t="shared" si="11"/>
        <v>0</v>
      </c>
      <c r="AL65" s="25">
        <f t="shared" si="12"/>
        <v>1500</v>
      </c>
      <c r="AM65" s="12">
        <v>25</v>
      </c>
      <c r="AN65" s="6">
        <v>0</v>
      </c>
      <c r="AO65" s="12">
        <v>0</v>
      </c>
      <c r="AP65" s="12">
        <v>20</v>
      </c>
      <c r="AQ65" s="17">
        <f t="shared" si="13"/>
        <v>2500</v>
      </c>
      <c r="AR65" s="17">
        <f t="shared" si="26"/>
        <v>0</v>
      </c>
      <c r="AS65" s="17">
        <f t="shared" si="15"/>
        <v>0</v>
      </c>
      <c r="AT65" s="25">
        <f t="shared" si="16"/>
        <v>6000</v>
      </c>
      <c r="AU65" s="12">
        <v>30</v>
      </c>
      <c r="AV65" s="6">
        <v>0</v>
      </c>
      <c r="AW65" s="12">
        <v>0</v>
      </c>
      <c r="AX65" s="12">
        <v>18</v>
      </c>
      <c r="AY65" s="17">
        <f t="shared" si="17"/>
        <v>3000</v>
      </c>
      <c r="AZ65" s="17">
        <f t="shared" si="17"/>
        <v>0</v>
      </c>
      <c r="BA65" s="17">
        <f t="shared" si="18"/>
        <v>0</v>
      </c>
      <c r="BB65" s="25">
        <f t="shared" si="18"/>
        <v>5400</v>
      </c>
    </row>
    <row r="66" spans="1:54" ht="14">
      <c r="A66" s="6">
        <v>63</v>
      </c>
      <c r="B66" s="6" t="s">
        <v>89</v>
      </c>
      <c r="F66" s="11"/>
      <c r="G66" s="15">
        <v>25</v>
      </c>
      <c r="H66" s="20"/>
      <c r="I66" s="12">
        <v>0</v>
      </c>
      <c r="J66" s="12">
        <v>9</v>
      </c>
      <c r="K66" s="15">
        <f t="shared" si="0"/>
        <v>2500</v>
      </c>
      <c r="L66" s="16"/>
      <c r="M66" s="20">
        <f t="shared" si="1"/>
        <v>0</v>
      </c>
      <c r="N66" s="3">
        <f t="shared" si="2"/>
        <v>2700</v>
      </c>
      <c r="O66" s="15">
        <v>30</v>
      </c>
      <c r="P66" s="6"/>
      <c r="Q66" s="12">
        <v>0</v>
      </c>
      <c r="R66" s="12">
        <v>9</v>
      </c>
      <c r="S66" s="17">
        <f t="shared" si="3"/>
        <v>3000</v>
      </c>
      <c r="T66" s="17"/>
      <c r="U66" s="17">
        <f t="shared" si="4"/>
        <v>0</v>
      </c>
      <c r="V66" s="6">
        <f t="shared" si="5"/>
        <v>2700</v>
      </c>
      <c r="W66" s="15">
        <v>40</v>
      </c>
      <c r="X66" s="6"/>
      <c r="Y66" s="12">
        <v>0</v>
      </c>
      <c r="Z66" s="12">
        <v>9</v>
      </c>
      <c r="AA66" s="17">
        <f t="shared" si="6"/>
        <v>4000</v>
      </c>
      <c r="AB66" s="17"/>
      <c r="AC66" s="17">
        <f t="shared" si="7"/>
        <v>0</v>
      </c>
      <c r="AD66" s="6">
        <f t="shared" si="8"/>
        <v>2700</v>
      </c>
      <c r="AE66" s="15">
        <v>55</v>
      </c>
      <c r="AF66" s="6">
        <v>0</v>
      </c>
      <c r="AG66" s="12">
        <v>0</v>
      </c>
      <c r="AH66" s="12">
        <v>10</v>
      </c>
      <c r="AI66" s="17">
        <f t="shared" si="9"/>
        <v>5500</v>
      </c>
      <c r="AJ66" s="17">
        <f t="shared" si="25"/>
        <v>0</v>
      </c>
      <c r="AK66" s="17">
        <f t="shared" si="11"/>
        <v>0</v>
      </c>
      <c r="AL66" s="25">
        <f t="shared" si="12"/>
        <v>3000</v>
      </c>
      <c r="AM66" s="15">
        <v>55</v>
      </c>
      <c r="AN66" s="6">
        <v>0</v>
      </c>
      <c r="AO66" s="12">
        <v>0</v>
      </c>
      <c r="AP66" s="12">
        <v>8</v>
      </c>
      <c r="AQ66" s="17">
        <f t="shared" si="13"/>
        <v>5500</v>
      </c>
      <c r="AR66" s="17">
        <f t="shared" si="26"/>
        <v>0</v>
      </c>
      <c r="AS66" s="17">
        <f t="shared" si="15"/>
        <v>0</v>
      </c>
      <c r="AT66" s="25">
        <f t="shared" si="16"/>
        <v>2400</v>
      </c>
      <c r="AU66" s="15">
        <v>52</v>
      </c>
      <c r="AV66" s="6">
        <v>0</v>
      </c>
      <c r="AW66" s="12">
        <v>0</v>
      </c>
      <c r="AX66" s="12">
        <v>10</v>
      </c>
      <c r="AY66" s="17">
        <f t="shared" si="17"/>
        <v>5200</v>
      </c>
      <c r="AZ66" s="17">
        <f t="shared" si="17"/>
        <v>0</v>
      </c>
      <c r="BA66" s="17">
        <f t="shared" si="18"/>
        <v>0</v>
      </c>
      <c r="BB66" s="25">
        <f t="shared" si="18"/>
        <v>3000</v>
      </c>
    </row>
    <row r="67" spans="1:54" ht="14">
      <c r="A67" s="6">
        <v>64</v>
      </c>
      <c r="B67" s="6" t="s">
        <v>90</v>
      </c>
      <c r="F67" s="11"/>
      <c r="G67" s="12">
        <v>36</v>
      </c>
      <c r="H67" s="13"/>
      <c r="I67" s="12">
        <v>0</v>
      </c>
      <c r="J67" s="12">
        <v>10</v>
      </c>
      <c r="K67" s="15">
        <f t="shared" si="0"/>
        <v>3600</v>
      </c>
      <c r="L67" s="16"/>
      <c r="M67" s="20">
        <f t="shared" si="1"/>
        <v>0</v>
      </c>
      <c r="N67" s="3">
        <f t="shared" si="2"/>
        <v>3000</v>
      </c>
      <c r="O67" s="12">
        <v>30</v>
      </c>
      <c r="P67" s="6"/>
      <c r="Q67" s="12">
        <v>0</v>
      </c>
      <c r="R67" s="12">
        <v>20</v>
      </c>
      <c r="S67" s="17">
        <f t="shared" si="3"/>
        <v>3000</v>
      </c>
      <c r="T67" s="17"/>
      <c r="U67" s="17">
        <f t="shared" si="4"/>
        <v>0</v>
      </c>
      <c r="V67" s="6">
        <f t="shared" si="5"/>
        <v>6000</v>
      </c>
      <c r="W67" s="12">
        <v>30</v>
      </c>
      <c r="X67" s="6"/>
      <c r="Y67" s="12">
        <v>0</v>
      </c>
      <c r="Z67" s="12">
        <v>17</v>
      </c>
      <c r="AA67" s="17">
        <f t="shared" si="6"/>
        <v>3000</v>
      </c>
      <c r="AB67" s="17"/>
      <c r="AC67" s="17">
        <f t="shared" si="7"/>
        <v>0</v>
      </c>
      <c r="AD67" s="6">
        <f t="shared" si="8"/>
        <v>5100</v>
      </c>
      <c r="AE67" s="12">
        <v>35</v>
      </c>
      <c r="AF67" s="6">
        <v>0</v>
      </c>
      <c r="AG67" s="12">
        <v>0</v>
      </c>
      <c r="AH67" s="12">
        <v>20</v>
      </c>
      <c r="AI67" s="17">
        <f t="shared" si="9"/>
        <v>3500</v>
      </c>
      <c r="AJ67" s="17">
        <f t="shared" si="25"/>
        <v>0</v>
      </c>
      <c r="AK67" s="17">
        <f t="shared" si="11"/>
        <v>0</v>
      </c>
      <c r="AL67" s="25">
        <f t="shared" si="12"/>
        <v>6000</v>
      </c>
      <c r="AM67" s="12">
        <v>35</v>
      </c>
      <c r="AN67" s="6">
        <v>0</v>
      </c>
      <c r="AO67" s="12">
        <v>0</v>
      </c>
      <c r="AP67" s="12">
        <v>20</v>
      </c>
      <c r="AQ67" s="17">
        <f t="shared" si="13"/>
        <v>3500</v>
      </c>
      <c r="AR67" s="17">
        <f t="shared" si="26"/>
        <v>0</v>
      </c>
      <c r="AS67" s="17">
        <f t="shared" si="15"/>
        <v>0</v>
      </c>
      <c r="AT67" s="25">
        <f t="shared" si="16"/>
        <v>6000</v>
      </c>
      <c r="AU67" s="12">
        <v>35</v>
      </c>
      <c r="AV67" s="6">
        <v>0</v>
      </c>
      <c r="AW67" s="12">
        <v>0</v>
      </c>
      <c r="AX67" s="12">
        <v>20</v>
      </c>
      <c r="AY67" s="17">
        <f t="shared" si="17"/>
        <v>3500</v>
      </c>
      <c r="AZ67" s="17">
        <f t="shared" si="17"/>
        <v>0</v>
      </c>
      <c r="BA67" s="17">
        <f t="shared" si="18"/>
        <v>0</v>
      </c>
      <c r="BB67" s="25">
        <f t="shared" si="18"/>
        <v>6000</v>
      </c>
    </row>
    <row r="68" spans="1:54" ht="14">
      <c r="A68" s="6">
        <v>65</v>
      </c>
      <c r="B68" s="6" t="s">
        <v>91</v>
      </c>
      <c r="F68" s="11"/>
      <c r="G68" s="12">
        <v>25</v>
      </c>
      <c r="H68" s="13"/>
      <c r="I68" s="12">
        <v>0</v>
      </c>
      <c r="J68" s="12">
        <v>15</v>
      </c>
      <c r="K68" s="15">
        <f t="shared" si="0"/>
        <v>2500</v>
      </c>
      <c r="L68" s="16"/>
      <c r="M68" s="20">
        <f t="shared" si="1"/>
        <v>0</v>
      </c>
      <c r="N68" s="3">
        <f t="shared" si="2"/>
        <v>4500</v>
      </c>
      <c r="O68" s="12">
        <v>30</v>
      </c>
      <c r="P68" s="6"/>
      <c r="Q68" s="12">
        <v>0</v>
      </c>
      <c r="R68" s="12">
        <v>10</v>
      </c>
      <c r="S68" s="17">
        <f t="shared" si="3"/>
        <v>3000</v>
      </c>
      <c r="T68" s="17"/>
      <c r="U68" s="17">
        <f t="shared" si="4"/>
        <v>0</v>
      </c>
      <c r="V68" s="6">
        <f t="shared" si="5"/>
        <v>3000</v>
      </c>
      <c r="W68" s="12">
        <v>30</v>
      </c>
      <c r="X68" s="6"/>
      <c r="Y68" s="12">
        <v>0</v>
      </c>
      <c r="Z68" s="12">
        <v>10</v>
      </c>
      <c r="AA68" s="17">
        <f t="shared" si="6"/>
        <v>3000</v>
      </c>
      <c r="AB68" s="17"/>
      <c r="AC68" s="17">
        <f t="shared" si="7"/>
        <v>0</v>
      </c>
      <c r="AD68" s="6">
        <f t="shared" si="8"/>
        <v>3000</v>
      </c>
      <c r="AE68" s="12">
        <v>30</v>
      </c>
      <c r="AF68" s="6">
        <v>0</v>
      </c>
      <c r="AG68" s="12">
        <v>0</v>
      </c>
      <c r="AH68" s="12">
        <v>15</v>
      </c>
      <c r="AI68" s="17">
        <f t="shared" si="9"/>
        <v>3000</v>
      </c>
      <c r="AJ68" s="17">
        <f t="shared" si="25"/>
        <v>0</v>
      </c>
      <c r="AK68" s="17">
        <f t="shared" si="11"/>
        <v>0</v>
      </c>
      <c r="AL68" s="25">
        <f t="shared" si="12"/>
        <v>4500</v>
      </c>
      <c r="AM68" s="12">
        <v>30</v>
      </c>
      <c r="AN68" s="6">
        <v>0</v>
      </c>
      <c r="AO68" s="12">
        <v>0</v>
      </c>
      <c r="AP68" s="12">
        <v>15</v>
      </c>
      <c r="AQ68" s="17">
        <f t="shared" si="13"/>
        <v>3000</v>
      </c>
      <c r="AR68" s="17">
        <f t="shared" si="26"/>
        <v>0</v>
      </c>
      <c r="AS68" s="17">
        <f t="shared" si="15"/>
        <v>0</v>
      </c>
      <c r="AT68" s="25">
        <f t="shared" si="16"/>
        <v>4500</v>
      </c>
      <c r="AU68" s="12">
        <v>32</v>
      </c>
      <c r="AV68" s="6">
        <v>0</v>
      </c>
      <c r="AW68" s="12">
        <v>0</v>
      </c>
      <c r="AX68" s="12">
        <v>18</v>
      </c>
      <c r="AY68" s="17">
        <f t="shared" si="17"/>
        <v>3200</v>
      </c>
      <c r="AZ68" s="17">
        <f t="shared" si="17"/>
        <v>0</v>
      </c>
      <c r="BA68" s="17">
        <f t="shared" si="18"/>
        <v>0</v>
      </c>
      <c r="BB68" s="25">
        <f t="shared" si="18"/>
        <v>5400</v>
      </c>
    </row>
    <row r="69" spans="1:54" ht="14">
      <c r="A69" s="6">
        <v>66</v>
      </c>
      <c r="B69" s="6" t="s">
        <v>92</v>
      </c>
      <c r="F69" s="11"/>
      <c r="G69" s="12">
        <v>0</v>
      </c>
      <c r="H69" s="13"/>
      <c r="I69" s="12">
        <v>0</v>
      </c>
      <c r="J69" s="12">
        <v>0</v>
      </c>
      <c r="K69" s="15">
        <f t="shared" ref="K69:K104" si="27">G69*100</f>
        <v>0</v>
      </c>
      <c r="L69" s="16"/>
      <c r="M69" s="20">
        <f t="shared" ref="M69:M104" si="28">I69*300</f>
        <v>0</v>
      </c>
      <c r="N69" s="3">
        <f t="shared" ref="N69:N104" si="29">J69*300</f>
        <v>0</v>
      </c>
      <c r="O69" s="12">
        <v>0</v>
      </c>
      <c r="P69" s="6"/>
      <c r="Q69" s="12">
        <v>40</v>
      </c>
      <c r="R69" s="12">
        <v>0</v>
      </c>
      <c r="S69" s="17">
        <f t="shared" ref="S69:S104" si="30">O69*100</f>
        <v>0</v>
      </c>
      <c r="T69" s="17"/>
      <c r="U69" s="17">
        <f t="shared" ref="U69:U104" si="31">Q69*300</f>
        <v>12000</v>
      </c>
      <c r="V69" s="6">
        <f t="shared" ref="V69:V104" si="32">R69*300</f>
        <v>0</v>
      </c>
      <c r="W69" s="12">
        <v>0</v>
      </c>
      <c r="X69" s="6"/>
      <c r="Y69" s="12">
        <v>0</v>
      </c>
      <c r="Z69" s="12">
        <v>10</v>
      </c>
      <c r="AA69" s="17">
        <f t="shared" ref="AA69:AA104" si="33">W69*100</f>
        <v>0</v>
      </c>
      <c r="AB69" s="17"/>
      <c r="AC69" s="17">
        <f t="shared" ref="AC69:AC104" si="34">Y69*300</f>
        <v>0</v>
      </c>
      <c r="AD69" s="6">
        <f t="shared" ref="AD69:AD104" si="35">Z69*300</f>
        <v>3000</v>
      </c>
      <c r="AE69" s="12">
        <v>15</v>
      </c>
      <c r="AF69" s="6">
        <v>0</v>
      </c>
      <c r="AG69" s="12">
        <v>0</v>
      </c>
      <c r="AH69" s="12">
        <v>13</v>
      </c>
      <c r="AI69" s="17">
        <f t="shared" ref="AI69:AI104" si="36">AE69*100</f>
        <v>1500</v>
      </c>
      <c r="AJ69" s="17">
        <f t="shared" si="25"/>
        <v>0</v>
      </c>
      <c r="AK69" s="17">
        <f t="shared" ref="AK69:AK104" si="37">AG69*300</f>
        <v>0</v>
      </c>
      <c r="AL69" s="25">
        <f t="shared" ref="AL69:AL104" si="38">AH69*300</f>
        <v>3900</v>
      </c>
      <c r="AM69" s="12">
        <v>15</v>
      </c>
      <c r="AN69" s="6">
        <v>10</v>
      </c>
      <c r="AO69" s="12">
        <v>0</v>
      </c>
      <c r="AP69" s="12">
        <v>14</v>
      </c>
      <c r="AQ69" s="17">
        <f t="shared" ref="AQ69:AQ104" si="39">AM69*100</f>
        <v>1500</v>
      </c>
      <c r="AR69" s="17">
        <f t="shared" si="26"/>
        <v>1000</v>
      </c>
      <c r="AS69" s="17">
        <f t="shared" ref="AS69:AS104" si="40">AO69*300</f>
        <v>0</v>
      </c>
      <c r="AT69" s="25">
        <f t="shared" ref="AT69:AT104" si="41">AP69*300</f>
        <v>4200</v>
      </c>
      <c r="AU69" s="12">
        <v>19</v>
      </c>
      <c r="AV69" s="6">
        <v>10</v>
      </c>
      <c r="AW69" s="12">
        <v>0</v>
      </c>
      <c r="AX69" s="12">
        <v>12</v>
      </c>
      <c r="AY69" s="17">
        <f t="shared" ref="AY69:AZ104" si="42">AU69*100</f>
        <v>1900</v>
      </c>
      <c r="AZ69" s="17">
        <f t="shared" si="42"/>
        <v>1000</v>
      </c>
      <c r="BA69" s="17">
        <f t="shared" ref="BA69:BB104" si="43">AW69*300</f>
        <v>0</v>
      </c>
      <c r="BB69" s="25">
        <f t="shared" si="43"/>
        <v>3600</v>
      </c>
    </row>
    <row r="70" spans="1:54" ht="14">
      <c r="A70" s="6">
        <v>67</v>
      </c>
      <c r="B70" s="6" t="s">
        <v>93</v>
      </c>
      <c r="F70" s="11"/>
      <c r="G70" s="12">
        <v>32</v>
      </c>
      <c r="H70" s="13"/>
      <c r="I70" s="12">
        <v>0</v>
      </c>
      <c r="J70" s="12">
        <v>15</v>
      </c>
      <c r="K70" s="15">
        <f t="shared" si="27"/>
        <v>3200</v>
      </c>
      <c r="L70" s="16"/>
      <c r="M70" s="20">
        <f t="shared" si="28"/>
        <v>0</v>
      </c>
      <c r="N70" s="3">
        <f t="shared" si="29"/>
        <v>4500</v>
      </c>
      <c r="O70" s="12">
        <v>30</v>
      </c>
      <c r="P70" s="6"/>
      <c r="Q70" s="12">
        <v>0</v>
      </c>
      <c r="R70" s="12">
        <v>15</v>
      </c>
      <c r="S70" s="17">
        <f t="shared" si="30"/>
        <v>3000</v>
      </c>
      <c r="T70" s="17"/>
      <c r="U70" s="17">
        <f t="shared" si="31"/>
        <v>0</v>
      </c>
      <c r="V70" s="6">
        <f t="shared" si="32"/>
        <v>4500</v>
      </c>
      <c r="W70" s="12">
        <v>30</v>
      </c>
      <c r="X70" s="6"/>
      <c r="Y70" s="12">
        <v>0</v>
      </c>
      <c r="Z70" s="12">
        <v>15</v>
      </c>
      <c r="AA70" s="17">
        <f t="shared" si="33"/>
        <v>3000</v>
      </c>
      <c r="AB70" s="17"/>
      <c r="AC70" s="17">
        <f t="shared" si="34"/>
        <v>0</v>
      </c>
      <c r="AD70" s="6">
        <f t="shared" si="35"/>
        <v>4500</v>
      </c>
      <c r="AE70" s="12">
        <v>25</v>
      </c>
      <c r="AF70" s="6">
        <v>0</v>
      </c>
      <c r="AG70" s="12">
        <v>0</v>
      </c>
      <c r="AH70" s="12">
        <v>10</v>
      </c>
      <c r="AI70" s="17">
        <f t="shared" si="36"/>
        <v>2500</v>
      </c>
      <c r="AJ70" s="17">
        <f t="shared" si="25"/>
        <v>0</v>
      </c>
      <c r="AK70" s="17">
        <f t="shared" si="37"/>
        <v>0</v>
      </c>
      <c r="AL70" s="25">
        <f t="shared" si="38"/>
        <v>3000</v>
      </c>
      <c r="AM70" s="12">
        <v>25</v>
      </c>
      <c r="AN70" s="6">
        <v>0</v>
      </c>
      <c r="AO70" s="12">
        <v>0</v>
      </c>
      <c r="AP70" s="12">
        <v>16</v>
      </c>
      <c r="AQ70" s="17">
        <f t="shared" si="39"/>
        <v>2500</v>
      </c>
      <c r="AR70" s="17">
        <f t="shared" si="26"/>
        <v>0</v>
      </c>
      <c r="AS70" s="17">
        <f t="shared" si="40"/>
        <v>0</v>
      </c>
      <c r="AT70" s="25">
        <f t="shared" si="41"/>
        <v>4800</v>
      </c>
      <c r="AU70" s="12">
        <v>22</v>
      </c>
      <c r="AV70" s="6">
        <v>0</v>
      </c>
      <c r="AW70" s="12">
        <v>0</v>
      </c>
      <c r="AX70" s="12">
        <v>12</v>
      </c>
      <c r="AY70" s="17">
        <f t="shared" si="42"/>
        <v>2200</v>
      </c>
      <c r="AZ70" s="17">
        <f t="shared" si="42"/>
        <v>0</v>
      </c>
      <c r="BA70" s="17">
        <f t="shared" si="43"/>
        <v>0</v>
      </c>
      <c r="BB70" s="25">
        <f t="shared" si="43"/>
        <v>3600</v>
      </c>
    </row>
    <row r="71" spans="1:54" ht="14">
      <c r="A71" s="6">
        <v>68</v>
      </c>
      <c r="B71" s="6" t="s">
        <v>94</v>
      </c>
      <c r="F71" s="11"/>
      <c r="G71" s="12">
        <v>45</v>
      </c>
      <c r="H71" s="13"/>
      <c r="I71" s="12">
        <v>0</v>
      </c>
      <c r="J71" s="12">
        <v>10</v>
      </c>
      <c r="K71" s="15">
        <f t="shared" si="27"/>
        <v>4500</v>
      </c>
      <c r="L71" s="16"/>
      <c r="M71" s="20">
        <f t="shared" si="28"/>
        <v>0</v>
      </c>
      <c r="N71" s="3">
        <f t="shared" si="29"/>
        <v>3000</v>
      </c>
      <c r="O71" s="12">
        <v>40</v>
      </c>
      <c r="P71" s="6"/>
      <c r="Q71" s="12">
        <v>0</v>
      </c>
      <c r="R71" s="12">
        <v>10</v>
      </c>
      <c r="S71" s="17">
        <f t="shared" si="30"/>
        <v>4000</v>
      </c>
      <c r="T71" s="17"/>
      <c r="U71" s="17">
        <f t="shared" si="31"/>
        <v>0</v>
      </c>
      <c r="V71" s="6">
        <f t="shared" si="32"/>
        <v>3000</v>
      </c>
      <c r="W71" s="12">
        <v>40</v>
      </c>
      <c r="X71" s="6"/>
      <c r="Y71" s="12">
        <v>0</v>
      </c>
      <c r="Z71" s="12">
        <v>10</v>
      </c>
      <c r="AA71" s="17">
        <f t="shared" si="33"/>
        <v>4000</v>
      </c>
      <c r="AB71" s="17"/>
      <c r="AC71" s="17">
        <f t="shared" si="34"/>
        <v>0</v>
      </c>
      <c r="AD71" s="6">
        <f t="shared" si="35"/>
        <v>3000</v>
      </c>
      <c r="AE71" s="12">
        <v>35</v>
      </c>
      <c r="AF71" s="6">
        <v>0</v>
      </c>
      <c r="AG71" s="12">
        <v>0</v>
      </c>
      <c r="AH71" s="12">
        <v>8</v>
      </c>
      <c r="AI71" s="17">
        <f t="shared" si="36"/>
        <v>3500</v>
      </c>
      <c r="AJ71" s="17">
        <f t="shared" si="25"/>
        <v>0</v>
      </c>
      <c r="AK71" s="17">
        <f t="shared" si="37"/>
        <v>0</v>
      </c>
      <c r="AL71" s="25">
        <f t="shared" si="38"/>
        <v>2400</v>
      </c>
      <c r="AM71" s="12">
        <v>35</v>
      </c>
      <c r="AN71" s="6">
        <v>0</v>
      </c>
      <c r="AO71" s="12">
        <v>0</v>
      </c>
      <c r="AP71" s="12">
        <v>8</v>
      </c>
      <c r="AQ71" s="17">
        <f t="shared" si="39"/>
        <v>3500</v>
      </c>
      <c r="AR71" s="17">
        <f t="shared" si="26"/>
        <v>0</v>
      </c>
      <c r="AS71" s="17">
        <f t="shared" si="40"/>
        <v>0</v>
      </c>
      <c r="AT71" s="25">
        <f t="shared" si="41"/>
        <v>2400</v>
      </c>
      <c r="AU71" s="12">
        <v>35</v>
      </c>
      <c r="AV71" s="6">
        <v>0</v>
      </c>
      <c r="AW71" s="12">
        <v>0</v>
      </c>
      <c r="AX71" s="12">
        <v>8</v>
      </c>
      <c r="AY71" s="17">
        <f t="shared" si="42"/>
        <v>3500</v>
      </c>
      <c r="AZ71" s="17">
        <f t="shared" si="42"/>
        <v>0</v>
      </c>
      <c r="BA71" s="17">
        <f t="shared" si="43"/>
        <v>0</v>
      </c>
      <c r="BB71" s="25">
        <f t="shared" si="43"/>
        <v>2400</v>
      </c>
    </row>
    <row r="72" spans="1:54" ht="14">
      <c r="A72" s="6">
        <v>69</v>
      </c>
      <c r="B72" s="6" t="s">
        <v>95</v>
      </c>
      <c r="F72" s="11"/>
      <c r="G72" s="12">
        <v>40</v>
      </c>
      <c r="H72" s="13"/>
      <c r="I72" s="12">
        <v>0</v>
      </c>
      <c r="J72" s="12">
        <v>15</v>
      </c>
      <c r="K72" s="15">
        <f t="shared" si="27"/>
        <v>4000</v>
      </c>
      <c r="L72" s="16"/>
      <c r="M72" s="20">
        <f t="shared" si="28"/>
        <v>0</v>
      </c>
      <c r="N72" s="3">
        <f t="shared" si="29"/>
        <v>4500</v>
      </c>
      <c r="O72" s="12">
        <v>35</v>
      </c>
      <c r="P72" s="6"/>
      <c r="Q72" s="12">
        <v>0</v>
      </c>
      <c r="R72" s="12">
        <v>15</v>
      </c>
      <c r="S72" s="17">
        <f t="shared" si="30"/>
        <v>3500</v>
      </c>
      <c r="T72" s="17"/>
      <c r="U72" s="17">
        <f t="shared" si="31"/>
        <v>0</v>
      </c>
      <c r="V72" s="6">
        <f t="shared" si="32"/>
        <v>4500</v>
      </c>
      <c r="W72" s="12">
        <v>35</v>
      </c>
      <c r="X72" s="6"/>
      <c r="Y72" s="12">
        <v>0</v>
      </c>
      <c r="Z72" s="12">
        <v>10</v>
      </c>
      <c r="AA72" s="17">
        <f t="shared" si="33"/>
        <v>3500</v>
      </c>
      <c r="AB72" s="17"/>
      <c r="AC72" s="17">
        <f t="shared" si="34"/>
        <v>0</v>
      </c>
      <c r="AD72" s="6">
        <f t="shared" si="35"/>
        <v>3000</v>
      </c>
      <c r="AE72" s="12">
        <v>40</v>
      </c>
      <c r="AF72" s="6">
        <v>0</v>
      </c>
      <c r="AG72" s="12">
        <v>0</v>
      </c>
      <c r="AH72" s="12">
        <v>7</v>
      </c>
      <c r="AI72" s="17">
        <f t="shared" si="36"/>
        <v>4000</v>
      </c>
      <c r="AJ72" s="17">
        <f t="shared" si="25"/>
        <v>0</v>
      </c>
      <c r="AK72" s="17">
        <f t="shared" si="37"/>
        <v>0</v>
      </c>
      <c r="AL72" s="25">
        <f t="shared" si="38"/>
        <v>2100</v>
      </c>
      <c r="AM72" s="12">
        <v>40</v>
      </c>
      <c r="AN72" s="6">
        <v>0</v>
      </c>
      <c r="AO72" s="12">
        <v>0</v>
      </c>
      <c r="AP72" s="12">
        <v>10</v>
      </c>
      <c r="AQ72" s="17">
        <f t="shared" si="39"/>
        <v>4000</v>
      </c>
      <c r="AR72" s="17">
        <f t="shared" si="26"/>
        <v>0</v>
      </c>
      <c r="AS72" s="17">
        <f t="shared" si="40"/>
        <v>0</v>
      </c>
      <c r="AT72" s="25">
        <f t="shared" si="41"/>
        <v>3000</v>
      </c>
      <c r="AU72" s="12">
        <v>35</v>
      </c>
      <c r="AV72" s="6">
        <v>0</v>
      </c>
      <c r="AW72" s="12">
        <v>0</v>
      </c>
      <c r="AX72" s="12">
        <v>8</v>
      </c>
      <c r="AY72" s="17">
        <f t="shared" si="42"/>
        <v>3500</v>
      </c>
      <c r="AZ72" s="17">
        <f t="shared" si="42"/>
        <v>0</v>
      </c>
      <c r="BA72" s="17">
        <f t="shared" si="43"/>
        <v>0</v>
      </c>
      <c r="BB72" s="25">
        <f t="shared" si="43"/>
        <v>2400</v>
      </c>
    </row>
    <row r="73" spans="1:54" ht="14">
      <c r="A73" s="6">
        <v>70</v>
      </c>
      <c r="B73" s="6" t="s">
        <v>96</v>
      </c>
      <c r="F73" s="11"/>
      <c r="G73" s="12">
        <v>22</v>
      </c>
      <c r="H73" s="13"/>
      <c r="I73" s="12">
        <v>0</v>
      </c>
      <c r="J73" s="12">
        <v>10</v>
      </c>
      <c r="K73" s="15">
        <f t="shared" si="27"/>
        <v>2200</v>
      </c>
      <c r="L73" s="16"/>
      <c r="M73" s="20">
        <f t="shared" si="28"/>
        <v>0</v>
      </c>
      <c r="N73" s="3">
        <f t="shared" si="29"/>
        <v>3000</v>
      </c>
      <c r="O73" s="12">
        <v>20</v>
      </c>
      <c r="P73" s="6"/>
      <c r="Q73" s="12">
        <v>0</v>
      </c>
      <c r="R73" s="12">
        <v>5</v>
      </c>
      <c r="S73" s="17">
        <f t="shared" si="30"/>
        <v>2000</v>
      </c>
      <c r="T73" s="17"/>
      <c r="U73" s="17">
        <f t="shared" si="31"/>
        <v>0</v>
      </c>
      <c r="V73" s="6">
        <f t="shared" si="32"/>
        <v>1500</v>
      </c>
      <c r="W73" s="12">
        <v>20</v>
      </c>
      <c r="X73" s="6"/>
      <c r="Y73" s="12">
        <v>0</v>
      </c>
      <c r="Z73" s="12">
        <v>5</v>
      </c>
      <c r="AA73" s="17">
        <f t="shared" si="33"/>
        <v>2000</v>
      </c>
      <c r="AB73" s="17"/>
      <c r="AC73" s="17">
        <f t="shared" si="34"/>
        <v>0</v>
      </c>
      <c r="AD73" s="6">
        <f t="shared" si="35"/>
        <v>1500</v>
      </c>
      <c r="AE73" s="12">
        <v>25</v>
      </c>
      <c r="AF73" s="6">
        <v>0</v>
      </c>
      <c r="AG73" s="12">
        <v>0</v>
      </c>
      <c r="AH73" s="12">
        <v>10</v>
      </c>
      <c r="AI73" s="17">
        <f t="shared" si="36"/>
        <v>2500</v>
      </c>
      <c r="AJ73" s="17">
        <f t="shared" si="25"/>
        <v>0</v>
      </c>
      <c r="AK73" s="17">
        <f t="shared" si="37"/>
        <v>0</v>
      </c>
      <c r="AL73" s="25">
        <f t="shared" si="38"/>
        <v>3000</v>
      </c>
      <c r="AM73" s="12">
        <v>25</v>
      </c>
      <c r="AN73" s="6">
        <v>0</v>
      </c>
      <c r="AO73" s="12">
        <v>0</v>
      </c>
      <c r="AP73" s="12">
        <v>10</v>
      </c>
      <c r="AQ73" s="17">
        <f t="shared" si="39"/>
        <v>2500</v>
      </c>
      <c r="AR73" s="17">
        <f t="shared" si="26"/>
        <v>0</v>
      </c>
      <c r="AS73" s="17">
        <f t="shared" si="40"/>
        <v>0</v>
      </c>
      <c r="AT73" s="25">
        <f t="shared" si="41"/>
        <v>3000</v>
      </c>
      <c r="AU73" s="12">
        <v>22</v>
      </c>
      <c r="AV73" s="6">
        <v>0</v>
      </c>
      <c r="AW73" s="12">
        <v>0</v>
      </c>
      <c r="AX73" s="12">
        <v>12</v>
      </c>
      <c r="AY73" s="17">
        <f t="shared" si="42"/>
        <v>2200</v>
      </c>
      <c r="AZ73" s="17">
        <f t="shared" si="42"/>
        <v>0</v>
      </c>
      <c r="BA73" s="17">
        <f t="shared" si="43"/>
        <v>0</v>
      </c>
      <c r="BB73" s="25">
        <f t="shared" si="43"/>
        <v>3600</v>
      </c>
    </row>
    <row r="74" spans="1:54" ht="14">
      <c r="A74" s="6">
        <v>71</v>
      </c>
      <c r="B74" s="6" t="s">
        <v>97</v>
      </c>
      <c r="F74" s="11"/>
      <c r="G74" s="12">
        <v>30</v>
      </c>
      <c r="H74" s="13"/>
      <c r="I74" s="12">
        <v>0</v>
      </c>
      <c r="J74" s="12">
        <v>10</v>
      </c>
      <c r="K74" s="15">
        <f t="shared" si="27"/>
        <v>3000</v>
      </c>
      <c r="L74" s="16"/>
      <c r="M74" s="20">
        <f t="shared" si="28"/>
        <v>0</v>
      </c>
      <c r="N74" s="3">
        <f t="shared" si="29"/>
        <v>3000</v>
      </c>
      <c r="O74" s="12">
        <v>30</v>
      </c>
      <c r="P74" s="6"/>
      <c r="Q74" s="12">
        <v>0</v>
      </c>
      <c r="R74" s="12">
        <v>10</v>
      </c>
      <c r="S74" s="17">
        <f t="shared" si="30"/>
        <v>3000</v>
      </c>
      <c r="T74" s="17"/>
      <c r="U74" s="17">
        <f t="shared" si="31"/>
        <v>0</v>
      </c>
      <c r="V74" s="6">
        <f t="shared" si="32"/>
        <v>3000</v>
      </c>
      <c r="W74" s="12">
        <v>30</v>
      </c>
      <c r="X74" s="6"/>
      <c r="Y74" s="12">
        <v>0</v>
      </c>
      <c r="Z74" s="12">
        <v>10</v>
      </c>
      <c r="AA74" s="17">
        <f t="shared" si="33"/>
        <v>3000</v>
      </c>
      <c r="AB74" s="17"/>
      <c r="AC74" s="17">
        <f t="shared" si="34"/>
        <v>0</v>
      </c>
      <c r="AD74" s="6">
        <f t="shared" si="35"/>
        <v>3000</v>
      </c>
      <c r="AE74" s="12">
        <v>35</v>
      </c>
      <c r="AF74" s="6">
        <v>0</v>
      </c>
      <c r="AG74" s="12">
        <v>0</v>
      </c>
      <c r="AH74" s="12">
        <v>5</v>
      </c>
      <c r="AI74" s="17">
        <f t="shared" si="36"/>
        <v>3500</v>
      </c>
      <c r="AJ74" s="17">
        <f t="shared" si="25"/>
        <v>0</v>
      </c>
      <c r="AK74" s="17">
        <f t="shared" si="37"/>
        <v>0</v>
      </c>
      <c r="AL74" s="25">
        <f t="shared" si="38"/>
        <v>1500</v>
      </c>
      <c r="AM74" s="12">
        <v>35</v>
      </c>
      <c r="AN74" s="6">
        <v>0</v>
      </c>
      <c r="AO74" s="12">
        <v>0</v>
      </c>
      <c r="AP74" s="12">
        <v>10</v>
      </c>
      <c r="AQ74" s="17">
        <f t="shared" si="39"/>
        <v>3500</v>
      </c>
      <c r="AR74" s="17">
        <f t="shared" si="26"/>
        <v>0</v>
      </c>
      <c r="AS74" s="17">
        <f t="shared" si="40"/>
        <v>0</v>
      </c>
      <c r="AT74" s="25">
        <f t="shared" si="41"/>
        <v>3000</v>
      </c>
      <c r="AU74" s="12">
        <v>32</v>
      </c>
      <c r="AV74" s="6">
        <v>0</v>
      </c>
      <c r="AW74" s="12">
        <v>0</v>
      </c>
      <c r="AX74" s="12">
        <v>10</v>
      </c>
      <c r="AY74" s="17">
        <f t="shared" si="42"/>
        <v>3200</v>
      </c>
      <c r="AZ74" s="17">
        <f t="shared" si="42"/>
        <v>0</v>
      </c>
      <c r="BA74" s="17">
        <f t="shared" si="43"/>
        <v>0</v>
      </c>
      <c r="BB74" s="25">
        <f t="shared" si="43"/>
        <v>3000</v>
      </c>
    </row>
    <row r="75" spans="1:54" ht="14">
      <c r="A75" s="6">
        <v>72</v>
      </c>
      <c r="B75" s="6" t="s">
        <v>98</v>
      </c>
      <c r="F75" s="11"/>
      <c r="G75" s="12">
        <v>23</v>
      </c>
      <c r="H75" s="13"/>
      <c r="I75" s="12">
        <v>0</v>
      </c>
      <c r="J75" s="12">
        <v>25</v>
      </c>
      <c r="K75" s="15">
        <f t="shared" si="27"/>
        <v>2300</v>
      </c>
      <c r="L75" s="16"/>
      <c r="M75" s="20">
        <f t="shared" si="28"/>
        <v>0</v>
      </c>
      <c r="N75" s="3">
        <f t="shared" si="29"/>
        <v>7500</v>
      </c>
      <c r="O75" s="12">
        <v>25</v>
      </c>
      <c r="P75" s="6"/>
      <c r="Q75" s="12">
        <v>0</v>
      </c>
      <c r="R75" s="12">
        <v>20</v>
      </c>
      <c r="S75" s="17">
        <f t="shared" si="30"/>
        <v>2500</v>
      </c>
      <c r="T75" s="17"/>
      <c r="U75" s="17">
        <f t="shared" si="31"/>
        <v>0</v>
      </c>
      <c r="V75" s="6">
        <f t="shared" si="32"/>
        <v>6000</v>
      </c>
      <c r="W75" s="12">
        <v>25</v>
      </c>
      <c r="X75" s="6"/>
      <c r="Y75" s="12">
        <v>0</v>
      </c>
      <c r="Z75" s="12">
        <v>20</v>
      </c>
      <c r="AA75" s="17">
        <f t="shared" si="33"/>
        <v>2500</v>
      </c>
      <c r="AB75" s="17"/>
      <c r="AC75" s="17">
        <f t="shared" si="34"/>
        <v>0</v>
      </c>
      <c r="AD75" s="6">
        <f t="shared" si="35"/>
        <v>6000</v>
      </c>
      <c r="AE75" s="12">
        <v>30</v>
      </c>
      <c r="AF75" s="6">
        <v>0</v>
      </c>
      <c r="AG75" s="12">
        <v>0</v>
      </c>
      <c r="AH75" s="12">
        <v>15</v>
      </c>
      <c r="AI75" s="17">
        <f t="shared" si="36"/>
        <v>3000</v>
      </c>
      <c r="AJ75" s="17">
        <f t="shared" si="25"/>
        <v>0</v>
      </c>
      <c r="AK75" s="17">
        <f t="shared" si="37"/>
        <v>0</v>
      </c>
      <c r="AL75" s="25">
        <f t="shared" si="38"/>
        <v>4500</v>
      </c>
      <c r="AM75" s="12">
        <v>30</v>
      </c>
      <c r="AN75" s="6">
        <v>2</v>
      </c>
      <c r="AO75" s="12">
        <v>0</v>
      </c>
      <c r="AP75" s="12">
        <v>15</v>
      </c>
      <c r="AQ75" s="17">
        <f t="shared" si="39"/>
        <v>3000</v>
      </c>
      <c r="AR75" s="17">
        <f t="shared" si="26"/>
        <v>200</v>
      </c>
      <c r="AS75" s="17">
        <f t="shared" si="40"/>
        <v>0</v>
      </c>
      <c r="AT75" s="25">
        <f t="shared" si="41"/>
        <v>4500</v>
      </c>
      <c r="AU75" s="12">
        <v>30</v>
      </c>
      <c r="AV75" s="6">
        <v>2</v>
      </c>
      <c r="AW75" s="12">
        <v>0</v>
      </c>
      <c r="AX75" s="12">
        <v>15</v>
      </c>
      <c r="AY75" s="17">
        <f t="shared" si="42"/>
        <v>3000</v>
      </c>
      <c r="AZ75" s="17">
        <f t="shared" si="42"/>
        <v>200</v>
      </c>
      <c r="BA75" s="17">
        <f t="shared" si="43"/>
        <v>0</v>
      </c>
      <c r="BB75" s="25">
        <f t="shared" si="43"/>
        <v>4500</v>
      </c>
    </row>
    <row r="76" spans="1:54" ht="14">
      <c r="A76" s="6">
        <v>73</v>
      </c>
      <c r="B76" s="6" t="s">
        <v>99</v>
      </c>
      <c r="F76" s="11"/>
      <c r="G76" s="12">
        <v>55</v>
      </c>
      <c r="H76" s="13"/>
      <c r="I76" s="12">
        <v>0</v>
      </c>
      <c r="J76" s="12">
        <v>10</v>
      </c>
      <c r="K76" s="15">
        <f t="shared" si="27"/>
        <v>5500</v>
      </c>
      <c r="L76" s="16"/>
      <c r="M76" s="20">
        <f t="shared" si="28"/>
        <v>0</v>
      </c>
      <c r="N76" s="3">
        <f t="shared" si="29"/>
        <v>3000</v>
      </c>
      <c r="O76" s="12">
        <v>55</v>
      </c>
      <c r="P76" s="6"/>
      <c r="Q76" s="12">
        <v>0</v>
      </c>
      <c r="R76" s="12">
        <v>10</v>
      </c>
      <c r="S76" s="17">
        <f t="shared" si="30"/>
        <v>5500</v>
      </c>
      <c r="T76" s="17"/>
      <c r="U76" s="17">
        <f t="shared" si="31"/>
        <v>0</v>
      </c>
      <c r="V76" s="6">
        <f t="shared" si="32"/>
        <v>3000</v>
      </c>
      <c r="W76" s="12">
        <v>55</v>
      </c>
      <c r="X76" s="6"/>
      <c r="Y76" s="12">
        <v>0</v>
      </c>
      <c r="Z76" s="12">
        <v>10</v>
      </c>
      <c r="AA76" s="17">
        <f t="shared" si="33"/>
        <v>5500</v>
      </c>
      <c r="AB76" s="17"/>
      <c r="AC76" s="17">
        <f t="shared" si="34"/>
        <v>0</v>
      </c>
      <c r="AD76" s="6">
        <f t="shared" si="35"/>
        <v>3000</v>
      </c>
      <c r="AE76" s="12">
        <v>45</v>
      </c>
      <c r="AF76" s="6">
        <v>0</v>
      </c>
      <c r="AG76" s="12">
        <v>0</v>
      </c>
      <c r="AH76" s="12">
        <v>10</v>
      </c>
      <c r="AI76" s="17">
        <f t="shared" si="36"/>
        <v>4500</v>
      </c>
      <c r="AJ76" s="17">
        <f t="shared" si="25"/>
        <v>0</v>
      </c>
      <c r="AK76" s="17">
        <f t="shared" si="37"/>
        <v>0</v>
      </c>
      <c r="AL76" s="25">
        <f t="shared" si="38"/>
        <v>3000</v>
      </c>
      <c r="AM76" s="12">
        <v>40</v>
      </c>
      <c r="AN76" s="6">
        <v>0</v>
      </c>
      <c r="AO76" s="12">
        <v>0</v>
      </c>
      <c r="AP76" s="12">
        <v>20</v>
      </c>
      <c r="AQ76" s="17">
        <f t="shared" si="39"/>
        <v>4000</v>
      </c>
      <c r="AR76" s="17">
        <f t="shared" si="26"/>
        <v>0</v>
      </c>
      <c r="AS76" s="17">
        <f t="shared" si="40"/>
        <v>0</v>
      </c>
      <c r="AT76" s="25">
        <f t="shared" si="41"/>
        <v>6000</v>
      </c>
      <c r="AU76" s="12">
        <v>38</v>
      </c>
      <c r="AV76" s="6">
        <v>0</v>
      </c>
      <c r="AW76" s="12">
        <v>0</v>
      </c>
      <c r="AX76" s="12">
        <v>20</v>
      </c>
      <c r="AY76" s="17">
        <f t="shared" si="42"/>
        <v>3800</v>
      </c>
      <c r="AZ76" s="17">
        <f t="shared" si="42"/>
        <v>0</v>
      </c>
      <c r="BA76" s="17">
        <f t="shared" si="43"/>
        <v>0</v>
      </c>
      <c r="BB76" s="25">
        <f t="shared" si="43"/>
        <v>6000</v>
      </c>
    </row>
    <row r="77" spans="1:54" ht="14">
      <c r="A77" s="6">
        <v>74</v>
      </c>
      <c r="B77" s="6" t="s">
        <v>100</v>
      </c>
      <c r="F77" s="11"/>
      <c r="G77" s="12">
        <v>32</v>
      </c>
      <c r="H77" s="13"/>
      <c r="I77" s="12">
        <v>0</v>
      </c>
      <c r="J77" s="12">
        <v>10</v>
      </c>
      <c r="K77" s="15">
        <f t="shared" si="27"/>
        <v>3200</v>
      </c>
      <c r="L77" s="16"/>
      <c r="M77" s="20">
        <f t="shared" si="28"/>
        <v>0</v>
      </c>
      <c r="N77" s="3">
        <f t="shared" si="29"/>
        <v>3000</v>
      </c>
      <c r="O77" s="12">
        <v>30</v>
      </c>
      <c r="P77" s="6"/>
      <c r="Q77" s="12">
        <v>0</v>
      </c>
      <c r="R77" s="12">
        <v>15</v>
      </c>
      <c r="S77" s="17">
        <f t="shared" si="30"/>
        <v>3000</v>
      </c>
      <c r="T77" s="17"/>
      <c r="U77" s="17">
        <f t="shared" si="31"/>
        <v>0</v>
      </c>
      <c r="V77" s="6">
        <f t="shared" si="32"/>
        <v>4500</v>
      </c>
      <c r="W77" s="12">
        <v>30</v>
      </c>
      <c r="X77" s="6"/>
      <c r="Y77" s="12">
        <v>0</v>
      </c>
      <c r="Z77" s="12">
        <v>15</v>
      </c>
      <c r="AA77" s="17">
        <f t="shared" si="33"/>
        <v>3000</v>
      </c>
      <c r="AB77" s="17"/>
      <c r="AC77" s="17">
        <f t="shared" si="34"/>
        <v>0</v>
      </c>
      <c r="AD77" s="6">
        <f t="shared" si="35"/>
        <v>4500</v>
      </c>
      <c r="AE77" s="12">
        <v>32</v>
      </c>
      <c r="AF77" s="6">
        <v>0</v>
      </c>
      <c r="AG77" s="12">
        <v>0</v>
      </c>
      <c r="AH77" s="12">
        <v>10</v>
      </c>
      <c r="AI77" s="17">
        <f t="shared" si="36"/>
        <v>3200</v>
      </c>
      <c r="AJ77" s="17">
        <f t="shared" si="25"/>
        <v>0</v>
      </c>
      <c r="AK77" s="17">
        <f t="shared" si="37"/>
        <v>0</v>
      </c>
      <c r="AL77" s="25">
        <f t="shared" si="38"/>
        <v>3000</v>
      </c>
      <c r="AM77" s="12">
        <v>32</v>
      </c>
      <c r="AN77" s="6">
        <v>0</v>
      </c>
      <c r="AO77" s="12">
        <v>0</v>
      </c>
      <c r="AP77" s="12">
        <v>10</v>
      </c>
      <c r="AQ77" s="17">
        <f t="shared" si="39"/>
        <v>3200</v>
      </c>
      <c r="AR77" s="17">
        <f t="shared" si="26"/>
        <v>0</v>
      </c>
      <c r="AS77" s="17">
        <f t="shared" si="40"/>
        <v>0</v>
      </c>
      <c r="AT77" s="25">
        <f t="shared" si="41"/>
        <v>3000</v>
      </c>
      <c r="AU77" s="12">
        <v>32</v>
      </c>
      <c r="AV77" s="6">
        <v>0</v>
      </c>
      <c r="AW77" s="12">
        <v>0</v>
      </c>
      <c r="AX77" s="12">
        <v>15</v>
      </c>
      <c r="AY77" s="17">
        <f t="shared" si="42"/>
        <v>3200</v>
      </c>
      <c r="AZ77" s="17">
        <f t="shared" si="42"/>
        <v>0</v>
      </c>
      <c r="BA77" s="17">
        <f t="shared" si="43"/>
        <v>0</v>
      </c>
      <c r="BB77" s="25">
        <f t="shared" si="43"/>
        <v>4500</v>
      </c>
    </row>
    <row r="78" spans="1:54" ht="14">
      <c r="A78" s="6">
        <v>75</v>
      </c>
      <c r="B78" s="6" t="s">
        <v>101</v>
      </c>
      <c r="F78" s="11"/>
      <c r="G78" s="12">
        <v>20</v>
      </c>
      <c r="H78" s="13"/>
      <c r="I78" s="12">
        <v>0</v>
      </c>
      <c r="J78" s="12">
        <v>0</v>
      </c>
      <c r="K78" s="15">
        <f t="shared" si="27"/>
        <v>2000</v>
      </c>
      <c r="L78" s="16"/>
      <c r="M78" s="20">
        <f t="shared" si="28"/>
        <v>0</v>
      </c>
      <c r="N78" s="3">
        <f t="shared" si="29"/>
        <v>0</v>
      </c>
      <c r="O78" s="12">
        <v>25</v>
      </c>
      <c r="P78" s="6"/>
      <c r="Q78" s="12">
        <v>0</v>
      </c>
      <c r="R78" s="12">
        <v>5</v>
      </c>
      <c r="S78" s="17">
        <f t="shared" si="30"/>
        <v>2500</v>
      </c>
      <c r="T78" s="17"/>
      <c r="U78" s="17">
        <f t="shared" si="31"/>
        <v>0</v>
      </c>
      <c r="V78" s="6">
        <f t="shared" si="32"/>
        <v>1500</v>
      </c>
      <c r="W78" s="12">
        <v>45</v>
      </c>
      <c r="X78" s="6"/>
      <c r="Y78" s="12">
        <v>0</v>
      </c>
      <c r="Z78" s="12">
        <v>5</v>
      </c>
      <c r="AA78" s="17">
        <f t="shared" si="33"/>
        <v>4500</v>
      </c>
      <c r="AB78" s="17"/>
      <c r="AC78" s="17">
        <f t="shared" si="34"/>
        <v>0</v>
      </c>
      <c r="AD78" s="6">
        <f t="shared" si="35"/>
        <v>1500</v>
      </c>
      <c r="AE78" s="12">
        <v>43</v>
      </c>
      <c r="AF78" s="6">
        <v>0</v>
      </c>
      <c r="AG78" s="12">
        <v>0</v>
      </c>
      <c r="AH78" s="12">
        <v>10</v>
      </c>
      <c r="AI78" s="17">
        <f t="shared" si="36"/>
        <v>4300</v>
      </c>
      <c r="AJ78" s="17">
        <f t="shared" si="25"/>
        <v>0</v>
      </c>
      <c r="AK78" s="17">
        <f t="shared" si="37"/>
        <v>0</v>
      </c>
      <c r="AL78" s="25">
        <f t="shared" si="38"/>
        <v>3000</v>
      </c>
      <c r="AM78" s="12">
        <v>43</v>
      </c>
      <c r="AN78" s="6">
        <v>0</v>
      </c>
      <c r="AO78" s="12">
        <v>0</v>
      </c>
      <c r="AP78" s="12">
        <v>10</v>
      </c>
      <c r="AQ78" s="17">
        <f t="shared" si="39"/>
        <v>4300</v>
      </c>
      <c r="AR78" s="17">
        <f t="shared" si="26"/>
        <v>0</v>
      </c>
      <c r="AS78" s="17">
        <f t="shared" si="40"/>
        <v>0</v>
      </c>
      <c r="AT78" s="25">
        <f t="shared" si="41"/>
        <v>3000</v>
      </c>
      <c r="AU78" s="12">
        <v>43</v>
      </c>
      <c r="AV78" s="6">
        <v>0</v>
      </c>
      <c r="AW78" s="12">
        <v>0</v>
      </c>
      <c r="AX78" s="12">
        <v>15</v>
      </c>
      <c r="AY78" s="17">
        <f t="shared" si="42"/>
        <v>4300</v>
      </c>
      <c r="AZ78" s="17">
        <f t="shared" si="42"/>
        <v>0</v>
      </c>
      <c r="BA78" s="17">
        <f t="shared" si="43"/>
        <v>0</v>
      </c>
      <c r="BB78" s="25">
        <f t="shared" si="43"/>
        <v>4500</v>
      </c>
    </row>
    <row r="79" spans="1:54" ht="14">
      <c r="A79" s="6">
        <v>76</v>
      </c>
      <c r="B79" s="6" t="s">
        <v>102</v>
      </c>
      <c r="F79" s="11"/>
      <c r="G79" s="12">
        <v>30</v>
      </c>
      <c r="H79" s="13"/>
      <c r="I79" s="12">
        <v>0</v>
      </c>
      <c r="J79" s="12">
        <v>15</v>
      </c>
      <c r="K79" s="15">
        <f t="shared" si="27"/>
        <v>3000</v>
      </c>
      <c r="L79" s="16"/>
      <c r="M79" s="20">
        <f t="shared" si="28"/>
        <v>0</v>
      </c>
      <c r="N79" s="3">
        <f t="shared" si="29"/>
        <v>4500</v>
      </c>
      <c r="O79" s="12">
        <v>30</v>
      </c>
      <c r="P79" s="6"/>
      <c r="Q79" s="12">
        <v>0</v>
      </c>
      <c r="R79" s="12">
        <v>20</v>
      </c>
      <c r="S79" s="17">
        <f t="shared" si="30"/>
        <v>3000</v>
      </c>
      <c r="T79" s="17"/>
      <c r="U79" s="17">
        <f t="shared" si="31"/>
        <v>0</v>
      </c>
      <c r="V79" s="6">
        <f t="shared" si="32"/>
        <v>6000</v>
      </c>
      <c r="W79" s="12">
        <v>30</v>
      </c>
      <c r="X79" s="6"/>
      <c r="Y79" s="12">
        <v>0</v>
      </c>
      <c r="Z79" s="12">
        <v>20</v>
      </c>
      <c r="AA79" s="17">
        <f t="shared" si="33"/>
        <v>3000</v>
      </c>
      <c r="AB79" s="17"/>
      <c r="AC79" s="17">
        <f t="shared" si="34"/>
        <v>0</v>
      </c>
      <c r="AD79" s="6">
        <f t="shared" si="35"/>
        <v>6000</v>
      </c>
      <c r="AE79" s="12">
        <v>33</v>
      </c>
      <c r="AF79" s="6">
        <v>0</v>
      </c>
      <c r="AG79" s="12">
        <v>0</v>
      </c>
      <c r="AH79" s="12">
        <v>15</v>
      </c>
      <c r="AI79" s="17">
        <f t="shared" si="36"/>
        <v>3300</v>
      </c>
      <c r="AJ79" s="17">
        <f t="shared" si="25"/>
        <v>0</v>
      </c>
      <c r="AK79" s="17">
        <f t="shared" si="37"/>
        <v>0</v>
      </c>
      <c r="AL79" s="25">
        <f t="shared" si="38"/>
        <v>4500</v>
      </c>
      <c r="AM79" s="12">
        <v>40</v>
      </c>
      <c r="AN79" s="6">
        <v>0</v>
      </c>
      <c r="AO79" s="12">
        <v>0</v>
      </c>
      <c r="AP79" s="12">
        <v>6</v>
      </c>
      <c r="AQ79" s="17">
        <f t="shared" si="39"/>
        <v>4000</v>
      </c>
      <c r="AR79" s="17">
        <f t="shared" si="26"/>
        <v>0</v>
      </c>
      <c r="AS79" s="17">
        <f t="shared" si="40"/>
        <v>0</v>
      </c>
      <c r="AT79" s="25">
        <f t="shared" si="41"/>
        <v>1800</v>
      </c>
      <c r="AU79" s="12">
        <v>40</v>
      </c>
      <c r="AV79" s="6">
        <v>0</v>
      </c>
      <c r="AW79" s="12">
        <v>0</v>
      </c>
      <c r="AX79" s="12">
        <v>20</v>
      </c>
      <c r="AY79" s="17">
        <f t="shared" si="42"/>
        <v>4000</v>
      </c>
      <c r="AZ79" s="17">
        <f t="shared" si="42"/>
        <v>0</v>
      </c>
      <c r="BA79" s="17">
        <f t="shared" si="43"/>
        <v>0</v>
      </c>
      <c r="BB79" s="25">
        <f t="shared" si="43"/>
        <v>6000</v>
      </c>
    </row>
    <row r="80" spans="1:54" ht="14">
      <c r="A80" s="6">
        <v>77</v>
      </c>
      <c r="B80" s="6" t="s">
        <v>103</v>
      </c>
      <c r="F80" s="11"/>
      <c r="G80" s="12">
        <v>30</v>
      </c>
      <c r="H80" s="13"/>
      <c r="I80" s="12">
        <v>0</v>
      </c>
      <c r="J80" s="12">
        <v>15</v>
      </c>
      <c r="K80" s="15">
        <f t="shared" si="27"/>
        <v>3000</v>
      </c>
      <c r="L80" s="16"/>
      <c r="M80" s="20">
        <f t="shared" si="28"/>
        <v>0</v>
      </c>
      <c r="N80" s="3">
        <f t="shared" si="29"/>
        <v>4500</v>
      </c>
      <c r="O80" s="12">
        <v>25</v>
      </c>
      <c r="P80" s="6"/>
      <c r="Q80" s="12">
        <v>0</v>
      </c>
      <c r="R80" s="12">
        <v>10</v>
      </c>
      <c r="S80" s="17">
        <f t="shared" si="30"/>
        <v>2500</v>
      </c>
      <c r="T80" s="17"/>
      <c r="U80" s="17">
        <f t="shared" si="31"/>
        <v>0</v>
      </c>
      <c r="V80" s="6">
        <f t="shared" si="32"/>
        <v>3000</v>
      </c>
      <c r="W80" s="12">
        <v>25</v>
      </c>
      <c r="X80" s="6"/>
      <c r="Y80" s="12">
        <v>0</v>
      </c>
      <c r="Z80" s="12">
        <v>10</v>
      </c>
      <c r="AA80" s="17">
        <f t="shared" si="33"/>
        <v>2500</v>
      </c>
      <c r="AB80" s="17"/>
      <c r="AC80" s="17">
        <f t="shared" si="34"/>
        <v>0</v>
      </c>
      <c r="AD80" s="6">
        <f t="shared" si="35"/>
        <v>3000</v>
      </c>
      <c r="AE80" s="12">
        <v>28</v>
      </c>
      <c r="AF80" s="6">
        <v>0</v>
      </c>
      <c r="AG80" s="12">
        <v>0</v>
      </c>
      <c r="AH80" s="12">
        <v>10</v>
      </c>
      <c r="AI80" s="17">
        <f t="shared" si="36"/>
        <v>2800</v>
      </c>
      <c r="AJ80" s="17">
        <f t="shared" si="25"/>
        <v>0</v>
      </c>
      <c r="AK80" s="17">
        <f t="shared" si="37"/>
        <v>0</v>
      </c>
      <c r="AL80" s="25">
        <f t="shared" si="38"/>
        <v>3000</v>
      </c>
      <c r="AM80" s="12">
        <v>28</v>
      </c>
      <c r="AN80" s="6">
        <v>0</v>
      </c>
      <c r="AO80" s="12">
        <v>0</v>
      </c>
      <c r="AP80" s="12">
        <v>20</v>
      </c>
      <c r="AQ80" s="17">
        <f t="shared" si="39"/>
        <v>2800</v>
      </c>
      <c r="AR80" s="17">
        <f t="shared" si="26"/>
        <v>0</v>
      </c>
      <c r="AS80" s="17">
        <f t="shared" si="40"/>
        <v>0</v>
      </c>
      <c r="AT80" s="25">
        <f t="shared" si="41"/>
        <v>6000</v>
      </c>
      <c r="AU80" s="12">
        <v>30</v>
      </c>
      <c r="AV80" s="6">
        <v>0</v>
      </c>
      <c r="AW80" s="12">
        <v>0</v>
      </c>
      <c r="AX80" s="12">
        <v>20</v>
      </c>
      <c r="AY80" s="17">
        <f t="shared" si="42"/>
        <v>3000</v>
      </c>
      <c r="AZ80" s="17">
        <f t="shared" si="42"/>
        <v>0</v>
      </c>
      <c r="BA80" s="17">
        <f t="shared" si="43"/>
        <v>0</v>
      </c>
      <c r="BB80" s="25">
        <f t="shared" si="43"/>
        <v>6000</v>
      </c>
    </row>
    <row r="81" spans="1:54" ht="14">
      <c r="A81" s="6">
        <v>78</v>
      </c>
      <c r="B81" s="6" t="s">
        <v>104</v>
      </c>
      <c r="F81" s="11"/>
      <c r="G81" s="12">
        <v>32</v>
      </c>
      <c r="H81" s="13"/>
      <c r="I81" s="12">
        <v>0</v>
      </c>
      <c r="J81" s="12">
        <v>5</v>
      </c>
      <c r="K81" s="15">
        <f t="shared" si="27"/>
        <v>3200</v>
      </c>
      <c r="L81" s="16"/>
      <c r="M81" s="20">
        <f t="shared" si="28"/>
        <v>0</v>
      </c>
      <c r="N81" s="3">
        <f t="shared" si="29"/>
        <v>1500</v>
      </c>
      <c r="O81" s="12">
        <v>25</v>
      </c>
      <c r="P81" s="6"/>
      <c r="Q81" s="12">
        <v>0</v>
      </c>
      <c r="R81" s="12">
        <v>10</v>
      </c>
      <c r="S81" s="17">
        <f t="shared" si="30"/>
        <v>2500</v>
      </c>
      <c r="T81" s="17"/>
      <c r="U81" s="17">
        <f t="shared" si="31"/>
        <v>0</v>
      </c>
      <c r="V81" s="6">
        <f t="shared" si="32"/>
        <v>3000</v>
      </c>
      <c r="W81" s="12">
        <v>25</v>
      </c>
      <c r="X81" s="6"/>
      <c r="Y81" s="12">
        <v>0</v>
      </c>
      <c r="Z81" s="12">
        <v>10</v>
      </c>
      <c r="AA81" s="17">
        <f t="shared" si="33"/>
        <v>2500</v>
      </c>
      <c r="AB81" s="17"/>
      <c r="AC81" s="17">
        <f t="shared" si="34"/>
        <v>0</v>
      </c>
      <c r="AD81" s="6">
        <f t="shared" si="35"/>
        <v>3000</v>
      </c>
      <c r="AE81" s="12">
        <v>25</v>
      </c>
      <c r="AF81" s="6">
        <v>0</v>
      </c>
      <c r="AG81" s="12">
        <v>0</v>
      </c>
      <c r="AH81" s="12">
        <v>15</v>
      </c>
      <c r="AI81" s="17">
        <f t="shared" si="36"/>
        <v>2500</v>
      </c>
      <c r="AJ81" s="17">
        <f t="shared" si="25"/>
        <v>0</v>
      </c>
      <c r="AK81" s="17">
        <f t="shared" si="37"/>
        <v>0</v>
      </c>
      <c r="AL81" s="25">
        <f t="shared" si="38"/>
        <v>4500</v>
      </c>
      <c r="AM81" s="12">
        <v>30</v>
      </c>
      <c r="AN81" s="6">
        <v>0</v>
      </c>
      <c r="AO81" s="12">
        <v>0</v>
      </c>
      <c r="AP81" s="12">
        <v>3</v>
      </c>
      <c r="AQ81" s="17">
        <f t="shared" si="39"/>
        <v>3000</v>
      </c>
      <c r="AR81" s="17">
        <f t="shared" si="26"/>
        <v>0</v>
      </c>
      <c r="AS81" s="17">
        <f t="shared" si="40"/>
        <v>0</v>
      </c>
      <c r="AT81" s="25">
        <f t="shared" si="41"/>
        <v>900</v>
      </c>
      <c r="AU81" s="12">
        <v>30</v>
      </c>
      <c r="AV81" s="6">
        <v>0</v>
      </c>
      <c r="AW81" s="12">
        <v>0</v>
      </c>
      <c r="AX81" s="12">
        <v>13</v>
      </c>
      <c r="AY81" s="17">
        <f t="shared" si="42"/>
        <v>3000</v>
      </c>
      <c r="AZ81" s="17">
        <f t="shared" si="42"/>
        <v>0</v>
      </c>
      <c r="BA81" s="17">
        <f t="shared" si="43"/>
        <v>0</v>
      </c>
      <c r="BB81" s="25">
        <f t="shared" si="43"/>
        <v>3900</v>
      </c>
    </row>
    <row r="82" spans="1:54" ht="14">
      <c r="A82" s="6">
        <v>79</v>
      </c>
      <c r="B82" s="6" t="s">
        <v>105</v>
      </c>
      <c r="F82" s="11"/>
      <c r="G82" s="12">
        <v>33</v>
      </c>
      <c r="H82" s="13"/>
      <c r="I82" s="12">
        <v>0</v>
      </c>
      <c r="J82" s="12">
        <v>20</v>
      </c>
      <c r="K82" s="15">
        <f t="shared" si="27"/>
        <v>3300</v>
      </c>
      <c r="L82" s="16"/>
      <c r="M82" s="20">
        <f t="shared" si="28"/>
        <v>0</v>
      </c>
      <c r="N82" s="3">
        <f t="shared" si="29"/>
        <v>6000</v>
      </c>
      <c r="O82" s="12">
        <v>30</v>
      </c>
      <c r="P82" s="6"/>
      <c r="Q82" s="12">
        <v>0</v>
      </c>
      <c r="R82" s="12">
        <v>20</v>
      </c>
      <c r="S82" s="17">
        <f t="shared" si="30"/>
        <v>3000</v>
      </c>
      <c r="T82" s="17"/>
      <c r="U82" s="17">
        <f t="shared" si="31"/>
        <v>0</v>
      </c>
      <c r="V82" s="6">
        <f t="shared" si="32"/>
        <v>6000</v>
      </c>
      <c r="W82" s="12">
        <v>30</v>
      </c>
      <c r="X82" s="6"/>
      <c r="Y82" s="12">
        <v>0</v>
      </c>
      <c r="Z82" s="12">
        <v>20</v>
      </c>
      <c r="AA82" s="17">
        <f t="shared" si="33"/>
        <v>3000</v>
      </c>
      <c r="AB82" s="17"/>
      <c r="AC82" s="17">
        <f t="shared" si="34"/>
        <v>0</v>
      </c>
      <c r="AD82" s="6">
        <f t="shared" si="35"/>
        <v>6000</v>
      </c>
      <c r="AE82" s="12">
        <v>43</v>
      </c>
      <c r="AF82" s="6">
        <v>0</v>
      </c>
      <c r="AG82" s="12">
        <v>0</v>
      </c>
      <c r="AH82" s="12">
        <v>20</v>
      </c>
      <c r="AI82" s="17">
        <f t="shared" si="36"/>
        <v>4300</v>
      </c>
      <c r="AJ82" s="17">
        <f t="shared" si="25"/>
        <v>0</v>
      </c>
      <c r="AK82" s="17">
        <f t="shared" si="37"/>
        <v>0</v>
      </c>
      <c r="AL82" s="25">
        <f t="shared" si="38"/>
        <v>6000</v>
      </c>
      <c r="AM82" s="12">
        <v>43</v>
      </c>
      <c r="AN82" s="6">
        <v>0</v>
      </c>
      <c r="AO82" s="12">
        <v>0</v>
      </c>
      <c r="AP82" s="12">
        <v>20</v>
      </c>
      <c r="AQ82" s="17">
        <f t="shared" si="39"/>
        <v>4300</v>
      </c>
      <c r="AR82" s="17">
        <f t="shared" si="26"/>
        <v>0</v>
      </c>
      <c r="AS82" s="17">
        <f t="shared" si="40"/>
        <v>0</v>
      </c>
      <c r="AT82" s="25">
        <f t="shared" si="41"/>
        <v>6000</v>
      </c>
      <c r="AU82" s="12">
        <v>40</v>
      </c>
      <c r="AV82" s="6">
        <v>0</v>
      </c>
      <c r="AW82" s="12">
        <v>0</v>
      </c>
      <c r="AX82" s="12">
        <v>20</v>
      </c>
      <c r="AY82" s="17">
        <f t="shared" si="42"/>
        <v>4000</v>
      </c>
      <c r="AZ82" s="17">
        <f t="shared" si="42"/>
        <v>0</v>
      </c>
      <c r="BA82" s="17">
        <f t="shared" si="43"/>
        <v>0</v>
      </c>
      <c r="BB82" s="25">
        <f t="shared" si="43"/>
        <v>6000</v>
      </c>
    </row>
    <row r="83" spans="1:54" ht="14">
      <c r="A83" s="6">
        <v>80</v>
      </c>
      <c r="B83" s="6" t="s">
        <v>106</v>
      </c>
      <c r="F83" s="11"/>
      <c r="G83" s="12">
        <v>28</v>
      </c>
      <c r="H83" s="13"/>
      <c r="I83" s="12">
        <v>0</v>
      </c>
      <c r="J83" s="12">
        <v>10</v>
      </c>
      <c r="K83" s="15">
        <f t="shared" si="27"/>
        <v>2800</v>
      </c>
      <c r="L83" s="16"/>
      <c r="M83" s="20">
        <f t="shared" si="28"/>
        <v>0</v>
      </c>
      <c r="N83" s="3">
        <f t="shared" si="29"/>
        <v>3000</v>
      </c>
      <c r="O83" s="12">
        <v>30</v>
      </c>
      <c r="P83" s="6"/>
      <c r="Q83" s="12">
        <v>0</v>
      </c>
      <c r="R83" s="12">
        <v>10</v>
      </c>
      <c r="S83" s="17">
        <f t="shared" si="30"/>
        <v>3000</v>
      </c>
      <c r="T83" s="17"/>
      <c r="U83" s="17">
        <f t="shared" si="31"/>
        <v>0</v>
      </c>
      <c r="V83" s="6">
        <f t="shared" si="32"/>
        <v>3000</v>
      </c>
      <c r="W83" s="12">
        <v>30</v>
      </c>
      <c r="X83" s="6"/>
      <c r="Y83" s="12">
        <v>0</v>
      </c>
      <c r="Z83" s="12">
        <v>10</v>
      </c>
      <c r="AA83" s="17">
        <f t="shared" si="33"/>
        <v>3000</v>
      </c>
      <c r="AB83" s="17"/>
      <c r="AC83" s="17">
        <f t="shared" si="34"/>
        <v>0</v>
      </c>
      <c r="AD83" s="6">
        <f t="shared" si="35"/>
        <v>3000</v>
      </c>
      <c r="AE83" s="12">
        <v>36</v>
      </c>
      <c r="AF83" s="6">
        <v>0</v>
      </c>
      <c r="AG83" s="12">
        <v>0</v>
      </c>
      <c r="AH83" s="12">
        <v>15</v>
      </c>
      <c r="AI83" s="17">
        <f t="shared" si="36"/>
        <v>3600</v>
      </c>
      <c r="AJ83" s="17">
        <f t="shared" si="25"/>
        <v>0</v>
      </c>
      <c r="AK83" s="17">
        <f t="shared" si="37"/>
        <v>0</v>
      </c>
      <c r="AL83" s="25">
        <f t="shared" si="38"/>
        <v>4500</v>
      </c>
      <c r="AM83" s="12">
        <v>36</v>
      </c>
      <c r="AN83" s="6">
        <v>0</v>
      </c>
      <c r="AO83" s="12">
        <v>0</v>
      </c>
      <c r="AP83" s="12">
        <v>15</v>
      </c>
      <c r="AQ83" s="17">
        <f t="shared" si="39"/>
        <v>3600</v>
      </c>
      <c r="AR83" s="17">
        <f t="shared" si="26"/>
        <v>0</v>
      </c>
      <c r="AS83" s="17">
        <f t="shared" si="40"/>
        <v>0</v>
      </c>
      <c r="AT83" s="25">
        <f t="shared" si="41"/>
        <v>4500</v>
      </c>
      <c r="AU83" s="12">
        <v>36</v>
      </c>
      <c r="AV83" s="6">
        <v>0</v>
      </c>
      <c r="AW83" s="12">
        <v>0</v>
      </c>
      <c r="AX83" s="12">
        <v>15</v>
      </c>
      <c r="AY83" s="17">
        <f t="shared" si="42"/>
        <v>3600</v>
      </c>
      <c r="AZ83" s="17">
        <f t="shared" si="42"/>
        <v>0</v>
      </c>
      <c r="BA83" s="17">
        <f t="shared" si="43"/>
        <v>0</v>
      </c>
      <c r="BB83" s="25">
        <f t="shared" si="43"/>
        <v>4500</v>
      </c>
    </row>
    <row r="84" spans="1:54" ht="14">
      <c r="A84" s="6">
        <v>81</v>
      </c>
      <c r="B84" s="6" t="s">
        <v>107</v>
      </c>
      <c r="F84" s="11"/>
      <c r="G84" s="12">
        <v>20</v>
      </c>
      <c r="H84" s="13"/>
      <c r="I84" s="12">
        <v>0</v>
      </c>
      <c r="J84" s="12">
        <v>10</v>
      </c>
      <c r="K84" s="15">
        <f t="shared" si="27"/>
        <v>2000</v>
      </c>
      <c r="L84" s="16"/>
      <c r="M84" s="20">
        <f t="shared" si="28"/>
        <v>0</v>
      </c>
      <c r="N84" s="3">
        <f t="shared" si="29"/>
        <v>3000</v>
      </c>
      <c r="O84" s="12">
        <v>20</v>
      </c>
      <c r="P84" s="6"/>
      <c r="Q84" s="12">
        <v>0</v>
      </c>
      <c r="R84" s="12">
        <v>10</v>
      </c>
      <c r="S84" s="17">
        <f t="shared" si="30"/>
        <v>2000</v>
      </c>
      <c r="T84" s="17"/>
      <c r="U84" s="17">
        <f t="shared" si="31"/>
        <v>0</v>
      </c>
      <c r="V84" s="6">
        <f t="shared" si="32"/>
        <v>3000</v>
      </c>
      <c r="W84" s="12">
        <v>20</v>
      </c>
      <c r="X84" s="6"/>
      <c r="Y84" s="12">
        <v>0</v>
      </c>
      <c r="Z84" s="12">
        <v>10</v>
      </c>
      <c r="AA84" s="17">
        <f t="shared" si="33"/>
        <v>2000</v>
      </c>
      <c r="AB84" s="17"/>
      <c r="AC84" s="17">
        <f t="shared" si="34"/>
        <v>0</v>
      </c>
      <c r="AD84" s="6">
        <f t="shared" si="35"/>
        <v>3000</v>
      </c>
      <c r="AE84" s="12">
        <v>35</v>
      </c>
      <c r="AF84" s="6">
        <v>0</v>
      </c>
      <c r="AG84" s="12">
        <v>0</v>
      </c>
      <c r="AH84" s="12">
        <v>10</v>
      </c>
      <c r="AI84" s="17">
        <f t="shared" si="36"/>
        <v>3500</v>
      </c>
      <c r="AJ84" s="17">
        <f t="shared" si="25"/>
        <v>0</v>
      </c>
      <c r="AK84" s="17">
        <f t="shared" si="37"/>
        <v>0</v>
      </c>
      <c r="AL84" s="25">
        <f t="shared" si="38"/>
        <v>3000</v>
      </c>
      <c r="AM84" s="12">
        <v>36</v>
      </c>
      <c r="AN84" s="6">
        <v>0</v>
      </c>
      <c r="AO84" s="12">
        <v>0</v>
      </c>
      <c r="AP84" s="12">
        <v>0</v>
      </c>
      <c r="AQ84" s="17">
        <f t="shared" si="39"/>
        <v>3600</v>
      </c>
      <c r="AR84" s="17">
        <f t="shared" si="26"/>
        <v>0</v>
      </c>
      <c r="AS84" s="17">
        <f t="shared" si="40"/>
        <v>0</v>
      </c>
      <c r="AT84" s="25">
        <f t="shared" si="41"/>
        <v>0</v>
      </c>
      <c r="AU84" s="12">
        <v>36</v>
      </c>
      <c r="AV84" s="6">
        <v>0</v>
      </c>
      <c r="AW84" s="12">
        <v>0</v>
      </c>
      <c r="AX84" s="12">
        <v>0</v>
      </c>
      <c r="AY84" s="17">
        <f t="shared" si="42"/>
        <v>3600</v>
      </c>
      <c r="AZ84" s="17">
        <f t="shared" si="42"/>
        <v>0</v>
      </c>
      <c r="BA84" s="17">
        <f t="shared" si="43"/>
        <v>0</v>
      </c>
      <c r="BB84" s="25">
        <f t="shared" si="43"/>
        <v>0</v>
      </c>
    </row>
    <row r="85" spans="1:54" ht="14">
      <c r="A85" s="6">
        <v>82</v>
      </c>
      <c r="B85" s="6" t="s">
        <v>108</v>
      </c>
      <c r="F85" s="11"/>
      <c r="G85" s="12">
        <v>25</v>
      </c>
      <c r="H85" s="13"/>
      <c r="I85" s="12">
        <v>0</v>
      </c>
      <c r="J85" s="12">
        <v>15</v>
      </c>
      <c r="K85" s="15">
        <f t="shared" si="27"/>
        <v>2500</v>
      </c>
      <c r="L85" s="16"/>
      <c r="M85" s="20">
        <f t="shared" si="28"/>
        <v>0</v>
      </c>
      <c r="N85" s="3">
        <f t="shared" si="29"/>
        <v>4500</v>
      </c>
      <c r="O85" s="12">
        <v>25</v>
      </c>
      <c r="P85" s="6"/>
      <c r="Q85" s="12">
        <v>0</v>
      </c>
      <c r="R85" s="12">
        <v>15</v>
      </c>
      <c r="S85" s="17">
        <f t="shared" si="30"/>
        <v>2500</v>
      </c>
      <c r="T85" s="17"/>
      <c r="U85" s="17">
        <f t="shared" si="31"/>
        <v>0</v>
      </c>
      <c r="V85" s="6">
        <f t="shared" si="32"/>
        <v>4500</v>
      </c>
      <c r="W85" s="12">
        <v>25</v>
      </c>
      <c r="X85" s="6"/>
      <c r="Y85" s="12">
        <v>0</v>
      </c>
      <c r="Z85" s="12">
        <v>10</v>
      </c>
      <c r="AA85" s="17">
        <f t="shared" si="33"/>
        <v>2500</v>
      </c>
      <c r="AB85" s="17"/>
      <c r="AC85" s="17">
        <f t="shared" si="34"/>
        <v>0</v>
      </c>
      <c r="AD85" s="6">
        <f t="shared" si="35"/>
        <v>3000</v>
      </c>
      <c r="AE85" s="12">
        <v>40</v>
      </c>
      <c r="AF85" s="6">
        <v>0</v>
      </c>
      <c r="AG85" s="12">
        <v>0</v>
      </c>
      <c r="AH85" s="12">
        <v>14</v>
      </c>
      <c r="AI85" s="17">
        <f t="shared" si="36"/>
        <v>4000</v>
      </c>
      <c r="AJ85" s="17">
        <f t="shared" si="25"/>
        <v>0</v>
      </c>
      <c r="AK85" s="17">
        <f t="shared" si="37"/>
        <v>0</v>
      </c>
      <c r="AL85" s="25">
        <f t="shared" si="38"/>
        <v>4200</v>
      </c>
      <c r="AM85" s="12">
        <v>40</v>
      </c>
      <c r="AN85" s="6">
        <v>0</v>
      </c>
      <c r="AO85" s="12">
        <v>0</v>
      </c>
      <c r="AP85" s="12">
        <v>14</v>
      </c>
      <c r="AQ85" s="17">
        <f t="shared" si="39"/>
        <v>4000</v>
      </c>
      <c r="AR85" s="17">
        <f t="shared" si="26"/>
        <v>0</v>
      </c>
      <c r="AS85" s="17">
        <f t="shared" si="40"/>
        <v>0</v>
      </c>
      <c r="AT85" s="25">
        <f t="shared" si="41"/>
        <v>4200</v>
      </c>
      <c r="AU85" s="12">
        <v>38</v>
      </c>
      <c r="AV85" s="6">
        <v>0</v>
      </c>
      <c r="AW85" s="12">
        <v>0</v>
      </c>
      <c r="AX85" s="12">
        <v>12</v>
      </c>
      <c r="AY85" s="17">
        <f t="shared" si="42"/>
        <v>3800</v>
      </c>
      <c r="AZ85" s="17">
        <f t="shared" si="42"/>
        <v>0</v>
      </c>
      <c r="BA85" s="17">
        <f t="shared" si="43"/>
        <v>0</v>
      </c>
      <c r="BB85" s="25">
        <f t="shared" si="43"/>
        <v>3600</v>
      </c>
    </row>
    <row r="86" spans="1:54" ht="14">
      <c r="A86" s="6">
        <v>83</v>
      </c>
      <c r="B86" s="6" t="s">
        <v>109</v>
      </c>
      <c r="F86" s="11"/>
      <c r="G86" s="12">
        <v>25</v>
      </c>
      <c r="H86" s="13"/>
      <c r="I86" s="12">
        <v>0</v>
      </c>
      <c r="J86" s="12">
        <v>25</v>
      </c>
      <c r="K86" s="15">
        <f t="shared" si="27"/>
        <v>2500</v>
      </c>
      <c r="L86" s="16"/>
      <c r="M86" s="20">
        <f t="shared" si="28"/>
        <v>0</v>
      </c>
      <c r="N86" s="3">
        <f t="shared" si="29"/>
        <v>7500</v>
      </c>
      <c r="O86" s="12">
        <v>45</v>
      </c>
      <c r="P86" s="6"/>
      <c r="Q86" s="12">
        <v>0</v>
      </c>
      <c r="R86" s="12">
        <v>10</v>
      </c>
      <c r="S86" s="17">
        <f t="shared" si="30"/>
        <v>4500</v>
      </c>
      <c r="T86" s="17"/>
      <c r="U86" s="17">
        <f t="shared" si="31"/>
        <v>0</v>
      </c>
      <c r="V86" s="6">
        <f t="shared" si="32"/>
        <v>3000</v>
      </c>
      <c r="W86" s="12">
        <v>45</v>
      </c>
      <c r="X86" s="6"/>
      <c r="Y86" s="12">
        <v>0</v>
      </c>
      <c r="Z86" s="12">
        <v>10</v>
      </c>
      <c r="AA86" s="17">
        <f t="shared" si="33"/>
        <v>4500</v>
      </c>
      <c r="AB86" s="17"/>
      <c r="AC86" s="17">
        <f t="shared" si="34"/>
        <v>0</v>
      </c>
      <c r="AD86" s="6">
        <f t="shared" si="35"/>
        <v>3000</v>
      </c>
      <c r="AE86" s="12">
        <v>40</v>
      </c>
      <c r="AF86" s="6">
        <v>0</v>
      </c>
      <c r="AG86" s="12">
        <v>0</v>
      </c>
      <c r="AH86" s="12">
        <v>13</v>
      </c>
      <c r="AI86" s="17">
        <f t="shared" si="36"/>
        <v>4000</v>
      </c>
      <c r="AJ86" s="17">
        <f t="shared" si="25"/>
        <v>0</v>
      </c>
      <c r="AK86" s="17">
        <f t="shared" si="37"/>
        <v>0</v>
      </c>
      <c r="AL86" s="25">
        <f t="shared" si="38"/>
        <v>3900</v>
      </c>
      <c r="AM86" s="12">
        <v>40</v>
      </c>
      <c r="AN86" s="6">
        <v>0</v>
      </c>
      <c r="AO86" s="12">
        <v>0</v>
      </c>
      <c r="AP86" s="12">
        <v>13</v>
      </c>
      <c r="AQ86" s="17">
        <f t="shared" si="39"/>
        <v>4000</v>
      </c>
      <c r="AR86" s="17">
        <f t="shared" si="26"/>
        <v>0</v>
      </c>
      <c r="AS86" s="17">
        <f t="shared" si="40"/>
        <v>0</v>
      </c>
      <c r="AT86" s="25">
        <f t="shared" si="41"/>
        <v>3900</v>
      </c>
      <c r="AU86" s="12">
        <v>35</v>
      </c>
      <c r="AV86" s="6">
        <v>0</v>
      </c>
      <c r="AW86" s="12">
        <v>0</v>
      </c>
      <c r="AX86" s="12">
        <v>12</v>
      </c>
      <c r="AY86" s="17">
        <f t="shared" si="42"/>
        <v>3500</v>
      </c>
      <c r="AZ86" s="17">
        <f t="shared" si="42"/>
        <v>0</v>
      </c>
      <c r="BA86" s="17">
        <f t="shared" si="43"/>
        <v>0</v>
      </c>
      <c r="BB86" s="25">
        <f t="shared" si="43"/>
        <v>3600</v>
      </c>
    </row>
    <row r="87" spans="1:54" ht="14">
      <c r="A87" s="6">
        <v>84</v>
      </c>
      <c r="B87" s="6" t="s">
        <v>110</v>
      </c>
      <c r="F87" s="11"/>
      <c r="G87" s="12">
        <v>20</v>
      </c>
      <c r="H87" s="13"/>
      <c r="I87" s="12">
        <v>0</v>
      </c>
      <c r="J87" s="12">
        <v>10</v>
      </c>
      <c r="K87" s="15">
        <f t="shared" si="27"/>
        <v>2000</v>
      </c>
      <c r="L87" s="16"/>
      <c r="M87" s="20">
        <f t="shared" si="28"/>
        <v>0</v>
      </c>
      <c r="N87" s="3">
        <f t="shared" si="29"/>
        <v>3000</v>
      </c>
      <c r="O87" s="12">
        <v>20</v>
      </c>
      <c r="P87" s="6"/>
      <c r="Q87" s="12">
        <v>0</v>
      </c>
      <c r="R87" s="12">
        <v>10</v>
      </c>
      <c r="S87" s="17">
        <f t="shared" si="30"/>
        <v>2000</v>
      </c>
      <c r="T87" s="17"/>
      <c r="U87" s="17">
        <f t="shared" si="31"/>
        <v>0</v>
      </c>
      <c r="V87" s="6">
        <f t="shared" si="32"/>
        <v>3000</v>
      </c>
      <c r="W87" s="12">
        <v>20</v>
      </c>
      <c r="X87" s="6"/>
      <c r="Y87" s="12">
        <v>0</v>
      </c>
      <c r="Z87" s="12">
        <v>12</v>
      </c>
      <c r="AA87" s="17">
        <f t="shared" si="33"/>
        <v>2000</v>
      </c>
      <c r="AB87" s="17"/>
      <c r="AC87" s="17">
        <f t="shared" si="34"/>
        <v>0</v>
      </c>
      <c r="AD87" s="6">
        <f t="shared" si="35"/>
        <v>3600</v>
      </c>
      <c r="AE87" s="12">
        <v>32</v>
      </c>
      <c r="AF87" s="6">
        <v>0</v>
      </c>
      <c r="AG87" s="12">
        <v>0</v>
      </c>
      <c r="AH87" s="12">
        <v>10</v>
      </c>
      <c r="AI87" s="17">
        <f t="shared" si="36"/>
        <v>3200</v>
      </c>
      <c r="AJ87" s="17">
        <f t="shared" si="25"/>
        <v>0</v>
      </c>
      <c r="AK87" s="17">
        <f t="shared" si="37"/>
        <v>0</v>
      </c>
      <c r="AL87" s="25">
        <f t="shared" si="38"/>
        <v>3000</v>
      </c>
      <c r="AM87" s="12">
        <v>30</v>
      </c>
      <c r="AN87" s="6">
        <v>0</v>
      </c>
      <c r="AO87" s="12">
        <v>0</v>
      </c>
      <c r="AP87" s="12">
        <v>12</v>
      </c>
      <c r="AQ87" s="17">
        <f t="shared" si="39"/>
        <v>3000</v>
      </c>
      <c r="AR87" s="17">
        <f t="shared" si="26"/>
        <v>0</v>
      </c>
      <c r="AS87" s="17">
        <f t="shared" si="40"/>
        <v>0</v>
      </c>
      <c r="AT87" s="25">
        <f t="shared" si="41"/>
        <v>3600</v>
      </c>
      <c r="AU87" s="12">
        <v>30</v>
      </c>
      <c r="AV87" s="6">
        <v>0</v>
      </c>
      <c r="AW87" s="12">
        <v>0</v>
      </c>
      <c r="AX87" s="12">
        <v>14</v>
      </c>
      <c r="AY87" s="17">
        <f t="shared" si="42"/>
        <v>3000</v>
      </c>
      <c r="AZ87" s="17">
        <f t="shared" si="42"/>
        <v>0</v>
      </c>
      <c r="BA87" s="17">
        <f t="shared" si="43"/>
        <v>0</v>
      </c>
      <c r="BB87" s="25">
        <f t="shared" si="43"/>
        <v>4200</v>
      </c>
    </row>
    <row r="88" spans="1:54" ht="14">
      <c r="A88" s="6">
        <v>85</v>
      </c>
      <c r="B88" s="6" t="s">
        <v>111</v>
      </c>
      <c r="F88" s="11"/>
      <c r="G88" s="12">
        <v>40</v>
      </c>
      <c r="H88" s="13"/>
      <c r="I88" s="12">
        <v>0</v>
      </c>
      <c r="J88" s="12">
        <v>10</v>
      </c>
      <c r="K88" s="15">
        <f t="shared" si="27"/>
        <v>4000</v>
      </c>
      <c r="L88" s="16"/>
      <c r="M88" s="20">
        <f t="shared" si="28"/>
        <v>0</v>
      </c>
      <c r="N88" s="3">
        <f t="shared" si="29"/>
        <v>3000</v>
      </c>
      <c r="O88" s="12">
        <v>35</v>
      </c>
      <c r="P88" s="6"/>
      <c r="Q88" s="12">
        <v>0</v>
      </c>
      <c r="R88" s="12">
        <v>5</v>
      </c>
      <c r="S88" s="17">
        <f t="shared" si="30"/>
        <v>3500</v>
      </c>
      <c r="T88" s="17"/>
      <c r="U88" s="17">
        <f t="shared" si="31"/>
        <v>0</v>
      </c>
      <c r="V88" s="6">
        <f t="shared" si="32"/>
        <v>1500</v>
      </c>
      <c r="W88" s="12">
        <v>40</v>
      </c>
      <c r="X88" s="6"/>
      <c r="Y88" s="12">
        <v>0</v>
      </c>
      <c r="Z88" s="12">
        <v>6</v>
      </c>
      <c r="AA88" s="17">
        <f t="shared" si="33"/>
        <v>4000</v>
      </c>
      <c r="AB88" s="17"/>
      <c r="AC88" s="17">
        <f t="shared" si="34"/>
        <v>0</v>
      </c>
      <c r="AD88" s="6">
        <f t="shared" si="35"/>
        <v>1800</v>
      </c>
      <c r="AE88" s="12">
        <v>26</v>
      </c>
      <c r="AF88" s="6">
        <v>0</v>
      </c>
      <c r="AG88" s="12">
        <v>0</v>
      </c>
      <c r="AH88" s="12">
        <v>10</v>
      </c>
      <c r="AI88" s="17">
        <f t="shared" si="36"/>
        <v>2600</v>
      </c>
      <c r="AJ88" s="17">
        <f t="shared" si="25"/>
        <v>0</v>
      </c>
      <c r="AK88" s="17">
        <f t="shared" si="37"/>
        <v>0</v>
      </c>
      <c r="AL88" s="25">
        <f t="shared" si="38"/>
        <v>3000</v>
      </c>
      <c r="AM88" s="12">
        <v>25</v>
      </c>
      <c r="AN88" s="6">
        <v>0</v>
      </c>
      <c r="AO88" s="12">
        <v>0</v>
      </c>
      <c r="AP88" s="12">
        <v>12</v>
      </c>
      <c r="AQ88" s="17">
        <f t="shared" si="39"/>
        <v>2500</v>
      </c>
      <c r="AR88" s="17">
        <f t="shared" si="26"/>
        <v>0</v>
      </c>
      <c r="AS88" s="17">
        <f t="shared" si="40"/>
        <v>0</v>
      </c>
      <c r="AT88" s="25">
        <f t="shared" si="41"/>
        <v>3600</v>
      </c>
      <c r="AU88" s="12">
        <v>25</v>
      </c>
      <c r="AV88" s="6">
        <v>0</v>
      </c>
      <c r="AW88" s="12">
        <v>0</v>
      </c>
      <c r="AX88" s="12">
        <v>10</v>
      </c>
      <c r="AY88" s="17">
        <f t="shared" si="42"/>
        <v>2500</v>
      </c>
      <c r="AZ88" s="17">
        <f t="shared" si="42"/>
        <v>0</v>
      </c>
      <c r="BA88" s="17">
        <f t="shared" si="43"/>
        <v>0</v>
      </c>
      <c r="BB88" s="25">
        <f t="shared" si="43"/>
        <v>3000</v>
      </c>
    </row>
    <row r="89" spans="1:54" ht="14">
      <c r="A89" s="6">
        <v>86</v>
      </c>
      <c r="B89" s="6" t="s">
        <v>112</v>
      </c>
      <c r="F89" s="11"/>
      <c r="G89" s="12">
        <v>0</v>
      </c>
      <c r="H89" s="13"/>
      <c r="I89" s="12">
        <v>0</v>
      </c>
      <c r="J89" s="12">
        <v>5</v>
      </c>
      <c r="K89" s="15">
        <f t="shared" si="27"/>
        <v>0</v>
      </c>
      <c r="L89" s="16"/>
      <c r="M89" s="20">
        <f t="shared" si="28"/>
        <v>0</v>
      </c>
      <c r="N89" s="3">
        <f t="shared" si="29"/>
        <v>1500</v>
      </c>
      <c r="O89" s="12">
        <v>0</v>
      </c>
      <c r="P89" s="6"/>
      <c r="Q89" s="12">
        <v>0</v>
      </c>
      <c r="R89" s="12">
        <v>5</v>
      </c>
      <c r="S89" s="17">
        <f t="shared" si="30"/>
        <v>0</v>
      </c>
      <c r="T89" s="17"/>
      <c r="U89" s="17">
        <f t="shared" si="31"/>
        <v>0</v>
      </c>
      <c r="V89" s="6">
        <f t="shared" si="32"/>
        <v>1500</v>
      </c>
      <c r="W89" s="12">
        <v>0</v>
      </c>
      <c r="X89" s="6"/>
      <c r="Y89" s="12">
        <v>0</v>
      </c>
      <c r="Z89" s="12">
        <v>15</v>
      </c>
      <c r="AA89" s="17">
        <f t="shared" si="33"/>
        <v>0</v>
      </c>
      <c r="AB89" s="17"/>
      <c r="AC89" s="17">
        <f t="shared" si="34"/>
        <v>0</v>
      </c>
      <c r="AD89" s="6">
        <f t="shared" si="35"/>
        <v>4500</v>
      </c>
      <c r="AE89" s="12">
        <v>0</v>
      </c>
      <c r="AF89" s="6">
        <v>25</v>
      </c>
      <c r="AG89" s="12">
        <v>0</v>
      </c>
      <c r="AH89" s="12">
        <v>10</v>
      </c>
      <c r="AI89" s="17">
        <f t="shared" si="36"/>
        <v>0</v>
      </c>
      <c r="AJ89" s="17">
        <f t="shared" si="25"/>
        <v>2500</v>
      </c>
      <c r="AK89" s="17">
        <f t="shared" si="37"/>
        <v>0</v>
      </c>
      <c r="AL89" s="25">
        <f t="shared" si="38"/>
        <v>3000</v>
      </c>
      <c r="AM89" s="12">
        <v>0</v>
      </c>
      <c r="AN89" s="6">
        <v>25</v>
      </c>
      <c r="AO89" s="12">
        <v>0</v>
      </c>
      <c r="AP89" s="12">
        <v>15</v>
      </c>
      <c r="AQ89" s="17">
        <f t="shared" si="39"/>
        <v>0</v>
      </c>
      <c r="AR89" s="17">
        <f t="shared" si="26"/>
        <v>2500</v>
      </c>
      <c r="AS89" s="17">
        <f t="shared" si="40"/>
        <v>0</v>
      </c>
      <c r="AT89" s="25">
        <f t="shared" si="41"/>
        <v>4500</v>
      </c>
      <c r="AU89" s="12">
        <v>0</v>
      </c>
      <c r="AV89" s="6">
        <v>30</v>
      </c>
      <c r="AW89" s="12">
        <v>0</v>
      </c>
      <c r="AX89" s="12">
        <v>10</v>
      </c>
      <c r="AY89" s="17">
        <f t="shared" si="42"/>
        <v>0</v>
      </c>
      <c r="AZ89" s="17">
        <f>AV89*100</f>
        <v>3000</v>
      </c>
      <c r="BA89" s="17">
        <f t="shared" si="43"/>
        <v>0</v>
      </c>
      <c r="BB89" s="25">
        <f t="shared" si="43"/>
        <v>3000</v>
      </c>
    </row>
    <row r="90" spans="1:54" ht="14">
      <c r="A90" s="6">
        <v>87</v>
      </c>
      <c r="B90" s="6" t="s">
        <v>113</v>
      </c>
      <c r="F90" s="11"/>
      <c r="G90" s="12">
        <v>45</v>
      </c>
      <c r="H90" s="13"/>
      <c r="I90" s="12">
        <v>0</v>
      </c>
      <c r="J90" s="12">
        <v>10</v>
      </c>
      <c r="K90" s="15">
        <f t="shared" si="27"/>
        <v>4500</v>
      </c>
      <c r="L90" s="16"/>
      <c r="M90" s="20">
        <f t="shared" si="28"/>
        <v>0</v>
      </c>
      <c r="N90" s="3">
        <f t="shared" si="29"/>
        <v>3000</v>
      </c>
      <c r="O90" s="12">
        <v>40</v>
      </c>
      <c r="P90" s="6"/>
      <c r="Q90" s="12">
        <v>0</v>
      </c>
      <c r="R90" s="12">
        <v>10</v>
      </c>
      <c r="S90" s="17">
        <f t="shared" si="30"/>
        <v>4000</v>
      </c>
      <c r="T90" s="17"/>
      <c r="U90" s="17">
        <f t="shared" si="31"/>
        <v>0</v>
      </c>
      <c r="V90" s="6">
        <f t="shared" si="32"/>
        <v>3000</v>
      </c>
      <c r="W90" s="12">
        <v>40</v>
      </c>
      <c r="X90" s="6"/>
      <c r="Y90" s="12">
        <v>0</v>
      </c>
      <c r="Z90" s="12">
        <v>15</v>
      </c>
      <c r="AA90" s="17">
        <f t="shared" si="33"/>
        <v>4000</v>
      </c>
      <c r="AB90" s="17"/>
      <c r="AC90" s="17">
        <f t="shared" si="34"/>
        <v>0</v>
      </c>
      <c r="AD90" s="6">
        <f t="shared" si="35"/>
        <v>4500</v>
      </c>
      <c r="AE90" s="12">
        <v>34</v>
      </c>
      <c r="AF90" s="6">
        <v>0</v>
      </c>
      <c r="AG90" s="12">
        <v>0</v>
      </c>
      <c r="AH90" s="12">
        <v>20</v>
      </c>
      <c r="AI90" s="17">
        <f t="shared" si="36"/>
        <v>3400</v>
      </c>
      <c r="AJ90" s="17">
        <f t="shared" si="25"/>
        <v>0</v>
      </c>
      <c r="AK90" s="17">
        <f t="shared" si="37"/>
        <v>0</v>
      </c>
      <c r="AL90" s="25">
        <f t="shared" si="38"/>
        <v>6000</v>
      </c>
      <c r="AM90" s="12">
        <v>34</v>
      </c>
      <c r="AN90" s="6">
        <v>0</v>
      </c>
      <c r="AO90" s="12">
        <v>0</v>
      </c>
      <c r="AP90" s="12">
        <v>10</v>
      </c>
      <c r="AQ90" s="17">
        <f t="shared" si="39"/>
        <v>3400</v>
      </c>
      <c r="AR90" s="17">
        <f t="shared" si="26"/>
        <v>0</v>
      </c>
      <c r="AS90" s="17">
        <f t="shared" si="40"/>
        <v>0</v>
      </c>
      <c r="AT90" s="25">
        <f t="shared" si="41"/>
        <v>3000</v>
      </c>
      <c r="AU90" s="12">
        <v>34</v>
      </c>
      <c r="AV90" s="6">
        <v>0</v>
      </c>
      <c r="AW90" s="12">
        <v>0</v>
      </c>
      <c r="AX90" s="12">
        <v>8</v>
      </c>
      <c r="AY90" s="17">
        <f t="shared" si="42"/>
        <v>3400</v>
      </c>
      <c r="AZ90" s="17">
        <f>AV90*100</f>
        <v>0</v>
      </c>
      <c r="BA90" s="17">
        <f t="shared" si="43"/>
        <v>0</v>
      </c>
      <c r="BB90" s="25">
        <f t="shared" si="43"/>
        <v>2400</v>
      </c>
    </row>
    <row r="91" spans="1:54" ht="14">
      <c r="A91" s="6">
        <v>88</v>
      </c>
      <c r="B91" s="6" t="s">
        <v>114</v>
      </c>
      <c r="F91" s="11"/>
      <c r="G91" s="12">
        <v>50</v>
      </c>
      <c r="H91" s="13"/>
      <c r="I91" s="12">
        <v>0</v>
      </c>
      <c r="J91" s="12">
        <v>17.5</v>
      </c>
      <c r="K91" s="15">
        <f t="shared" si="27"/>
        <v>5000</v>
      </c>
      <c r="L91" s="16"/>
      <c r="M91" s="20">
        <f t="shared" si="28"/>
        <v>0</v>
      </c>
      <c r="N91" s="3">
        <f t="shared" si="29"/>
        <v>5250</v>
      </c>
      <c r="O91" s="12">
        <v>45</v>
      </c>
      <c r="P91" s="6"/>
      <c r="Q91" s="12">
        <v>0</v>
      </c>
      <c r="R91" s="12">
        <v>20</v>
      </c>
      <c r="S91" s="17">
        <f t="shared" si="30"/>
        <v>4500</v>
      </c>
      <c r="T91" s="17"/>
      <c r="U91" s="17">
        <f t="shared" si="31"/>
        <v>0</v>
      </c>
      <c r="V91" s="6">
        <f t="shared" si="32"/>
        <v>6000</v>
      </c>
      <c r="W91" s="12">
        <v>40</v>
      </c>
      <c r="X91" s="6"/>
      <c r="Y91" s="12">
        <v>0</v>
      </c>
      <c r="Z91" s="12">
        <v>15</v>
      </c>
      <c r="AA91" s="17">
        <f t="shared" si="33"/>
        <v>4000</v>
      </c>
      <c r="AB91" s="17"/>
      <c r="AC91" s="17">
        <f t="shared" si="34"/>
        <v>0</v>
      </c>
      <c r="AD91" s="6">
        <f t="shared" si="35"/>
        <v>4500</v>
      </c>
      <c r="AE91" s="12">
        <v>32</v>
      </c>
      <c r="AF91" s="6">
        <v>0</v>
      </c>
      <c r="AG91" s="12">
        <v>0</v>
      </c>
      <c r="AH91" s="12">
        <v>20</v>
      </c>
      <c r="AI91" s="17">
        <f t="shared" si="36"/>
        <v>3200</v>
      </c>
      <c r="AJ91" s="17">
        <f t="shared" ref="AJ91:AJ97" si="44">AF91*100</f>
        <v>0</v>
      </c>
      <c r="AK91" s="17">
        <f t="shared" si="37"/>
        <v>0</v>
      </c>
      <c r="AL91" s="25">
        <f t="shared" si="38"/>
        <v>6000</v>
      </c>
      <c r="AM91" s="12">
        <v>32</v>
      </c>
      <c r="AN91" s="6">
        <v>0</v>
      </c>
      <c r="AO91" s="12">
        <v>0</v>
      </c>
      <c r="AP91" s="12">
        <v>10</v>
      </c>
      <c r="AQ91" s="17">
        <f t="shared" si="39"/>
        <v>3200</v>
      </c>
      <c r="AR91" s="17">
        <f t="shared" ref="AR91:AR97" si="45">AN91*100</f>
        <v>0</v>
      </c>
      <c r="AS91" s="17">
        <f t="shared" si="40"/>
        <v>0</v>
      </c>
      <c r="AT91" s="25">
        <f t="shared" si="41"/>
        <v>3000</v>
      </c>
      <c r="AU91" s="12">
        <v>35</v>
      </c>
      <c r="AV91" s="6">
        <v>0</v>
      </c>
      <c r="AW91" s="12">
        <v>0</v>
      </c>
      <c r="AX91" s="12">
        <v>15</v>
      </c>
      <c r="AY91" s="17">
        <f t="shared" si="42"/>
        <v>3500</v>
      </c>
      <c r="AZ91" s="17">
        <f t="shared" si="42"/>
        <v>0</v>
      </c>
      <c r="BA91" s="17">
        <f t="shared" si="43"/>
        <v>0</v>
      </c>
      <c r="BB91" s="25">
        <f t="shared" si="43"/>
        <v>4500</v>
      </c>
    </row>
    <row r="92" spans="1:54" ht="14">
      <c r="A92" s="6">
        <v>89</v>
      </c>
      <c r="B92" s="6" t="s">
        <v>115</v>
      </c>
      <c r="F92" s="11"/>
      <c r="G92" s="12">
        <v>50</v>
      </c>
      <c r="H92" s="13"/>
      <c r="I92" s="12">
        <v>0</v>
      </c>
      <c r="J92" s="12">
        <v>10</v>
      </c>
      <c r="K92" s="15">
        <f t="shared" si="27"/>
        <v>5000</v>
      </c>
      <c r="L92" s="16"/>
      <c r="M92" s="20">
        <f t="shared" si="28"/>
        <v>0</v>
      </c>
      <c r="N92" s="3">
        <f t="shared" si="29"/>
        <v>3000</v>
      </c>
      <c r="O92" s="12">
        <v>35</v>
      </c>
      <c r="P92" s="6"/>
      <c r="Q92" s="12">
        <v>0</v>
      </c>
      <c r="R92" s="12">
        <v>15</v>
      </c>
      <c r="S92" s="17">
        <f t="shared" si="30"/>
        <v>3500</v>
      </c>
      <c r="T92" s="17"/>
      <c r="U92" s="17">
        <f t="shared" si="31"/>
        <v>0</v>
      </c>
      <c r="V92" s="6">
        <f t="shared" si="32"/>
        <v>4500</v>
      </c>
      <c r="W92" s="12">
        <v>38</v>
      </c>
      <c r="X92" s="6"/>
      <c r="Y92" s="12">
        <v>0</v>
      </c>
      <c r="Z92" s="12">
        <v>15</v>
      </c>
      <c r="AA92" s="17">
        <f t="shared" si="33"/>
        <v>3800</v>
      </c>
      <c r="AB92" s="17"/>
      <c r="AC92" s="17">
        <f t="shared" si="34"/>
        <v>0</v>
      </c>
      <c r="AD92" s="6">
        <f t="shared" si="35"/>
        <v>4500</v>
      </c>
      <c r="AE92" s="12">
        <v>30</v>
      </c>
      <c r="AF92" s="6">
        <v>0</v>
      </c>
      <c r="AG92" s="12">
        <v>0</v>
      </c>
      <c r="AH92" s="12">
        <v>15</v>
      </c>
      <c r="AI92" s="17">
        <f t="shared" si="36"/>
        <v>3000</v>
      </c>
      <c r="AJ92" s="17">
        <f t="shared" si="44"/>
        <v>0</v>
      </c>
      <c r="AK92" s="17">
        <f t="shared" si="37"/>
        <v>0</v>
      </c>
      <c r="AL92" s="25">
        <f t="shared" si="38"/>
        <v>4500</v>
      </c>
      <c r="AM92" s="12">
        <v>30</v>
      </c>
      <c r="AN92" s="6">
        <v>0</v>
      </c>
      <c r="AO92" s="12">
        <v>0</v>
      </c>
      <c r="AP92" s="12">
        <v>8</v>
      </c>
      <c r="AQ92" s="17">
        <f t="shared" si="39"/>
        <v>3000</v>
      </c>
      <c r="AR92" s="17">
        <f t="shared" si="45"/>
        <v>0</v>
      </c>
      <c r="AS92" s="17">
        <f t="shared" si="40"/>
        <v>0</v>
      </c>
      <c r="AT92" s="25">
        <f t="shared" si="41"/>
        <v>2400</v>
      </c>
      <c r="AU92" s="12">
        <v>32</v>
      </c>
      <c r="AV92" s="6">
        <v>0</v>
      </c>
      <c r="AW92" s="12">
        <v>0</v>
      </c>
      <c r="AX92" s="12">
        <v>18</v>
      </c>
      <c r="AY92" s="17">
        <f t="shared" si="42"/>
        <v>3200</v>
      </c>
      <c r="AZ92" s="17">
        <f t="shared" si="42"/>
        <v>0</v>
      </c>
      <c r="BA92" s="17">
        <f t="shared" si="43"/>
        <v>0</v>
      </c>
      <c r="BB92" s="25">
        <f t="shared" si="43"/>
        <v>5400</v>
      </c>
    </row>
    <row r="93" spans="1:54" ht="14">
      <c r="A93" s="6">
        <v>90</v>
      </c>
      <c r="B93" s="6" t="s">
        <v>116</v>
      </c>
      <c r="F93" s="11"/>
      <c r="G93" s="12">
        <v>30</v>
      </c>
      <c r="H93" s="13"/>
      <c r="I93" s="12">
        <v>0</v>
      </c>
      <c r="J93" s="12">
        <v>22.5</v>
      </c>
      <c r="K93" s="15">
        <f t="shared" si="27"/>
        <v>3000</v>
      </c>
      <c r="L93" s="16"/>
      <c r="M93" s="20">
        <f t="shared" si="28"/>
        <v>0</v>
      </c>
      <c r="N93" s="3">
        <f t="shared" si="29"/>
        <v>6750</v>
      </c>
      <c r="O93" s="12">
        <v>35</v>
      </c>
      <c r="P93" s="6"/>
      <c r="Q93" s="12">
        <v>0</v>
      </c>
      <c r="R93" s="12">
        <v>20</v>
      </c>
      <c r="S93" s="17">
        <f t="shared" si="30"/>
        <v>3500</v>
      </c>
      <c r="T93" s="17"/>
      <c r="U93" s="17">
        <f t="shared" si="31"/>
        <v>0</v>
      </c>
      <c r="V93" s="6">
        <f t="shared" si="32"/>
        <v>6000</v>
      </c>
      <c r="W93" s="12">
        <v>35</v>
      </c>
      <c r="X93" s="6"/>
      <c r="Y93" s="12">
        <v>0</v>
      </c>
      <c r="Z93" s="12">
        <v>16</v>
      </c>
      <c r="AA93" s="17">
        <f t="shared" si="33"/>
        <v>3500</v>
      </c>
      <c r="AB93" s="17"/>
      <c r="AC93" s="17">
        <f t="shared" si="34"/>
        <v>0</v>
      </c>
      <c r="AD93" s="6">
        <f t="shared" si="35"/>
        <v>4800</v>
      </c>
      <c r="AE93" s="12">
        <v>25</v>
      </c>
      <c r="AF93" s="6">
        <v>0</v>
      </c>
      <c r="AG93" s="12">
        <v>0</v>
      </c>
      <c r="AH93" s="12">
        <v>10</v>
      </c>
      <c r="AI93" s="17">
        <f t="shared" si="36"/>
        <v>2500</v>
      </c>
      <c r="AJ93" s="17">
        <f t="shared" si="44"/>
        <v>0</v>
      </c>
      <c r="AK93" s="17">
        <f t="shared" si="37"/>
        <v>0</v>
      </c>
      <c r="AL93" s="25">
        <f t="shared" si="38"/>
        <v>3000</v>
      </c>
      <c r="AM93" s="12">
        <v>25</v>
      </c>
      <c r="AN93" s="6">
        <v>0</v>
      </c>
      <c r="AO93" s="12">
        <v>0</v>
      </c>
      <c r="AP93" s="12">
        <v>8</v>
      </c>
      <c r="AQ93" s="17">
        <f t="shared" si="39"/>
        <v>2500</v>
      </c>
      <c r="AR93" s="17">
        <f t="shared" si="45"/>
        <v>0</v>
      </c>
      <c r="AS93" s="17">
        <f t="shared" si="40"/>
        <v>0</v>
      </c>
      <c r="AT93" s="25">
        <f t="shared" si="41"/>
        <v>2400</v>
      </c>
      <c r="AU93" s="12">
        <v>22</v>
      </c>
      <c r="AV93" s="6">
        <v>0</v>
      </c>
      <c r="AW93" s="12">
        <v>0</v>
      </c>
      <c r="AX93" s="12">
        <v>0</v>
      </c>
      <c r="AY93" s="17">
        <f t="shared" si="42"/>
        <v>2200</v>
      </c>
      <c r="AZ93" s="17">
        <f t="shared" si="42"/>
        <v>0</v>
      </c>
      <c r="BA93" s="17">
        <f t="shared" si="43"/>
        <v>0</v>
      </c>
      <c r="BB93" s="25">
        <f t="shared" si="43"/>
        <v>0</v>
      </c>
    </row>
    <row r="94" spans="1:54" ht="14">
      <c r="A94" s="6">
        <v>91</v>
      </c>
      <c r="B94" s="6" t="s">
        <v>117</v>
      </c>
      <c r="F94" s="11"/>
      <c r="G94" s="12">
        <v>40</v>
      </c>
      <c r="H94" s="13"/>
      <c r="I94" s="12">
        <v>0</v>
      </c>
      <c r="J94" s="12">
        <v>15</v>
      </c>
      <c r="K94" s="15">
        <f t="shared" si="27"/>
        <v>4000</v>
      </c>
      <c r="L94" s="16"/>
      <c r="M94" s="20">
        <f t="shared" si="28"/>
        <v>0</v>
      </c>
      <c r="N94" s="3">
        <f t="shared" si="29"/>
        <v>4500</v>
      </c>
      <c r="O94" s="12">
        <v>20</v>
      </c>
      <c r="P94" s="6"/>
      <c r="Q94" s="12">
        <v>0</v>
      </c>
      <c r="R94" s="12">
        <v>10</v>
      </c>
      <c r="S94" s="17">
        <f t="shared" si="30"/>
        <v>2000</v>
      </c>
      <c r="T94" s="17"/>
      <c r="U94" s="17">
        <f t="shared" si="31"/>
        <v>0</v>
      </c>
      <c r="V94" s="6">
        <f t="shared" si="32"/>
        <v>3000</v>
      </c>
      <c r="W94" s="12">
        <v>20</v>
      </c>
      <c r="X94" s="6"/>
      <c r="Y94" s="12">
        <v>0</v>
      </c>
      <c r="Z94" s="12">
        <v>10</v>
      </c>
      <c r="AA94" s="17">
        <f t="shared" si="33"/>
        <v>2000</v>
      </c>
      <c r="AB94" s="17"/>
      <c r="AC94" s="17">
        <f t="shared" si="34"/>
        <v>0</v>
      </c>
      <c r="AD94" s="6">
        <f t="shared" si="35"/>
        <v>3000</v>
      </c>
      <c r="AE94" s="12">
        <v>25</v>
      </c>
      <c r="AF94" s="6">
        <v>0</v>
      </c>
      <c r="AG94" s="12">
        <v>0</v>
      </c>
      <c r="AH94" s="12">
        <v>10</v>
      </c>
      <c r="AI94" s="17">
        <f t="shared" si="36"/>
        <v>2500</v>
      </c>
      <c r="AJ94" s="17">
        <f t="shared" si="44"/>
        <v>0</v>
      </c>
      <c r="AK94" s="17">
        <f t="shared" si="37"/>
        <v>0</v>
      </c>
      <c r="AL94" s="25">
        <f t="shared" si="38"/>
        <v>3000</v>
      </c>
      <c r="AM94" s="12">
        <v>25</v>
      </c>
      <c r="AN94" s="6">
        <v>0</v>
      </c>
      <c r="AO94" s="12">
        <v>0</v>
      </c>
      <c r="AP94" s="12">
        <v>6</v>
      </c>
      <c r="AQ94" s="17">
        <f t="shared" si="39"/>
        <v>2500</v>
      </c>
      <c r="AR94" s="17">
        <f t="shared" si="45"/>
        <v>0</v>
      </c>
      <c r="AS94" s="17">
        <f t="shared" si="40"/>
        <v>0</v>
      </c>
      <c r="AT94" s="25">
        <f t="shared" si="41"/>
        <v>1800</v>
      </c>
      <c r="AU94" s="12">
        <v>25</v>
      </c>
      <c r="AV94" s="6">
        <v>0</v>
      </c>
      <c r="AW94" s="12">
        <v>0</v>
      </c>
      <c r="AX94" s="12">
        <v>6</v>
      </c>
      <c r="AY94" s="17">
        <f t="shared" si="42"/>
        <v>2500</v>
      </c>
      <c r="AZ94" s="17">
        <f t="shared" si="42"/>
        <v>0</v>
      </c>
      <c r="BA94" s="17">
        <f t="shared" si="43"/>
        <v>0</v>
      </c>
      <c r="BB94" s="25">
        <f t="shared" si="43"/>
        <v>1800</v>
      </c>
    </row>
    <row r="95" spans="1:54" ht="14">
      <c r="A95" s="6">
        <v>92</v>
      </c>
      <c r="B95" s="6" t="s">
        <v>118</v>
      </c>
      <c r="F95" s="11"/>
      <c r="G95" s="12">
        <v>30</v>
      </c>
      <c r="H95" s="13"/>
      <c r="I95" s="12">
        <v>0</v>
      </c>
      <c r="J95" s="12">
        <v>16</v>
      </c>
      <c r="K95" s="15">
        <f t="shared" si="27"/>
        <v>3000</v>
      </c>
      <c r="L95" s="16"/>
      <c r="M95" s="20">
        <f t="shared" si="28"/>
        <v>0</v>
      </c>
      <c r="N95" s="3">
        <f t="shared" si="29"/>
        <v>4800</v>
      </c>
      <c r="O95" s="12">
        <v>30</v>
      </c>
      <c r="P95" s="6"/>
      <c r="Q95" s="12">
        <v>0</v>
      </c>
      <c r="R95" s="12">
        <v>15</v>
      </c>
      <c r="S95" s="17">
        <f t="shared" si="30"/>
        <v>3000</v>
      </c>
      <c r="T95" s="17"/>
      <c r="U95" s="17">
        <f t="shared" si="31"/>
        <v>0</v>
      </c>
      <c r="V95" s="6">
        <f t="shared" si="32"/>
        <v>4500</v>
      </c>
      <c r="W95" s="12">
        <v>30</v>
      </c>
      <c r="X95" s="6"/>
      <c r="Y95" s="12">
        <v>0</v>
      </c>
      <c r="Z95" s="12">
        <v>15</v>
      </c>
      <c r="AA95" s="17">
        <f t="shared" si="33"/>
        <v>3000</v>
      </c>
      <c r="AB95" s="17"/>
      <c r="AC95" s="17">
        <f t="shared" si="34"/>
        <v>0</v>
      </c>
      <c r="AD95" s="6">
        <f t="shared" si="35"/>
        <v>4500</v>
      </c>
      <c r="AE95" s="12">
        <v>34</v>
      </c>
      <c r="AF95" s="6">
        <v>0</v>
      </c>
      <c r="AG95" s="12">
        <v>0</v>
      </c>
      <c r="AH95" s="12">
        <v>10</v>
      </c>
      <c r="AI95" s="17">
        <f t="shared" si="36"/>
        <v>3400</v>
      </c>
      <c r="AJ95" s="17">
        <f t="shared" si="44"/>
        <v>0</v>
      </c>
      <c r="AK95" s="17">
        <f t="shared" si="37"/>
        <v>0</v>
      </c>
      <c r="AL95" s="25">
        <f t="shared" si="38"/>
        <v>3000</v>
      </c>
      <c r="AM95" s="12">
        <v>34</v>
      </c>
      <c r="AN95" s="6">
        <v>0</v>
      </c>
      <c r="AO95" s="12">
        <v>0</v>
      </c>
      <c r="AP95" s="12">
        <v>5</v>
      </c>
      <c r="AQ95" s="17">
        <f t="shared" si="39"/>
        <v>3400</v>
      </c>
      <c r="AR95" s="17">
        <f t="shared" si="45"/>
        <v>0</v>
      </c>
      <c r="AS95" s="17">
        <f t="shared" si="40"/>
        <v>0</v>
      </c>
      <c r="AT95" s="25">
        <f t="shared" si="41"/>
        <v>1500</v>
      </c>
      <c r="AU95" s="12">
        <v>34</v>
      </c>
      <c r="AV95" s="6">
        <v>0</v>
      </c>
      <c r="AW95" s="12">
        <v>0</v>
      </c>
      <c r="AX95" s="12">
        <v>6</v>
      </c>
      <c r="AY95" s="17">
        <f t="shared" si="42"/>
        <v>3400</v>
      </c>
      <c r="AZ95" s="17">
        <f t="shared" si="42"/>
        <v>0</v>
      </c>
      <c r="BA95" s="17">
        <f t="shared" si="43"/>
        <v>0</v>
      </c>
      <c r="BB95" s="25">
        <f t="shared" si="43"/>
        <v>1800</v>
      </c>
    </row>
    <row r="96" spans="1:54" ht="14">
      <c r="A96" s="6">
        <v>93</v>
      </c>
      <c r="B96" s="6" t="s">
        <v>119</v>
      </c>
      <c r="F96" s="11"/>
      <c r="G96" s="12">
        <v>0</v>
      </c>
      <c r="H96" s="13"/>
      <c r="I96" s="12">
        <v>0</v>
      </c>
      <c r="J96" s="12">
        <v>15</v>
      </c>
      <c r="K96" s="15">
        <f t="shared" si="27"/>
        <v>0</v>
      </c>
      <c r="L96" s="16"/>
      <c r="M96" s="20">
        <f t="shared" si="28"/>
        <v>0</v>
      </c>
      <c r="N96" s="3">
        <f t="shared" si="29"/>
        <v>4500</v>
      </c>
      <c r="O96" s="12">
        <v>0</v>
      </c>
      <c r="P96" s="6"/>
      <c r="Q96" s="12">
        <v>0</v>
      </c>
      <c r="R96" s="12">
        <v>20</v>
      </c>
      <c r="S96" s="17">
        <f t="shared" si="30"/>
        <v>0</v>
      </c>
      <c r="T96" s="17"/>
      <c r="U96" s="17">
        <f t="shared" si="31"/>
        <v>0</v>
      </c>
      <c r="V96" s="6">
        <f t="shared" si="32"/>
        <v>6000</v>
      </c>
      <c r="W96" s="12">
        <v>0</v>
      </c>
      <c r="X96" s="6"/>
      <c r="Y96" s="12">
        <v>0</v>
      </c>
      <c r="Z96" s="12">
        <v>20</v>
      </c>
      <c r="AA96" s="17">
        <f t="shared" si="33"/>
        <v>0</v>
      </c>
      <c r="AB96" s="17"/>
      <c r="AC96" s="17">
        <f t="shared" si="34"/>
        <v>0</v>
      </c>
      <c r="AD96" s="6">
        <f t="shared" si="35"/>
        <v>6000</v>
      </c>
      <c r="AE96" s="12">
        <v>0</v>
      </c>
      <c r="AF96" s="6">
        <v>35</v>
      </c>
      <c r="AG96" s="12">
        <v>0</v>
      </c>
      <c r="AH96" s="12">
        <v>15</v>
      </c>
      <c r="AI96" s="17">
        <f t="shared" si="36"/>
        <v>0</v>
      </c>
      <c r="AJ96" s="17">
        <f t="shared" si="44"/>
        <v>3500</v>
      </c>
      <c r="AK96" s="17">
        <f t="shared" si="37"/>
        <v>0</v>
      </c>
      <c r="AL96" s="25">
        <f t="shared" si="38"/>
        <v>4500</v>
      </c>
      <c r="AM96" s="12">
        <v>0</v>
      </c>
      <c r="AN96" s="6">
        <v>35</v>
      </c>
      <c r="AO96" s="12">
        <v>0</v>
      </c>
      <c r="AP96" s="12">
        <v>15</v>
      </c>
      <c r="AQ96" s="17">
        <f t="shared" si="39"/>
        <v>0</v>
      </c>
      <c r="AR96" s="17">
        <f t="shared" si="45"/>
        <v>3500</v>
      </c>
      <c r="AS96" s="17">
        <f t="shared" si="40"/>
        <v>0</v>
      </c>
      <c r="AT96" s="25">
        <f t="shared" si="41"/>
        <v>4500</v>
      </c>
      <c r="AU96" s="12">
        <v>0</v>
      </c>
      <c r="AV96" s="6">
        <v>35</v>
      </c>
      <c r="AW96" s="12">
        <v>0</v>
      </c>
      <c r="AX96" s="12">
        <v>15</v>
      </c>
      <c r="AY96" s="17">
        <f t="shared" si="42"/>
        <v>0</v>
      </c>
      <c r="AZ96" s="17">
        <f>AV96*100</f>
        <v>3500</v>
      </c>
      <c r="BA96" s="17">
        <f t="shared" si="43"/>
        <v>0</v>
      </c>
      <c r="BB96" s="25">
        <f t="shared" si="43"/>
        <v>4500</v>
      </c>
    </row>
    <row r="97" spans="1:54" ht="14">
      <c r="A97" s="6">
        <v>94</v>
      </c>
      <c r="B97" s="6" t="s">
        <v>120</v>
      </c>
      <c r="F97" s="11"/>
      <c r="G97" s="12">
        <v>30</v>
      </c>
      <c r="H97" s="13"/>
      <c r="I97" s="12">
        <v>0</v>
      </c>
      <c r="J97" s="12">
        <v>0</v>
      </c>
      <c r="K97" s="15">
        <f t="shared" si="27"/>
        <v>3000</v>
      </c>
      <c r="L97" s="16"/>
      <c r="M97" s="20">
        <f t="shared" si="28"/>
        <v>0</v>
      </c>
      <c r="N97" s="3">
        <f t="shared" si="29"/>
        <v>0</v>
      </c>
      <c r="O97" s="12">
        <v>35</v>
      </c>
      <c r="P97" s="6"/>
      <c r="Q97" s="12">
        <v>0</v>
      </c>
      <c r="R97" s="12">
        <v>0</v>
      </c>
      <c r="S97" s="17">
        <f t="shared" si="30"/>
        <v>3500</v>
      </c>
      <c r="T97" s="17"/>
      <c r="U97" s="17">
        <f t="shared" si="31"/>
        <v>0</v>
      </c>
      <c r="V97" s="6">
        <f t="shared" si="32"/>
        <v>0</v>
      </c>
      <c r="W97" s="12">
        <v>35</v>
      </c>
      <c r="X97" s="6"/>
      <c r="Y97" s="12">
        <v>0</v>
      </c>
      <c r="Z97" s="12">
        <v>0</v>
      </c>
      <c r="AA97" s="17">
        <f t="shared" si="33"/>
        <v>3500</v>
      </c>
      <c r="AB97" s="17"/>
      <c r="AC97" s="17">
        <f t="shared" si="34"/>
        <v>0</v>
      </c>
      <c r="AD97" s="6">
        <f t="shared" si="35"/>
        <v>0</v>
      </c>
      <c r="AE97" s="12">
        <v>30</v>
      </c>
      <c r="AF97" s="6">
        <v>0</v>
      </c>
      <c r="AG97" s="12">
        <v>0</v>
      </c>
      <c r="AH97" s="12">
        <v>0</v>
      </c>
      <c r="AI97" s="17">
        <f t="shared" si="36"/>
        <v>3000</v>
      </c>
      <c r="AJ97" s="17">
        <f t="shared" si="44"/>
        <v>0</v>
      </c>
      <c r="AK97" s="17">
        <f t="shared" si="37"/>
        <v>0</v>
      </c>
      <c r="AL97" s="25">
        <f t="shared" si="38"/>
        <v>0</v>
      </c>
      <c r="AM97" s="12">
        <v>30</v>
      </c>
      <c r="AN97" s="6">
        <v>0</v>
      </c>
      <c r="AO97" s="12">
        <v>0</v>
      </c>
      <c r="AP97" s="12">
        <v>0</v>
      </c>
      <c r="AQ97" s="17">
        <f t="shared" si="39"/>
        <v>3000</v>
      </c>
      <c r="AR97" s="17">
        <f t="shared" si="45"/>
        <v>0</v>
      </c>
      <c r="AS97" s="17">
        <f t="shared" si="40"/>
        <v>0</v>
      </c>
      <c r="AT97" s="25">
        <f t="shared" si="41"/>
        <v>0</v>
      </c>
      <c r="AU97" s="12">
        <v>30</v>
      </c>
      <c r="AV97" s="6">
        <v>0</v>
      </c>
      <c r="AW97" s="12">
        <v>0</v>
      </c>
      <c r="AX97" s="12">
        <v>0</v>
      </c>
      <c r="AY97" s="17">
        <f t="shared" si="42"/>
        <v>3000</v>
      </c>
      <c r="AZ97" s="17">
        <f>AV97*100</f>
        <v>0</v>
      </c>
      <c r="BA97" s="17">
        <f t="shared" si="43"/>
        <v>0</v>
      </c>
      <c r="BB97" s="25">
        <f t="shared" si="43"/>
        <v>0</v>
      </c>
    </row>
    <row r="98" spans="1:54" ht="14">
      <c r="A98" s="6">
        <v>95</v>
      </c>
      <c r="B98" s="6" t="s">
        <v>121</v>
      </c>
      <c r="F98" s="11"/>
      <c r="G98" s="12">
        <v>38</v>
      </c>
      <c r="H98" s="13"/>
      <c r="I98" s="12">
        <v>0</v>
      </c>
      <c r="J98" s="12">
        <v>20</v>
      </c>
      <c r="K98" s="15">
        <f t="shared" si="27"/>
        <v>3800</v>
      </c>
      <c r="L98" s="16"/>
      <c r="M98" s="20">
        <f t="shared" si="28"/>
        <v>0</v>
      </c>
      <c r="N98" s="3">
        <f t="shared" si="29"/>
        <v>6000</v>
      </c>
      <c r="O98" s="12">
        <v>42</v>
      </c>
      <c r="P98" s="6"/>
      <c r="Q98" s="12">
        <v>0</v>
      </c>
      <c r="R98" s="12">
        <v>20</v>
      </c>
      <c r="S98" s="17">
        <f t="shared" si="30"/>
        <v>4200</v>
      </c>
      <c r="T98" s="17"/>
      <c r="U98" s="17">
        <f t="shared" si="31"/>
        <v>0</v>
      </c>
      <c r="V98" s="6">
        <f t="shared" si="32"/>
        <v>6000</v>
      </c>
      <c r="W98" s="12">
        <v>40</v>
      </c>
      <c r="X98" s="6"/>
      <c r="Y98" s="12">
        <v>0</v>
      </c>
      <c r="Z98" s="12">
        <v>12</v>
      </c>
      <c r="AA98" s="17">
        <f t="shared" si="33"/>
        <v>4000</v>
      </c>
      <c r="AB98" s="17"/>
      <c r="AC98" s="17">
        <f t="shared" si="34"/>
        <v>0</v>
      </c>
      <c r="AD98" s="6">
        <f t="shared" si="35"/>
        <v>3600</v>
      </c>
      <c r="AE98" s="12">
        <v>41</v>
      </c>
      <c r="AF98" s="6">
        <v>0</v>
      </c>
      <c r="AG98" s="12">
        <v>0</v>
      </c>
      <c r="AH98" s="12">
        <v>20</v>
      </c>
      <c r="AI98" s="17">
        <f t="shared" si="36"/>
        <v>4100</v>
      </c>
      <c r="AJ98" s="17">
        <f t="shared" ref="AJ98:AJ104" si="46">AF98*100</f>
        <v>0</v>
      </c>
      <c r="AK98" s="17">
        <f t="shared" si="37"/>
        <v>0</v>
      </c>
      <c r="AL98" s="25">
        <f t="shared" si="38"/>
        <v>6000</v>
      </c>
      <c r="AM98" s="12">
        <v>42</v>
      </c>
      <c r="AN98" s="6">
        <v>0</v>
      </c>
      <c r="AO98" s="12">
        <v>0</v>
      </c>
      <c r="AP98" s="12">
        <v>25</v>
      </c>
      <c r="AQ98" s="17">
        <f t="shared" si="39"/>
        <v>4200</v>
      </c>
      <c r="AR98" s="17">
        <f t="shared" ref="AR98:AR104" si="47">AN98*100</f>
        <v>0</v>
      </c>
      <c r="AS98" s="17">
        <f t="shared" si="40"/>
        <v>0</v>
      </c>
      <c r="AT98" s="25">
        <f t="shared" si="41"/>
        <v>7500</v>
      </c>
      <c r="AU98" s="12">
        <v>40</v>
      </c>
      <c r="AV98" s="6">
        <v>0</v>
      </c>
      <c r="AW98" s="12">
        <v>0</v>
      </c>
      <c r="AX98" s="12">
        <v>15</v>
      </c>
      <c r="AY98" s="17">
        <f t="shared" si="42"/>
        <v>4000</v>
      </c>
      <c r="AZ98" s="17">
        <f t="shared" si="42"/>
        <v>0</v>
      </c>
      <c r="BA98" s="17">
        <f t="shared" si="43"/>
        <v>0</v>
      </c>
      <c r="BB98" s="25">
        <f t="shared" si="43"/>
        <v>4500</v>
      </c>
    </row>
    <row r="99" spans="1:54" ht="14">
      <c r="A99" s="6">
        <v>96</v>
      </c>
      <c r="B99" s="6" t="s">
        <v>122</v>
      </c>
      <c r="F99" s="11"/>
      <c r="G99" s="12">
        <v>47</v>
      </c>
      <c r="H99" s="13"/>
      <c r="I99" s="12">
        <v>0</v>
      </c>
      <c r="J99" s="12">
        <v>10</v>
      </c>
      <c r="K99" s="15">
        <f t="shared" si="27"/>
        <v>4700</v>
      </c>
      <c r="L99" s="16"/>
      <c r="M99" s="20">
        <f t="shared" si="28"/>
        <v>0</v>
      </c>
      <c r="N99" s="3">
        <f t="shared" si="29"/>
        <v>3000</v>
      </c>
      <c r="O99" s="12">
        <v>40</v>
      </c>
      <c r="P99" s="6"/>
      <c r="Q99" s="12">
        <v>0</v>
      </c>
      <c r="R99" s="12">
        <v>5</v>
      </c>
      <c r="S99" s="17">
        <f t="shared" si="30"/>
        <v>4000</v>
      </c>
      <c r="T99" s="17"/>
      <c r="U99" s="17">
        <f t="shared" si="31"/>
        <v>0</v>
      </c>
      <c r="V99" s="6">
        <f t="shared" si="32"/>
        <v>1500</v>
      </c>
      <c r="W99" s="12">
        <v>30</v>
      </c>
      <c r="X99" s="6"/>
      <c r="Y99" s="12">
        <v>0</v>
      </c>
      <c r="Z99" s="12">
        <v>5</v>
      </c>
      <c r="AA99" s="17">
        <f t="shared" si="33"/>
        <v>3000</v>
      </c>
      <c r="AB99" s="17"/>
      <c r="AC99" s="17">
        <f t="shared" si="34"/>
        <v>0</v>
      </c>
      <c r="AD99" s="6">
        <f t="shared" si="35"/>
        <v>1500</v>
      </c>
      <c r="AE99" s="12">
        <v>32</v>
      </c>
      <c r="AF99" s="6">
        <v>0</v>
      </c>
      <c r="AG99" s="12">
        <v>0</v>
      </c>
      <c r="AH99" s="12">
        <v>10</v>
      </c>
      <c r="AI99" s="17">
        <f t="shared" si="36"/>
        <v>3200</v>
      </c>
      <c r="AJ99" s="17">
        <f t="shared" si="46"/>
        <v>0</v>
      </c>
      <c r="AK99" s="17">
        <f t="shared" si="37"/>
        <v>0</v>
      </c>
      <c r="AL99" s="25">
        <f t="shared" si="38"/>
        <v>3000</v>
      </c>
      <c r="AM99" s="12">
        <v>32</v>
      </c>
      <c r="AN99" s="6">
        <v>0</v>
      </c>
      <c r="AO99" s="12">
        <v>0</v>
      </c>
      <c r="AP99" s="12">
        <v>0</v>
      </c>
      <c r="AQ99" s="17">
        <f t="shared" si="39"/>
        <v>3200</v>
      </c>
      <c r="AR99" s="17">
        <f t="shared" si="47"/>
        <v>0</v>
      </c>
      <c r="AS99" s="17">
        <f t="shared" si="40"/>
        <v>0</v>
      </c>
      <c r="AT99" s="25">
        <f t="shared" si="41"/>
        <v>0</v>
      </c>
      <c r="AU99" s="12">
        <v>25</v>
      </c>
      <c r="AV99" s="6">
        <v>0</v>
      </c>
      <c r="AW99" s="12">
        <v>0</v>
      </c>
      <c r="AX99" s="12">
        <v>5</v>
      </c>
      <c r="AY99" s="17">
        <f t="shared" si="42"/>
        <v>2500</v>
      </c>
      <c r="AZ99" s="17">
        <f t="shared" si="42"/>
        <v>0</v>
      </c>
      <c r="BA99" s="17">
        <f t="shared" si="43"/>
        <v>0</v>
      </c>
      <c r="BB99" s="25">
        <f t="shared" si="43"/>
        <v>1500</v>
      </c>
    </row>
    <row r="100" spans="1:54" ht="14">
      <c r="A100" s="6">
        <v>97</v>
      </c>
      <c r="B100" s="6" t="s">
        <v>123</v>
      </c>
      <c r="F100" s="11"/>
      <c r="G100" s="12">
        <v>43</v>
      </c>
      <c r="H100" s="13"/>
      <c r="I100" s="12">
        <v>0</v>
      </c>
      <c r="J100" s="12">
        <v>15</v>
      </c>
      <c r="K100" s="15">
        <f t="shared" si="27"/>
        <v>4300</v>
      </c>
      <c r="L100" s="16"/>
      <c r="M100" s="20">
        <f t="shared" si="28"/>
        <v>0</v>
      </c>
      <c r="N100" s="3">
        <f t="shared" si="29"/>
        <v>4500</v>
      </c>
      <c r="O100" s="12">
        <v>43</v>
      </c>
      <c r="P100" s="6"/>
      <c r="Q100" s="12">
        <v>0</v>
      </c>
      <c r="R100" s="12">
        <v>10</v>
      </c>
      <c r="S100" s="17">
        <f t="shared" si="30"/>
        <v>4300</v>
      </c>
      <c r="T100" s="17"/>
      <c r="U100" s="17">
        <f t="shared" si="31"/>
        <v>0</v>
      </c>
      <c r="V100" s="6">
        <f t="shared" si="32"/>
        <v>3000</v>
      </c>
      <c r="W100" s="12">
        <v>40</v>
      </c>
      <c r="X100" s="6"/>
      <c r="Y100" s="12">
        <v>0</v>
      </c>
      <c r="Z100" s="12">
        <v>5</v>
      </c>
      <c r="AA100" s="17">
        <f t="shared" si="33"/>
        <v>4000</v>
      </c>
      <c r="AB100" s="17"/>
      <c r="AC100" s="17">
        <f t="shared" si="34"/>
        <v>0</v>
      </c>
      <c r="AD100" s="6">
        <f t="shared" si="35"/>
        <v>1500</v>
      </c>
      <c r="AE100" s="12">
        <v>35</v>
      </c>
      <c r="AF100" s="6">
        <v>0</v>
      </c>
      <c r="AG100" s="12">
        <v>0</v>
      </c>
      <c r="AH100" s="12">
        <v>10</v>
      </c>
      <c r="AI100" s="17">
        <f t="shared" si="36"/>
        <v>3500</v>
      </c>
      <c r="AJ100" s="17">
        <f t="shared" si="46"/>
        <v>0</v>
      </c>
      <c r="AK100" s="17">
        <f t="shared" si="37"/>
        <v>0</v>
      </c>
      <c r="AL100" s="25">
        <f t="shared" si="38"/>
        <v>3000</v>
      </c>
      <c r="AM100" s="12">
        <v>35</v>
      </c>
      <c r="AN100" s="6">
        <v>0</v>
      </c>
      <c r="AO100" s="12">
        <v>0</v>
      </c>
      <c r="AP100" s="12">
        <v>10</v>
      </c>
      <c r="AQ100" s="17">
        <f t="shared" si="39"/>
        <v>3500</v>
      </c>
      <c r="AR100" s="17">
        <f t="shared" si="47"/>
        <v>0</v>
      </c>
      <c r="AS100" s="17">
        <f t="shared" si="40"/>
        <v>0</v>
      </c>
      <c r="AT100" s="25">
        <f t="shared" si="41"/>
        <v>3000</v>
      </c>
      <c r="AU100" s="12">
        <v>35</v>
      </c>
      <c r="AV100" s="6">
        <v>0</v>
      </c>
      <c r="AW100" s="12">
        <v>0</v>
      </c>
      <c r="AX100" s="12">
        <v>10</v>
      </c>
      <c r="AY100" s="17">
        <f t="shared" si="42"/>
        <v>3500</v>
      </c>
      <c r="AZ100" s="17">
        <f t="shared" si="42"/>
        <v>0</v>
      </c>
      <c r="BA100" s="17">
        <f t="shared" si="43"/>
        <v>0</v>
      </c>
      <c r="BB100" s="25">
        <f t="shared" si="43"/>
        <v>3000</v>
      </c>
    </row>
    <row r="101" spans="1:54" ht="14">
      <c r="A101" s="6">
        <v>98</v>
      </c>
      <c r="B101" s="6" t="s">
        <v>124</v>
      </c>
      <c r="F101" s="11"/>
      <c r="G101" s="12">
        <v>35</v>
      </c>
      <c r="H101" s="13"/>
      <c r="I101" s="12">
        <v>0</v>
      </c>
      <c r="J101" s="12">
        <v>10</v>
      </c>
      <c r="K101" s="15">
        <f t="shared" si="27"/>
        <v>3500</v>
      </c>
      <c r="L101" s="16"/>
      <c r="M101" s="20">
        <f t="shared" si="28"/>
        <v>0</v>
      </c>
      <c r="N101" s="3">
        <f t="shared" si="29"/>
        <v>3000</v>
      </c>
      <c r="O101" s="12">
        <v>35</v>
      </c>
      <c r="P101" s="6"/>
      <c r="Q101" s="12">
        <v>0</v>
      </c>
      <c r="R101" s="12">
        <v>5</v>
      </c>
      <c r="S101" s="17">
        <f t="shared" si="30"/>
        <v>3500</v>
      </c>
      <c r="T101" s="17"/>
      <c r="U101" s="17">
        <f t="shared" si="31"/>
        <v>0</v>
      </c>
      <c r="V101" s="6">
        <f t="shared" si="32"/>
        <v>1500</v>
      </c>
      <c r="W101" s="12">
        <v>30</v>
      </c>
      <c r="X101" s="6"/>
      <c r="Y101" s="12">
        <v>0</v>
      </c>
      <c r="Z101" s="12">
        <v>0</v>
      </c>
      <c r="AA101" s="17">
        <f t="shared" si="33"/>
        <v>3000</v>
      </c>
      <c r="AB101" s="17"/>
      <c r="AC101" s="17">
        <f t="shared" si="34"/>
        <v>0</v>
      </c>
      <c r="AD101" s="6">
        <f t="shared" si="35"/>
        <v>0</v>
      </c>
      <c r="AE101" s="12">
        <v>25</v>
      </c>
      <c r="AF101" s="6">
        <v>0</v>
      </c>
      <c r="AG101" s="12">
        <v>0</v>
      </c>
      <c r="AH101" s="12">
        <v>0</v>
      </c>
      <c r="AI101" s="17">
        <f t="shared" si="36"/>
        <v>2500</v>
      </c>
      <c r="AJ101" s="17">
        <f t="shared" si="46"/>
        <v>0</v>
      </c>
      <c r="AK101" s="17">
        <f t="shared" si="37"/>
        <v>0</v>
      </c>
      <c r="AL101" s="25">
        <f t="shared" si="38"/>
        <v>0</v>
      </c>
      <c r="AM101" s="12">
        <v>30</v>
      </c>
      <c r="AN101" s="6">
        <v>0</v>
      </c>
      <c r="AO101" s="12">
        <v>0</v>
      </c>
      <c r="AP101" s="12">
        <v>0</v>
      </c>
      <c r="AQ101" s="17">
        <f t="shared" si="39"/>
        <v>3000</v>
      </c>
      <c r="AR101" s="17">
        <f t="shared" si="47"/>
        <v>0</v>
      </c>
      <c r="AS101" s="17">
        <f t="shared" si="40"/>
        <v>0</v>
      </c>
      <c r="AT101" s="25">
        <f t="shared" si="41"/>
        <v>0</v>
      </c>
      <c r="AU101" s="12">
        <v>30</v>
      </c>
      <c r="AV101" s="6">
        <v>0</v>
      </c>
      <c r="AW101" s="12">
        <v>0</v>
      </c>
      <c r="AX101" s="12">
        <v>12</v>
      </c>
      <c r="AY101" s="17">
        <f t="shared" si="42"/>
        <v>3000</v>
      </c>
      <c r="AZ101" s="17">
        <f t="shared" si="42"/>
        <v>0</v>
      </c>
      <c r="BA101" s="17">
        <f t="shared" si="43"/>
        <v>0</v>
      </c>
      <c r="BB101" s="25">
        <f t="shared" si="43"/>
        <v>3600</v>
      </c>
    </row>
    <row r="102" spans="1:54" ht="14">
      <c r="A102" s="6">
        <v>99</v>
      </c>
      <c r="B102" s="6" t="s">
        <v>125</v>
      </c>
      <c r="F102" s="11"/>
      <c r="G102" s="12">
        <v>15</v>
      </c>
      <c r="H102" s="13"/>
      <c r="I102" s="12">
        <v>0</v>
      </c>
      <c r="J102" s="12">
        <v>20</v>
      </c>
      <c r="K102" s="15">
        <f t="shared" si="27"/>
        <v>1500</v>
      </c>
      <c r="L102" s="16"/>
      <c r="M102" s="20">
        <f t="shared" si="28"/>
        <v>0</v>
      </c>
      <c r="N102" s="3">
        <f t="shared" si="29"/>
        <v>6000</v>
      </c>
      <c r="O102" s="12">
        <v>15</v>
      </c>
      <c r="P102" s="6"/>
      <c r="Q102" s="12">
        <v>0</v>
      </c>
      <c r="R102" s="12">
        <v>15</v>
      </c>
      <c r="S102" s="17">
        <f t="shared" si="30"/>
        <v>1500</v>
      </c>
      <c r="T102" s="17"/>
      <c r="U102" s="17">
        <f t="shared" si="31"/>
        <v>0</v>
      </c>
      <c r="V102" s="6">
        <f t="shared" si="32"/>
        <v>4500</v>
      </c>
      <c r="W102" s="12">
        <v>20</v>
      </c>
      <c r="X102" s="6"/>
      <c r="Y102" s="12">
        <v>0</v>
      </c>
      <c r="Z102" s="12">
        <v>14</v>
      </c>
      <c r="AA102" s="17">
        <f t="shared" si="33"/>
        <v>2000</v>
      </c>
      <c r="AB102" s="17"/>
      <c r="AC102" s="17">
        <f t="shared" si="34"/>
        <v>0</v>
      </c>
      <c r="AD102" s="6">
        <f t="shared" si="35"/>
        <v>4200</v>
      </c>
      <c r="AE102" s="12">
        <v>30</v>
      </c>
      <c r="AF102" s="6">
        <v>0</v>
      </c>
      <c r="AG102" s="12">
        <v>0</v>
      </c>
      <c r="AH102" s="12">
        <v>15</v>
      </c>
      <c r="AI102" s="17">
        <f t="shared" si="36"/>
        <v>3000</v>
      </c>
      <c r="AJ102" s="17">
        <f t="shared" si="46"/>
        <v>0</v>
      </c>
      <c r="AK102" s="17">
        <f t="shared" si="37"/>
        <v>0</v>
      </c>
      <c r="AL102" s="25">
        <f t="shared" si="38"/>
        <v>4500</v>
      </c>
      <c r="AM102" s="12">
        <v>30</v>
      </c>
      <c r="AN102" s="6">
        <v>0</v>
      </c>
      <c r="AO102" s="12">
        <v>0</v>
      </c>
      <c r="AP102" s="12">
        <v>20</v>
      </c>
      <c r="AQ102" s="17">
        <f t="shared" si="39"/>
        <v>3000</v>
      </c>
      <c r="AR102" s="17">
        <f t="shared" si="47"/>
        <v>0</v>
      </c>
      <c r="AS102" s="17">
        <f t="shared" si="40"/>
        <v>0</v>
      </c>
      <c r="AT102" s="25">
        <f t="shared" si="41"/>
        <v>6000</v>
      </c>
      <c r="AU102" s="12">
        <v>30</v>
      </c>
      <c r="AV102" s="6">
        <v>0</v>
      </c>
      <c r="AW102" s="12">
        <v>0</v>
      </c>
      <c r="AX102" s="12">
        <v>20</v>
      </c>
      <c r="AY102" s="17">
        <f t="shared" si="42"/>
        <v>3000</v>
      </c>
      <c r="AZ102" s="17">
        <f t="shared" si="42"/>
        <v>0</v>
      </c>
      <c r="BA102" s="17">
        <f t="shared" si="43"/>
        <v>0</v>
      </c>
      <c r="BB102" s="25">
        <f t="shared" si="43"/>
        <v>6000</v>
      </c>
    </row>
    <row r="103" spans="1:54" ht="14">
      <c r="A103" s="6">
        <v>100</v>
      </c>
      <c r="B103" s="6" t="s">
        <v>126</v>
      </c>
      <c r="C103" s="31"/>
      <c r="D103" s="31"/>
      <c r="E103" s="31"/>
      <c r="F103" s="33"/>
      <c r="G103" s="12">
        <v>23</v>
      </c>
      <c r="H103" s="13"/>
      <c r="I103" s="12">
        <v>0</v>
      </c>
      <c r="J103" s="12">
        <v>14</v>
      </c>
      <c r="K103" s="15">
        <f t="shared" si="27"/>
        <v>2300</v>
      </c>
      <c r="L103" s="16"/>
      <c r="M103" s="20">
        <f t="shared" si="28"/>
        <v>0</v>
      </c>
      <c r="N103" s="3">
        <f t="shared" si="29"/>
        <v>4200</v>
      </c>
      <c r="O103" s="12">
        <v>27</v>
      </c>
      <c r="P103" s="6"/>
      <c r="Q103" s="12">
        <v>0</v>
      </c>
      <c r="R103" s="12">
        <v>15</v>
      </c>
      <c r="S103" s="17">
        <f t="shared" si="30"/>
        <v>2700</v>
      </c>
      <c r="T103" s="17"/>
      <c r="U103" s="17">
        <f t="shared" si="31"/>
        <v>0</v>
      </c>
      <c r="V103" s="6">
        <f t="shared" si="32"/>
        <v>4500</v>
      </c>
      <c r="W103" s="12">
        <v>27</v>
      </c>
      <c r="X103" s="6"/>
      <c r="Y103" s="12">
        <v>0</v>
      </c>
      <c r="Z103" s="12">
        <v>8</v>
      </c>
      <c r="AA103" s="17">
        <f t="shared" si="33"/>
        <v>2700</v>
      </c>
      <c r="AB103" s="17"/>
      <c r="AC103" s="17">
        <f t="shared" si="34"/>
        <v>0</v>
      </c>
      <c r="AD103" s="6">
        <f t="shared" si="35"/>
        <v>2400</v>
      </c>
      <c r="AE103" s="12">
        <v>25</v>
      </c>
      <c r="AF103" s="6">
        <v>0</v>
      </c>
      <c r="AG103" s="12">
        <v>0</v>
      </c>
      <c r="AH103" s="12">
        <v>15</v>
      </c>
      <c r="AI103" s="17">
        <f t="shared" si="36"/>
        <v>2500</v>
      </c>
      <c r="AJ103" s="17">
        <f t="shared" si="46"/>
        <v>0</v>
      </c>
      <c r="AK103" s="17">
        <f t="shared" si="37"/>
        <v>0</v>
      </c>
      <c r="AL103" s="25">
        <f t="shared" si="38"/>
        <v>4500</v>
      </c>
      <c r="AM103" s="12">
        <v>25</v>
      </c>
      <c r="AN103" s="6">
        <v>0</v>
      </c>
      <c r="AO103" s="12">
        <v>0</v>
      </c>
      <c r="AP103" s="12">
        <v>5</v>
      </c>
      <c r="AQ103" s="17">
        <f t="shared" si="39"/>
        <v>2500</v>
      </c>
      <c r="AR103" s="17">
        <f t="shared" si="47"/>
        <v>0</v>
      </c>
      <c r="AS103" s="17">
        <f t="shared" si="40"/>
        <v>0</v>
      </c>
      <c r="AT103" s="25">
        <f t="shared" si="41"/>
        <v>1500</v>
      </c>
      <c r="AU103" s="12">
        <v>32</v>
      </c>
      <c r="AV103" s="6">
        <v>0</v>
      </c>
      <c r="AW103" s="12">
        <v>0</v>
      </c>
      <c r="AX103" s="12">
        <v>0</v>
      </c>
      <c r="AY103" s="17">
        <f t="shared" si="42"/>
        <v>3200</v>
      </c>
      <c r="AZ103" s="17">
        <f t="shared" si="42"/>
        <v>0</v>
      </c>
      <c r="BA103" s="17">
        <f t="shared" si="43"/>
        <v>0</v>
      </c>
      <c r="BB103" s="25">
        <f t="shared" si="43"/>
        <v>0</v>
      </c>
    </row>
    <row r="104" spans="1:54" ht="14">
      <c r="A104" s="3"/>
      <c r="B104" s="32" t="s">
        <v>151</v>
      </c>
      <c r="G104" s="12">
        <f>SUM(G4:G103)</f>
        <v>3236</v>
      </c>
      <c r="H104" s="3"/>
      <c r="I104" s="12">
        <v>0</v>
      </c>
      <c r="J104" s="12">
        <f>SUM(J4:J103)</f>
        <v>1327.5</v>
      </c>
      <c r="K104" s="15">
        <f t="shared" si="27"/>
        <v>323600</v>
      </c>
      <c r="L104" s="16"/>
      <c r="M104" s="20">
        <f t="shared" si="28"/>
        <v>0</v>
      </c>
      <c r="N104" s="3">
        <f t="shared" si="29"/>
        <v>398250</v>
      </c>
      <c r="O104" s="12">
        <f>SUM(O4:O103)</f>
        <v>3129</v>
      </c>
      <c r="P104" s="6"/>
      <c r="Q104" s="12">
        <v>0</v>
      </c>
      <c r="R104" s="12">
        <f>SUM(R4:R103)</f>
        <v>1126.5</v>
      </c>
      <c r="S104" s="17">
        <f t="shared" si="30"/>
        <v>312900</v>
      </c>
      <c r="T104" s="17"/>
      <c r="U104" s="17">
        <f t="shared" si="31"/>
        <v>0</v>
      </c>
      <c r="V104" s="6">
        <f t="shared" si="32"/>
        <v>337950</v>
      </c>
      <c r="W104" s="12">
        <f>SUM(W4:W103)</f>
        <v>3222</v>
      </c>
      <c r="X104" s="6"/>
      <c r="Y104" s="12">
        <v>0</v>
      </c>
      <c r="Z104" s="12">
        <f>SUM(Z4:Z103)</f>
        <v>1056.5</v>
      </c>
      <c r="AA104" s="17">
        <f t="shared" si="33"/>
        <v>322200</v>
      </c>
      <c r="AB104" s="17"/>
      <c r="AC104" s="17">
        <f t="shared" si="34"/>
        <v>0</v>
      </c>
      <c r="AD104" s="6">
        <f t="shared" si="35"/>
        <v>316950</v>
      </c>
      <c r="AE104" s="12">
        <f>SUM(AE4:AE103)</f>
        <v>3318</v>
      </c>
      <c r="AF104" s="6">
        <f>SUM(AF4:AF103)</f>
        <v>155</v>
      </c>
      <c r="AG104" s="12">
        <v>0</v>
      </c>
      <c r="AH104" s="12">
        <f>SUM(AH4:AH103)</f>
        <v>1130</v>
      </c>
      <c r="AI104" s="17">
        <f t="shared" si="36"/>
        <v>331800</v>
      </c>
      <c r="AJ104" s="17">
        <f t="shared" si="46"/>
        <v>15500</v>
      </c>
      <c r="AK104" s="17">
        <f t="shared" si="37"/>
        <v>0</v>
      </c>
      <c r="AL104" s="25">
        <f t="shared" si="38"/>
        <v>339000</v>
      </c>
      <c r="AM104" s="12">
        <f t="shared" ref="AM104:AN104" si="48">SUM(AM4:AM103)</f>
        <v>3331</v>
      </c>
      <c r="AN104" s="6">
        <f t="shared" si="48"/>
        <v>159</v>
      </c>
      <c r="AO104" s="12">
        <v>0</v>
      </c>
      <c r="AP104" s="12">
        <f>SUM(AP4:AP103)</f>
        <v>1164</v>
      </c>
      <c r="AQ104" s="17">
        <f t="shared" si="39"/>
        <v>333100</v>
      </c>
      <c r="AR104" s="17">
        <f t="shared" si="47"/>
        <v>15900</v>
      </c>
      <c r="AS104" s="17">
        <f t="shared" si="40"/>
        <v>0</v>
      </c>
      <c r="AT104" s="25">
        <f t="shared" si="41"/>
        <v>349200</v>
      </c>
      <c r="AU104" s="12">
        <f t="shared" ref="AU104" si="49">SUM(AU4:AU103)</f>
        <v>3341</v>
      </c>
      <c r="AV104" s="6">
        <f>SUM(AV4:AV103)</f>
        <v>172</v>
      </c>
      <c r="AW104" s="12">
        <v>0</v>
      </c>
      <c r="AX104" s="12">
        <f>SUM(AX4:AX103)</f>
        <v>1198</v>
      </c>
      <c r="AY104" s="17">
        <f t="shared" si="42"/>
        <v>334100</v>
      </c>
      <c r="AZ104" s="17">
        <f>AV104*100</f>
        <v>17200</v>
      </c>
      <c r="BA104" s="17">
        <f t="shared" si="43"/>
        <v>0</v>
      </c>
      <c r="BB104" s="25">
        <f t="shared" si="43"/>
        <v>359400</v>
      </c>
    </row>
    <row r="105" spans="1:54" ht="13">
      <c r="B105" s="18"/>
      <c r="G105" s="34"/>
      <c r="J105" s="18"/>
      <c r="N105" s="18"/>
      <c r="O105" s="1"/>
      <c r="P105" s="1"/>
      <c r="Q105" s="1"/>
      <c r="R105" s="18"/>
      <c r="S105" s="1"/>
      <c r="T105" s="1"/>
      <c r="U105" s="1"/>
      <c r="V105" s="1"/>
      <c r="X105" s="18"/>
      <c r="Y105" s="18"/>
      <c r="Z105" s="35"/>
      <c r="AA105" s="18"/>
      <c r="AB105" s="18"/>
      <c r="AC105" s="18"/>
      <c r="AD105" s="35"/>
      <c r="AH105" s="18"/>
      <c r="AL105" s="18"/>
      <c r="AM105" s="22"/>
      <c r="AN105" s="22"/>
      <c r="AO105" s="22"/>
      <c r="AP105" s="22"/>
      <c r="AQ105" s="22"/>
      <c r="AR105" s="22"/>
      <c r="AS105" s="22"/>
      <c r="AT105" s="22"/>
    </row>
    <row r="106" spans="1:54" ht="13">
      <c r="B106" s="18"/>
      <c r="G106" s="34"/>
      <c r="J106" s="18"/>
      <c r="N106" s="18"/>
      <c r="O106" s="1"/>
      <c r="P106" s="1"/>
      <c r="Q106" s="1"/>
      <c r="R106" s="18"/>
      <c r="S106" s="1"/>
      <c r="T106" s="1"/>
      <c r="U106" s="1"/>
      <c r="V106" s="1"/>
      <c r="X106" s="18"/>
      <c r="Y106" s="18"/>
      <c r="Z106" s="35"/>
      <c r="AA106" s="18"/>
      <c r="AB106" s="18"/>
      <c r="AC106" s="18"/>
      <c r="AD106" s="35"/>
      <c r="AH106" s="18"/>
      <c r="AL106" s="18"/>
      <c r="AM106" s="22"/>
      <c r="AN106" s="22"/>
      <c r="AO106" s="22"/>
      <c r="AP106" s="22"/>
      <c r="AQ106" s="22"/>
      <c r="AR106" s="22"/>
      <c r="AS106" s="22"/>
      <c r="AT106" s="22"/>
    </row>
    <row r="107" spans="1:54" ht="13">
      <c r="B107" s="18"/>
      <c r="G107" s="34"/>
      <c r="J107" s="18"/>
      <c r="N107" s="18"/>
      <c r="O107" s="1"/>
      <c r="P107" s="1"/>
      <c r="Q107" s="1"/>
      <c r="R107" s="18"/>
      <c r="S107" s="1"/>
      <c r="T107" s="1"/>
      <c r="U107" s="1"/>
      <c r="V107" s="1"/>
      <c r="X107" s="18"/>
      <c r="Y107" s="18"/>
      <c r="Z107" s="35"/>
      <c r="AA107" s="18"/>
      <c r="AB107" s="18"/>
      <c r="AC107" s="18"/>
      <c r="AD107" s="35"/>
      <c r="AH107" s="18"/>
      <c r="AL107" s="18"/>
      <c r="AM107" s="22"/>
      <c r="AN107" s="22"/>
      <c r="AO107" s="22"/>
      <c r="AP107" s="22"/>
      <c r="AQ107" s="22"/>
      <c r="AR107" s="22"/>
      <c r="AS107" s="22"/>
      <c r="AT107" s="22"/>
    </row>
    <row r="108" spans="1:54" ht="13">
      <c r="B108" s="18"/>
      <c r="G108" s="34"/>
      <c r="J108" s="18"/>
      <c r="N108" s="18"/>
      <c r="O108" s="1"/>
      <c r="P108" s="1"/>
      <c r="Q108" s="1"/>
      <c r="R108" s="18"/>
      <c r="S108" s="1"/>
      <c r="T108" s="1"/>
      <c r="U108" s="1"/>
      <c r="V108" s="1"/>
      <c r="Z108" s="18"/>
      <c r="AD108" s="18"/>
      <c r="AH108" s="18"/>
      <c r="AL108" s="18"/>
      <c r="AM108" s="22"/>
      <c r="AN108" s="22"/>
      <c r="AO108" s="22"/>
      <c r="AP108" s="22"/>
      <c r="AQ108" s="22"/>
      <c r="AR108" s="22"/>
      <c r="AS108" s="22"/>
      <c r="AT108" s="22"/>
    </row>
    <row r="109" spans="1:54" ht="13">
      <c r="B109" s="18"/>
      <c r="G109" s="34"/>
      <c r="J109" s="18"/>
      <c r="N109" s="18"/>
      <c r="O109" s="1"/>
      <c r="P109" s="1"/>
      <c r="Q109" s="1"/>
      <c r="R109" s="18"/>
      <c r="S109" s="1"/>
      <c r="T109" s="1"/>
      <c r="U109" s="1"/>
      <c r="V109" s="1"/>
      <c r="Z109" s="18"/>
      <c r="AD109" s="18"/>
      <c r="AH109" s="18"/>
      <c r="AL109" s="18"/>
      <c r="AM109" s="22"/>
      <c r="AN109" s="22"/>
      <c r="AO109" s="22"/>
      <c r="AP109" s="22"/>
      <c r="AQ109" s="22"/>
      <c r="AR109" s="22"/>
      <c r="AS109" s="22"/>
      <c r="AT109" s="22"/>
    </row>
    <row r="110" spans="1:54" ht="13">
      <c r="B110" s="18"/>
      <c r="G110" s="34"/>
      <c r="J110" s="18"/>
      <c r="N110" s="18"/>
      <c r="O110" s="1"/>
      <c r="P110" s="1"/>
      <c r="Q110" s="1"/>
      <c r="R110" s="18"/>
      <c r="S110" s="1"/>
      <c r="T110" s="1"/>
      <c r="U110" s="1"/>
      <c r="V110" s="1"/>
      <c r="Z110" s="18"/>
      <c r="AD110" s="18"/>
      <c r="AH110" s="18"/>
      <c r="AL110" s="18"/>
      <c r="AM110" s="22"/>
      <c r="AN110" s="22"/>
      <c r="AO110" s="22"/>
      <c r="AP110" s="22"/>
      <c r="AQ110" s="22"/>
      <c r="AR110" s="22"/>
      <c r="AS110" s="22"/>
      <c r="AT110" s="22"/>
    </row>
    <row r="111" spans="1:54" ht="13">
      <c r="B111" s="18"/>
      <c r="G111" s="34"/>
      <c r="J111" s="18"/>
      <c r="N111" s="18"/>
      <c r="O111" s="1"/>
      <c r="P111" s="1"/>
      <c r="Q111" s="1"/>
      <c r="R111" s="18"/>
      <c r="S111" s="1"/>
      <c r="T111" s="1"/>
      <c r="U111" s="1"/>
      <c r="V111" s="1"/>
      <c r="Z111" s="18"/>
      <c r="AD111" s="18"/>
      <c r="AH111" s="18"/>
      <c r="AL111" s="18"/>
      <c r="AM111" s="22"/>
      <c r="AN111" s="22"/>
      <c r="AO111" s="22"/>
      <c r="AP111" s="22"/>
      <c r="AQ111" s="22"/>
      <c r="AR111" s="22"/>
      <c r="AS111" s="22"/>
      <c r="AT111" s="22"/>
    </row>
    <row r="112" spans="1:54" ht="13">
      <c r="B112" s="18"/>
      <c r="G112" s="34"/>
      <c r="J112" s="18"/>
      <c r="N112" s="18"/>
      <c r="O112" s="1"/>
      <c r="P112" s="1"/>
      <c r="Q112" s="1"/>
      <c r="R112" s="18"/>
      <c r="S112" s="1"/>
      <c r="T112" s="1"/>
      <c r="U112" s="1" t="s">
        <v>152</v>
      </c>
      <c r="V112" s="1"/>
      <c r="Z112" s="18"/>
      <c r="AD112" s="18"/>
      <c r="AH112" s="18"/>
      <c r="AL112" s="18"/>
      <c r="AM112" s="22"/>
      <c r="AN112" s="22"/>
      <c r="AO112" s="22"/>
      <c r="AP112" s="22"/>
      <c r="AQ112" s="22"/>
      <c r="AR112" s="22"/>
      <c r="AS112" s="22"/>
      <c r="AT112" s="22"/>
    </row>
    <row r="113" spans="2:46" ht="13">
      <c r="B113" s="18"/>
      <c r="G113" s="34"/>
      <c r="J113" s="18"/>
      <c r="N113" s="18"/>
      <c r="O113" s="1"/>
      <c r="P113" s="1"/>
      <c r="Q113" s="1"/>
      <c r="R113" s="18"/>
      <c r="S113" s="1"/>
      <c r="T113" s="1"/>
      <c r="U113" s="1"/>
      <c r="V113" s="1"/>
      <c r="Z113" s="18"/>
      <c r="AD113" s="18"/>
      <c r="AH113" s="18"/>
      <c r="AL113" s="18"/>
      <c r="AM113" s="22"/>
      <c r="AN113" s="22"/>
      <c r="AO113" s="22"/>
      <c r="AP113" s="22"/>
      <c r="AQ113" s="22"/>
      <c r="AR113" s="22"/>
      <c r="AS113" s="22"/>
      <c r="AT113" s="22"/>
    </row>
    <row r="114" spans="2:46" ht="13">
      <c r="B114" s="18"/>
      <c r="G114" s="34"/>
      <c r="J114" s="18"/>
      <c r="N114" s="18"/>
      <c r="O114" s="1"/>
      <c r="P114" s="1"/>
      <c r="Q114" s="1"/>
      <c r="R114" s="18"/>
      <c r="S114" s="1"/>
      <c r="T114" s="1"/>
      <c r="U114" s="1"/>
      <c r="V114" s="1"/>
      <c r="Z114" s="18"/>
      <c r="AD114" s="18"/>
      <c r="AH114" s="18"/>
      <c r="AL114" s="18"/>
      <c r="AM114" s="22"/>
      <c r="AN114" s="22"/>
      <c r="AO114" s="22"/>
      <c r="AP114" s="22"/>
      <c r="AQ114" s="22"/>
      <c r="AR114" s="22"/>
      <c r="AS114" s="22"/>
      <c r="AT114" s="22"/>
    </row>
    <row r="115" spans="2:46" ht="13">
      <c r="B115" s="18"/>
      <c r="G115" s="34"/>
      <c r="J115" s="18"/>
      <c r="N115" s="18"/>
      <c r="O115" s="1"/>
      <c r="P115" s="1"/>
      <c r="Q115" s="1"/>
      <c r="R115" s="18"/>
      <c r="S115" s="1"/>
      <c r="T115" s="1"/>
      <c r="U115" s="1"/>
      <c r="V115" s="1"/>
      <c r="Z115" s="18"/>
      <c r="AD115" s="18"/>
      <c r="AH115" s="18"/>
      <c r="AL115" s="18"/>
      <c r="AM115" s="22"/>
      <c r="AN115" s="22"/>
      <c r="AO115" s="22"/>
      <c r="AP115" s="22"/>
      <c r="AQ115" s="22"/>
      <c r="AR115" s="22"/>
      <c r="AS115" s="22"/>
      <c r="AT115" s="22"/>
    </row>
    <row r="116" spans="2:46" ht="13">
      <c r="G116" s="34"/>
      <c r="J116" s="18"/>
      <c r="N116" s="18"/>
      <c r="O116" s="1"/>
      <c r="P116" s="1"/>
      <c r="Q116" s="1"/>
      <c r="R116" s="18"/>
      <c r="S116" s="1"/>
      <c r="T116" s="1"/>
      <c r="U116" s="1"/>
      <c r="V116" s="1"/>
      <c r="Z116" s="18"/>
      <c r="AD116" s="18"/>
      <c r="AH116" s="18"/>
      <c r="AL116" s="18"/>
      <c r="AM116" s="22"/>
      <c r="AN116" s="22"/>
      <c r="AO116" s="22"/>
      <c r="AP116" s="22"/>
      <c r="AQ116" s="22"/>
      <c r="AR116" s="22"/>
      <c r="AS116" s="22"/>
      <c r="AT116" s="22"/>
    </row>
    <row r="117" spans="2:46" ht="13">
      <c r="G117" s="34"/>
      <c r="J117" s="18"/>
      <c r="N117" s="18"/>
      <c r="O117" s="1"/>
      <c r="P117" s="1"/>
      <c r="Q117" s="1"/>
      <c r="R117" s="18"/>
      <c r="S117" s="1"/>
      <c r="T117" s="1"/>
      <c r="U117" s="1"/>
      <c r="V117" s="1"/>
      <c r="Z117" s="18"/>
      <c r="AD117" s="18"/>
      <c r="AH117" s="18"/>
      <c r="AL117" s="18"/>
      <c r="AM117" s="22"/>
      <c r="AN117" s="22"/>
      <c r="AO117" s="22"/>
      <c r="AP117" s="22"/>
      <c r="AQ117" s="22"/>
      <c r="AR117" s="22"/>
      <c r="AS117" s="22"/>
      <c r="AT117" s="22"/>
    </row>
    <row r="118" spans="2:46" ht="13">
      <c r="G118" s="34"/>
      <c r="J118" s="18"/>
      <c r="N118" s="18"/>
      <c r="O118" s="1"/>
      <c r="P118" s="1"/>
      <c r="Q118" s="1"/>
      <c r="R118" s="18"/>
      <c r="S118" s="1"/>
      <c r="T118" s="1"/>
      <c r="U118" s="1"/>
      <c r="V118" s="1"/>
      <c r="Z118" s="18"/>
      <c r="AD118" s="18"/>
      <c r="AH118" s="18"/>
      <c r="AL118" s="18"/>
      <c r="AM118" s="22"/>
      <c r="AN118" s="22"/>
      <c r="AO118" s="22"/>
      <c r="AP118" s="22"/>
      <c r="AQ118" s="22"/>
      <c r="AR118" s="22"/>
      <c r="AS118" s="22"/>
      <c r="AT118" s="22"/>
    </row>
    <row r="119" spans="2:46" ht="13">
      <c r="G119" s="34"/>
      <c r="J119" s="18"/>
      <c r="N119" s="18"/>
      <c r="O119" s="1"/>
      <c r="P119" s="1"/>
      <c r="Q119" s="1"/>
      <c r="R119" s="18"/>
      <c r="S119" s="1"/>
      <c r="T119" s="1"/>
      <c r="U119" s="1"/>
      <c r="V119" s="1"/>
      <c r="Z119" s="18"/>
      <c r="AD119" s="18"/>
      <c r="AH119" s="18"/>
      <c r="AL119" s="18"/>
      <c r="AM119" s="22"/>
      <c r="AN119" s="22"/>
      <c r="AO119" s="22"/>
      <c r="AP119" s="22"/>
      <c r="AQ119" s="22"/>
      <c r="AR119" s="22"/>
      <c r="AS119" s="22"/>
      <c r="AT119" s="22"/>
    </row>
    <row r="120" spans="2:46" ht="13">
      <c r="G120" s="34"/>
      <c r="J120" s="18"/>
      <c r="N120" s="18"/>
      <c r="O120" s="1"/>
      <c r="P120" s="1"/>
      <c r="Q120" s="1"/>
      <c r="R120" s="18"/>
      <c r="S120" s="1"/>
      <c r="T120" s="1"/>
      <c r="U120" s="1"/>
      <c r="V120" s="1"/>
      <c r="Z120" s="18"/>
      <c r="AD120" s="18"/>
      <c r="AH120" s="18"/>
      <c r="AL120" s="18"/>
      <c r="AM120" s="22"/>
      <c r="AN120" s="22"/>
      <c r="AO120" s="22"/>
      <c r="AP120" s="22"/>
      <c r="AQ120" s="22"/>
      <c r="AR120" s="22"/>
      <c r="AS120" s="22"/>
      <c r="AT120" s="22"/>
    </row>
    <row r="121" spans="2:46" ht="13">
      <c r="G121" s="34"/>
      <c r="J121" s="18"/>
      <c r="N121" s="18"/>
      <c r="O121" s="1"/>
      <c r="P121" s="1"/>
      <c r="Q121" s="1"/>
      <c r="R121" s="18"/>
      <c r="S121" s="1"/>
      <c r="T121" s="1"/>
      <c r="U121" s="1"/>
      <c r="V121" s="1"/>
      <c r="Z121" s="18"/>
      <c r="AD121" s="18"/>
      <c r="AH121" s="18"/>
      <c r="AL121" s="18"/>
      <c r="AM121" s="22"/>
      <c r="AN121" s="22"/>
      <c r="AO121" s="22"/>
      <c r="AP121" s="22"/>
      <c r="AQ121" s="22"/>
      <c r="AR121" s="22"/>
      <c r="AS121" s="22"/>
      <c r="AT121" s="22"/>
    </row>
    <row r="122" spans="2:46" ht="13">
      <c r="G122" s="34"/>
      <c r="J122" s="18"/>
      <c r="N122" s="18"/>
      <c r="O122" s="1"/>
      <c r="P122" s="1"/>
      <c r="Q122" s="1"/>
      <c r="R122" s="18"/>
      <c r="S122" s="1"/>
      <c r="T122" s="1"/>
      <c r="U122" s="1"/>
      <c r="V122" s="1"/>
      <c r="Z122" s="18"/>
      <c r="AD122" s="18"/>
      <c r="AH122" s="18"/>
      <c r="AL122" s="18"/>
      <c r="AM122" s="22"/>
      <c r="AN122" s="22"/>
      <c r="AO122" s="22"/>
      <c r="AP122" s="22"/>
      <c r="AQ122" s="22"/>
      <c r="AR122" s="22"/>
      <c r="AS122" s="22"/>
      <c r="AT122" s="22"/>
    </row>
    <row r="123" spans="2:46" ht="13">
      <c r="G123" s="34"/>
      <c r="J123" s="18"/>
      <c r="N123" s="18"/>
      <c r="O123" s="1"/>
      <c r="P123" s="1"/>
      <c r="Q123" s="1"/>
      <c r="R123" s="18"/>
      <c r="S123" s="1"/>
      <c r="T123" s="1"/>
      <c r="U123" s="1"/>
      <c r="V123" s="1"/>
      <c r="Z123" s="18"/>
      <c r="AD123" s="18"/>
      <c r="AH123" s="18"/>
      <c r="AL123" s="18"/>
      <c r="AM123" s="22"/>
      <c r="AN123" s="22"/>
      <c r="AO123" s="22"/>
      <c r="AP123" s="22"/>
      <c r="AQ123" s="22"/>
      <c r="AR123" s="22"/>
      <c r="AS123" s="22"/>
      <c r="AT123" s="22"/>
    </row>
    <row r="124" spans="2:46" ht="13">
      <c r="G124" s="34"/>
      <c r="J124" s="18"/>
      <c r="N124" s="18"/>
      <c r="O124" s="1"/>
      <c r="P124" s="1"/>
      <c r="Q124" s="1"/>
      <c r="R124" s="18"/>
      <c r="S124" s="1"/>
      <c r="T124" s="1"/>
      <c r="U124" s="1"/>
      <c r="V124" s="1"/>
      <c r="Z124" s="18"/>
      <c r="AD124" s="18"/>
      <c r="AH124" s="18"/>
      <c r="AL124" s="18"/>
      <c r="AM124" s="22"/>
      <c r="AN124" s="22"/>
      <c r="AO124" s="22"/>
      <c r="AP124" s="22"/>
      <c r="AQ124" s="22"/>
      <c r="AR124" s="22"/>
      <c r="AS124" s="22"/>
      <c r="AT124" s="22"/>
    </row>
    <row r="125" spans="2:46" ht="13">
      <c r="G125" s="34"/>
      <c r="J125" s="18"/>
      <c r="N125" s="18"/>
      <c r="O125" s="1"/>
      <c r="P125" s="1"/>
      <c r="Q125" s="1"/>
      <c r="R125" s="18"/>
      <c r="S125" s="1"/>
      <c r="T125" s="1"/>
      <c r="U125" s="1"/>
      <c r="V125" s="1"/>
      <c r="Z125" s="18"/>
      <c r="AD125" s="18"/>
      <c r="AH125" s="18"/>
      <c r="AL125" s="18"/>
      <c r="AM125" s="22"/>
      <c r="AN125" s="22"/>
      <c r="AO125" s="22"/>
      <c r="AP125" s="22"/>
      <c r="AQ125" s="22"/>
      <c r="AR125" s="22"/>
      <c r="AS125" s="22"/>
      <c r="AT125" s="22"/>
    </row>
    <row r="126" spans="2:46" ht="13">
      <c r="G126" s="34"/>
      <c r="J126" s="18"/>
      <c r="N126" s="18"/>
      <c r="O126" s="1"/>
      <c r="P126" s="1"/>
      <c r="Q126" s="1"/>
      <c r="R126" s="18"/>
      <c r="S126" s="1"/>
      <c r="T126" s="1"/>
      <c r="U126" s="1"/>
      <c r="V126" s="1"/>
      <c r="Z126" s="18"/>
      <c r="AD126" s="18"/>
      <c r="AH126" s="18"/>
      <c r="AL126" s="18"/>
      <c r="AM126" s="22"/>
      <c r="AN126" s="22"/>
      <c r="AO126" s="22"/>
      <c r="AP126" s="22"/>
      <c r="AQ126" s="22"/>
      <c r="AR126" s="22"/>
      <c r="AS126" s="22"/>
      <c r="AT126" s="22"/>
    </row>
    <row r="127" spans="2:46" ht="13">
      <c r="G127" s="34"/>
      <c r="J127" s="18"/>
      <c r="N127" s="18"/>
      <c r="O127" s="1"/>
      <c r="P127" s="1"/>
      <c r="Q127" s="1"/>
      <c r="R127" s="18"/>
      <c r="S127" s="1"/>
      <c r="T127" s="1"/>
      <c r="U127" s="1"/>
      <c r="V127" s="1"/>
      <c r="Z127" s="18"/>
      <c r="AD127" s="18"/>
      <c r="AH127" s="18"/>
      <c r="AL127" s="18"/>
      <c r="AM127" s="22"/>
      <c r="AN127" s="22"/>
      <c r="AO127" s="22"/>
      <c r="AP127" s="22"/>
      <c r="AQ127" s="22"/>
      <c r="AR127" s="22"/>
      <c r="AS127" s="22"/>
      <c r="AT127" s="22"/>
    </row>
    <row r="128" spans="2:46" ht="13">
      <c r="G128" s="34"/>
      <c r="J128" s="18"/>
      <c r="N128" s="18"/>
      <c r="O128" s="1"/>
      <c r="P128" s="1"/>
      <c r="Q128" s="1"/>
      <c r="R128" s="18"/>
      <c r="S128" s="1"/>
      <c r="T128" s="1"/>
      <c r="U128" s="1"/>
      <c r="V128" s="1"/>
      <c r="Z128" s="18"/>
      <c r="AD128" s="18"/>
      <c r="AH128" s="18"/>
      <c r="AL128" s="18"/>
      <c r="AM128" s="22"/>
      <c r="AN128" s="22"/>
      <c r="AO128" s="22"/>
      <c r="AP128" s="22"/>
      <c r="AQ128" s="22"/>
      <c r="AR128" s="22"/>
      <c r="AS128" s="22"/>
      <c r="AT128" s="22"/>
    </row>
    <row r="129" spans="7:46" ht="13">
      <c r="G129" s="34"/>
      <c r="J129" s="18"/>
      <c r="N129" s="18"/>
      <c r="O129" s="1"/>
      <c r="P129" s="1"/>
      <c r="Q129" s="1"/>
      <c r="R129" s="18"/>
      <c r="S129" s="1"/>
      <c r="T129" s="1"/>
      <c r="U129" s="1"/>
      <c r="V129" s="1"/>
      <c r="Z129" s="18"/>
      <c r="AD129" s="18"/>
      <c r="AH129" s="18"/>
      <c r="AL129" s="18"/>
      <c r="AM129" s="22"/>
      <c r="AN129" s="22"/>
      <c r="AO129" s="22"/>
      <c r="AP129" s="22"/>
      <c r="AQ129" s="22"/>
      <c r="AR129" s="22"/>
      <c r="AS129" s="22"/>
      <c r="AT129" s="22"/>
    </row>
    <row r="130" spans="7:46" ht="13">
      <c r="G130" s="34"/>
      <c r="J130" s="18"/>
      <c r="N130" s="18"/>
      <c r="O130" s="1"/>
      <c r="P130" s="1"/>
      <c r="Q130" s="1"/>
      <c r="R130" s="18"/>
      <c r="S130" s="1"/>
      <c r="T130" s="1"/>
      <c r="U130" s="1"/>
      <c r="V130" s="1"/>
      <c r="Z130" s="18"/>
      <c r="AD130" s="18"/>
      <c r="AH130" s="18"/>
      <c r="AL130" s="18"/>
      <c r="AM130" s="22"/>
      <c r="AN130" s="22"/>
      <c r="AO130" s="22"/>
      <c r="AP130" s="22"/>
      <c r="AQ130" s="22"/>
      <c r="AR130" s="22"/>
      <c r="AS130" s="22"/>
      <c r="AT130" s="22"/>
    </row>
    <row r="131" spans="7:46" ht="13">
      <c r="G131" s="34"/>
      <c r="J131" s="18"/>
      <c r="N131" s="18"/>
      <c r="O131" s="1"/>
      <c r="P131" s="1"/>
      <c r="Q131" s="1"/>
      <c r="R131" s="18"/>
      <c r="S131" s="1"/>
      <c r="T131" s="1"/>
      <c r="U131" s="1"/>
      <c r="V131" s="1"/>
      <c r="Z131" s="18"/>
      <c r="AD131" s="18"/>
      <c r="AH131" s="18"/>
      <c r="AL131" s="18"/>
      <c r="AM131" s="22"/>
      <c r="AN131" s="22"/>
      <c r="AO131" s="22"/>
      <c r="AP131" s="22"/>
      <c r="AQ131" s="22"/>
      <c r="AR131" s="22"/>
      <c r="AS131" s="22"/>
      <c r="AT131" s="22"/>
    </row>
    <row r="132" spans="7:46" ht="13">
      <c r="G132" s="34"/>
      <c r="J132" s="18"/>
      <c r="N132" s="18"/>
      <c r="O132" s="1"/>
      <c r="P132" s="1"/>
      <c r="Q132" s="1"/>
      <c r="R132" s="18"/>
      <c r="S132" s="1"/>
      <c r="T132" s="1"/>
      <c r="U132" s="1"/>
      <c r="V132" s="1"/>
      <c r="Z132" s="18"/>
      <c r="AD132" s="18"/>
      <c r="AH132" s="18"/>
      <c r="AL132" s="18"/>
      <c r="AM132" s="22"/>
      <c r="AN132" s="22"/>
      <c r="AO132" s="22"/>
      <c r="AP132" s="22"/>
      <c r="AQ132" s="22"/>
      <c r="AR132" s="22"/>
      <c r="AS132" s="22"/>
      <c r="AT132" s="22"/>
    </row>
    <row r="133" spans="7:46" ht="13">
      <c r="G133" s="34"/>
      <c r="J133" s="18"/>
      <c r="N133" s="18"/>
      <c r="O133" s="1"/>
      <c r="P133" s="1"/>
      <c r="Q133" s="1"/>
      <c r="R133" s="18"/>
      <c r="S133" s="1"/>
      <c r="T133" s="1"/>
      <c r="U133" s="1"/>
      <c r="V133" s="1"/>
      <c r="Z133" s="18"/>
      <c r="AD133" s="18"/>
      <c r="AH133" s="18"/>
      <c r="AL133" s="18"/>
      <c r="AM133" s="22"/>
      <c r="AN133" s="22"/>
      <c r="AO133" s="22"/>
      <c r="AP133" s="22"/>
      <c r="AQ133" s="22"/>
      <c r="AR133" s="22"/>
      <c r="AS133" s="22"/>
      <c r="AT133" s="22"/>
    </row>
    <row r="134" spans="7:46" ht="13">
      <c r="G134" s="34"/>
      <c r="J134" s="18"/>
      <c r="N134" s="18"/>
      <c r="O134" s="1"/>
      <c r="P134" s="1"/>
      <c r="Q134" s="1"/>
      <c r="R134" s="18"/>
      <c r="S134" s="1"/>
      <c r="T134" s="1"/>
      <c r="U134" s="1"/>
      <c r="V134" s="1"/>
      <c r="Z134" s="18"/>
      <c r="AD134" s="18"/>
      <c r="AH134" s="18"/>
      <c r="AL134" s="18"/>
      <c r="AM134" s="22"/>
      <c r="AN134" s="22"/>
      <c r="AO134" s="22"/>
      <c r="AP134" s="22"/>
      <c r="AQ134" s="22"/>
      <c r="AR134" s="22"/>
      <c r="AS134" s="22"/>
      <c r="AT134" s="22"/>
    </row>
    <row r="135" spans="7:46" ht="13">
      <c r="G135" s="34"/>
      <c r="J135" s="18"/>
      <c r="N135" s="18"/>
      <c r="O135" s="1"/>
      <c r="P135" s="1"/>
      <c r="Q135" s="1"/>
      <c r="R135" s="18"/>
      <c r="S135" s="1"/>
      <c r="T135" s="1"/>
      <c r="U135" s="1"/>
      <c r="V135" s="1"/>
      <c r="Z135" s="18"/>
      <c r="AD135" s="18"/>
      <c r="AH135" s="18"/>
      <c r="AL135" s="18"/>
      <c r="AM135" s="22"/>
      <c r="AN135" s="22"/>
      <c r="AO135" s="22"/>
      <c r="AP135" s="22"/>
      <c r="AQ135" s="22"/>
      <c r="AR135" s="22"/>
      <c r="AS135" s="22"/>
      <c r="AT135" s="22"/>
    </row>
    <row r="136" spans="7:46" ht="13">
      <c r="G136" s="34"/>
      <c r="J136" s="18"/>
      <c r="N136" s="18"/>
      <c r="O136" s="1"/>
      <c r="P136" s="1"/>
      <c r="Q136" s="1"/>
      <c r="R136" s="18"/>
      <c r="S136" s="1"/>
      <c r="T136" s="1"/>
      <c r="U136" s="1"/>
      <c r="V136" s="1"/>
      <c r="Z136" s="18"/>
      <c r="AD136" s="18"/>
      <c r="AH136" s="18"/>
      <c r="AL136" s="18"/>
      <c r="AM136" s="22"/>
      <c r="AN136" s="22"/>
      <c r="AO136" s="22"/>
      <c r="AP136" s="22"/>
      <c r="AQ136" s="22"/>
      <c r="AR136" s="22"/>
      <c r="AS136" s="22"/>
      <c r="AT136" s="22"/>
    </row>
    <row r="137" spans="7:46" ht="13">
      <c r="G137" s="34"/>
      <c r="J137" s="18"/>
      <c r="N137" s="18"/>
      <c r="O137" s="1"/>
      <c r="P137" s="1"/>
      <c r="Q137" s="1"/>
      <c r="R137" s="18"/>
      <c r="S137" s="1"/>
      <c r="T137" s="1"/>
      <c r="U137" s="1"/>
      <c r="V137" s="1"/>
      <c r="Z137" s="18"/>
      <c r="AD137" s="18"/>
      <c r="AH137" s="18"/>
      <c r="AL137" s="18"/>
      <c r="AM137" s="22"/>
      <c r="AN137" s="22"/>
      <c r="AO137" s="22"/>
      <c r="AP137" s="22"/>
      <c r="AQ137" s="22"/>
      <c r="AR137" s="22"/>
      <c r="AS137" s="22"/>
      <c r="AT137" s="22"/>
    </row>
    <row r="138" spans="7:46" ht="13">
      <c r="G138" s="34"/>
      <c r="J138" s="18"/>
      <c r="N138" s="18"/>
      <c r="O138" s="1"/>
      <c r="P138" s="1"/>
      <c r="Q138" s="1"/>
      <c r="R138" s="18"/>
      <c r="S138" s="1"/>
      <c r="T138" s="1"/>
      <c r="U138" s="1"/>
      <c r="V138" s="1"/>
      <c r="Z138" s="18"/>
      <c r="AD138" s="18"/>
      <c r="AH138" s="18"/>
      <c r="AL138" s="18"/>
      <c r="AM138" s="22"/>
      <c r="AN138" s="22"/>
      <c r="AO138" s="22"/>
      <c r="AP138" s="22"/>
      <c r="AQ138" s="22"/>
      <c r="AR138" s="22"/>
      <c r="AS138" s="22"/>
      <c r="AT138" s="22"/>
    </row>
    <row r="139" spans="7:46" ht="13">
      <c r="G139" s="34"/>
      <c r="J139" s="18"/>
      <c r="N139" s="18"/>
      <c r="O139" s="1"/>
      <c r="P139" s="1"/>
      <c r="Q139" s="1"/>
      <c r="R139" s="18"/>
      <c r="S139" s="1"/>
      <c r="T139" s="1"/>
      <c r="U139" s="1"/>
      <c r="V139" s="1"/>
      <c r="Z139" s="18"/>
      <c r="AD139" s="18"/>
      <c r="AH139" s="18"/>
      <c r="AL139" s="18"/>
      <c r="AM139" s="22"/>
      <c r="AN139" s="22"/>
      <c r="AO139" s="22"/>
      <c r="AP139" s="22"/>
      <c r="AQ139" s="22"/>
      <c r="AR139" s="22"/>
      <c r="AS139" s="22"/>
      <c r="AT139" s="22"/>
    </row>
    <row r="140" spans="7:46" ht="13">
      <c r="G140" s="34"/>
      <c r="J140" s="18"/>
      <c r="N140" s="18"/>
      <c r="O140" s="1"/>
      <c r="P140" s="1"/>
      <c r="Q140" s="1"/>
      <c r="R140" s="18"/>
      <c r="S140" s="1"/>
      <c r="T140" s="1"/>
      <c r="U140" s="1"/>
      <c r="V140" s="1"/>
      <c r="Z140" s="18"/>
      <c r="AD140" s="18"/>
      <c r="AH140" s="18"/>
      <c r="AL140" s="18"/>
      <c r="AM140" s="22"/>
      <c r="AN140" s="22"/>
      <c r="AO140" s="22"/>
      <c r="AP140" s="22"/>
      <c r="AQ140" s="22"/>
      <c r="AR140" s="22"/>
      <c r="AS140" s="22"/>
      <c r="AT140" s="22"/>
    </row>
    <row r="141" spans="7:46" ht="13">
      <c r="G141" s="34"/>
      <c r="J141" s="18"/>
      <c r="N141" s="18"/>
      <c r="O141" s="1"/>
      <c r="P141" s="1"/>
      <c r="Q141" s="1"/>
      <c r="R141" s="18"/>
      <c r="S141" s="1"/>
      <c r="T141" s="1"/>
      <c r="U141" s="1"/>
      <c r="V141" s="1"/>
      <c r="Z141" s="18"/>
      <c r="AD141" s="18"/>
      <c r="AH141" s="18"/>
      <c r="AL141" s="18"/>
      <c r="AM141" s="22"/>
      <c r="AN141" s="22"/>
      <c r="AO141" s="22"/>
      <c r="AP141" s="22"/>
      <c r="AQ141" s="22"/>
      <c r="AR141" s="22"/>
      <c r="AS141" s="22"/>
      <c r="AT141" s="22"/>
    </row>
    <row r="142" spans="7:46" ht="13">
      <c r="G142" s="34"/>
      <c r="J142" s="18"/>
      <c r="N142" s="18"/>
      <c r="O142" s="1"/>
      <c r="P142" s="1"/>
      <c r="Q142" s="1"/>
      <c r="R142" s="18"/>
      <c r="S142" s="1"/>
      <c r="T142" s="1"/>
      <c r="U142" s="1"/>
      <c r="V142" s="1"/>
      <c r="Z142" s="18"/>
      <c r="AD142" s="18"/>
      <c r="AH142" s="18"/>
      <c r="AL142" s="18"/>
      <c r="AM142" s="22"/>
      <c r="AN142" s="22"/>
      <c r="AO142" s="22"/>
      <c r="AP142" s="22"/>
      <c r="AQ142" s="22"/>
      <c r="AR142" s="22"/>
      <c r="AS142" s="22"/>
      <c r="AT142" s="22"/>
    </row>
    <row r="143" spans="7:46" ht="13">
      <c r="G143" s="34"/>
      <c r="J143" s="18"/>
      <c r="N143" s="18"/>
      <c r="O143" s="1"/>
      <c r="P143" s="1"/>
      <c r="Q143" s="1"/>
      <c r="R143" s="18"/>
      <c r="S143" s="1"/>
      <c r="T143" s="1"/>
      <c r="U143" s="1"/>
      <c r="V143" s="1"/>
      <c r="Z143" s="18"/>
      <c r="AD143" s="18"/>
      <c r="AH143" s="18"/>
      <c r="AL143" s="18"/>
      <c r="AM143" s="22"/>
      <c r="AN143" s="22"/>
      <c r="AO143" s="22"/>
      <c r="AP143" s="22"/>
      <c r="AQ143" s="22"/>
      <c r="AR143" s="22"/>
      <c r="AS143" s="22"/>
      <c r="AT143" s="22"/>
    </row>
    <row r="144" spans="7:46" ht="13">
      <c r="G144" s="34"/>
      <c r="J144" s="18"/>
      <c r="N144" s="18"/>
      <c r="O144" s="1"/>
      <c r="P144" s="1"/>
      <c r="Q144" s="1"/>
      <c r="R144" s="18"/>
      <c r="S144" s="1"/>
      <c r="T144" s="1"/>
      <c r="U144" s="1"/>
      <c r="V144" s="1"/>
      <c r="Z144" s="18"/>
      <c r="AD144" s="18"/>
      <c r="AH144" s="18"/>
      <c r="AL144" s="18"/>
      <c r="AM144" s="22"/>
      <c r="AN144" s="22"/>
      <c r="AO144" s="22"/>
      <c r="AP144" s="22"/>
      <c r="AQ144" s="22"/>
      <c r="AR144" s="22"/>
      <c r="AS144" s="22"/>
      <c r="AT144" s="22"/>
    </row>
    <row r="145" spans="7:46" ht="13">
      <c r="G145" s="34"/>
      <c r="J145" s="18"/>
      <c r="N145" s="18"/>
      <c r="O145" s="1"/>
      <c r="P145" s="1"/>
      <c r="Q145" s="1"/>
      <c r="R145" s="18"/>
      <c r="S145" s="1"/>
      <c r="T145" s="1"/>
      <c r="U145" s="1"/>
      <c r="V145" s="1"/>
      <c r="Z145" s="18"/>
      <c r="AD145" s="18"/>
      <c r="AH145" s="18"/>
      <c r="AL145" s="18"/>
      <c r="AM145" s="22"/>
      <c r="AN145" s="22"/>
      <c r="AO145" s="22"/>
      <c r="AP145" s="22"/>
      <c r="AQ145" s="22"/>
      <c r="AR145" s="22"/>
      <c r="AS145" s="22"/>
      <c r="AT145" s="22"/>
    </row>
    <row r="146" spans="7:46" ht="13">
      <c r="G146" s="34"/>
      <c r="J146" s="18"/>
      <c r="N146" s="18"/>
      <c r="O146" s="1"/>
      <c r="P146" s="1"/>
      <c r="Q146" s="1"/>
      <c r="R146" s="18"/>
      <c r="S146" s="1"/>
      <c r="T146" s="1"/>
      <c r="U146" s="1"/>
      <c r="V146" s="1"/>
      <c r="Z146" s="18"/>
      <c r="AD146" s="18"/>
      <c r="AH146" s="18"/>
      <c r="AL146" s="18"/>
      <c r="AM146" s="22"/>
      <c r="AN146" s="22"/>
      <c r="AO146" s="22"/>
      <c r="AP146" s="22"/>
      <c r="AQ146" s="22"/>
      <c r="AR146" s="22"/>
      <c r="AS146" s="22"/>
      <c r="AT146" s="22"/>
    </row>
    <row r="147" spans="7:46" ht="13">
      <c r="G147" s="34"/>
      <c r="J147" s="18"/>
      <c r="N147" s="18"/>
      <c r="O147" s="1"/>
      <c r="P147" s="1"/>
      <c r="Q147" s="1"/>
      <c r="R147" s="18"/>
      <c r="S147" s="1"/>
      <c r="T147" s="1"/>
      <c r="U147" s="1"/>
      <c r="V147" s="1"/>
      <c r="Z147" s="18"/>
      <c r="AD147" s="18"/>
      <c r="AH147" s="18"/>
      <c r="AL147" s="18"/>
      <c r="AM147" s="22"/>
      <c r="AN147" s="22"/>
      <c r="AO147" s="22"/>
      <c r="AP147" s="22"/>
      <c r="AQ147" s="22"/>
      <c r="AR147" s="22"/>
      <c r="AS147" s="22"/>
      <c r="AT147" s="22"/>
    </row>
    <row r="148" spans="7:46" ht="13">
      <c r="G148" s="34"/>
      <c r="J148" s="18"/>
      <c r="N148" s="18"/>
      <c r="O148" s="1"/>
      <c r="P148" s="1"/>
      <c r="Q148" s="1"/>
      <c r="R148" s="18"/>
      <c r="S148" s="1"/>
      <c r="T148" s="1"/>
      <c r="U148" s="1"/>
      <c r="V148" s="1"/>
      <c r="Z148" s="18"/>
      <c r="AD148" s="18"/>
      <c r="AH148" s="18"/>
      <c r="AL148" s="18"/>
      <c r="AM148" s="22"/>
      <c r="AN148" s="22"/>
      <c r="AO148" s="22"/>
      <c r="AP148" s="22"/>
      <c r="AQ148" s="22"/>
      <c r="AR148" s="22"/>
      <c r="AS148" s="22"/>
      <c r="AT148" s="22"/>
    </row>
    <row r="149" spans="7:46" ht="13">
      <c r="G149" s="34"/>
      <c r="J149" s="18"/>
      <c r="N149" s="18"/>
      <c r="O149" s="1"/>
      <c r="P149" s="1"/>
      <c r="Q149" s="1"/>
      <c r="R149" s="18"/>
      <c r="S149" s="1"/>
      <c r="T149" s="1"/>
      <c r="U149" s="1"/>
      <c r="V149" s="1"/>
      <c r="Z149" s="18"/>
      <c r="AD149" s="18"/>
      <c r="AH149" s="18"/>
      <c r="AL149" s="18"/>
      <c r="AM149" s="22"/>
      <c r="AN149" s="22"/>
      <c r="AO149" s="22"/>
      <c r="AP149" s="22"/>
      <c r="AQ149" s="22"/>
      <c r="AR149" s="22"/>
      <c r="AS149" s="22"/>
      <c r="AT149" s="22"/>
    </row>
    <row r="150" spans="7:46" ht="13">
      <c r="G150" s="34"/>
      <c r="J150" s="18"/>
      <c r="N150" s="18"/>
      <c r="O150" s="1"/>
      <c r="P150" s="1"/>
      <c r="Q150" s="1"/>
      <c r="R150" s="18"/>
      <c r="S150" s="1"/>
      <c r="T150" s="1"/>
      <c r="U150" s="1"/>
      <c r="V150" s="1"/>
      <c r="Z150" s="18"/>
      <c r="AD150" s="18"/>
      <c r="AH150" s="18"/>
      <c r="AL150" s="18"/>
      <c r="AM150" s="22"/>
      <c r="AN150" s="22"/>
      <c r="AO150" s="22"/>
      <c r="AP150" s="22"/>
      <c r="AQ150" s="22"/>
      <c r="AR150" s="22"/>
      <c r="AS150" s="22"/>
      <c r="AT150" s="22"/>
    </row>
    <row r="151" spans="7:46" ht="13">
      <c r="G151" s="34"/>
      <c r="J151" s="18"/>
      <c r="N151" s="18"/>
      <c r="O151" s="1"/>
      <c r="P151" s="1"/>
      <c r="Q151" s="1"/>
      <c r="R151" s="18"/>
      <c r="S151" s="1"/>
      <c r="T151" s="1"/>
      <c r="U151" s="1"/>
      <c r="V151" s="1"/>
      <c r="Z151" s="18"/>
      <c r="AD151" s="18"/>
      <c r="AH151" s="18"/>
      <c r="AL151" s="18"/>
      <c r="AM151" s="22"/>
      <c r="AN151" s="22"/>
      <c r="AO151" s="22"/>
      <c r="AP151" s="22"/>
      <c r="AQ151" s="22"/>
      <c r="AR151" s="22"/>
      <c r="AS151" s="22"/>
      <c r="AT151" s="22"/>
    </row>
    <row r="152" spans="7:46" ht="13">
      <c r="G152" s="34"/>
      <c r="J152" s="18"/>
      <c r="N152" s="18"/>
      <c r="O152" s="1"/>
      <c r="P152" s="1"/>
      <c r="Q152" s="1"/>
      <c r="R152" s="18"/>
      <c r="S152" s="1"/>
      <c r="T152" s="1"/>
      <c r="U152" s="1"/>
      <c r="V152" s="1"/>
      <c r="Z152" s="18"/>
      <c r="AD152" s="18"/>
      <c r="AH152" s="18"/>
      <c r="AL152" s="18"/>
      <c r="AM152" s="22"/>
      <c r="AN152" s="22"/>
      <c r="AO152" s="22"/>
      <c r="AP152" s="22"/>
      <c r="AQ152" s="22"/>
      <c r="AR152" s="22"/>
      <c r="AS152" s="22"/>
      <c r="AT152" s="22"/>
    </row>
    <row r="153" spans="7:46" ht="13">
      <c r="G153" s="34"/>
      <c r="J153" s="18"/>
      <c r="N153" s="18"/>
      <c r="O153" s="1"/>
      <c r="P153" s="1"/>
      <c r="Q153" s="1"/>
      <c r="R153" s="18"/>
      <c r="S153" s="1"/>
      <c r="T153" s="1"/>
      <c r="U153" s="1"/>
      <c r="V153" s="1"/>
      <c r="Z153" s="18"/>
      <c r="AD153" s="18"/>
      <c r="AH153" s="18"/>
      <c r="AL153" s="18"/>
      <c r="AM153" s="22"/>
      <c r="AN153" s="22"/>
      <c r="AO153" s="22"/>
      <c r="AP153" s="22"/>
      <c r="AQ153" s="22"/>
      <c r="AR153" s="22"/>
      <c r="AS153" s="22"/>
      <c r="AT153" s="22"/>
    </row>
    <row r="154" spans="7:46" ht="13">
      <c r="G154" s="34"/>
      <c r="J154" s="18"/>
      <c r="N154" s="18"/>
      <c r="O154" s="1"/>
      <c r="P154" s="1"/>
      <c r="Q154" s="1"/>
      <c r="R154" s="18"/>
      <c r="S154" s="1"/>
      <c r="T154" s="1"/>
      <c r="U154" s="1"/>
      <c r="V154" s="1"/>
      <c r="Z154" s="18"/>
      <c r="AD154" s="18"/>
      <c r="AH154" s="18"/>
      <c r="AL154" s="18"/>
      <c r="AM154" s="22"/>
      <c r="AN154" s="22"/>
      <c r="AO154" s="22"/>
      <c r="AP154" s="22"/>
      <c r="AQ154" s="22"/>
      <c r="AR154" s="22"/>
      <c r="AS154" s="22"/>
      <c r="AT154" s="22"/>
    </row>
    <row r="155" spans="7:46" ht="13">
      <c r="G155" s="34"/>
      <c r="J155" s="18"/>
      <c r="N155" s="18"/>
      <c r="O155" s="1"/>
      <c r="P155" s="1"/>
      <c r="Q155" s="1"/>
      <c r="R155" s="18"/>
      <c r="S155" s="1"/>
      <c r="T155" s="1"/>
      <c r="U155" s="1"/>
      <c r="V155" s="1"/>
      <c r="Z155" s="18"/>
      <c r="AD155" s="18"/>
      <c r="AH155" s="18"/>
      <c r="AL155" s="18"/>
      <c r="AM155" s="22"/>
      <c r="AN155" s="22"/>
      <c r="AO155" s="22"/>
      <c r="AP155" s="22"/>
      <c r="AQ155" s="22"/>
      <c r="AR155" s="22"/>
      <c r="AS155" s="22"/>
      <c r="AT155" s="22"/>
    </row>
    <row r="156" spans="7:46" ht="13">
      <c r="G156" s="34"/>
      <c r="J156" s="18"/>
      <c r="N156" s="18"/>
      <c r="O156" s="1"/>
      <c r="P156" s="1"/>
      <c r="Q156" s="1"/>
      <c r="R156" s="18"/>
      <c r="S156" s="1"/>
      <c r="T156" s="1"/>
      <c r="U156" s="1"/>
      <c r="V156" s="1"/>
      <c r="Z156" s="18"/>
      <c r="AD156" s="18"/>
      <c r="AH156" s="18"/>
      <c r="AL156" s="18"/>
      <c r="AM156" s="22"/>
      <c r="AN156" s="22"/>
      <c r="AO156" s="22"/>
      <c r="AP156" s="22"/>
      <c r="AQ156" s="22"/>
      <c r="AR156" s="22"/>
      <c r="AS156" s="22"/>
      <c r="AT156" s="22"/>
    </row>
    <row r="157" spans="7:46" ht="13">
      <c r="G157" s="34"/>
      <c r="J157" s="18"/>
      <c r="N157" s="18"/>
      <c r="O157" s="1"/>
      <c r="P157" s="1"/>
      <c r="Q157" s="1"/>
      <c r="R157" s="18"/>
      <c r="S157" s="1"/>
      <c r="T157" s="1"/>
      <c r="U157" s="1"/>
      <c r="V157" s="1"/>
      <c r="Z157" s="18"/>
      <c r="AD157" s="18"/>
      <c r="AH157" s="18"/>
      <c r="AL157" s="18"/>
      <c r="AM157" s="22"/>
      <c r="AN157" s="22"/>
      <c r="AO157" s="22"/>
      <c r="AP157" s="22"/>
      <c r="AQ157" s="22"/>
      <c r="AR157" s="22"/>
      <c r="AS157" s="22"/>
      <c r="AT157" s="22"/>
    </row>
    <row r="158" spans="7:46" ht="13">
      <c r="G158" s="34"/>
      <c r="J158" s="18"/>
      <c r="N158" s="18"/>
      <c r="O158" s="1"/>
      <c r="P158" s="1"/>
      <c r="Q158" s="1"/>
      <c r="R158" s="18"/>
      <c r="S158" s="1"/>
      <c r="T158" s="1"/>
      <c r="U158" s="1"/>
      <c r="V158" s="1"/>
      <c r="Z158" s="18"/>
      <c r="AD158" s="18"/>
      <c r="AH158" s="18"/>
      <c r="AL158" s="18"/>
      <c r="AM158" s="22"/>
      <c r="AN158" s="22"/>
      <c r="AO158" s="22"/>
      <c r="AP158" s="22"/>
      <c r="AQ158" s="22"/>
      <c r="AR158" s="22"/>
      <c r="AS158" s="22"/>
      <c r="AT158" s="22"/>
    </row>
    <row r="159" spans="7:46" ht="13">
      <c r="G159" s="34"/>
      <c r="J159" s="18"/>
      <c r="N159" s="18"/>
      <c r="O159" s="1"/>
      <c r="P159" s="1"/>
      <c r="Q159" s="1"/>
      <c r="R159" s="18"/>
      <c r="S159" s="1"/>
      <c r="T159" s="1"/>
      <c r="U159" s="1"/>
      <c r="V159" s="1"/>
      <c r="Z159" s="18"/>
      <c r="AD159" s="18"/>
      <c r="AH159" s="18"/>
      <c r="AL159" s="18"/>
      <c r="AM159" s="22"/>
      <c r="AN159" s="22"/>
      <c r="AO159" s="22"/>
      <c r="AP159" s="22"/>
      <c r="AQ159" s="22"/>
      <c r="AR159" s="22"/>
      <c r="AS159" s="22"/>
      <c r="AT159" s="22"/>
    </row>
    <row r="160" spans="7:46" ht="13">
      <c r="G160" s="34"/>
      <c r="J160" s="18"/>
      <c r="N160" s="18"/>
      <c r="O160" s="1"/>
      <c r="P160" s="1"/>
      <c r="Q160" s="1"/>
      <c r="R160" s="18"/>
      <c r="S160" s="1"/>
      <c r="T160" s="1"/>
      <c r="U160" s="1"/>
      <c r="V160" s="1"/>
      <c r="Z160" s="18"/>
      <c r="AD160" s="18"/>
      <c r="AH160" s="18"/>
      <c r="AL160" s="18"/>
      <c r="AM160" s="22"/>
      <c r="AN160" s="22"/>
      <c r="AO160" s="22"/>
      <c r="AP160" s="22"/>
      <c r="AQ160" s="22"/>
      <c r="AR160" s="22"/>
      <c r="AS160" s="22"/>
      <c r="AT160" s="22"/>
    </row>
    <row r="161" spans="7:46" ht="13">
      <c r="G161" s="34"/>
      <c r="J161" s="18"/>
      <c r="N161" s="18"/>
      <c r="O161" s="1"/>
      <c r="P161" s="1"/>
      <c r="Q161" s="1"/>
      <c r="R161" s="18"/>
      <c r="S161" s="1"/>
      <c r="T161" s="1"/>
      <c r="U161" s="1"/>
      <c r="V161" s="1"/>
      <c r="Z161" s="18"/>
      <c r="AD161" s="18"/>
      <c r="AH161" s="18"/>
      <c r="AL161" s="18"/>
      <c r="AM161" s="22"/>
      <c r="AN161" s="22"/>
      <c r="AO161" s="22"/>
      <c r="AP161" s="22"/>
      <c r="AQ161" s="22"/>
      <c r="AR161" s="22"/>
      <c r="AS161" s="22"/>
      <c r="AT161" s="22"/>
    </row>
    <row r="162" spans="7:46" ht="13">
      <c r="G162" s="34"/>
      <c r="J162" s="18"/>
      <c r="N162" s="18"/>
      <c r="O162" s="1"/>
      <c r="P162" s="1"/>
      <c r="Q162" s="1"/>
      <c r="R162" s="18"/>
      <c r="S162" s="1"/>
      <c r="T162" s="1"/>
      <c r="U162" s="1"/>
      <c r="V162" s="1"/>
      <c r="Z162" s="18"/>
      <c r="AD162" s="18"/>
      <c r="AH162" s="18"/>
      <c r="AL162" s="18"/>
      <c r="AM162" s="22"/>
      <c r="AN162" s="22"/>
      <c r="AO162" s="22"/>
      <c r="AP162" s="22"/>
      <c r="AQ162" s="22"/>
      <c r="AR162" s="22"/>
      <c r="AS162" s="22"/>
      <c r="AT162" s="22"/>
    </row>
    <row r="163" spans="7:46" ht="13">
      <c r="G163" s="34"/>
      <c r="J163" s="18"/>
      <c r="N163" s="18"/>
      <c r="O163" s="1"/>
      <c r="P163" s="1"/>
      <c r="Q163" s="1"/>
      <c r="R163" s="18"/>
      <c r="S163" s="1"/>
      <c r="T163" s="1"/>
      <c r="U163" s="1"/>
      <c r="V163" s="1"/>
      <c r="Z163" s="18"/>
      <c r="AD163" s="18"/>
      <c r="AH163" s="18"/>
      <c r="AL163" s="18"/>
      <c r="AM163" s="22"/>
      <c r="AN163" s="22"/>
      <c r="AO163" s="22"/>
      <c r="AP163" s="22"/>
      <c r="AQ163" s="22"/>
      <c r="AR163" s="22"/>
      <c r="AS163" s="22"/>
      <c r="AT163" s="22"/>
    </row>
    <row r="164" spans="7:46" ht="13">
      <c r="G164" s="34"/>
      <c r="J164" s="18"/>
      <c r="N164" s="18"/>
      <c r="O164" s="1"/>
      <c r="P164" s="1"/>
      <c r="Q164" s="1"/>
      <c r="R164" s="18"/>
      <c r="S164" s="1"/>
      <c r="T164" s="1"/>
      <c r="U164" s="1"/>
      <c r="V164" s="1"/>
      <c r="Z164" s="18"/>
      <c r="AD164" s="18"/>
      <c r="AH164" s="18"/>
      <c r="AL164" s="18"/>
      <c r="AM164" s="22"/>
      <c r="AN164" s="22"/>
      <c r="AO164" s="22"/>
      <c r="AP164" s="22"/>
      <c r="AQ164" s="22"/>
      <c r="AR164" s="22"/>
      <c r="AS164" s="22"/>
      <c r="AT164" s="22"/>
    </row>
    <row r="165" spans="7:46" ht="13">
      <c r="G165" s="34"/>
      <c r="J165" s="18"/>
      <c r="N165" s="18"/>
      <c r="O165" s="1"/>
      <c r="P165" s="1"/>
      <c r="Q165" s="1"/>
      <c r="R165" s="18"/>
      <c r="S165" s="1"/>
      <c r="T165" s="1"/>
      <c r="U165" s="1"/>
      <c r="V165" s="1"/>
      <c r="Z165" s="18"/>
      <c r="AD165" s="18"/>
      <c r="AH165" s="18"/>
      <c r="AL165" s="18"/>
      <c r="AM165" s="22"/>
      <c r="AN165" s="22"/>
      <c r="AO165" s="22"/>
      <c r="AP165" s="22"/>
      <c r="AQ165" s="22"/>
      <c r="AR165" s="22"/>
      <c r="AS165" s="22"/>
      <c r="AT165" s="22"/>
    </row>
    <row r="166" spans="7:46" ht="13">
      <c r="G166" s="34"/>
      <c r="J166" s="18"/>
      <c r="N166" s="18"/>
      <c r="O166" s="1"/>
      <c r="P166" s="1"/>
      <c r="Q166" s="1"/>
      <c r="R166" s="18"/>
      <c r="S166" s="1"/>
      <c r="T166" s="1"/>
      <c r="U166" s="1"/>
      <c r="V166" s="1"/>
      <c r="Z166" s="18"/>
      <c r="AD166" s="18"/>
      <c r="AH166" s="18"/>
      <c r="AL166" s="18"/>
      <c r="AM166" s="22"/>
      <c r="AN166" s="22"/>
      <c r="AO166" s="22"/>
      <c r="AP166" s="22"/>
      <c r="AQ166" s="22"/>
      <c r="AR166" s="22"/>
      <c r="AS166" s="22"/>
      <c r="AT166" s="22"/>
    </row>
    <row r="167" spans="7:46" ht="13">
      <c r="G167" s="34"/>
      <c r="J167" s="18"/>
      <c r="N167" s="18"/>
      <c r="O167" s="1"/>
      <c r="P167" s="1"/>
      <c r="Q167" s="1"/>
      <c r="R167" s="18"/>
      <c r="S167" s="1"/>
      <c r="T167" s="1"/>
      <c r="U167" s="1"/>
      <c r="V167" s="1"/>
      <c r="Z167" s="18"/>
      <c r="AD167" s="18"/>
      <c r="AH167" s="18"/>
      <c r="AL167" s="18"/>
      <c r="AM167" s="22"/>
      <c r="AN167" s="22"/>
      <c r="AO167" s="22"/>
      <c r="AP167" s="22"/>
      <c r="AQ167" s="22"/>
      <c r="AR167" s="22"/>
      <c r="AS167" s="22"/>
      <c r="AT167" s="22"/>
    </row>
    <row r="168" spans="7:46" ht="13">
      <c r="G168" s="34"/>
      <c r="J168" s="18"/>
      <c r="N168" s="18"/>
      <c r="O168" s="1"/>
      <c r="P168" s="1"/>
      <c r="Q168" s="1"/>
      <c r="R168" s="18"/>
      <c r="S168" s="1"/>
      <c r="T168" s="1"/>
      <c r="U168" s="1"/>
      <c r="V168" s="1"/>
      <c r="Z168" s="18"/>
      <c r="AD168" s="18"/>
      <c r="AH168" s="18"/>
      <c r="AL168" s="18"/>
      <c r="AM168" s="22"/>
      <c r="AN168" s="22"/>
      <c r="AO168" s="22"/>
      <c r="AP168" s="22"/>
      <c r="AQ168" s="22"/>
      <c r="AR168" s="22"/>
      <c r="AS168" s="22"/>
      <c r="AT168" s="22"/>
    </row>
    <row r="169" spans="7:46" ht="13">
      <c r="G169" s="34"/>
      <c r="J169" s="18"/>
      <c r="N169" s="18"/>
      <c r="O169" s="1"/>
      <c r="P169" s="1"/>
      <c r="Q169" s="1"/>
      <c r="R169" s="18"/>
      <c r="S169" s="1"/>
      <c r="T169" s="1"/>
      <c r="U169" s="1"/>
      <c r="V169" s="1"/>
      <c r="Z169" s="18"/>
      <c r="AD169" s="18"/>
      <c r="AH169" s="18"/>
      <c r="AL169" s="18"/>
      <c r="AM169" s="22"/>
      <c r="AN169" s="22"/>
      <c r="AO169" s="22"/>
      <c r="AP169" s="22"/>
      <c r="AQ169" s="22"/>
      <c r="AR169" s="22"/>
      <c r="AS169" s="22"/>
      <c r="AT169" s="22"/>
    </row>
    <row r="170" spans="7:46" ht="13">
      <c r="G170" s="34"/>
      <c r="J170" s="18"/>
      <c r="N170" s="18"/>
      <c r="O170" s="1"/>
      <c r="P170" s="1"/>
      <c r="Q170" s="1"/>
      <c r="R170" s="18"/>
      <c r="S170" s="1"/>
      <c r="T170" s="1"/>
      <c r="U170" s="1"/>
      <c r="V170" s="1"/>
      <c r="Z170" s="18"/>
      <c r="AD170" s="18"/>
      <c r="AH170" s="18"/>
      <c r="AL170" s="18"/>
      <c r="AM170" s="22"/>
      <c r="AN170" s="22"/>
      <c r="AO170" s="22"/>
      <c r="AP170" s="22"/>
      <c r="AQ170" s="22"/>
      <c r="AR170" s="22"/>
      <c r="AS170" s="22"/>
      <c r="AT170" s="22"/>
    </row>
    <row r="171" spans="7:46" ht="13">
      <c r="G171" s="34"/>
      <c r="J171" s="18"/>
      <c r="N171" s="18"/>
      <c r="O171" s="1"/>
      <c r="P171" s="1"/>
      <c r="Q171" s="1"/>
      <c r="R171" s="18"/>
      <c r="S171" s="1"/>
      <c r="T171" s="1"/>
      <c r="U171" s="1"/>
      <c r="V171" s="1"/>
      <c r="Z171" s="18"/>
      <c r="AD171" s="18"/>
      <c r="AH171" s="18"/>
      <c r="AL171" s="18"/>
      <c r="AM171" s="22"/>
      <c r="AN171" s="22"/>
      <c r="AO171" s="22"/>
      <c r="AP171" s="22"/>
      <c r="AQ171" s="22"/>
      <c r="AR171" s="22"/>
      <c r="AS171" s="22"/>
      <c r="AT171" s="22"/>
    </row>
    <row r="172" spans="7:46" ht="13">
      <c r="G172" s="34"/>
      <c r="J172" s="18"/>
      <c r="N172" s="18"/>
      <c r="O172" s="1"/>
      <c r="P172" s="1"/>
      <c r="Q172" s="1"/>
      <c r="R172" s="18"/>
      <c r="S172" s="1"/>
      <c r="T172" s="1"/>
      <c r="U172" s="1"/>
      <c r="V172" s="1"/>
      <c r="Z172" s="18"/>
      <c r="AD172" s="18"/>
      <c r="AH172" s="18"/>
      <c r="AL172" s="18"/>
      <c r="AM172" s="22"/>
      <c r="AN172" s="22"/>
      <c r="AO172" s="22"/>
      <c r="AP172" s="22"/>
      <c r="AQ172" s="22"/>
      <c r="AR172" s="22"/>
      <c r="AS172" s="22"/>
      <c r="AT172" s="22"/>
    </row>
    <row r="173" spans="7:46" ht="13">
      <c r="G173" s="34"/>
      <c r="J173" s="18"/>
      <c r="N173" s="18"/>
      <c r="O173" s="1"/>
      <c r="P173" s="1"/>
      <c r="Q173" s="1"/>
      <c r="R173" s="18"/>
      <c r="S173" s="1"/>
      <c r="T173" s="1"/>
      <c r="U173" s="1"/>
      <c r="V173" s="1"/>
      <c r="Z173" s="18"/>
      <c r="AD173" s="18"/>
      <c r="AH173" s="18"/>
      <c r="AL173" s="18"/>
      <c r="AM173" s="22"/>
      <c r="AN173" s="22"/>
      <c r="AO173" s="22"/>
      <c r="AP173" s="22"/>
      <c r="AQ173" s="22"/>
      <c r="AR173" s="22"/>
      <c r="AS173" s="22"/>
      <c r="AT173" s="22"/>
    </row>
    <row r="174" spans="7:46" ht="13">
      <c r="G174" s="34"/>
      <c r="J174" s="18"/>
      <c r="N174" s="18"/>
      <c r="O174" s="1"/>
      <c r="P174" s="1"/>
      <c r="Q174" s="1"/>
      <c r="R174" s="18"/>
      <c r="S174" s="1"/>
      <c r="T174" s="1"/>
      <c r="U174" s="1"/>
      <c r="V174" s="1"/>
      <c r="Z174" s="18"/>
      <c r="AD174" s="18"/>
      <c r="AH174" s="18"/>
      <c r="AL174" s="18"/>
      <c r="AM174" s="22"/>
      <c r="AN174" s="22"/>
      <c r="AO174" s="22"/>
      <c r="AP174" s="22"/>
      <c r="AQ174" s="22"/>
      <c r="AR174" s="22"/>
      <c r="AS174" s="22"/>
      <c r="AT174" s="22"/>
    </row>
    <row r="175" spans="7:46" ht="13">
      <c r="G175" s="34"/>
      <c r="J175" s="18"/>
      <c r="N175" s="18"/>
      <c r="O175" s="1"/>
      <c r="P175" s="1"/>
      <c r="Q175" s="1"/>
      <c r="R175" s="18"/>
      <c r="S175" s="1"/>
      <c r="T175" s="1"/>
      <c r="U175" s="1"/>
      <c r="V175" s="1"/>
      <c r="Z175" s="18"/>
      <c r="AD175" s="18"/>
      <c r="AH175" s="18"/>
      <c r="AL175" s="18"/>
      <c r="AM175" s="22"/>
      <c r="AN175" s="22"/>
      <c r="AO175" s="22"/>
      <c r="AP175" s="22"/>
      <c r="AQ175" s="22"/>
      <c r="AR175" s="22"/>
      <c r="AS175" s="22"/>
      <c r="AT175" s="22"/>
    </row>
    <row r="176" spans="7:46" ht="13">
      <c r="G176" s="34"/>
      <c r="J176" s="18"/>
      <c r="N176" s="18"/>
      <c r="O176" s="1"/>
      <c r="P176" s="1"/>
      <c r="Q176" s="1"/>
      <c r="R176" s="18"/>
      <c r="S176" s="1"/>
      <c r="T176" s="1"/>
      <c r="U176" s="1"/>
      <c r="V176" s="1"/>
      <c r="Z176" s="18"/>
      <c r="AD176" s="18"/>
      <c r="AH176" s="18"/>
      <c r="AL176" s="18"/>
      <c r="AM176" s="22"/>
      <c r="AN176" s="22"/>
      <c r="AO176" s="22"/>
      <c r="AP176" s="22"/>
      <c r="AQ176" s="22"/>
      <c r="AR176" s="22"/>
      <c r="AS176" s="22"/>
      <c r="AT176" s="22"/>
    </row>
    <row r="177" spans="7:46" ht="13">
      <c r="G177" s="34"/>
      <c r="J177" s="18"/>
      <c r="N177" s="18"/>
      <c r="O177" s="1"/>
      <c r="P177" s="1"/>
      <c r="Q177" s="1"/>
      <c r="R177" s="18"/>
      <c r="S177" s="1"/>
      <c r="T177" s="1"/>
      <c r="U177" s="1"/>
      <c r="V177" s="1"/>
      <c r="Z177" s="18"/>
      <c r="AD177" s="18"/>
      <c r="AH177" s="18"/>
      <c r="AL177" s="18"/>
      <c r="AM177" s="22"/>
      <c r="AN177" s="22"/>
      <c r="AO177" s="22"/>
      <c r="AP177" s="22"/>
      <c r="AQ177" s="22"/>
      <c r="AR177" s="22"/>
      <c r="AS177" s="22"/>
      <c r="AT177" s="22"/>
    </row>
    <row r="178" spans="7:46" ht="13">
      <c r="G178" s="34"/>
      <c r="J178" s="18"/>
      <c r="N178" s="18"/>
      <c r="O178" s="1"/>
      <c r="P178" s="1"/>
      <c r="Q178" s="1"/>
      <c r="R178" s="18"/>
      <c r="S178" s="1"/>
      <c r="T178" s="1"/>
      <c r="U178" s="1"/>
      <c r="V178" s="1"/>
      <c r="Z178" s="18"/>
      <c r="AD178" s="18"/>
      <c r="AH178" s="18"/>
      <c r="AL178" s="18"/>
      <c r="AM178" s="22"/>
      <c r="AN178" s="22"/>
      <c r="AO178" s="22"/>
      <c r="AP178" s="22"/>
      <c r="AQ178" s="22"/>
      <c r="AR178" s="22"/>
      <c r="AS178" s="22"/>
      <c r="AT178" s="22"/>
    </row>
    <row r="179" spans="7:46" ht="13">
      <c r="G179" s="34"/>
      <c r="J179" s="18"/>
      <c r="N179" s="18"/>
      <c r="O179" s="1"/>
      <c r="P179" s="1"/>
      <c r="Q179" s="1"/>
      <c r="R179" s="18"/>
      <c r="S179" s="1"/>
      <c r="T179" s="1"/>
      <c r="U179" s="1"/>
      <c r="V179" s="1"/>
      <c r="Z179" s="18"/>
      <c r="AD179" s="18"/>
      <c r="AH179" s="18"/>
      <c r="AL179" s="18"/>
      <c r="AM179" s="22"/>
      <c r="AN179" s="22"/>
      <c r="AO179" s="22"/>
      <c r="AP179" s="22"/>
      <c r="AQ179" s="22"/>
      <c r="AR179" s="22"/>
      <c r="AS179" s="22"/>
      <c r="AT179" s="22"/>
    </row>
    <row r="180" spans="7:46" ht="13">
      <c r="G180" s="34"/>
      <c r="J180" s="18"/>
      <c r="N180" s="18"/>
      <c r="O180" s="1"/>
      <c r="P180" s="1"/>
      <c r="Q180" s="1"/>
      <c r="R180" s="18"/>
      <c r="S180" s="1"/>
      <c r="T180" s="1"/>
      <c r="U180" s="1"/>
      <c r="V180" s="1"/>
      <c r="Z180" s="18"/>
      <c r="AD180" s="18"/>
      <c r="AH180" s="18"/>
      <c r="AL180" s="18"/>
      <c r="AM180" s="22"/>
      <c r="AN180" s="22"/>
      <c r="AO180" s="22"/>
      <c r="AP180" s="22"/>
      <c r="AQ180" s="22"/>
      <c r="AR180" s="22"/>
      <c r="AS180" s="22"/>
      <c r="AT180" s="22"/>
    </row>
    <row r="181" spans="7:46" ht="13">
      <c r="G181" s="34"/>
      <c r="J181" s="18"/>
      <c r="N181" s="18"/>
      <c r="O181" s="1"/>
      <c r="P181" s="1"/>
      <c r="Q181" s="1"/>
      <c r="R181" s="18"/>
      <c r="S181" s="1"/>
      <c r="T181" s="1"/>
      <c r="U181" s="1"/>
      <c r="V181" s="1"/>
      <c r="Z181" s="18"/>
      <c r="AD181" s="18"/>
      <c r="AH181" s="18"/>
      <c r="AL181" s="18"/>
      <c r="AM181" s="22"/>
      <c r="AN181" s="22"/>
      <c r="AO181" s="22"/>
      <c r="AP181" s="22"/>
      <c r="AQ181" s="22"/>
      <c r="AR181" s="22"/>
      <c r="AS181" s="22"/>
      <c r="AT181" s="22"/>
    </row>
    <row r="182" spans="7:46" ht="13">
      <c r="G182" s="34"/>
      <c r="J182" s="18"/>
      <c r="N182" s="18"/>
      <c r="O182" s="1"/>
      <c r="P182" s="1"/>
      <c r="Q182" s="1"/>
      <c r="R182" s="18"/>
      <c r="S182" s="1"/>
      <c r="T182" s="1"/>
      <c r="U182" s="1"/>
      <c r="V182" s="1"/>
      <c r="Z182" s="18"/>
      <c r="AD182" s="18"/>
      <c r="AH182" s="18"/>
      <c r="AL182" s="18"/>
      <c r="AM182" s="22"/>
      <c r="AN182" s="22"/>
      <c r="AO182" s="22"/>
      <c r="AP182" s="22"/>
      <c r="AQ182" s="22"/>
      <c r="AR182" s="22"/>
      <c r="AS182" s="22"/>
      <c r="AT182" s="22"/>
    </row>
    <row r="183" spans="7:46" ht="13">
      <c r="G183" s="34"/>
      <c r="J183" s="18"/>
      <c r="N183" s="18"/>
      <c r="O183" s="1"/>
      <c r="P183" s="1"/>
      <c r="Q183" s="1"/>
      <c r="R183" s="18"/>
      <c r="S183" s="1"/>
      <c r="T183" s="1"/>
      <c r="U183" s="1"/>
      <c r="V183" s="1"/>
      <c r="Z183" s="18"/>
      <c r="AD183" s="18"/>
      <c r="AH183" s="18"/>
      <c r="AL183" s="18"/>
      <c r="AM183" s="22"/>
      <c r="AN183" s="22"/>
      <c r="AO183" s="22"/>
      <c r="AP183" s="22"/>
      <c r="AQ183" s="22"/>
      <c r="AR183" s="22"/>
      <c r="AS183" s="22"/>
      <c r="AT183" s="22"/>
    </row>
    <row r="184" spans="7:46" ht="13">
      <c r="G184" s="34"/>
      <c r="J184" s="18"/>
      <c r="N184" s="18"/>
      <c r="O184" s="1"/>
      <c r="P184" s="1"/>
      <c r="Q184" s="1"/>
      <c r="R184" s="18"/>
      <c r="S184" s="1"/>
      <c r="T184" s="1"/>
      <c r="U184" s="1"/>
      <c r="V184" s="1"/>
      <c r="Z184" s="18"/>
      <c r="AD184" s="18"/>
      <c r="AH184" s="18"/>
      <c r="AL184" s="18"/>
      <c r="AM184" s="22"/>
      <c r="AN184" s="22"/>
      <c r="AO184" s="22"/>
      <c r="AP184" s="22"/>
      <c r="AQ184" s="22"/>
      <c r="AR184" s="22"/>
      <c r="AS184" s="22"/>
      <c r="AT184" s="22"/>
    </row>
    <row r="185" spans="7:46" ht="13">
      <c r="G185" s="34"/>
      <c r="J185" s="18"/>
      <c r="N185" s="18"/>
      <c r="O185" s="1"/>
      <c r="P185" s="1"/>
      <c r="Q185" s="1"/>
      <c r="R185" s="18"/>
      <c r="S185" s="1"/>
      <c r="T185" s="1"/>
      <c r="U185" s="1"/>
      <c r="V185" s="1"/>
      <c r="Z185" s="18"/>
      <c r="AD185" s="18"/>
      <c r="AH185" s="18"/>
      <c r="AL185" s="18"/>
      <c r="AM185" s="22"/>
      <c r="AN185" s="22"/>
      <c r="AO185" s="22"/>
      <c r="AP185" s="22"/>
      <c r="AQ185" s="22"/>
      <c r="AR185" s="22"/>
      <c r="AS185" s="22"/>
      <c r="AT185" s="22"/>
    </row>
    <row r="186" spans="7:46" ht="13">
      <c r="G186" s="34"/>
      <c r="J186" s="18"/>
      <c r="N186" s="18"/>
      <c r="O186" s="1"/>
      <c r="P186" s="1"/>
      <c r="Q186" s="1"/>
      <c r="R186" s="18"/>
      <c r="S186" s="1"/>
      <c r="T186" s="1"/>
      <c r="U186" s="1"/>
      <c r="V186" s="1"/>
      <c r="Z186" s="18"/>
      <c r="AD186" s="18"/>
      <c r="AH186" s="18"/>
      <c r="AL186" s="18"/>
      <c r="AM186" s="22"/>
      <c r="AN186" s="22"/>
      <c r="AO186" s="22"/>
      <c r="AP186" s="22"/>
      <c r="AQ186" s="22"/>
      <c r="AR186" s="22"/>
      <c r="AS186" s="22"/>
      <c r="AT186" s="22"/>
    </row>
    <row r="187" spans="7:46" ht="13">
      <c r="G187" s="34"/>
      <c r="J187" s="18"/>
      <c r="N187" s="18"/>
      <c r="O187" s="1"/>
      <c r="P187" s="1"/>
      <c r="Q187" s="1"/>
      <c r="R187" s="18"/>
      <c r="S187" s="1"/>
      <c r="T187" s="1"/>
      <c r="U187" s="1"/>
      <c r="V187" s="1"/>
      <c r="Z187" s="18"/>
      <c r="AD187" s="18"/>
      <c r="AH187" s="18"/>
      <c r="AL187" s="18"/>
      <c r="AM187" s="22"/>
      <c r="AN187" s="22"/>
      <c r="AO187" s="22"/>
      <c r="AP187" s="22"/>
      <c r="AQ187" s="22"/>
      <c r="AR187" s="22"/>
      <c r="AS187" s="22"/>
      <c r="AT187" s="22"/>
    </row>
    <row r="188" spans="7:46" ht="13">
      <c r="G188" s="34"/>
      <c r="J188" s="18"/>
      <c r="N188" s="18"/>
      <c r="O188" s="1"/>
      <c r="P188" s="1"/>
      <c r="Q188" s="1"/>
      <c r="R188" s="18"/>
      <c r="S188" s="1"/>
      <c r="T188" s="1"/>
      <c r="U188" s="1"/>
      <c r="V188" s="1"/>
      <c r="Z188" s="18"/>
      <c r="AD188" s="18"/>
      <c r="AH188" s="18"/>
      <c r="AL188" s="18"/>
      <c r="AM188" s="22"/>
      <c r="AN188" s="22"/>
      <c r="AO188" s="22"/>
      <c r="AP188" s="22"/>
      <c r="AQ188" s="22"/>
      <c r="AR188" s="22"/>
      <c r="AS188" s="22"/>
      <c r="AT188" s="22"/>
    </row>
    <row r="189" spans="7:46" ht="13">
      <c r="G189" s="34"/>
      <c r="J189" s="18"/>
      <c r="N189" s="18"/>
      <c r="O189" s="1"/>
      <c r="P189" s="1"/>
      <c r="Q189" s="1"/>
      <c r="R189" s="18"/>
      <c r="S189" s="1"/>
      <c r="T189" s="1"/>
      <c r="U189" s="1"/>
      <c r="V189" s="1"/>
      <c r="Z189" s="18"/>
      <c r="AD189" s="18"/>
      <c r="AH189" s="18"/>
      <c r="AL189" s="18"/>
      <c r="AM189" s="22"/>
      <c r="AN189" s="22"/>
      <c r="AO189" s="22"/>
      <c r="AP189" s="22"/>
      <c r="AQ189" s="22"/>
      <c r="AR189" s="22"/>
      <c r="AS189" s="22"/>
      <c r="AT189" s="22"/>
    </row>
    <row r="190" spans="7:46" ht="13">
      <c r="G190" s="34"/>
      <c r="J190" s="18"/>
      <c r="N190" s="18"/>
      <c r="O190" s="1"/>
      <c r="P190" s="1"/>
      <c r="Q190" s="1"/>
      <c r="R190" s="18"/>
      <c r="S190" s="1"/>
      <c r="T190" s="1"/>
      <c r="U190" s="1"/>
      <c r="V190" s="1"/>
      <c r="Z190" s="18"/>
      <c r="AD190" s="18"/>
      <c r="AH190" s="18"/>
      <c r="AL190" s="18"/>
      <c r="AM190" s="22"/>
      <c r="AN190" s="22"/>
      <c r="AO190" s="22"/>
      <c r="AP190" s="22"/>
      <c r="AQ190" s="22"/>
      <c r="AR190" s="22"/>
      <c r="AS190" s="22"/>
      <c r="AT190" s="22"/>
    </row>
    <row r="191" spans="7:46" ht="13">
      <c r="G191" s="34"/>
      <c r="J191" s="18"/>
      <c r="N191" s="18"/>
      <c r="O191" s="1"/>
      <c r="P191" s="1"/>
      <c r="Q191" s="1"/>
      <c r="R191" s="18"/>
      <c r="S191" s="1"/>
      <c r="T191" s="1"/>
      <c r="U191" s="1"/>
      <c r="V191" s="1"/>
      <c r="Z191" s="18"/>
      <c r="AD191" s="18"/>
      <c r="AH191" s="18"/>
      <c r="AL191" s="18"/>
      <c r="AM191" s="22"/>
      <c r="AN191" s="22"/>
      <c r="AO191" s="22"/>
      <c r="AP191" s="22"/>
      <c r="AQ191" s="22"/>
      <c r="AR191" s="22"/>
      <c r="AS191" s="22"/>
      <c r="AT191" s="22"/>
    </row>
    <row r="192" spans="7:46" ht="13">
      <c r="G192" s="34"/>
      <c r="J192" s="18"/>
      <c r="N192" s="18"/>
      <c r="O192" s="1"/>
      <c r="P192" s="1"/>
      <c r="Q192" s="1"/>
      <c r="R192" s="18"/>
      <c r="S192" s="1"/>
      <c r="T192" s="1"/>
      <c r="U192" s="1"/>
      <c r="V192" s="1"/>
      <c r="Z192" s="18"/>
      <c r="AD192" s="18"/>
      <c r="AH192" s="18"/>
      <c r="AL192" s="18"/>
      <c r="AM192" s="22"/>
      <c r="AN192" s="22"/>
      <c r="AO192" s="22"/>
      <c r="AP192" s="22"/>
      <c r="AQ192" s="22"/>
      <c r="AR192" s="22"/>
      <c r="AS192" s="22"/>
      <c r="AT192" s="22"/>
    </row>
    <row r="193" spans="7:46" ht="13">
      <c r="G193" s="34"/>
      <c r="J193" s="18"/>
      <c r="N193" s="18"/>
      <c r="O193" s="1"/>
      <c r="P193" s="1"/>
      <c r="Q193" s="1"/>
      <c r="R193" s="18"/>
      <c r="S193" s="1"/>
      <c r="T193" s="1"/>
      <c r="U193" s="1"/>
      <c r="V193" s="1"/>
      <c r="Z193" s="18"/>
      <c r="AD193" s="18"/>
      <c r="AH193" s="18"/>
      <c r="AL193" s="18"/>
      <c r="AM193" s="22"/>
      <c r="AN193" s="22"/>
      <c r="AO193" s="22"/>
      <c r="AP193" s="22"/>
      <c r="AQ193" s="22"/>
      <c r="AR193" s="22"/>
      <c r="AS193" s="22"/>
      <c r="AT193" s="22"/>
    </row>
    <row r="194" spans="7:46" ht="13">
      <c r="G194" s="34"/>
      <c r="J194" s="18"/>
      <c r="N194" s="18"/>
      <c r="O194" s="1"/>
      <c r="P194" s="1"/>
      <c r="Q194" s="1"/>
      <c r="R194" s="18"/>
      <c r="S194" s="1"/>
      <c r="T194" s="1"/>
      <c r="U194" s="1"/>
      <c r="V194" s="1"/>
      <c r="Z194" s="18"/>
      <c r="AD194" s="18"/>
      <c r="AH194" s="18"/>
      <c r="AL194" s="18"/>
      <c r="AM194" s="22"/>
      <c r="AN194" s="22"/>
      <c r="AO194" s="22"/>
      <c r="AP194" s="22"/>
      <c r="AQ194" s="22"/>
      <c r="AR194" s="22"/>
      <c r="AS194" s="22"/>
      <c r="AT194" s="22"/>
    </row>
    <row r="195" spans="7:46" ht="13">
      <c r="G195" s="34"/>
      <c r="J195" s="18"/>
      <c r="N195" s="18"/>
      <c r="O195" s="1"/>
      <c r="P195" s="1"/>
      <c r="Q195" s="1"/>
      <c r="R195" s="18"/>
      <c r="S195" s="1"/>
      <c r="T195" s="1"/>
      <c r="U195" s="1"/>
      <c r="V195" s="1"/>
      <c r="Z195" s="18"/>
      <c r="AD195" s="18"/>
      <c r="AH195" s="18"/>
      <c r="AL195" s="18"/>
      <c r="AM195" s="22"/>
      <c r="AN195" s="22"/>
      <c r="AO195" s="22"/>
      <c r="AP195" s="22"/>
      <c r="AQ195" s="22"/>
      <c r="AR195" s="22"/>
      <c r="AS195" s="22"/>
      <c r="AT195" s="22"/>
    </row>
    <row r="196" spans="7:46" ht="13">
      <c r="G196" s="34"/>
      <c r="J196" s="18"/>
      <c r="N196" s="18"/>
      <c r="O196" s="1"/>
      <c r="P196" s="1"/>
      <c r="Q196" s="1"/>
      <c r="R196" s="18"/>
      <c r="S196" s="1"/>
      <c r="T196" s="1"/>
      <c r="U196" s="1"/>
      <c r="V196" s="1"/>
      <c r="Z196" s="18"/>
      <c r="AD196" s="18"/>
      <c r="AH196" s="18"/>
      <c r="AL196" s="18"/>
      <c r="AM196" s="22"/>
      <c r="AN196" s="22"/>
      <c r="AO196" s="22"/>
      <c r="AP196" s="22"/>
      <c r="AQ196" s="22"/>
      <c r="AR196" s="22"/>
      <c r="AS196" s="22"/>
      <c r="AT196" s="22"/>
    </row>
    <row r="197" spans="7:46" ht="13">
      <c r="G197" s="34"/>
      <c r="J197" s="18"/>
      <c r="N197" s="18"/>
      <c r="O197" s="1"/>
      <c r="P197" s="1"/>
      <c r="Q197" s="1"/>
      <c r="R197" s="18"/>
      <c r="S197" s="1"/>
      <c r="T197" s="1"/>
      <c r="U197" s="1"/>
      <c r="V197" s="1"/>
      <c r="Z197" s="18"/>
      <c r="AD197" s="18"/>
      <c r="AH197" s="18"/>
      <c r="AL197" s="18"/>
      <c r="AM197" s="22"/>
      <c r="AN197" s="22"/>
      <c r="AO197" s="22"/>
      <c r="AP197" s="22"/>
      <c r="AQ197" s="22"/>
      <c r="AR197" s="22"/>
      <c r="AS197" s="22"/>
      <c r="AT197" s="22"/>
    </row>
    <row r="198" spans="7:46" ht="13">
      <c r="G198" s="34"/>
      <c r="J198" s="18"/>
      <c r="N198" s="18"/>
      <c r="O198" s="1"/>
      <c r="P198" s="1"/>
      <c r="Q198" s="1"/>
      <c r="R198" s="18"/>
      <c r="S198" s="1"/>
      <c r="T198" s="1"/>
      <c r="U198" s="1"/>
      <c r="V198" s="1"/>
      <c r="Z198" s="18"/>
      <c r="AD198" s="18"/>
      <c r="AH198" s="18"/>
      <c r="AL198" s="18"/>
      <c r="AM198" s="22"/>
      <c r="AN198" s="22"/>
      <c r="AO198" s="22"/>
      <c r="AP198" s="22"/>
      <c r="AQ198" s="22"/>
      <c r="AR198" s="22"/>
      <c r="AS198" s="22"/>
      <c r="AT198" s="22"/>
    </row>
    <row r="199" spans="7:46" ht="13">
      <c r="G199" s="34"/>
      <c r="J199" s="18"/>
      <c r="N199" s="18"/>
      <c r="O199" s="1"/>
      <c r="P199" s="1"/>
      <c r="Q199" s="1"/>
      <c r="R199" s="18"/>
      <c r="S199" s="1"/>
      <c r="T199" s="1"/>
      <c r="U199" s="1"/>
      <c r="V199" s="1"/>
      <c r="Z199" s="18"/>
      <c r="AD199" s="18"/>
      <c r="AH199" s="18"/>
      <c r="AL199" s="18"/>
      <c r="AM199" s="22"/>
      <c r="AN199" s="22"/>
      <c r="AO199" s="22"/>
      <c r="AP199" s="22"/>
      <c r="AQ199" s="22"/>
      <c r="AR199" s="22"/>
      <c r="AS199" s="22"/>
      <c r="AT199" s="22"/>
    </row>
    <row r="200" spans="7:46" ht="13">
      <c r="G200" s="34"/>
      <c r="J200" s="18"/>
      <c r="N200" s="18"/>
      <c r="O200" s="1"/>
      <c r="P200" s="1"/>
      <c r="Q200" s="1"/>
      <c r="R200" s="18"/>
      <c r="S200" s="1"/>
      <c r="T200" s="1"/>
      <c r="U200" s="1"/>
      <c r="V200" s="1"/>
      <c r="Z200" s="18"/>
      <c r="AD200" s="18"/>
      <c r="AH200" s="18"/>
      <c r="AL200" s="18"/>
      <c r="AM200" s="22"/>
      <c r="AN200" s="22"/>
      <c r="AO200" s="22"/>
      <c r="AP200" s="22"/>
      <c r="AQ200" s="22"/>
      <c r="AR200" s="22"/>
      <c r="AS200" s="22"/>
      <c r="AT200" s="22"/>
    </row>
    <row r="201" spans="7:46" ht="13">
      <c r="G201" s="34"/>
      <c r="J201" s="18"/>
      <c r="N201" s="18"/>
      <c r="O201" s="1"/>
      <c r="P201" s="1"/>
      <c r="Q201" s="1"/>
      <c r="R201" s="18"/>
      <c r="S201" s="1"/>
      <c r="T201" s="1"/>
      <c r="U201" s="1"/>
      <c r="V201" s="1"/>
      <c r="Z201" s="18"/>
      <c r="AD201" s="18"/>
      <c r="AH201" s="18"/>
      <c r="AL201" s="18"/>
      <c r="AM201" s="22"/>
      <c r="AN201" s="22"/>
      <c r="AO201" s="22"/>
      <c r="AP201" s="22"/>
      <c r="AQ201" s="22"/>
      <c r="AR201" s="22"/>
      <c r="AS201" s="22"/>
      <c r="AT201" s="22"/>
    </row>
    <row r="202" spans="7:46" ht="13">
      <c r="G202" s="34"/>
      <c r="J202" s="18"/>
      <c r="N202" s="18"/>
      <c r="O202" s="1"/>
      <c r="P202" s="1"/>
      <c r="Q202" s="1"/>
      <c r="R202" s="18"/>
      <c r="S202" s="1"/>
      <c r="T202" s="1"/>
      <c r="U202" s="1"/>
      <c r="V202" s="1"/>
      <c r="Z202" s="18"/>
      <c r="AD202" s="18"/>
      <c r="AH202" s="18"/>
      <c r="AL202" s="18"/>
      <c r="AM202" s="22"/>
      <c r="AN202" s="22"/>
      <c r="AO202" s="22"/>
      <c r="AP202" s="22"/>
      <c r="AQ202" s="22"/>
      <c r="AR202" s="22"/>
      <c r="AS202" s="22"/>
      <c r="AT202" s="22"/>
    </row>
    <row r="203" spans="7:46" ht="13">
      <c r="G203" s="34"/>
      <c r="J203" s="18"/>
      <c r="N203" s="18"/>
      <c r="O203" s="1"/>
      <c r="P203" s="1"/>
      <c r="Q203" s="1"/>
      <c r="R203" s="18"/>
      <c r="S203" s="1"/>
      <c r="T203" s="1"/>
      <c r="U203" s="1"/>
      <c r="V203" s="1"/>
      <c r="Z203" s="18"/>
      <c r="AD203" s="18"/>
      <c r="AH203" s="18"/>
      <c r="AL203" s="18"/>
      <c r="AM203" s="22"/>
      <c r="AN203" s="22"/>
      <c r="AO203" s="22"/>
      <c r="AP203" s="22"/>
      <c r="AQ203" s="22"/>
      <c r="AR203" s="22"/>
      <c r="AS203" s="22"/>
      <c r="AT203" s="22"/>
    </row>
    <row r="204" spans="7:46" ht="13">
      <c r="G204" s="34"/>
      <c r="J204" s="18"/>
      <c r="N204" s="18"/>
      <c r="O204" s="1"/>
      <c r="P204" s="1"/>
      <c r="Q204" s="1"/>
      <c r="R204" s="18"/>
      <c r="S204" s="1"/>
      <c r="T204" s="1"/>
      <c r="U204" s="1"/>
      <c r="V204" s="1"/>
      <c r="Z204" s="18"/>
      <c r="AD204" s="18"/>
      <c r="AH204" s="18"/>
      <c r="AL204" s="18"/>
      <c r="AM204" s="22"/>
      <c r="AN204" s="22"/>
      <c r="AO204" s="22"/>
      <c r="AP204" s="22"/>
      <c r="AQ204" s="22"/>
      <c r="AR204" s="22"/>
      <c r="AS204" s="22"/>
      <c r="AT204" s="22"/>
    </row>
    <row r="205" spans="7:46" ht="13">
      <c r="G205" s="34"/>
      <c r="J205" s="18"/>
      <c r="N205" s="18"/>
      <c r="O205" s="1"/>
      <c r="P205" s="1"/>
      <c r="Q205" s="1"/>
      <c r="R205" s="18"/>
      <c r="S205" s="1"/>
      <c r="T205" s="1"/>
      <c r="U205" s="1"/>
      <c r="V205" s="1"/>
      <c r="Z205" s="18"/>
      <c r="AD205" s="18"/>
      <c r="AH205" s="18"/>
      <c r="AL205" s="18"/>
      <c r="AM205" s="22"/>
      <c r="AN205" s="22"/>
      <c r="AO205" s="22"/>
      <c r="AP205" s="22"/>
      <c r="AQ205" s="22"/>
      <c r="AR205" s="22"/>
      <c r="AS205" s="22"/>
      <c r="AT205" s="22"/>
    </row>
    <row r="206" spans="7:46" ht="13">
      <c r="G206" s="34"/>
      <c r="J206" s="18"/>
      <c r="N206" s="18"/>
      <c r="O206" s="1"/>
      <c r="P206" s="1"/>
      <c r="Q206" s="1"/>
      <c r="R206" s="18"/>
      <c r="S206" s="1"/>
      <c r="T206" s="1"/>
      <c r="U206" s="1"/>
      <c r="V206" s="1"/>
      <c r="Z206" s="18"/>
      <c r="AD206" s="18"/>
      <c r="AH206" s="18"/>
      <c r="AL206" s="18"/>
      <c r="AM206" s="22"/>
      <c r="AN206" s="22"/>
      <c r="AO206" s="22"/>
      <c r="AP206" s="22"/>
      <c r="AQ206" s="22"/>
      <c r="AR206" s="22"/>
      <c r="AS206" s="22"/>
      <c r="AT206" s="22"/>
    </row>
    <row r="207" spans="7:46" ht="13">
      <c r="G207" s="34"/>
      <c r="J207" s="18"/>
      <c r="N207" s="18"/>
      <c r="O207" s="1"/>
      <c r="P207" s="1"/>
      <c r="Q207" s="1"/>
      <c r="R207" s="18"/>
      <c r="S207" s="1"/>
      <c r="T207" s="1"/>
      <c r="U207" s="1"/>
      <c r="V207" s="1"/>
      <c r="Z207" s="18"/>
      <c r="AD207" s="18"/>
      <c r="AH207" s="18"/>
      <c r="AL207" s="18"/>
      <c r="AM207" s="22"/>
      <c r="AN207" s="22"/>
      <c r="AO207" s="22"/>
      <c r="AP207" s="22"/>
      <c r="AQ207" s="22"/>
      <c r="AR207" s="22"/>
      <c r="AS207" s="22"/>
      <c r="AT207" s="22"/>
    </row>
    <row r="208" spans="7:46" ht="13">
      <c r="G208" s="34"/>
      <c r="J208" s="18"/>
      <c r="N208" s="18"/>
      <c r="O208" s="1"/>
      <c r="P208" s="1"/>
      <c r="Q208" s="1"/>
      <c r="R208" s="18"/>
      <c r="S208" s="1"/>
      <c r="T208" s="1"/>
      <c r="U208" s="1"/>
      <c r="V208" s="1"/>
      <c r="Z208" s="18"/>
      <c r="AD208" s="18"/>
      <c r="AH208" s="18"/>
      <c r="AL208" s="18"/>
      <c r="AM208" s="22"/>
      <c r="AN208" s="22"/>
      <c r="AO208" s="22"/>
      <c r="AP208" s="22"/>
      <c r="AQ208" s="22"/>
      <c r="AR208" s="22"/>
      <c r="AS208" s="22"/>
      <c r="AT208" s="22"/>
    </row>
    <row r="209" spans="7:46" ht="13">
      <c r="G209" s="34"/>
      <c r="J209" s="18"/>
      <c r="N209" s="18"/>
      <c r="O209" s="1"/>
      <c r="P209" s="1"/>
      <c r="Q209" s="1"/>
      <c r="R209" s="18"/>
      <c r="S209" s="1"/>
      <c r="T209" s="1"/>
      <c r="U209" s="1"/>
      <c r="V209" s="1"/>
      <c r="Z209" s="18"/>
      <c r="AD209" s="18"/>
      <c r="AH209" s="18"/>
      <c r="AL209" s="18"/>
      <c r="AM209" s="22"/>
      <c r="AN209" s="22"/>
      <c r="AO209" s="22"/>
      <c r="AP209" s="22"/>
      <c r="AQ209" s="22"/>
      <c r="AR209" s="22"/>
      <c r="AS209" s="22"/>
      <c r="AT209" s="22"/>
    </row>
    <row r="210" spans="7:46" ht="13">
      <c r="G210" s="34"/>
      <c r="J210" s="18"/>
      <c r="N210" s="18"/>
      <c r="O210" s="1"/>
      <c r="P210" s="1"/>
      <c r="Q210" s="1"/>
      <c r="R210" s="18"/>
      <c r="S210" s="1"/>
      <c r="T210" s="1"/>
      <c r="U210" s="1"/>
      <c r="V210" s="1"/>
      <c r="Z210" s="18"/>
      <c r="AD210" s="18"/>
      <c r="AH210" s="18"/>
      <c r="AL210" s="18"/>
      <c r="AM210" s="22"/>
      <c r="AN210" s="22"/>
      <c r="AO210" s="22"/>
      <c r="AP210" s="22"/>
      <c r="AQ210" s="22"/>
      <c r="AR210" s="22"/>
      <c r="AS210" s="22"/>
      <c r="AT210" s="22"/>
    </row>
    <row r="211" spans="7:46" ht="13">
      <c r="G211" s="34"/>
      <c r="J211" s="18"/>
      <c r="N211" s="18"/>
      <c r="O211" s="1"/>
      <c r="P211" s="1"/>
      <c r="Q211" s="1"/>
      <c r="R211" s="18"/>
      <c r="S211" s="1"/>
      <c r="T211" s="1"/>
      <c r="U211" s="1"/>
      <c r="V211" s="1"/>
      <c r="Z211" s="18"/>
      <c r="AD211" s="18"/>
      <c r="AH211" s="18"/>
      <c r="AL211" s="18"/>
      <c r="AM211" s="22"/>
      <c r="AN211" s="22"/>
      <c r="AO211" s="22"/>
      <c r="AP211" s="22"/>
      <c r="AQ211" s="22"/>
      <c r="AR211" s="22"/>
      <c r="AS211" s="22"/>
      <c r="AT211" s="22"/>
    </row>
    <row r="212" spans="7:46" ht="13">
      <c r="G212" s="34"/>
      <c r="J212" s="18"/>
      <c r="N212" s="18"/>
      <c r="O212" s="1"/>
      <c r="P212" s="1"/>
      <c r="Q212" s="1"/>
      <c r="R212" s="18"/>
      <c r="S212" s="1"/>
      <c r="T212" s="1"/>
      <c r="U212" s="1"/>
      <c r="V212" s="1"/>
      <c r="Z212" s="18"/>
      <c r="AD212" s="18"/>
      <c r="AH212" s="18"/>
      <c r="AL212" s="18"/>
      <c r="AM212" s="22"/>
      <c r="AN212" s="22"/>
      <c r="AO212" s="22"/>
      <c r="AP212" s="22"/>
      <c r="AQ212" s="22"/>
      <c r="AR212" s="22"/>
      <c r="AS212" s="22"/>
      <c r="AT212" s="22"/>
    </row>
    <row r="213" spans="7:46" ht="13">
      <c r="G213" s="34"/>
      <c r="J213" s="18"/>
      <c r="N213" s="18"/>
      <c r="O213" s="1"/>
      <c r="P213" s="1"/>
      <c r="Q213" s="1"/>
      <c r="R213" s="18"/>
      <c r="S213" s="1"/>
      <c r="T213" s="1"/>
      <c r="U213" s="1"/>
      <c r="V213" s="1"/>
      <c r="Z213" s="18"/>
      <c r="AD213" s="18"/>
      <c r="AH213" s="18"/>
      <c r="AL213" s="18"/>
      <c r="AM213" s="22"/>
      <c r="AN213" s="22"/>
      <c r="AO213" s="22"/>
      <c r="AP213" s="22"/>
      <c r="AQ213" s="22"/>
      <c r="AR213" s="22"/>
      <c r="AS213" s="22"/>
      <c r="AT213" s="22"/>
    </row>
    <row r="214" spans="7:46" ht="13">
      <c r="G214" s="34"/>
      <c r="J214" s="18"/>
      <c r="N214" s="18"/>
      <c r="O214" s="1"/>
      <c r="P214" s="1"/>
      <c r="Q214" s="1"/>
      <c r="R214" s="18"/>
      <c r="S214" s="1"/>
      <c r="T214" s="1"/>
      <c r="U214" s="1"/>
      <c r="V214" s="1"/>
      <c r="Z214" s="18"/>
      <c r="AD214" s="18"/>
      <c r="AH214" s="18"/>
      <c r="AL214" s="18"/>
      <c r="AM214" s="22"/>
      <c r="AN214" s="22"/>
      <c r="AO214" s="22"/>
      <c r="AP214" s="22"/>
      <c r="AQ214" s="22"/>
      <c r="AR214" s="22"/>
      <c r="AS214" s="22"/>
      <c r="AT214" s="22"/>
    </row>
    <row r="215" spans="7:46" ht="13">
      <c r="G215" s="34"/>
      <c r="J215" s="18"/>
      <c r="N215" s="18"/>
      <c r="O215" s="1"/>
      <c r="P215" s="1"/>
      <c r="Q215" s="1"/>
      <c r="R215" s="18"/>
      <c r="S215" s="1"/>
      <c r="T215" s="1"/>
      <c r="U215" s="1"/>
      <c r="V215" s="1"/>
      <c r="Z215" s="18"/>
      <c r="AD215" s="18"/>
      <c r="AH215" s="18"/>
      <c r="AL215" s="18"/>
      <c r="AM215" s="22"/>
      <c r="AN215" s="22"/>
      <c r="AO215" s="22"/>
      <c r="AP215" s="22"/>
      <c r="AQ215" s="22"/>
      <c r="AR215" s="22"/>
      <c r="AS215" s="22"/>
      <c r="AT215" s="22"/>
    </row>
    <row r="216" spans="7:46" ht="13">
      <c r="G216" s="34"/>
      <c r="J216" s="18"/>
      <c r="N216" s="18"/>
      <c r="O216" s="1"/>
      <c r="P216" s="1"/>
      <c r="Q216" s="1"/>
      <c r="R216" s="18"/>
      <c r="S216" s="1"/>
      <c r="T216" s="1"/>
      <c r="U216" s="1"/>
      <c r="V216" s="1"/>
      <c r="Z216" s="18"/>
      <c r="AD216" s="18"/>
      <c r="AH216" s="18"/>
      <c r="AL216" s="18"/>
      <c r="AM216" s="22"/>
      <c r="AN216" s="22"/>
      <c r="AO216" s="22"/>
      <c r="AP216" s="22"/>
      <c r="AQ216" s="22"/>
      <c r="AR216" s="22"/>
      <c r="AS216" s="22"/>
      <c r="AT216" s="22"/>
    </row>
    <row r="217" spans="7:46" ht="13">
      <c r="G217" s="34"/>
      <c r="J217" s="18"/>
      <c r="N217" s="18"/>
      <c r="O217" s="1"/>
      <c r="P217" s="1"/>
      <c r="Q217" s="1"/>
      <c r="R217" s="18"/>
      <c r="S217" s="1"/>
      <c r="T217" s="1"/>
      <c r="U217" s="1"/>
      <c r="V217" s="1"/>
      <c r="Z217" s="18"/>
      <c r="AD217" s="18"/>
      <c r="AH217" s="18"/>
      <c r="AL217" s="18"/>
      <c r="AM217" s="22"/>
      <c r="AN217" s="22"/>
      <c r="AO217" s="22"/>
      <c r="AP217" s="22"/>
      <c r="AQ217" s="22"/>
      <c r="AR217" s="22"/>
      <c r="AS217" s="22"/>
      <c r="AT217" s="22"/>
    </row>
    <row r="218" spans="7:46" ht="13">
      <c r="G218" s="34"/>
      <c r="J218" s="18"/>
      <c r="N218" s="18"/>
      <c r="O218" s="1"/>
      <c r="P218" s="1"/>
      <c r="Q218" s="1"/>
      <c r="R218" s="18"/>
      <c r="S218" s="1"/>
      <c r="T218" s="1"/>
      <c r="U218" s="1"/>
      <c r="V218" s="1"/>
      <c r="Z218" s="18"/>
      <c r="AD218" s="18"/>
      <c r="AH218" s="18"/>
      <c r="AL218" s="18"/>
      <c r="AM218" s="22"/>
      <c r="AN218" s="22"/>
      <c r="AO218" s="22"/>
      <c r="AP218" s="22"/>
      <c r="AQ218" s="22"/>
      <c r="AR218" s="22"/>
      <c r="AS218" s="22"/>
      <c r="AT218" s="22"/>
    </row>
    <row r="219" spans="7:46" ht="13">
      <c r="G219" s="34"/>
      <c r="J219" s="18"/>
      <c r="N219" s="18"/>
      <c r="O219" s="1"/>
      <c r="P219" s="1"/>
      <c r="Q219" s="1"/>
      <c r="R219" s="18"/>
      <c r="S219" s="1"/>
      <c r="T219" s="1"/>
      <c r="U219" s="1"/>
      <c r="V219" s="1"/>
      <c r="Z219" s="18"/>
      <c r="AD219" s="18"/>
      <c r="AH219" s="18"/>
      <c r="AL219" s="18"/>
      <c r="AM219" s="22"/>
      <c r="AN219" s="22"/>
      <c r="AO219" s="22"/>
      <c r="AP219" s="22"/>
      <c r="AQ219" s="22"/>
      <c r="AR219" s="22"/>
      <c r="AS219" s="22"/>
      <c r="AT219" s="22"/>
    </row>
    <row r="220" spans="7:46" ht="13">
      <c r="G220" s="34"/>
      <c r="J220" s="18"/>
      <c r="N220" s="18"/>
      <c r="O220" s="1"/>
      <c r="P220" s="1"/>
      <c r="Q220" s="1"/>
      <c r="R220" s="18"/>
      <c r="S220" s="1"/>
      <c r="T220" s="1"/>
      <c r="U220" s="1"/>
      <c r="V220" s="1"/>
      <c r="Z220" s="18"/>
      <c r="AD220" s="18"/>
      <c r="AH220" s="18"/>
      <c r="AL220" s="18"/>
      <c r="AM220" s="22"/>
      <c r="AN220" s="22"/>
      <c r="AO220" s="22"/>
      <c r="AP220" s="22"/>
      <c r="AQ220" s="22"/>
      <c r="AR220" s="22"/>
      <c r="AS220" s="22"/>
      <c r="AT220" s="22"/>
    </row>
    <row r="221" spans="7:46" ht="13">
      <c r="G221" s="34"/>
      <c r="J221" s="18"/>
      <c r="N221" s="18"/>
      <c r="O221" s="1"/>
      <c r="P221" s="1"/>
      <c r="Q221" s="1"/>
      <c r="R221" s="18"/>
      <c r="S221" s="1"/>
      <c r="T221" s="1"/>
      <c r="U221" s="1"/>
      <c r="V221" s="1"/>
      <c r="Z221" s="18"/>
      <c r="AD221" s="18"/>
      <c r="AH221" s="18"/>
      <c r="AL221" s="18"/>
      <c r="AM221" s="22"/>
      <c r="AN221" s="22"/>
      <c r="AO221" s="22"/>
      <c r="AP221" s="22"/>
      <c r="AQ221" s="22"/>
      <c r="AR221" s="22"/>
      <c r="AS221" s="22"/>
      <c r="AT221" s="22"/>
    </row>
    <row r="222" spans="7:46" ht="13">
      <c r="G222" s="34"/>
      <c r="J222" s="18"/>
      <c r="N222" s="18"/>
      <c r="O222" s="1"/>
      <c r="P222" s="1"/>
      <c r="Q222" s="1"/>
      <c r="R222" s="18"/>
      <c r="S222" s="1"/>
      <c r="T222" s="1"/>
      <c r="U222" s="1"/>
      <c r="V222" s="1"/>
      <c r="Z222" s="18"/>
      <c r="AD222" s="18"/>
      <c r="AH222" s="18"/>
      <c r="AL222" s="18"/>
      <c r="AM222" s="22"/>
      <c r="AN222" s="22"/>
      <c r="AO222" s="22"/>
      <c r="AP222" s="22"/>
      <c r="AQ222" s="22"/>
      <c r="AR222" s="22"/>
      <c r="AS222" s="22"/>
      <c r="AT222" s="22"/>
    </row>
    <row r="223" spans="7:46" ht="13">
      <c r="G223" s="34"/>
      <c r="J223" s="18"/>
      <c r="N223" s="18"/>
      <c r="O223" s="1"/>
      <c r="P223" s="1"/>
      <c r="Q223" s="1"/>
      <c r="R223" s="18"/>
      <c r="S223" s="1"/>
      <c r="T223" s="1"/>
      <c r="U223" s="1"/>
      <c r="V223" s="1"/>
      <c r="Z223" s="18"/>
      <c r="AD223" s="18"/>
      <c r="AH223" s="18"/>
      <c r="AL223" s="18"/>
      <c r="AM223" s="22"/>
      <c r="AN223" s="22"/>
      <c r="AO223" s="22"/>
      <c r="AP223" s="22"/>
      <c r="AQ223" s="22"/>
      <c r="AR223" s="22"/>
      <c r="AS223" s="22"/>
      <c r="AT223" s="22"/>
    </row>
    <row r="224" spans="7:46" ht="13">
      <c r="G224" s="34"/>
      <c r="J224" s="18"/>
      <c r="N224" s="18"/>
      <c r="O224" s="1"/>
      <c r="P224" s="1"/>
      <c r="Q224" s="1"/>
      <c r="R224" s="18"/>
      <c r="S224" s="1"/>
      <c r="T224" s="1"/>
      <c r="U224" s="1"/>
      <c r="V224" s="1"/>
      <c r="Z224" s="18"/>
      <c r="AD224" s="18"/>
      <c r="AH224" s="18"/>
      <c r="AL224" s="18"/>
      <c r="AM224" s="22"/>
      <c r="AN224" s="22"/>
      <c r="AO224" s="22"/>
      <c r="AP224" s="22"/>
      <c r="AQ224" s="22"/>
      <c r="AR224" s="22"/>
      <c r="AS224" s="22"/>
      <c r="AT224" s="22"/>
    </row>
    <row r="225" spans="7:46" ht="13">
      <c r="G225" s="34"/>
      <c r="J225" s="18"/>
      <c r="N225" s="18"/>
      <c r="O225" s="1"/>
      <c r="P225" s="1"/>
      <c r="Q225" s="1"/>
      <c r="R225" s="18"/>
      <c r="S225" s="1"/>
      <c r="T225" s="1"/>
      <c r="U225" s="1"/>
      <c r="V225" s="1"/>
      <c r="Z225" s="18"/>
      <c r="AD225" s="18"/>
      <c r="AH225" s="18"/>
      <c r="AL225" s="18"/>
      <c r="AM225" s="22"/>
      <c r="AN225" s="22"/>
      <c r="AO225" s="22"/>
      <c r="AP225" s="22"/>
      <c r="AQ225" s="22"/>
      <c r="AR225" s="22"/>
      <c r="AS225" s="22"/>
      <c r="AT225" s="22"/>
    </row>
    <row r="226" spans="7:46" ht="13">
      <c r="G226" s="34"/>
      <c r="J226" s="18"/>
      <c r="N226" s="18"/>
      <c r="O226" s="1"/>
      <c r="P226" s="1"/>
      <c r="Q226" s="1"/>
      <c r="R226" s="18"/>
      <c r="S226" s="1"/>
      <c r="T226" s="1"/>
      <c r="U226" s="1"/>
      <c r="V226" s="1"/>
      <c r="Z226" s="18"/>
      <c r="AD226" s="18"/>
      <c r="AH226" s="18"/>
      <c r="AL226" s="18"/>
      <c r="AM226" s="22"/>
      <c r="AN226" s="22"/>
      <c r="AO226" s="22"/>
      <c r="AP226" s="22"/>
      <c r="AQ226" s="22"/>
      <c r="AR226" s="22"/>
      <c r="AS226" s="22"/>
      <c r="AT226" s="22"/>
    </row>
    <row r="227" spans="7:46" ht="13">
      <c r="G227" s="34"/>
      <c r="J227" s="18"/>
      <c r="N227" s="18"/>
      <c r="O227" s="1"/>
      <c r="P227" s="1"/>
      <c r="Q227" s="1"/>
      <c r="R227" s="18"/>
      <c r="S227" s="1"/>
      <c r="T227" s="1"/>
      <c r="U227" s="1"/>
      <c r="V227" s="1"/>
      <c r="Z227" s="18"/>
      <c r="AD227" s="18"/>
      <c r="AH227" s="18"/>
      <c r="AL227" s="18"/>
      <c r="AM227" s="22"/>
      <c r="AN227" s="22"/>
      <c r="AO227" s="22"/>
      <c r="AP227" s="22"/>
      <c r="AQ227" s="22"/>
      <c r="AR227" s="22"/>
      <c r="AS227" s="22"/>
      <c r="AT227" s="22"/>
    </row>
    <row r="228" spans="7:46" ht="13">
      <c r="G228" s="34"/>
      <c r="J228" s="18"/>
      <c r="N228" s="18"/>
      <c r="O228" s="1"/>
      <c r="P228" s="1"/>
      <c r="Q228" s="1"/>
      <c r="R228" s="18"/>
      <c r="S228" s="1"/>
      <c r="T228" s="1"/>
      <c r="U228" s="1"/>
      <c r="V228" s="1"/>
      <c r="Z228" s="18"/>
      <c r="AD228" s="18"/>
      <c r="AH228" s="18"/>
      <c r="AL228" s="18"/>
      <c r="AM228" s="22"/>
      <c r="AN228" s="22"/>
      <c r="AO228" s="22"/>
      <c r="AP228" s="22"/>
      <c r="AQ228" s="22"/>
      <c r="AR228" s="22"/>
      <c r="AS228" s="22"/>
      <c r="AT228" s="22"/>
    </row>
    <row r="229" spans="7:46" ht="13">
      <c r="G229" s="34"/>
      <c r="J229" s="18"/>
      <c r="N229" s="18"/>
      <c r="O229" s="1"/>
      <c r="P229" s="1"/>
      <c r="Q229" s="1"/>
      <c r="R229" s="18"/>
      <c r="S229" s="1"/>
      <c r="T229" s="1"/>
      <c r="U229" s="1"/>
      <c r="V229" s="1"/>
      <c r="Z229" s="18"/>
      <c r="AD229" s="18"/>
      <c r="AH229" s="18"/>
      <c r="AL229" s="18"/>
      <c r="AM229" s="22"/>
      <c r="AN229" s="22"/>
      <c r="AO229" s="22"/>
      <c r="AP229" s="22"/>
      <c r="AQ229" s="22"/>
      <c r="AR229" s="22"/>
      <c r="AS229" s="22"/>
      <c r="AT229" s="22"/>
    </row>
    <row r="230" spans="7:46" ht="13">
      <c r="G230" s="34"/>
      <c r="J230" s="18"/>
      <c r="N230" s="18"/>
      <c r="O230" s="1"/>
      <c r="P230" s="1"/>
      <c r="Q230" s="1"/>
      <c r="R230" s="18"/>
      <c r="S230" s="1"/>
      <c r="T230" s="1"/>
      <c r="U230" s="1"/>
      <c r="V230" s="1"/>
      <c r="Z230" s="18"/>
      <c r="AD230" s="18"/>
      <c r="AH230" s="18"/>
      <c r="AL230" s="18"/>
      <c r="AM230" s="22"/>
      <c r="AN230" s="22"/>
      <c r="AO230" s="22"/>
      <c r="AP230" s="22"/>
      <c r="AQ230" s="22"/>
      <c r="AR230" s="22"/>
      <c r="AS230" s="22"/>
      <c r="AT230" s="22"/>
    </row>
    <row r="231" spans="7:46" ht="13">
      <c r="G231" s="34"/>
      <c r="J231" s="18"/>
      <c r="N231" s="18"/>
      <c r="O231" s="1"/>
      <c r="P231" s="1"/>
      <c r="Q231" s="1"/>
      <c r="R231" s="18"/>
      <c r="S231" s="1"/>
      <c r="T231" s="1"/>
      <c r="U231" s="1"/>
      <c r="V231" s="1"/>
      <c r="Z231" s="18"/>
      <c r="AD231" s="18"/>
      <c r="AH231" s="18"/>
      <c r="AL231" s="18"/>
      <c r="AM231" s="22"/>
      <c r="AN231" s="22"/>
      <c r="AO231" s="22"/>
      <c r="AP231" s="22"/>
      <c r="AQ231" s="22"/>
      <c r="AR231" s="22"/>
      <c r="AS231" s="22"/>
      <c r="AT231" s="22"/>
    </row>
    <row r="232" spans="7:46" ht="13">
      <c r="G232" s="34"/>
      <c r="J232" s="18"/>
      <c r="N232" s="18"/>
      <c r="O232" s="1"/>
      <c r="P232" s="1"/>
      <c r="Q232" s="1"/>
      <c r="R232" s="18"/>
      <c r="S232" s="1"/>
      <c r="T232" s="1"/>
      <c r="U232" s="1"/>
      <c r="V232" s="1"/>
      <c r="Z232" s="18"/>
      <c r="AD232" s="18"/>
      <c r="AH232" s="18"/>
      <c r="AL232" s="18"/>
      <c r="AM232" s="22"/>
      <c r="AN232" s="22"/>
      <c r="AO232" s="22"/>
      <c r="AP232" s="22"/>
      <c r="AQ232" s="22"/>
      <c r="AR232" s="22"/>
      <c r="AS232" s="22"/>
      <c r="AT232" s="22"/>
    </row>
    <row r="233" spans="7:46" ht="13">
      <c r="G233" s="34"/>
      <c r="J233" s="18"/>
      <c r="N233" s="18"/>
      <c r="O233" s="1"/>
      <c r="P233" s="1"/>
      <c r="Q233" s="1"/>
      <c r="R233" s="18"/>
      <c r="S233" s="1"/>
      <c r="T233" s="1"/>
      <c r="U233" s="1"/>
      <c r="V233" s="1"/>
      <c r="Z233" s="18"/>
      <c r="AD233" s="18"/>
      <c r="AH233" s="18"/>
      <c r="AL233" s="18"/>
      <c r="AM233" s="22"/>
      <c r="AN233" s="22"/>
      <c r="AO233" s="22"/>
      <c r="AP233" s="22"/>
      <c r="AQ233" s="22"/>
      <c r="AR233" s="22"/>
      <c r="AS233" s="22"/>
      <c r="AT233" s="22"/>
    </row>
    <row r="234" spans="7:46" ht="13">
      <c r="G234" s="34"/>
      <c r="J234" s="18"/>
      <c r="N234" s="18"/>
      <c r="O234" s="1"/>
      <c r="P234" s="1"/>
      <c r="Q234" s="1"/>
      <c r="R234" s="18"/>
      <c r="S234" s="1"/>
      <c r="T234" s="1"/>
      <c r="U234" s="1"/>
      <c r="V234" s="1"/>
      <c r="Z234" s="18"/>
      <c r="AD234" s="18"/>
      <c r="AH234" s="18"/>
      <c r="AL234" s="18"/>
      <c r="AM234" s="22"/>
      <c r="AN234" s="22"/>
      <c r="AO234" s="22"/>
      <c r="AP234" s="22"/>
      <c r="AQ234" s="22"/>
      <c r="AR234" s="22"/>
      <c r="AS234" s="22"/>
      <c r="AT234" s="22"/>
    </row>
    <row r="235" spans="7:46" ht="13">
      <c r="G235" s="34"/>
      <c r="J235" s="18"/>
      <c r="N235" s="18"/>
      <c r="O235" s="1"/>
      <c r="P235" s="1"/>
      <c r="Q235" s="1"/>
      <c r="R235" s="18"/>
      <c r="S235" s="1"/>
      <c r="T235" s="1"/>
      <c r="U235" s="1"/>
      <c r="V235" s="1"/>
      <c r="Z235" s="18"/>
      <c r="AD235" s="18"/>
      <c r="AH235" s="18"/>
      <c r="AL235" s="18"/>
      <c r="AM235" s="22"/>
      <c r="AN235" s="22"/>
      <c r="AO235" s="22"/>
      <c r="AP235" s="22"/>
      <c r="AQ235" s="22"/>
      <c r="AR235" s="22"/>
      <c r="AS235" s="22"/>
      <c r="AT235" s="22"/>
    </row>
    <row r="236" spans="7:46" ht="13">
      <c r="G236" s="34"/>
      <c r="J236" s="18"/>
      <c r="N236" s="18"/>
      <c r="O236" s="1"/>
      <c r="P236" s="1"/>
      <c r="Q236" s="1"/>
      <c r="R236" s="18"/>
      <c r="S236" s="1"/>
      <c r="T236" s="1"/>
      <c r="U236" s="1"/>
      <c r="V236" s="1"/>
      <c r="Z236" s="18"/>
      <c r="AD236" s="18"/>
      <c r="AH236" s="18"/>
      <c r="AL236" s="18"/>
      <c r="AM236" s="22"/>
      <c r="AN236" s="22"/>
      <c r="AO236" s="22"/>
      <c r="AP236" s="22"/>
      <c r="AQ236" s="22"/>
      <c r="AR236" s="22"/>
      <c r="AS236" s="22"/>
      <c r="AT236" s="22"/>
    </row>
    <row r="237" spans="7:46" ht="13">
      <c r="G237" s="34"/>
      <c r="J237" s="18"/>
      <c r="N237" s="18"/>
      <c r="O237" s="1"/>
      <c r="P237" s="1"/>
      <c r="Q237" s="1"/>
      <c r="R237" s="18"/>
      <c r="S237" s="1"/>
      <c r="T237" s="1"/>
      <c r="U237" s="1"/>
      <c r="V237" s="1"/>
      <c r="Z237" s="18"/>
      <c r="AD237" s="18"/>
      <c r="AH237" s="18"/>
      <c r="AL237" s="18"/>
      <c r="AM237" s="22"/>
      <c r="AN237" s="22"/>
      <c r="AO237" s="22"/>
      <c r="AP237" s="22"/>
      <c r="AQ237" s="22"/>
      <c r="AR237" s="22"/>
      <c r="AS237" s="22"/>
      <c r="AT237" s="22"/>
    </row>
    <row r="238" spans="7:46" ht="13">
      <c r="G238" s="34"/>
      <c r="J238" s="18"/>
      <c r="N238" s="18"/>
      <c r="O238" s="1"/>
      <c r="P238" s="1"/>
      <c r="Q238" s="1"/>
      <c r="R238" s="18"/>
      <c r="S238" s="1"/>
      <c r="T238" s="1"/>
      <c r="U238" s="1"/>
      <c r="V238" s="1"/>
      <c r="Z238" s="18"/>
      <c r="AD238" s="18"/>
      <c r="AH238" s="18"/>
      <c r="AL238" s="18"/>
      <c r="AM238" s="22"/>
      <c r="AN238" s="22"/>
      <c r="AO238" s="22"/>
      <c r="AP238" s="22"/>
      <c r="AQ238" s="22"/>
      <c r="AR238" s="22"/>
      <c r="AS238" s="22"/>
      <c r="AT238" s="22"/>
    </row>
    <row r="239" spans="7:46" ht="13">
      <c r="G239" s="34"/>
      <c r="J239" s="18"/>
      <c r="N239" s="18"/>
      <c r="O239" s="1"/>
      <c r="P239" s="1"/>
      <c r="Q239" s="1"/>
      <c r="R239" s="18"/>
      <c r="S239" s="1"/>
      <c r="T239" s="1"/>
      <c r="U239" s="1"/>
      <c r="V239" s="1"/>
      <c r="Z239" s="18"/>
      <c r="AD239" s="18"/>
      <c r="AH239" s="18"/>
      <c r="AL239" s="18"/>
      <c r="AM239" s="22"/>
      <c r="AN239" s="22"/>
      <c r="AO239" s="22"/>
      <c r="AP239" s="22"/>
      <c r="AQ239" s="22"/>
      <c r="AR239" s="22"/>
      <c r="AS239" s="22"/>
      <c r="AT239" s="22"/>
    </row>
    <row r="240" spans="7:46" ht="13">
      <c r="G240" s="34"/>
      <c r="J240" s="18"/>
      <c r="N240" s="18"/>
      <c r="O240" s="1"/>
      <c r="P240" s="1"/>
      <c r="Q240" s="1"/>
      <c r="R240" s="18"/>
      <c r="S240" s="1"/>
      <c r="T240" s="1"/>
      <c r="U240" s="1"/>
      <c r="V240" s="1"/>
      <c r="Z240" s="18"/>
      <c r="AD240" s="18"/>
      <c r="AH240" s="18"/>
      <c r="AL240" s="18"/>
      <c r="AM240" s="22"/>
      <c r="AN240" s="22"/>
      <c r="AO240" s="22"/>
      <c r="AP240" s="22"/>
      <c r="AQ240" s="22"/>
      <c r="AR240" s="22"/>
      <c r="AS240" s="22"/>
      <c r="AT240" s="22"/>
    </row>
    <row r="241" spans="7:46" ht="13">
      <c r="G241" s="34"/>
      <c r="J241" s="18"/>
      <c r="N241" s="18"/>
      <c r="O241" s="1"/>
      <c r="P241" s="1"/>
      <c r="Q241" s="1"/>
      <c r="R241" s="18"/>
      <c r="S241" s="1"/>
      <c r="T241" s="1"/>
      <c r="U241" s="1"/>
      <c r="V241" s="1"/>
      <c r="Z241" s="18"/>
      <c r="AD241" s="18"/>
      <c r="AH241" s="18"/>
      <c r="AL241" s="18"/>
      <c r="AM241" s="22"/>
      <c r="AN241" s="22"/>
      <c r="AO241" s="22"/>
      <c r="AP241" s="22"/>
      <c r="AQ241" s="22"/>
      <c r="AR241" s="22"/>
      <c r="AS241" s="22"/>
      <c r="AT241" s="22"/>
    </row>
    <row r="242" spans="7:46" ht="13">
      <c r="G242" s="34"/>
      <c r="J242" s="18"/>
      <c r="N242" s="18"/>
      <c r="O242" s="1"/>
      <c r="P242" s="1"/>
      <c r="Q242" s="1"/>
      <c r="R242" s="18"/>
      <c r="S242" s="1"/>
      <c r="T242" s="1"/>
      <c r="U242" s="1"/>
      <c r="V242" s="1"/>
      <c r="Z242" s="18"/>
      <c r="AD242" s="18"/>
      <c r="AH242" s="18"/>
      <c r="AL242" s="18"/>
      <c r="AM242" s="22"/>
      <c r="AN242" s="22"/>
      <c r="AO242" s="22"/>
      <c r="AP242" s="22"/>
      <c r="AQ242" s="22"/>
      <c r="AR242" s="22"/>
      <c r="AS242" s="22"/>
      <c r="AT242" s="22"/>
    </row>
    <row r="243" spans="7:46" ht="13">
      <c r="G243" s="34"/>
      <c r="J243" s="18"/>
      <c r="N243" s="18"/>
      <c r="O243" s="1"/>
      <c r="P243" s="1"/>
      <c r="Q243" s="1"/>
      <c r="R243" s="18"/>
      <c r="S243" s="1"/>
      <c r="T243" s="1"/>
      <c r="U243" s="1"/>
      <c r="V243" s="1"/>
      <c r="Z243" s="18"/>
      <c r="AD243" s="18"/>
      <c r="AH243" s="18"/>
      <c r="AL243" s="18"/>
      <c r="AM243" s="22"/>
      <c r="AN243" s="22"/>
      <c r="AO243" s="22"/>
      <c r="AP243" s="22"/>
      <c r="AQ243" s="22"/>
      <c r="AR243" s="22"/>
      <c r="AS243" s="22"/>
      <c r="AT243" s="22"/>
    </row>
    <row r="244" spans="7:46" ht="13">
      <c r="G244" s="34"/>
      <c r="J244" s="18"/>
      <c r="N244" s="18"/>
      <c r="O244" s="1"/>
      <c r="P244" s="1"/>
      <c r="Q244" s="1"/>
      <c r="R244" s="18"/>
      <c r="S244" s="1"/>
      <c r="T244" s="1"/>
      <c r="U244" s="1"/>
      <c r="V244" s="1"/>
      <c r="Z244" s="18"/>
      <c r="AD244" s="18"/>
      <c r="AH244" s="18"/>
      <c r="AL244" s="18"/>
      <c r="AM244" s="22"/>
      <c r="AN244" s="22"/>
      <c r="AO244" s="22"/>
      <c r="AP244" s="22"/>
      <c r="AQ244" s="22"/>
      <c r="AR244" s="22"/>
      <c r="AS244" s="22"/>
      <c r="AT244" s="22"/>
    </row>
    <row r="245" spans="7:46" ht="13">
      <c r="G245" s="34"/>
      <c r="J245" s="18"/>
      <c r="N245" s="18"/>
      <c r="O245" s="1"/>
      <c r="P245" s="1"/>
      <c r="Q245" s="1"/>
      <c r="R245" s="18"/>
      <c r="S245" s="1"/>
      <c r="T245" s="1"/>
      <c r="U245" s="1"/>
      <c r="V245" s="1"/>
      <c r="Z245" s="18"/>
      <c r="AD245" s="18"/>
      <c r="AH245" s="18"/>
      <c r="AL245" s="18"/>
      <c r="AM245" s="22"/>
      <c r="AN245" s="22"/>
      <c r="AO245" s="22"/>
      <c r="AP245" s="22"/>
      <c r="AQ245" s="22"/>
      <c r="AR245" s="22"/>
      <c r="AS245" s="22"/>
      <c r="AT245" s="22"/>
    </row>
    <row r="246" spans="7:46" ht="13">
      <c r="G246" s="34"/>
      <c r="J246" s="18"/>
      <c r="N246" s="18"/>
      <c r="O246" s="1"/>
      <c r="P246" s="1"/>
      <c r="Q246" s="1"/>
      <c r="R246" s="18"/>
      <c r="S246" s="1"/>
      <c r="T246" s="1"/>
      <c r="U246" s="1"/>
      <c r="V246" s="1"/>
      <c r="Z246" s="18"/>
      <c r="AD246" s="18"/>
      <c r="AH246" s="18"/>
      <c r="AL246" s="18"/>
      <c r="AM246" s="22"/>
      <c r="AN246" s="22"/>
      <c r="AO246" s="22"/>
      <c r="AP246" s="22"/>
      <c r="AQ246" s="22"/>
      <c r="AR246" s="22"/>
      <c r="AS246" s="22"/>
      <c r="AT246" s="22"/>
    </row>
    <row r="247" spans="7:46" ht="13">
      <c r="G247" s="34"/>
      <c r="J247" s="18"/>
      <c r="N247" s="18"/>
      <c r="O247" s="1"/>
      <c r="P247" s="1"/>
      <c r="Q247" s="1"/>
      <c r="R247" s="18"/>
      <c r="S247" s="1"/>
      <c r="T247" s="1"/>
      <c r="U247" s="1"/>
      <c r="V247" s="1"/>
      <c r="Z247" s="18"/>
      <c r="AD247" s="18"/>
      <c r="AH247" s="18"/>
      <c r="AL247" s="18"/>
      <c r="AM247" s="22"/>
      <c r="AN247" s="22"/>
      <c r="AO247" s="22"/>
      <c r="AP247" s="22"/>
      <c r="AQ247" s="22"/>
      <c r="AR247" s="22"/>
      <c r="AS247" s="22"/>
      <c r="AT247" s="22"/>
    </row>
    <row r="248" spans="7:46" ht="13">
      <c r="G248" s="34"/>
      <c r="J248" s="18"/>
      <c r="N248" s="18"/>
      <c r="O248" s="1"/>
      <c r="P248" s="1"/>
      <c r="Q248" s="1"/>
      <c r="R248" s="18"/>
      <c r="S248" s="1"/>
      <c r="T248" s="1"/>
      <c r="U248" s="1"/>
      <c r="V248" s="1"/>
      <c r="Z248" s="18"/>
      <c r="AD248" s="18"/>
      <c r="AH248" s="18"/>
      <c r="AL248" s="18"/>
      <c r="AM248" s="22"/>
      <c r="AN248" s="22"/>
      <c r="AO248" s="22"/>
      <c r="AP248" s="22"/>
      <c r="AQ248" s="22"/>
      <c r="AR248" s="22"/>
      <c r="AS248" s="22"/>
      <c r="AT248" s="22"/>
    </row>
    <row r="249" spans="7:46" ht="13">
      <c r="G249" s="34"/>
      <c r="J249" s="18"/>
      <c r="N249" s="18"/>
      <c r="O249" s="1"/>
      <c r="P249" s="1"/>
      <c r="Q249" s="1"/>
      <c r="R249" s="18"/>
      <c r="S249" s="1"/>
      <c r="T249" s="1"/>
      <c r="U249" s="1"/>
      <c r="V249" s="1"/>
      <c r="Z249" s="18"/>
      <c r="AD249" s="18"/>
      <c r="AH249" s="18"/>
      <c r="AL249" s="18"/>
      <c r="AM249" s="22"/>
      <c r="AN249" s="22"/>
      <c r="AO249" s="22"/>
      <c r="AP249" s="22"/>
      <c r="AQ249" s="22"/>
      <c r="AR249" s="22"/>
      <c r="AS249" s="22"/>
      <c r="AT249" s="22"/>
    </row>
    <row r="250" spans="7:46" ht="13">
      <c r="G250" s="34"/>
      <c r="J250" s="18"/>
      <c r="N250" s="18"/>
      <c r="O250" s="1"/>
      <c r="P250" s="1"/>
      <c r="Q250" s="1"/>
      <c r="R250" s="18"/>
      <c r="S250" s="1"/>
      <c r="T250" s="1"/>
      <c r="U250" s="1"/>
      <c r="V250" s="1"/>
      <c r="Z250" s="18"/>
      <c r="AD250" s="18"/>
      <c r="AH250" s="18"/>
      <c r="AL250" s="18"/>
      <c r="AM250" s="22"/>
      <c r="AN250" s="22"/>
      <c r="AO250" s="22"/>
      <c r="AP250" s="22"/>
      <c r="AQ250" s="22"/>
      <c r="AR250" s="22"/>
      <c r="AS250" s="22"/>
      <c r="AT250" s="22"/>
    </row>
    <row r="251" spans="7:46" ht="13">
      <c r="G251" s="34"/>
      <c r="J251" s="18"/>
      <c r="N251" s="18"/>
      <c r="O251" s="1"/>
      <c r="P251" s="1"/>
      <c r="Q251" s="1"/>
      <c r="R251" s="18"/>
      <c r="S251" s="1"/>
      <c r="T251" s="1"/>
      <c r="U251" s="1"/>
      <c r="V251" s="1"/>
      <c r="Z251" s="18"/>
      <c r="AD251" s="18"/>
      <c r="AH251" s="18"/>
      <c r="AL251" s="18"/>
      <c r="AM251" s="22"/>
      <c r="AN251" s="22"/>
      <c r="AO251" s="22"/>
      <c r="AP251" s="22"/>
      <c r="AQ251" s="22"/>
      <c r="AR251" s="22"/>
      <c r="AS251" s="22"/>
      <c r="AT251" s="22"/>
    </row>
    <row r="252" spans="7:46" ht="13">
      <c r="G252" s="34"/>
      <c r="J252" s="18"/>
      <c r="N252" s="18"/>
      <c r="O252" s="1"/>
      <c r="P252" s="1"/>
      <c r="Q252" s="1"/>
      <c r="R252" s="18"/>
      <c r="S252" s="1"/>
      <c r="T252" s="1"/>
      <c r="U252" s="1"/>
      <c r="V252" s="1"/>
      <c r="Z252" s="18"/>
      <c r="AD252" s="18"/>
      <c r="AH252" s="18"/>
      <c r="AL252" s="18"/>
      <c r="AM252" s="22"/>
      <c r="AN252" s="22"/>
      <c r="AO252" s="22"/>
      <c r="AP252" s="22"/>
      <c r="AQ252" s="22"/>
      <c r="AR252" s="22"/>
      <c r="AS252" s="22"/>
      <c r="AT252" s="22"/>
    </row>
    <row r="253" spans="7:46" ht="13">
      <c r="G253" s="34"/>
      <c r="J253" s="18"/>
      <c r="N253" s="18"/>
      <c r="O253" s="1"/>
      <c r="P253" s="1"/>
      <c r="Q253" s="1"/>
      <c r="R253" s="18"/>
      <c r="S253" s="1"/>
      <c r="T253" s="1"/>
      <c r="U253" s="1"/>
      <c r="V253" s="1"/>
      <c r="Z253" s="18"/>
      <c r="AD253" s="18"/>
      <c r="AH253" s="18"/>
      <c r="AL253" s="18"/>
      <c r="AM253" s="22"/>
      <c r="AN253" s="22"/>
      <c r="AO253" s="22"/>
      <c r="AP253" s="22"/>
      <c r="AQ253" s="22"/>
      <c r="AR253" s="22"/>
      <c r="AS253" s="22"/>
      <c r="AT253" s="22"/>
    </row>
    <row r="254" spans="7:46" ht="13">
      <c r="G254" s="34"/>
      <c r="J254" s="18"/>
      <c r="N254" s="18"/>
      <c r="O254" s="1"/>
      <c r="P254" s="1"/>
      <c r="Q254" s="1"/>
      <c r="R254" s="18"/>
      <c r="S254" s="1"/>
      <c r="T254" s="1"/>
      <c r="U254" s="1"/>
      <c r="V254" s="1"/>
      <c r="Z254" s="18"/>
      <c r="AD254" s="18"/>
      <c r="AH254" s="18"/>
      <c r="AL254" s="18"/>
      <c r="AM254" s="22"/>
      <c r="AN254" s="22"/>
      <c r="AO254" s="22"/>
      <c r="AP254" s="22"/>
      <c r="AQ254" s="22"/>
      <c r="AR254" s="22"/>
      <c r="AS254" s="22"/>
      <c r="AT254" s="22"/>
    </row>
    <row r="255" spans="7:46" ht="13">
      <c r="G255" s="34"/>
      <c r="J255" s="18"/>
      <c r="N255" s="18"/>
      <c r="O255" s="1"/>
      <c r="P255" s="1"/>
      <c r="Q255" s="1"/>
      <c r="R255" s="18"/>
      <c r="S255" s="1"/>
      <c r="T255" s="1"/>
      <c r="U255" s="1"/>
      <c r="V255" s="1"/>
      <c r="Z255" s="18"/>
      <c r="AD255" s="18"/>
      <c r="AH255" s="18"/>
      <c r="AL255" s="18"/>
      <c r="AM255" s="22"/>
      <c r="AN255" s="22"/>
      <c r="AO255" s="22"/>
      <c r="AP255" s="22"/>
      <c r="AQ255" s="22"/>
      <c r="AR255" s="22"/>
      <c r="AS255" s="22"/>
      <c r="AT255" s="22"/>
    </row>
    <row r="256" spans="7:46" ht="13">
      <c r="G256" s="34"/>
      <c r="J256" s="18"/>
      <c r="N256" s="18"/>
      <c r="O256" s="1"/>
      <c r="P256" s="1"/>
      <c r="Q256" s="1"/>
      <c r="R256" s="18"/>
      <c r="S256" s="1"/>
      <c r="T256" s="1"/>
      <c r="U256" s="1"/>
      <c r="V256" s="1"/>
      <c r="Z256" s="18"/>
      <c r="AD256" s="18"/>
      <c r="AH256" s="18"/>
      <c r="AL256" s="18"/>
      <c r="AM256" s="22"/>
      <c r="AN256" s="22"/>
      <c r="AO256" s="22"/>
      <c r="AP256" s="22"/>
      <c r="AQ256" s="22"/>
      <c r="AR256" s="22"/>
      <c r="AS256" s="22"/>
      <c r="AT256" s="22"/>
    </row>
    <row r="257" spans="7:46" ht="13">
      <c r="G257" s="34"/>
      <c r="J257" s="18"/>
      <c r="N257" s="18"/>
      <c r="O257" s="1"/>
      <c r="P257" s="1"/>
      <c r="Q257" s="1"/>
      <c r="R257" s="18"/>
      <c r="S257" s="1"/>
      <c r="T257" s="1"/>
      <c r="U257" s="1"/>
      <c r="V257" s="1"/>
      <c r="Z257" s="18"/>
      <c r="AD257" s="18"/>
      <c r="AH257" s="18"/>
      <c r="AL257" s="18"/>
      <c r="AM257" s="22"/>
      <c r="AN257" s="22"/>
      <c r="AO257" s="22"/>
      <c r="AP257" s="22"/>
      <c r="AQ257" s="22"/>
      <c r="AR257" s="22"/>
      <c r="AS257" s="22"/>
      <c r="AT257" s="22"/>
    </row>
    <row r="258" spans="7:46" ht="13">
      <c r="G258" s="34"/>
      <c r="J258" s="18"/>
      <c r="N258" s="18"/>
      <c r="O258" s="1"/>
      <c r="P258" s="1"/>
      <c r="Q258" s="1"/>
      <c r="R258" s="18"/>
      <c r="S258" s="1"/>
      <c r="T258" s="1"/>
      <c r="U258" s="1"/>
      <c r="V258" s="1"/>
      <c r="Z258" s="18"/>
      <c r="AD258" s="18"/>
      <c r="AH258" s="18"/>
      <c r="AL258" s="18"/>
      <c r="AM258" s="22"/>
      <c r="AN258" s="22"/>
      <c r="AO258" s="22"/>
      <c r="AP258" s="22"/>
      <c r="AQ258" s="22"/>
      <c r="AR258" s="22"/>
      <c r="AS258" s="22"/>
      <c r="AT258" s="22"/>
    </row>
    <row r="259" spans="7:46" ht="13">
      <c r="G259" s="34"/>
      <c r="J259" s="18"/>
      <c r="N259" s="18"/>
      <c r="O259" s="1"/>
      <c r="P259" s="1"/>
      <c r="Q259" s="1"/>
      <c r="R259" s="18"/>
      <c r="S259" s="1"/>
      <c r="T259" s="1"/>
      <c r="U259" s="1"/>
      <c r="V259" s="1"/>
      <c r="Z259" s="18"/>
      <c r="AD259" s="18"/>
      <c r="AH259" s="18"/>
      <c r="AL259" s="18"/>
      <c r="AM259" s="22"/>
      <c r="AN259" s="22"/>
      <c r="AO259" s="22"/>
      <c r="AP259" s="22"/>
      <c r="AQ259" s="22"/>
      <c r="AR259" s="22"/>
      <c r="AS259" s="22"/>
      <c r="AT259" s="22"/>
    </row>
    <row r="260" spans="7:46" ht="13">
      <c r="G260" s="34"/>
      <c r="J260" s="18"/>
      <c r="N260" s="18"/>
      <c r="O260" s="1"/>
      <c r="P260" s="1"/>
      <c r="Q260" s="1"/>
      <c r="R260" s="18"/>
      <c r="S260" s="1"/>
      <c r="T260" s="1"/>
      <c r="U260" s="1"/>
      <c r="V260" s="1"/>
      <c r="Z260" s="18"/>
      <c r="AD260" s="18"/>
      <c r="AH260" s="18"/>
      <c r="AL260" s="18"/>
      <c r="AM260" s="22"/>
      <c r="AN260" s="22"/>
      <c r="AO260" s="22"/>
      <c r="AP260" s="22"/>
      <c r="AQ260" s="22"/>
      <c r="AR260" s="22"/>
      <c r="AS260" s="22"/>
      <c r="AT260" s="22"/>
    </row>
    <row r="261" spans="7:46" ht="13">
      <c r="G261" s="34"/>
      <c r="J261" s="18"/>
      <c r="N261" s="18"/>
      <c r="O261" s="1"/>
      <c r="P261" s="1"/>
      <c r="Q261" s="1"/>
      <c r="R261" s="18"/>
      <c r="S261" s="1"/>
      <c r="T261" s="1"/>
      <c r="U261" s="1"/>
      <c r="V261" s="1"/>
      <c r="Z261" s="18"/>
      <c r="AD261" s="18"/>
      <c r="AH261" s="18"/>
      <c r="AL261" s="18"/>
      <c r="AM261" s="22"/>
      <c r="AN261" s="22"/>
      <c r="AO261" s="22"/>
      <c r="AP261" s="22"/>
      <c r="AQ261" s="22"/>
      <c r="AR261" s="22"/>
      <c r="AS261" s="22"/>
      <c r="AT261" s="22"/>
    </row>
    <row r="262" spans="7:46" ht="13">
      <c r="G262" s="34"/>
      <c r="J262" s="18"/>
      <c r="N262" s="18"/>
      <c r="O262" s="1"/>
      <c r="P262" s="1"/>
      <c r="Q262" s="1"/>
      <c r="R262" s="18"/>
      <c r="S262" s="1"/>
      <c r="T262" s="1"/>
      <c r="U262" s="1"/>
      <c r="V262" s="1"/>
      <c r="Z262" s="18"/>
      <c r="AD262" s="18"/>
      <c r="AH262" s="18"/>
      <c r="AL262" s="18"/>
      <c r="AM262" s="22"/>
      <c r="AN262" s="22"/>
      <c r="AO262" s="22"/>
      <c r="AP262" s="22"/>
      <c r="AQ262" s="22"/>
      <c r="AR262" s="22"/>
      <c r="AS262" s="22"/>
      <c r="AT262" s="22"/>
    </row>
    <row r="263" spans="7:46" ht="13">
      <c r="G263" s="34"/>
      <c r="J263" s="18"/>
      <c r="N263" s="18"/>
      <c r="O263" s="1"/>
      <c r="P263" s="1"/>
      <c r="Q263" s="1"/>
      <c r="R263" s="18"/>
      <c r="S263" s="1"/>
      <c r="T263" s="1"/>
      <c r="U263" s="1"/>
      <c r="V263" s="1"/>
      <c r="Z263" s="18"/>
      <c r="AD263" s="18"/>
      <c r="AH263" s="18"/>
      <c r="AL263" s="18"/>
      <c r="AM263" s="22"/>
      <c r="AN263" s="22"/>
      <c r="AO263" s="22"/>
      <c r="AP263" s="22"/>
      <c r="AQ263" s="22"/>
      <c r="AR263" s="22"/>
      <c r="AS263" s="22"/>
      <c r="AT263" s="22"/>
    </row>
    <row r="264" spans="7:46" ht="13">
      <c r="G264" s="34"/>
      <c r="J264" s="18"/>
      <c r="N264" s="18"/>
      <c r="O264" s="1"/>
      <c r="P264" s="1"/>
      <c r="Q264" s="1"/>
      <c r="R264" s="18"/>
      <c r="S264" s="1"/>
      <c r="T264" s="1"/>
      <c r="U264" s="1"/>
      <c r="V264" s="1"/>
      <c r="Z264" s="18"/>
      <c r="AD264" s="18"/>
      <c r="AH264" s="18"/>
      <c r="AL264" s="18"/>
      <c r="AM264" s="22"/>
      <c r="AN264" s="22"/>
      <c r="AO264" s="22"/>
      <c r="AP264" s="22"/>
      <c r="AQ264" s="22"/>
      <c r="AR264" s="22"/>
      <c r="AS264" s="22"/>
      <c r="AT264" s="22"/>
    </row>
    <row r="265" spans="7:46" ht="13">
      <c r="G265" s="34"/>
      <c r="J265" s="18"/>
      <c r="N265" s="18"/>
      <c r="O265" s="1"/>
      <c r="P265" s="1"/>
      <c r="Q265" s="1"/>
      <c r="R265" s="18"/>
      <c r="S265" s="1"/>
      <c r="T265" s="1"/>
      <c r="U265" s="1"/>
      <c r="V265" s="1"/>
      <c r="Z265" s="18"/>
      <c r="AD265" s="18"/>
      <c r="AH265" s="18"/>
      <c r="AL265" s="18"/>
      <c r="AM265" s="22"/>
      <c r="AN265" s="22"/>
      <c r="AO265" s="22"/>
      <c r="AP265" s="22"/>
      <c r="AQ265" s="22"/>
      <c r="AR265" s="22"/>
      <c r="AS265" s="22"/>
      <c r="AT265" s="22"/>
    </row>
    <row r="266" spans="7:46" ht="13">
      <c r="G266" s="34"/>
      <c r="J266" s="18"/>
      <c r="N266" s="18"/>
      <c r="O266" s="1"/>
      <c r="P266" s="1"/>
      <c r="Q266" s="1"/>
      <c r="R266" s="18"/>
      <c r="S266" s="1"/>
      <c r="T266" s="1"/>
      <c r="U266" s="1"/>
      <c r="V266" s="1"/>
      <c r="Z266" s="18"/>
      <c r="AD266" s="18"/>
      <c r="AH266" s="18"/>
      <c r="AL266" s="18"/>
      <c r="AM266" s="22"/>
      <c r="AN266" s="22"/>
      <c r="AO266" s="22"/>
      <c r="AP266" s="22"/>
      <c r="AQ266" s="22"/>
      <c r="AR266" s="22"/>
      <c r="AS266" s="22"/>
      <c r="AT266" s="22"/>
    </row>
    <row r="267" spans="7:46" ht="13">
      <c r="G267" s="34"/>
      <c r="J267" s="18"/>
      <c r="N267" s="18"/>
      <c r="O267" s="1"/>
      <c r="P267" s="1"/>
      <c r="Q267" s="1"/>
      <c r="R267" s="18"/>
      <c r="S267" s="1"/>
      <c r="T267" s="1"/>
      <c r="U267" s="1"/>
      <c r="V267" s="1"/>
      <c r="Z267" s="18"/>
      <c r="AD267" s="18"/>
      <c r="AH267" s="18"/>
      <c r="AL267" s="18"/>
      <c r="AM267" s="22"/>
      <c r="AN267" s="22"/>
      <c r="AO267" s="22"/>
      <c r="AP267" s="22"/>
      <c r="AQ267" s="22"/>
      <c r="AR267" s="22"/>
      <c r="AS267" s="22"/>
      <c r="AT267" s="22"/>
    </row>
    <row r="268" spans="7:46" ht="13">
      <c r="G268" s="34"/>
      <c r="J268" s="18"/>
      <c r="N268" s="18"/>
      <c r="O268" s="1"/>
      <c r="P268" s="1"/>
      <c r="Q268" s="1"/>
      <c r="R268" s="18"/>
      <c r="S268" s="1"/>
      <c r="T268" s="1"/>
      <c r="U268" s="1"/>
      <c r="V268" s="1"/>
      <c r="Z268" s="18"/>
      <c r="AD268" s="18"/>
      <c r="AH268" s="18"/>
      <c r="AL268" s="18"/>
      <c r="AM268" s="22"/>
      <c r="AN268" s="22"/>
      <c r="AO268" s="22"/>
      <c r="AP268" s="22"/>
      <c r="AQ268" s="22"/>
      <c r="AR268" s="22"/>
      <c r="AS268" s="22"/>
      <c r="AT268" s="22"/>
    </row>
    <row r="269" spans="7:46" ht="13">
      <c r="G269" s="34"/>
      <c r="J269" s="18"/>
      <c r="N269" s="18"/>
      <c r="O269" s="1"/>
      <c r="P269" s="1"/>
      <c r="Q269" s="1"/>
      <c r="R269" s="18"/>
      <c r="S269" s="1"/>
      <c r="T269" s="1"/>
      <c r="U269" s="1"/>
      <c r="V269" s="1"/>
      <c r="Z269" s="18"/>
      <c r="AD269" s="18"/>
      <c r="AH269" s="18"/>
      <c r="AL269" s="18"/>
      <c r="AM269" s="22"/>
      <c r="AN269" s="22"/>
      <c r="AO269" s="22"/>
      <c r="AP269" s="22"/>
      <c r="AQ269" s="22"/>
      <c r="AR269" s="22"/>
      <c r="AS269" s="22"/>
      <c r="AT269" s="22"/>
    </row>
    <row r="270" spans="7:46" ht="13">
      <c r="G270" s="34"/>
      <c r="J270" s="18"/>
      <c r="N270" s="18"/>
      <c r="O270" s="1"/>
      <c r="P270" s="1"/>
      <c r="Q270" s="1"/>
      <c r="R270" s="18"/>
      <c r="S270" s="1"/>
      <c r="T270" s="1"/>
      <c r="U270" s="1"/>
      <c r="V270" s="1"/>
      <c r="Z270" s="18"/>
      <c r="AD270" s="18"/>
      <c r="AH270" s="18"/>
      <c r="AL270" s="18"/>
      <c r="AM270" s="22"/>
      <c r="AN270" s="22"/>
      <c r="AO270" s="22"/>
      <c r="AP270" s="22"/>
      <c r="AQ270" s="22"/>
      <c r="AR270" s="22"/>
      <c r="AS270" s="22"/>
      <c r="AT270" s="22"/>
    </row>
    <row r="271" spans="7:46" ht="13">
      <c r="G271" s="34"/>
      <c r="J271" s="18"/>
      <c r="N271" s="18"/>
      <c r="O271" s="1"/>
      <c r="P271" s="1"/>
      <c r="Q271" s="1"/>
      <c r="R271" s="18"/>
      <c r="S271" s="1"/>
      <c r="T271" s="1"/>
      <c r="U271" s="1"/>
      <c r="V271" s="1"/>
      <c r="Z271" s="18"/>
      <c r="AD271" s="18"/>
      <c r="AH271" s="18"/>
      <c r="AL271" s="18"/>
      <c r="AM271" s="22"/>
      <c r="AN271" s="22"/>
      <c r="AO271" s="22"/>
      <c r="AP271" s="22"/>
      <c r="AQ271" s="22"/>
      <c r="AR271" s="22"/>
      <c r="AS271" s="22"/>
      <c r="AT271" s="22"/>
    </row>
    <row r="272" spans="7:46" ht="13">
      <c r="G272" s="34"/>
      <c r="J272" s="18"/>
      <c r="N272" s="18"/>
      <c r="O272" s="1"/>
      <c r="P272" s="1"/>
      <c r="Q272" s="1"/>
      <c r="R272" s="18"/>
      <c r="S272" s="1"/>
      <c r="T272" s="1"/>
      <c r="U272" s="1"/>
      <c r="V272" s="1"/>
      <c r="Z272" s="18"/>
      <c r="AD272" s="18"/>
      <c r="AH272" s="18"/>
      <c r="AL272" s="18"/>
      <c r="AM272" s="22"/>
      <c r="AN272" s="22"/>
      <c r="AO272" s="22"/>
      <c r="AP272" s="22"/>
      <c r="AQ272" s="22"/>
      <c r="AR272" s="22"/>
      <c r="AS272" s="22"/>
      <c r="AT272" s="22"/>
    </row>
    <row r="273" spans="7:46" ht="13">
      <c r="G273" s="34"/>
      <c r="J273" s="18"/>
      <c r="N273" s="18"/>
      <c r="O273" s="1"/>
      <c r="P273" s="1"/>
      <c r="Q273" s="1"/>
      <c r="R273" s="18"/>
      <c r="S273" s="1"/>
      <c r="T273" s="1"/>
      <c r="U273" s="1"/>
      <c r="V273" s="1"/>
      <c r="Z273" s="18"/>
      <c r="AD273" s="18"/>
      <c r="AH273" s="18"/>
      <c r="AL273" s="18"/>
      <c r="AM273" s="22"/>
      <c r="AN273" s="22"/>
      <c r="AO273" s="22"/>
      <c r="AP273" s="22"/>
      <c r="AQ273" s="22"/>
      <c r="AR273" s="22"/>
      <c r="AS273" s="22"/>
      <c r="AT273" s="22"/>
    </row>
    <row r="274" spans="7:46" ht="13">
      <c r="G274" s="34"/>
      <c r="J274" s="18"/>
      <c r="N274" s="18"/>
      <c r="O274" s="1"/>
      <c r="P274" s="1"/>
      <c r="Q274" s="1"/>
      <c r="R274" s="18"/>
      <c r="S274" s="1"/>
      <c r="T274" s="1"/>
      <c r="U274" s="1"/>
      <c r="V274" s="1"/>
      <c r="Z274" s="18"/>
      <c r="AD274" s="18"/>
      <c r="AH274" s="18"/>
      <c r="AL274" s="18"/>
      <c r="AM274" s="22"/>
      <c r="AN274" s="22"/>
      <c r="AO274" s="22"/>
      <c r="AP274" s="22"/>
      <c r="AQ274" s="22"/>
      <c r="AR274" s="22"/>
      <c r="AS274" s="22"/>
      <c r="AT274" s="22"/>
    </row>
    <row r="275" spans="7:46" ht="13">
      <c r="G275" s="34"/>
      <c r="J275" s="18"/>
      <c r="N275" s="18"/>
      <c r="O275" s="1"/>
      <c r="P275" s="1"/>
      <c r="Q275" s="1"/>
      <c r="R275" s="18"/>
      <c r="S275" s="1"/>
      <c r="T275" s="1"/>
      <c r="U275" s="1"/>
      <c r="V275" s="1"/>
      <c r="Z275" s="18"/>
      <c r="AD275" s="18"/>
      <c r="AH275" s="18"/>
      <c r="AL275" s="18"/>
      <c r="AM275" s="22"/>
      <c r="AN275" s="22"/>
      <c r="AO275" s="22"/>
      <c r="AP275" s="22"/>
      <c r="AQ275" s="22"/>
      <c r="AR275" s="22"/>
      <c r="AS275" s="22"/>
      <c r="AT275" s="22"/>
    </row>
    <row r="276" spans="7:46" ht="13">
      <c r="G276" s="34"/>
      <c r="J276" s="18"/>
      <c r="N276" s="18"/>
      <c r="O276" s="1"/>
      <c r="P276" s="1"/>
      <c r="Q276" s="1"/>
      <c r="R276" s="18"/>
      <c r="S276" s="1"/>
      <c r="T276" s="1"/>
      <c r="U276" s="1"/>
      <c r="V276" s="1"/>
      <c r="Z276" s="18"/>
      <c r="AD276" s="18"/>
      <c r="AH276" s="18"/>
      <c r="AL276" s="18"/>
      <c r="AM276" s="22"/>
      <c r="AN276" s="22"/>
      <c r="AO276" s="22"/>
      <c r="AP276" s="22"/>
      <c r="AQ276" s="22"/>
      <c r="AR276" s="22"/>
      <c r="AS276" s="22"/>
      <c r="AT276" s="22"/>
    </row>
    <row r="277" spans="7:46" ht="13">
      <c r="G277" s="34"/>
      <c r="J277" s="18"/>
      <c r="N277" s="18"/>
      <c r="O277" s="1"/>
      <c r="P277" s="1"/>
      <c r="Q277" s="1"/>
      <c r="R277" s="18"/>
      <c r="S277" s="1"/>
      <c r="T277" s="1"/>
      <c r="U277" s="1"/>
      <c r="V277" s="1"/>
      <c r="Z277" s="18"/>
      <c r="AD277" s="18"/>
      <c r="AH277" s="18"/>
      <c r="AL277" s="18"/>
      <c r="AM277" s="22"/>
      <c r="AN277" s="22"/>
      <c r="AO277" s="22"/>
      <c r="AP277" s="22"/>
      <c r="AQ277" s="22"/>
      <c r="AR277" s="22"/>
      <c r="AS277" s="22"/>
      <c r="AT277" s="22"/>
    </row>
    <row r="278" spans="7:46" ht="13">
      <c r="G278" s="34"/>
      <c r="J278" s="18"/>
      <c r="N278" s="18"/>
      <c r="O278" s="1"/>
      <c r="P278" s="1"/>
      <c r="Q278" s="1"/>
      <c r="R278" s="18"/>
      <c r="S278" s="1"/>
      <c r="T278" s="1"/>
      <c r="U278" s="1"/>
      <c r="V278" s="1"/>
      <c r="Z278" s="18"/>
      <c r="AD278" s="18"/>
      <c r="AH278" s="18"/>
      <c r="AL278" s="18"/>
      <c r="AM278" s="22"/>
      <c r="AN278" s="22"/>
      <c r="AO278" s="22"/>
      <c r="AP278" s="22"/>
      <c r="AQ278" s="22"/>
      <c r="AR278" s="22"/>
      <c r="AS278" s="22"/>
      <c r="AT278" s="22"/>
    </row>
    <row r="279" spans="7:46" ht="13">
      <c r="G279" s="34"/>
      <c r="J279" s="18"/>
      <c r="N279" s="18"/>
      <c r="O279" s="1"/>
      <c r="P279" s="1"/>
      <c r="Q279" s="1"/>
      <c r="R279" s="18"/>
      <c r="S279" s="1"/>
      <c r="T279" s="1"/>
      <c r="U279" s="1"/>
      <c r="V279" s="1"/>
      <c r="Z279" s="18"/>
      <c r="AD279" s="18"/>
      <c r="AH279" s="18"/>
      <c r="AL279" s="18"/>
      <c r="AM279" s="22"/>
      <c r="AN279" s="22"/>
      <c r="AO279" s="22"/>
      <c r="AP279" s="22"/>
      <c r="AQ279" s="22"/>
      <c r="AR279" s="22"/>
      <c r="AS279" s="22"/>
      <c r="AT279" s="22"/>
    </row>
    <row r="280" spans="7:46" ht="13">
      <c r="G280" s="34"/>
      <c r="J280" s="18"/>
      <c r="N280" s="18"/>
      <c r="O280" s="1"/>
      <c r="P280" s="1"/>
      <c r="Q280" s="1"/>
      <c r="R280" s="18"/>
      <c r="S280" s="1"/>
      <c r="T280" s="1"/>
      <c r="U280" s="1"/>
      <c r="V280" s="1"/>
      <c r="Z280" s="18"/>
      <c r="AD280" s="18"/>
      <c r="AH280" s="18"/>
      <c r="AL280" s="18"/>
      <c r="AM280" s="22"/>
      <c r="AN280" s="22"/>
      <c r="AO280" s="22"/>
      <c r="AP280" s="22"/>
      <c r="AQ280" s="22"/>
      <c r="AR280" s="22"/>
      <c r="AS280" s="22"/>
      <c r="AT280" s="22"/>
    </row>
    <row r="281" spans="7:46" ht="13">
      <c r="G281" s="34"/>
      <c r="J281" s="18"/>
      <c r="N281" s="18"/>
      <c r="O281" s="1"/>
      <c r="P281" s="1"/>
      <c r="Q281" s="1"/>
      <c r="R281" s="18"/>
      <c r="S281" s="1"/>
      <c r="T281" s="1"/>
      <c r="U281" s="1"/>
      <c r="V281" s="1"/>
      <c r="Z281" s="18"/>
      <c r="AD281" s="18"/>
      <c r="AH281" s="18"/>
      <c r="AL281" s="18"/>
      <c r="AM281" s="22"/>
      <c r="AN281" s="22"/>
      <c r="AO281" s="22"/>
      <c r="AP281" s="22"/>
      <c r="AQ281" s="22"/>
      <c r="AR281" s="22"/>
      <c r="AS281" s="22"/>
      <c r="AT281" s="22"/>
    </row>
    <row r="282" spans="7:46" ht="13">
      <c r="G282" s="34"/>
      <c r="J282" s="18"/>
      <c r="N282" s="18"/>
      <c r="O282" s="1"/>
      <c r="P282" s="1"/>
      <c r="Q282" s="1"/>
      <c r="R282" s="18"/>
      <c r="S282" s="1"/>
      <c r="T282" s="1"/>
      <c r="U282" s="1"/>
      <c r="V282" s="1"/>
      <c r="Z282" s="18"/>
      <c r="AD282" s="18"/>
      <c r="AH282" s="18"/>
      <c r="AL282" s="18"/>
      <c r="AM282" s="22"/>
      <c r="AN282" s="22"/>
      <c r="AO282" s="22"/>
      <c r="AP282" s="22"/>
      <c r="AQ282" s="22"/>
      <c r="AR282" s="22"/>
      <c r="AS282" s="22"/>
      <c r="AT282" s="22"/>
    </row>
    <row r="283" spans="7:46" ht="13">
      <c r="G283" s="34"/>
      <c r="J283" s="18"/>
      <c r="N283" s="18"/>
      <c r="O283" s="1"/>
      <c r="P283" s="1"/>
      <c r="Q283" s="1"/>
      <c r="R283" s="18"/>
      <c r="S283" s="1"/>
      <c r="T283" s="1"/>
      <c r="U283" s="1"/>
      <c r="V283" s="1"/>
      <c r="Z283" s="18"/>
      <c r="AD283" s="18"/>
      <c r="AH283" s="18"/>
      <c r="AL283" s="18"/>
      <c r="AM283" s="22"/>
      <c r="AN283" s="22"/>
      <c r="AO283" s="22"/>
      <c r="AP283" s="22"/>
      <c r="AQ283" s="22"/>
      <c r="AR283" s="22"/>
      <c r="AS283" s="22"/>
      <c r="AT283" s="22"/>
    </row>
    <row r="284" spans="7:46" ht="13">
      <c r="G284" s="34"/>
      <c r="J284" s="18"/>
      <c r="N284" s="18"/>
      <c r="O284" s="1"/>
      <c r="P284" s="1"/>
      <c r="Q284" s="1"/>
      <c r="R284" s="18"/>
      <c r="S284" s="1"/>
      <c r="T284" s="1"/>
      <c r="U284" s="1"/>
      <c r="V284" s="1"/>
      <c r="Z284" s="18"/>
      <c r="AD284" s="18"/>
      <c r="AH284" s="18"/>
      <c r="AL284" s="18"/>
      <c r="AM284" s="22"/>
      <c r="AN284" s="22"/>
      <c r="AO284" s="22"/>
      <c r="AP284" s="22"/>
      <c r="AQ284" s="22"/>
      <c r="AR284" s="22"/>
      <c r="AS284" s="22"/>
      <c r="AT284" s="22"/>
    </row>
    <row r="285" spans="7:46" ht="13">
      <c r="G285" s="34"/>
      <c r="J285" s="18"/>
      <c r="N285" s="18"/>
      <c r="O285" s="1"/>
      <c r="P285" s="1"/>
      <c r="Q285" s="1"/>
      <c r="R285" s="18"/>
      <c r="S285" s="1"/>
      <c r="T285" s="1"/>
      <c r="U285" s="1"/>
      <c r="V285" s="1"/>
      <c r="Z285" s="18"/>
      <c r="AD285" s="18"/>
      <c r="AH285" s="18"/>
      <c r="AL285" s="18"/>
      <c r="AM285" s="22"/>
      <c r="AN285" s="22"/>
      <c r="AO285" s="22"/>
      <c r="AP285" s="22"/>
      <c r="AQ285" s="22"/>
      <c r="AR285" s="22"/>
      <c r="AS285" s="22"/>
      <c r="AT285" s="22"/>
    </row>
    <row r="286" spans="7:46" ht="13">
      <c r="G286" s="34"/>
      <c r="J286" s="18"/>
      <c r="N286" s="18"/>
      <c r="O286" s="1"/>
      <c r="P286" s="1"/>
      <c r="Q286" s="1"/>
      <c r="R286" s="18"/>
      <c r="S286" s="1"/>
      <c r="T286" s="1"/>
      <c r="U286" s="1"/>
      <c r="V286" s="1"/>
      <c r="Z286" s="18"/>
      <c r="AD286" s="18"/>
      <c r="AH286" s="18"/>
      <c r="AL286" s="18"/>
      <c r="AM286" s="22"/>
      <c r="AN286" s="22"/>
      <c r="AO286" s="22"/>
      <c r="AP286" s="22"/>
      <c r="AQ286" s="22"/>
      <c r="AR286" s="22"/>
      <c r="AS286" s="22"/>
      <c r="AT286" s="22"/>
    </row>
    <row r="287" spans="7:46" ht="13">
      <c r="G287" s="34"/>
      <c r="J287" s="18"/>
      <c r="N287" s="18"/>
      <c r="O287" s="1"/>
      <c r="P287" s="1"/>
      <c r="Q287" s="1"/>
      <c r="R287" s="18"/>
      <c r="S287" s="1"/>
      <c r="T287" s="1"/>
      <c r="U287" s="1"/>
      <c r="V287" s="1"/>
      <c r="Z287" s="18"/>
      <c r="AD287" s="18"/>
      <c r="AH287" s="18"/>
      <c r="AL287" s="18"/>
      <c r="AM287" s="22"/>
      <c r="AN287" s="22"/>
      <c r="AO287" s="22"/>
      <c r="AP287" s="22"/>
      <c r="AQ287" s="22"/>
      <c r="AR287" s="22"/>
      <c r="AS287" s="22"/>
      <c r="AT287" s="22"/>
    </row>
    <row r="288" spans="7:46" ht="13">
      <c r="G288" s="34"/>
      <c r="J288" s="18"/>
      <c r="N288" s="18"/>
      <c r="O288" s="1"/>
      <c r="P288" s="1"/>
      <c r="Q288" s="1"/>
      <c r="R288" s="18"/>
      <c r="S288" s="1"/>
      <c r="T288" s="1"/>
      <c r="U288" s="1"/>
      <c r="V288" s="1"/>
      <c r="Z288" s="18"/>
      <c r="AD288" s="18"/>
      <c r="AH288" s="18"/>
      <c r="AL288" s="18"/>
      <c r="AM288" s="22"/>
      <c r="AN288" s="22"/>
      <c r="AO288" s="22"/>
      <c r="AP288" s="22"/>
      <c r="AQ288" s="22"/>
      <c r="AR288" s="22"/>
      <c r="AS288" s="22"/>
      <c r="AT288" s="22"/>
    </row>
    <row r="289" spans="7:46" ht="13">
      <c r="G289" s="34"/>
      <c r="J289" s="18"/>
      <c r="N289" s="18"/>
      <c r="O289" s="1"/>
      <c r="P289" s="1"/>
      <c r="Q289" s="1"/>
      <c r="R289" s="18"/>
      <c r="S289" s="1"/>
      <c r="T289" s="1"/>
      <c r="U289" s="1"/>
      <c r="V289" s="1"/>
      <c r="Z289" s="18"/>
      <c r="AD289" s="18"/>
      <c r="AH289" s="18"/>
      <c r="AL289" s="18"/>
      <c r="AM289" s="22"/>
      <c r="AN289" s="22"/>
      <c r="AO289" s="22"/>
      <c r="AP289" s="22"/>
      <c r="AQ289" s="22"/>
      <c r="AR289" s="22"/>
      <c r="AS289" s="22"/>
      <c r="AT289" s="22"/>
    </row>
    <row r="290" spans="7:46" ht="13">
      <c r="G290" s="34"/>
      <c r="J290" s="18"/>
      <c r="N290" s="18"/>
      <c r="O290" s="1"/>
      <c r="P290" s="1"/>
      <c r="Q290" s="1"/>
      <c r="R290" s="18"/>
      <c r="S290" s="1"/>
      <c r="T290" s="1"/>
      <c r="U290" s="1"/>
      <c r="V290" s="1"/>
      <c r="Z290" s="18"/>
      <c r="AD290" s="18"/>
      <c r="AH290" s="18"/>
      <c r="AL290" s="18"/>
      <c r="AM290" s="22"/>
      <c r="AN290" s="22"/>
      <c r="AO290" s="22"/>
      <c r="AP290" s="22"/>
      <c r="AQ290" s="22"/>
      <c r="AR290" s="22"/>
      <c r="AS290" s="22"/>
      <c r="AT290" s="22"/>
    </row>
    <row r="291" spans="7:46" ht="13">
      <c r="G291" s="34"/>
      <c r="J291" s="18"/>
      <c r="N291" s="18"/>
      <c r="O291" s="1"/>
      <c r="P291" s="1"/>
      <c r="Q291" s="1"/>
      <c r="R291" s="18"/>
      <c r="S291" s="1"/>
      <c r="T291" s="1"/>
      <c r="U291" s="1"/>
      <c r="V291" s="1"/>
      <c r="Z291" s="18"/>
      <c r="AD291" s="18"/>
      <c r="AH291" s="18"/>
      <c r="AL291" s="18"/>
      <c r="AM291" s="22"/>
      <c r="AN291" s="22"/>
      <c r="AO291" s="22"/>
      <c r="AP291" s="22"/>
      <c r="AQ291" s="22"/>
      <c r="AR291" s="22"/>
      <c r="AS291" s="22"/>
      <c r="AT291" s="22"/>
    </row>
    <row r="292" spans="7:46" ht="13">
      <c r="G292" s="34"/>
      <c r="J292" s="18"/>
      <c r="N292" s="18"/>
      <c r="O292" s="1"/>
      <c r="P292" s="1"/>
      <c r="Q292" s="1"/>
      <c r="R292" s="18"/>
      <c r="S292" s="1"/>
      <c r="T292" s="1"/>
      <c r="U292" s="1"/>
      <c r="V292" s="1"/>
      <c r="Z292" s="18"/>
      <c r="AD292" s="18"/>
      <c r="AH292" s="18"/>
      <c r="AL292" s="18"/>
      <c r="AM292" s="22"/>
      <c r="AN292" s="22"/>
      <c r="AO292" s="22"/>
      <c r="AP292" s="22"/>
      <c r="AQ292" s="22"/>
      <c r="AR292" s="22"/>
      <c r="AS292" s="22"/>
      <c r="AT292" s="22"/>
    </row>
    <row r="293" spans="7:46" ht="13">
      <c r="G293" s="34"/>
      <c r="J293" s="18"/>
      <c r="N293" s="18"/>
      <c r="O293" s="1"/>
      <c r="P293" s="1"/>
      <c r="Q293" s="1"/>
      <c r="R293" s="18"/>
      <c r="S293" s="1"/>
      <c r="T293" s="1"/>
      <c r="U293" s="1"/>
      <c r="V293" s="1"/>
      <c r="Z293" s="18"/>
      <c r="AD293" s="18"/>
      <c r="AH293" s="18"/>
      <c r="AL293" s="18"/>
      <c r="AM293" s="22"/>
      <c r="AN293" s="22"/>
      <c r="AO293" s="22"/>
      <c r="AP293" s="22"/>
      <c r="AQ293" s="22"/>
      <c r="AR293" s="22"/>
      <c r="AS293" s="22"/>
      <c r="AT293" s="22"/>
    </row>
    <row r="294" spans="7:46" ht="13">
      <c r="G294" s="34"/>
      <c r="J294" s="18"/>
      <c r="N294" s="18"/>
      <c r="O294" s="1"/>
      <c r="P294" s="1"/>
      <c r="Q294" s="1"/>
      <c r="R294" s="18"/>
      <c r="S294" s="1"/>
      <c r="T294" s="1"/>
      <c r="U294" s="1"/>
      <c r="V294" s="1"/>
      <c r="Z294" s="18"/>
      <c r="AD294" s="18"/>
      <c r="AH294" s="18"/>
      <c r="AL294" s="18"/>
      <c r="AM294" s="22"/>
      <c r="AN294" s="22"/>
      <c r="AO294" s="22"/>
      <c r="AP294" s="22"/>
      <c r="AQ294" s="22"/>
      <c r="AR294" s="22"/>
      <c r="AS294" s="22"/>
      <c r="AT294" s="22"/>
    </row>
    <row r="295" spans="7:46" ht="13">
      <c r="G295" s="34"/>
      <c r="J295" s="18"/>
      <c r="N295" s="18"/>
      <c r="O295" s="1"/>
      <c r="P295" s="1"/>
      <c r="Q295" s="1"/>
      <c r="R295" s="18"/>
      <c r="S295" s="1"/>
      <c r="T295" s="1"/>
      <c r="U295" s="1"/>
      <c r="V295" s="1"/>
      <c r="Z295" s="18"/>
      <c r="AD295" s="18"/>
      <c r="AH295" s="18"/>
      <c r="AL295" s="18"/>
      <c r="AM295" s="22"/>
      <c r="AN295" s="22"/>
      <c r="AO295" s="22"/>
      <c r="AP295" s="22"/>
      <c r="AQ295" s="22"/>
      <c r="AR295" s="22"/>
      <c r="AS295" s="22"/>
      <c r="AT295" s="22"/>
    </row>
    <row r="296" spans="7:46" ht="13">
      <c r="G296" s="34"/>
      <c r="J296" s="18"/>
      <c r="N296" s="18"/>
      <c r="O296" s="1"/>
      <c r="P296" s="1"/>
      <c r="Q296" s="1"/>
      <c r="R296" s="18"/>
      <c r="S296" s="1"/>
      <c r="T296" s="1"/>
      <c r="U296" s="1"/>
      <c r="V296" s="1"/>
      <c r="Z296" s="18"/>
      <c r="AD296" s="18"/>
      <c r="AH296" s="18"/>
      <c r="AL296" s="18"/>
      <c r="AM296" s="22"/>
      <c r="AN296" s="22"/>
      <c r="AO296" s="22"/>
      <c r="AP296" s="22"/>
      <c r="AQ296" s="22"/>
      <c r="AR296" s="22"/>
      <c r="AS296" s="22"/>
      <c r="AT296" s="22"/>
    </row>
    <row r="297" spans="7:46" ht="13">
      <c r="G297" s="34"/>
      <c r="J297" s="18"/>
      <c r="N297" s="18"/>
      <c r="O297" s="1"/>
      <c r="P297" s="1"/>
      <c r="Q297" s="1"/>
      <c r="R297" s="18"/>
      <c r="S297" s="1"/>
      <c r="T297" s="1"/>
      <c r="U297" s="1"/>
      <c r="V297" s="1"/>
      <c r="Z297" s="18"/>
      <c r="AD297" s="18"/>
      <c r="AH297" s="18"/>
      <c r="AL297" s="18"/>
      <c r="AM297" s="22"/>
      <c r="AN297" s="22"/>
      <c r="AO297" s="22"/>
      <c r="AP297" s="22"/>
      <c r="AQ297" s="22"/>
      <c r="AR297" s="22"/>
      <c r="AS297" s="22"/>
      <c r="AT297" s="22"/>
    </row>
    <row r="298" spans="7:46" ht="13">
      <c r="G298" s="34"/>
      <c r="J298" s="18"/>
      <c r="N298" s="18"/>
      <c r="O298" s="1"/>
      <c r="P298" s="1"/>
      <c r="Q298" s="1"/>
      <c r="R298" s="18"/>
      <c r="S298" s="1"/>
      <c r="T298" s="1"/>
      <c r="U298" s="1"/>
      <c r="V298" s="1"/>
      <c r="Z298" s="18"/>
      <c r="AD298" s="18"/>
      <c r="AH298" s="18"/>
      <c r="AL298" s="18"/>
      <c r="AM298" s="22"/>
      <c r="AN298" s="22"/>
      <c r="AO298" s="22"/>
      <c r="AP298" s="22"/>
      <c r="AQ298" s="22"/>
      <c r="AR298" s="22"/>
      <c r="AS298" s="22"/>
      <c r="AT298" s="22"/>
    </row>
    <row r="299" spans="7:46" ht="13">
      <c r="G299" s="34"/>
      <c r="J299" s="18"/>
      <c r="N299" s="18"/>
      <c r="O299" s="1"/>
      <c r="P299" s="1"/>
      <c r="Q299" s="1"/>
      <c r="R299" s="18"/>
      <c r="S299" s="1"/>
      <c r="T299" s="1"/>
      <c r="U299" s="1"/>
      <c r="V299" s="1"/>
      <c r="Z299" s="18"/>
      <c r="AD299" s="18"/>
      <c r="AH299" s="18"/>
      <c r="AL299" s="18"/>
      <c r="AM299" s="22"/>
      <c r="AN299" s="22"/>
      <c r="AO299" s="22"/>
      <c r="AP299" s="22"/>
      <c r="AQ299" s="22"/>
      <c r="AR299" s="22"/>
      <c r="AS299" s="22"/>
      <c r="AT299" s="22"/>
    </row>
    <row r="300" spans="7:46" ht="13">
      <c r="G300" s="34"/>
      <c r="J300" s="18"/>
      <c r="N300" s="18"/>
      <c r="O300" s="1"/>
      <c r="P300" s="1"/>
      <c r="Q300" s="1"/>
      <c r="R300" s="18"/>
      <c r="S300" s="1"/>
      <c r="T300" s="1"/>
      <c r="U300" s="1"/>
      <c r="V300" s="1"/>
      <c r="Z300" s="18"/>
      <c r="AD300" s="18"/>
      <c r="AH300" s="18"/>
      <c r="AL300" s="18"/>
      <c r="AM300" s="22"/>
      <c r="AN300" s="22"/>
      <c r="AO300" s="22"/>
      <c r="AP300" s="22"/>
      <c r="AQ300" s="22"/>
      <c r="AR300" s="22"/>
      <c r="AS300" s="22"/>
      <c r="AT300" s="22"/>
    </row>
    <row r="301" spans="7:46" ht="13">
      <c r="G301" s="34"/>
      <c r="J301" s="18"/>
      <c r="N301" s="18"/>
      <c r="O301" s="1"/>
      <c r="P301" s="1"/>
      <c r="Q301" s="1"/>
      <c r="R301" s="18"/>
      <c r="S301" s="1"/>
      <c r="T301" s="1"/>
      <c r="U301" s="1"/>
      <c r="V301" s="1"/>
      <c r="Z301" s="18"/>
      <c r="AD301" s="18"/>
      <c r="AH301" s="18"/>
      <c r="AL301" s="18"/>
      <c r="AM301" s="22"/>
      <c r="AN301" s="22"/>
      <c r="AO301" s="22"/>
      <c r="AP301" s="22"/>
      <c r="AQ301" s="22"/>
      <c r="AR301" s="22"/>
      <c r="AS301" s="22"/>
      <c r="AT301" s="22"/>
    </row>
    <row r="302" spans="7:46" ht="13">
      <c r="G302" s="34"/>
      <c r="J302" s="18"/>
      <c r="N302" s="18"/>
      <c r="O302" s="1"/>
      <c r="P302" s="1"/>
      <c r="Q302" s="1"/>
      <c r="R302" s="18"/>
      <c r="S302" s="1"/>
      <c r="T302" s="1"/>
      <c r="U302" s="1"/>
      <c r="V302" s="1"/>
      <c r="Z302" s="18"/>
      <c r="AD302" s="18"/>
      <c r="AH302" s="18"/>
      <c r="AL302" s="18"/>
      <c r="AM302" s="22"/>
      <c r="AN302" s="22"/>
      <c r="AO302" s="22"/>
      <c r="AP302" s="22"/>
      <c r="AQ302" s="22"/>
      <c r="AR302" s="22"/>
      <c r="AS302" s="22"/>
      <c r="AT302" s="22"/>
    </row>
    <row r="303" spans="7:46" ht="13">
      <c r="G303" s="34"/>
      <c r="J303" s="18"/>
      <c r="N303" s="18"/>
      <c r="O303" s="1"/>
      <c r="P303" s="1"/>
      <c r="Q303" s="1"/>
      <c r="R303" s="18"/>
      <c r="S303" s="1"/>
      <c r="T303" s="1"/>
      <c r="U303" s="1"/>
      <c r="V303" s="1"/>
      <c r="Z303" s="18"/>
      <c r="AD303" s="18"/>
      <c r="AH303" s="18"/>
      <c r="AL303" s="18"/>
      <c r="AM303" s="22"/>
      <c r="AN303" s="22"/>
      <c r="AO303" s="22"/>
      <c r="AP303" s="22"/>
      <c r="AQ303" s="22"/>
      <c r="AR303" s="22"/>
      <c r="AS303" s="22"/>
      <c r="AT303" s="22"/>
    </row>
    <row r="304" spans="7:46" ht="13">
      <c r="G304" s="34"/>
      <c r="J304" s="18"/>
      <c r="N304" s="18"/>
      <c r="O304" s="1"/>
      <c r="P304" s="1"/>
      <c r="Q304" s="1"/>
      <c r="R304" s="18"/>
      <c r="S304" s="1"/>
      <c r="T304" s="1"/>
      <c r="U304" s="1"/>
      <c r="V304" s="1"/>
      <c r="Z304" s="18"/>
      <c r="AD304" s="18"/>
      <c r="AH304" s="18"/>
      <c r="AL304" s="18"/>
      <c r="AM304" s="22"/>
      <c r="AN304" s="22"/>
      <c r="AO304" s="22"/>
      <c r="AP304" s="22"/>
      <c r="AQ304" s="22"/>
      <c r="AR304" s="22"/>
      <c r="AS304" s="22"/>
      <c r="AT304" s="22"/>
    </row>
    <row r="305" spans="7:46" ht="13">
      <c r="G305" s="34"/>
      <c r="J305" s="18"/>
      <c r="N305" s="18"/>
      <c r="O305" s="1"/>
      <c r="P305" s="1"/>
      <c r="Q305" s="1"/>
      <c r="R305" s="18"/>
      <c r="S305" s="1"/>
      <c r="T305" s="1"/>
      <c r="U305" s="1"/>
      <c r="V305" s="1"/>
      <c r="Z305" s="18"/>
      <c r="AD305" s="18"/>
      <c r="AH305" s="18"/>
      <c r="AL305" s="18"/>
      <c r="AM305" s="22"/>
      <c r="AN305" s="22"/>
      <c r="AO305" s="22"/>
      <c r="AP305" s="22"/>
      <c r="AQ305" s="22"/>
      <c r="AR305" s="22"/>
      <c r="AS305" s="22"/>
      <c r="AT305" s="22"/>
    </row>
    <row r="306" spans="7:46" ht="13">
      <c r="G306" s="34"/>
      <c r="J306" s="18"/>
      <c r="N306" s="18"/>
      <c r="O306" s="1"/>
      <c r="P306" s="1"/>
      <c r="Q306" s="1"/>
      <c r="R306" s="18"/>
      <c r="S306" s="1"/>
      <c r="T306" s="1"/>
      <c r="U306" s="1"/>
      <c r="V306" s="1"/>
      <c r="Z306" s="18"/>
      <c r="AD306" s="18"/>
      <c r="AH306" s="18"/>
      <c r="AL306" s="18"/>
      <c r="AM306" s="22"/>
      <c r="AN306" s="22"/>
      <c r="AO306" s="22"/>
      <c r="AP306" s="22"/>
      <c r="AQ306" s="22"/>
      <c r="AR306" s="22"/>
      <c r="AS306" s="22"/>
      <c r="AT306" s="22"/>
    </row>
    <row r="307" spans="7:46" ht="13">
      <c r="G307" s="34"/>
      <c r="J307" s="18"/>
      <c r="N307" s="18"/>
      <c r="O307" s="1"/>
      <c r="P307" s="1"/>
      <c r="Q307" s="1"/>
      <c r="R307" s="18"/>
      <c r="S307" s="1"/>
      <c r="T307" s="1"/>
      <c r="U307" s="1"/>
      <c r="V307" s="1"/>
      <c r="Z307" s="18"/>
      <c r="AD307" s="18"/>
      <c r="AH307" s="18"/>
      <c r="AL307" s="18"/>
      <c r="AM307" s="22"/>
      <c r="AN307" s="22"/>
      <c r="AO307" s="22"/>
      <c r="AP307" s="22"/>
      <c r="AQ307" s="22"/>
      <c r="AR307" s="22"/>
      <c r="AS307" s="22"/>
      <c r="AT307" s="22"/>
    </row>
    <row r="308" spans="7:46" ht="13">
      <c r="G308" s="34"/>
      <c r="J308" s="18"/>
      <c r="N308" s="18"/>
      <c r="O308" s="1"/>
      <c r="P308" s="1"/>
      <c r="Q308" s="1"/>
      <c r="R308" s="18"/>
      <c r="S308" s="1"/>
      <c r="T308" s="1"/>
      <c r="U308" s="1"/>
      <c r="V308" s="1"/>
      <c r="Z308" s="18"/>
      <c r="AD308" s="18"/>
      <c r="AH308" s="18"/>
      <c r="AL308" s="18"/>
      <c r="AM308" s="22"/>
      <c r="AN308" s="22"/>
      <c r="AO308" s="22"/>
      <c r="AP308" s="22"/>
      <c r="AQ308" s="22"/>
      <c r="AR308" s="22"/>
      <c r="AS308" s="22"/>
      <c r="AT308" s="22"/>
    </row>
    <row r="309" spans="7:46" ht="13">
      <c r="G309" s="34"/>
      <c r="J309" s="18"/>
      <c r="N309" s="18"/>
      <c r="O309" s="1"/>
      <c r="P309" s="1"/>
      <c r="Q309" s="1"/>
      <c r="R309" s="18"/>
      <c r="S309" s="1"/>
      <c r="T309" s="1"/>
      <c r="U309" s="1"/>
      <c r="V309" s="1"/>
      <c r="Z309" s="18"/>
      <c r="AD309" s="18"/>
      <c r="AH309" s="18"/>
      <c r="AL309" s="18"/>
      <c r="AM309" s="22"/>
      <c r="AN309" s="22"/>
      <c r="AO309" s="22"/>
      <c r="AP309" s="22"/>
      <c r="AQ309" s="22"/>
      <c r="AR309" s="22"/>
      <c r="AS309" s="22"/>
      <c r="AT309" s="22"/>
    </row>
    <row r="310" spans="7:46" ht="13">
      <c r="G310" s="34"/>
      <c r="J310" s="18"/>
      <c r="N310" s="18"/>
      <c r="O310" s="1"/>
      <c r="P310" s="1"/>
      <c r="Q310" s="1"/>
      <c r="R310" s="18"/>
      <c r="S310" s="1"/>
      <c r="T310" s="1"/>
      <c r="U310" s="1"/>
      <c r="V310" s="1"/>
      <c r="Z310" s="18"/>
      <c r="AD310" s="18"/>
      <c r="AH310" s="18"/>
      <c r="AL310" s="18"/>
      <c r="AM310" s="22"/>
      <c r="AN310" s="22"/>
      <c r="AO310" s="22"/>
      <c r="AP310" s="22"/>
      <c r="AQ310" s="22"/>
      <c r="AR310" s="22"/>
      <c r="AS310" s="22"/>
      <c r="AT310" s="22"/>
    </row>
    <row r="311" spans="7:46" ht="13">
      <c r="G311" s="34"/>
      <c r="J311" s="18"/>
      <c r="N311" s="18"/>
      <c r="O311" s="1"/>
      <c r="P311" s="1"/>
      <c r="Q311" s="1"/>
      <c r="R311" s="18"/>
      <c r="S311" s="1"/>
      <c r="T311" s="1"/>
      <c r="U311" s="1"/>
      <c r="V311" s="1"/>
      <c r="Z311" s="18"/>
      <c r="AD311" s="18"/>
      <c r="AH311" s="18"/>
      <c r="AL311" s="18"/>
      <c r="AM311" s="22"/>
      <c r="AN311" s="22"/>
      <c r="AO311" s="22"/>
      <c r="AP311" s="22"/>
      <c r="AQ311" s="22"/>
      <c r="AR311" s="22"/>
      <c r="AS311" s="22"/>
      <c r="AT311" s="22"/>
    </row>
    <row r="312" spans="7:46" ht="13">
      <c r="G312" s="34"/>
      <c r="J312" s="18"/>
      <c r="N312" s="18"/>
      <c r="O312" s="1"/>
      <c r="P312" s="1"/>
      <c r="Q312" s="1"/>
      <c r="R312" s="18"/>
      <c r="S312" s="1"/>
      <c r="T312" s="1"/>
      <c r="U312" s="1"/>
      <c r="V312" s="1"/>
      <c r="Z312" s="18"/>
      <c r="AD312" s="18"/>
      <c r="AH312" s="18"/>
      <c r="AL312" s="18"/>
      <c r="AM312" s="22"/>
      <c r="AN312" s="22"/>
      <c r="AO312" s="22"/>
      <c r="AP312" s="22"/>
      <c r="AQ312" s="22"/>
      <c r="AR312" s="22"/>
      <c r="AS312" s="22"/>
      <c r="AT312" s="22"/>
    </row>
    <row r="313" spans="7:46" ht="13">
      <c r="G313" s="34"/>
      <c r="J313" s="18"/>
      <c r="N313" s="18"/>
      <c r="O313" s="1"/>
      <c r="P313" s="1"/>
      <c r="Q313" s="1"/>
      <c r="R313" s="18"/>
      <c r="S313" s="1"/>
      <c r="T313" s="1"/>
      <c r="U313" s="1"/>
      <c r="V313" s="1"/>
      <c r="Z313" s="18"/>
      <c r="AD313" s="18"/>
      <c r="AH313" s="18"/>
      <c r="AL313" s="18"/>
      <c r="AM313" s="22"/>
      <c r="AN313" s="22"/>
      <c r="AO313" s="22"/>
      <c r="AP313" s="22"/>
      <c r="AQ313" s="22"/>
      <c r="AR313" s="22"/>
      <c r="AS313" s="22"/>
      <c r="AT313" s="22"/>
    </row>
    <row r="314" spans="7:46" ht="13">
      <c r="G314" s="34"/>
      <c r="J314" s="18"/>
      <c r="N314" s="18"/>
      <c r="O314" s="1"/>
      <c r="P314" s="1"/>
      <c r="Q314" s="1"/>
      <c r="R314" s="18"/>
      <c r="S314" s="1"/>
      <c r="T314" s="1"/>
      <c r="U314" s="1"/>
      <c r="V314" s="1"/>
      <c r="Z314" s="18"/>
      <c r="AD314" s="18"/>
      <c r="AH314" s="18"/>
      <c r="AL314" s="18"/>
      <c r="AM314" s="22"/>
      <c r="AN314" s="22"/>
      <c r="AO314" s="22"/>
      <c r="AP314" s="22"/>
      <c r="AQ314" s="22"/>
      <c r="AR314" s="22"/>
      <c r="AS314" s="22"/>
      <c r="AT314" s="22"/>
    </row>
    <row r="315" spans="7:46" ht="13">
      <c r="G315" s="34"/>
      <c r="J315" s="18"/>
      <c r="N315" s="18"/>
      <c r="O315" s="1"/>
      <c r="P315" s="1"/>
      <c r="Q315" s="1"/>
      <c r="R315" s="18"/>
      <c r="S315" s="1"/>
      <c r="T315" s="1"/>
      <c r="U315" s="1"/>
      <c r="V315" s="1"/>
      <c r="Z315" s="18"/>
      <c r="AD315" s="18"/>
      <c r="AH315" s="18"/>
      <c r="AL315" s="18"/>
      <c r="AM315" s="22"/>
      <c r="AN315" s="22"/>
      <c r="AO315" s="22"/>
      <c r="AP315" s="22"/>
      <c r="AQ315" s="22"/>
      <c r="AR315" s="22"/>
      <c r="AS315" s="22"/>
      <c r="AT315" s="22"/>
    </row>
    <row r="316" spans="7:46" ht="13">
      <c r="G316" s="34"/>
      <c r="J316" s="18"/>
      <c r="N316" s="18"/>
      <c r="O316" s="1"/>
      <c r="P316" s="1"/>
      <c r="Q316" s="1"/>
      <c r="R316" s="18"/>
      <c r="S316" s="1"/>
      <c r="T316" s="1"/>
      <c r="U316" s="1"/>
      <c r="V316" s="1"/>
      <c r="Z316" s="18"/>
      <c r="AD316" s="18"/>
      <c r="AH316" s="18"/>
      <c r="AL316" s="18"/>
      <c r="AM316" s="22"/>
      <c r="AN316" s="22"/>
      <c r="AO316" s="22"/>
      <c r="AP316" s="22"/>
      <c r="AQ316" s="22"/>
      <c r="AR316" s="22"/>
      <c r="AS316" s="22"/>
      <c r="AT316" s="22"/>
    </row>
    <row r="317" spans="7:46" ht="13">
      <c r="G317" s="34"/>
      <c r="J317" s="18"/>
      <c r="N317" s="18"/>
      <c r="O317" s="1"/>
      <c r="P317" s="1"/>
      <c r="Q317" s="1"/>
      <c r="R317" s="18"/>
      <c r="S317" s="1"/>
      <c r="T317" s="1"/>
      <c r="U317" s="1"/>
      <c r="V317" s="1"/>
      <c r="Z317" s="18"/>
      <c r="AD317" s="18"/>
      <c r="AH317" s="18"/>
      <c r="AL317" s="18"/>
      <c r="AM317" s="22"/>
      <c r="AN317" s="22"/>
      <c r="AO317" s="22"/>
      <c r="AP317" s="22"/>
      <c r="AQ317" s="22"/>
      <c r="AR317" s="22"/>
      <c r="AS317" s="22"/>
      <c r="AT317" s="22"/>
    </row>
    <row r="318" spans="7:46" ht="13">
      <c r="G318" s="34"/>
      <c r="J318" s="18"/>
      <c r="N318" s="18"/>
      <c r="O318" s="1"/>
      <c r="P318" s="1"/>
      <c r="Q318" s="1"/>
      <c r="R318" s="18"/>
      <c r="S318" s="1"/>
      <c r="T318" s="1"/>
      <c r="U318" s="1"/>
      <c r="V318" s="1"/>
      <c r="Z318" s="18"/>
      <c r="AD318" s="18"/>
      <c r="AH318" s="18"/>
      <c r="AL318" s="18"/>
      <c r="AM318" s="22"/>
      <c r="AN318" s="22"/>
      <c r="AO318" s="22"/>
      <c r="AP318" s="22"/>
      <c r="AQ318" s="22"/>
      <c r="AR318" s="22"/>
      <c r="AS318" s="22"/>
      <c r="AT318" s="22"/>
    </row>
    <row r="319" spans="7:46" ht="13">
      <c r="G319" s="34"/>
      <c r="J319" s="18"/>
      <c r="N319" s="18"/>
      <c r="O319" s="1"/>
      <c r="P319" s="1"/>
      <c r="Q319" s="1"/>
      <c r="R319" s="18"/>
      <c r="S319" s="1"/>
      <c r="T319" s="1"/>
      <c r="U319" s="1"/>
      <c r="V319" s="1"/>
      <c r="Z319" s="18"/>
      <c r="AD319" s="18"/>
      <c r="AH319" s="18"/>
      <c r="AL319" s="18"/>
      <c r="AM319" s="22"/>
      <c r="AN319" s="22"/>
      <c r="AO319" s="22"/>
      <c r="AP319" s="22"/>
      <c r="AQ319" s="22"/>
      <c r="AR319" s="22"/>
      <c r="AS319" s="22"/>
      <c r="AT319" s="22"/>
    </row>
    <row r="320" spans="7:46" ht="13">
      <c r="G320" s="34"/>
      <c r="J320" s="18"/>
      <c r="N320" s="18"/>
      <c r="O320" s="1"/>
      <c r="P320" s="1"/>
      <c r="Q320" s="1"/>
      <c r="R320" s="18"/>
      <c r="S320" s="1"/>
      <c r="T320" s="1"/>
      <c r="U320" s="1"/>
      <c r="V320" s="1"/>
      <c r="Z320" s="18"/>
      <c r="AD320" s="18"/>
      <c r="AH320" s="18"/>
      <c r="AL320" s="18"/>
      <c r="AM320" s="22"/>
      <c r="AN320" s="22"/>
      <c r="AO320" s="22"/>
      <c r="AP320" s="22"/>
      <c r="AQ320" s="22"/>
      <c r="AR320" s="22"/>
      <c r="AS320" s="22"/>
      <c r="AT320" s="22"/>
    </row>
    <row r="321" spans="7:46" ht="13">
      <c r="G321" s="34"/>
      <c r="J321" s="18"/>
      <c r="N321" s="18"/>
      <c r="O321" s="1"/>
      <c r="P321" s="1"/>
      <c r="Q321" s="1"/>
      <c r="R321" s="18"/>
      <c r="S321" s="1"/>
      <c r="T321" s="1"/>
      <c r="U321" s="1"/>
      <c r="V321" s="1"/>
      <c r="Z321" s="18"/>
      <c r="AD321" s="18"/>
      <c r="AH321" s="18"/>
      <c r="AL321" s="18"/>
      <c r="AM321" s="22"/>
      <c r="AN321" s="22"/>
      <c r="AO321" s="22"/>
      <c r="AP321" s="22"/>
      <c r="AQ321" s="22"/>
      <c r="AR321" s="22"/>
      <c r="AS321" s="22"/>
      <c r="AT321" s="22"/>
    </row>
    <row r="322" spans="7:46" ht="13">
      <c r="G322" s="34"/>
      <c r="J322" s="18"/>
      <c r="N322" s="18"/>
      <c r="O322" s="1"/>
      <c r="P322" s="1"/>
      <c r="Q322" s="1"/>
      <c r="R322" s="18"/>
      <c r="S322" s="1"/>
      <c r="T322" s="1"/>
      <c r="U322" s="1"/>
      <c r="V322" s="1"/>
      <c r="Z322" s="18"/>
      <c r="AD322" s="18"/>
      <c r="AH322" s="18"/>
      <c r="AL322" s="18"/>
      <c r="AM322" s="22"/>
      <c r="AN322" s="22"/>
      <c r="AO322" s="22"/>
      <c r="AP322" s="22"/>
      <c r="AQ322" s="22"/>
      <c r="AR322" s="22"/>
      <c r="AS322" s="22"/>
      <c r="AT322" s="22"/>
    </row>
    <row r="323" spans="7:46" ht="13">
      <c r="G323" s="34"/>
      <c r="J323" s="18"/>
      <c r="N323" s="18"/>
      <c r="O323" s="1"/>
      <c r="P323" s="1"/>
      <c r="Q323" s="1"/>
      <c r="R323" s="18"/>
      <c r="S323" s="1"/>
      <c r="T323" s="1"/>
      <c r="U323" s="1"/>
      <c r="V323" s="1"/>
      <c r="Z323" s="18"/>
      <c r="AD323" s="18"/>
      <c r="AH323" s="18"/>
      <c r="AL323" s="18"/>
      <c r="AM323" s="22"/>
      <c r="AN323" s="22"/>
      <c r="AO323" s="22"/>
      <c r="AP323" s="22"/>
      <c r="AQ323" s="22"/>
      <c r="AR323" s="22"/>
      <c r="AS323" s="22"/>
      <c r="AT323" s="22"/>
    </row>
    <row r="324" spans="7:46" ht="13">
      <c r="G324" s="34"/>
      <c r="J324" s="18"/>
      <c r="N324" s="18"/>
      <c r="O324" s="1"/>
      <c r="P324" s="1"/>
      <c r="Q324" s="1"/>
      <c r="R324" s="18"/>
      <c r="S324" s="1"/>
      <c r="T324" s="1"/>
      <c r="U324" s="1"/>
      <c r="V324" s="1"/>
      <c r="Z324" s="18"/>
      <c r="AD324" s="18"/>
      <c r="AH324" s="18"/>
      <c r="AL324" s="18"/>
      <c r="AM324" s="22"/>
      <c r="AN324" s="22"/>
      <c r="AO324" s="22"/>
      <c r="AP324" s="22"/>
      <c r="AQ324" s="22"/>
      <c r="AR324" s="22"/>
      <c r="AS324" s="22"/>
      <c r="AT324" s="22"/>
    </row>
    <row r="325" spans="7:46" ht="13">
      <c r="G325" s="34"/>
      <c r="J325" s="18"/>
      <c r="N325" s="18"/>
      <c r="O325" s="1"/>
      <c r="P325" s="1"/>
      <c r="Q325" s="1"/>
      <c r="R325" s="18"/>
      <c r="S325" s="1"/>
      <c r="T325" s="1"/>
      <c r="U325" s="1"/>
      <c r="V325" s="1"/>
      <c r="Z325" s="18"/>
      <c r="AD325" s="18"/>
      <c r="AH325" s="18"/>
      <c r="AL325" s="18"/>
      <c r="AM325" s="22"/>
      <c r="AN325" s="22"/>
      <c r="AO325" s="22"/>
      <c r="AP325" s="22"/>
      <c r="AQ325" s="22"/>
      <c r="AR325" s="22"/>
      <c r="AS325" s="22"/>
      <c r="AT325" s="22"/>
    </row>
    <row r="326" spans="7:46" ht="13">
      <c r="G326" s="34"/>
      <c r="J326" s="18"/>
      <c r="N326" s="18"/>
      <c r="O326" s="1"/>
      <c r="P326" s="1"/>
      <c r="Q326" s="1"/>
      <c r="R326" s="18"/>
      <c r="S326" s="1"/>
      <c r="T326" s="1"/>
      <c r="U326" s="1"/>
      <c r="V326" s="1"/>
      <c r="Z326" s="18"/>
      <c r="AD326" s="18"/>
      <c r="AH326" s="18"/>
      <c r="AL326" s="18"/>
      <c r="AM326" s="22"/>
      <c r="AN326" s="22"/>
      <c r="AO326" s="22"/>
      <c r="AP326" s="22"/>
      <c r="AQ326" s="22"/>
      <c r="AR326" s="22"/>
      <c r="AS326" s="22"/>
      <c r="AT326" s="22"/>
    </row>
    <row r="327" spans="7:46" ht="13">
      <c r="G327" s="34"/>
      <c r="J327" s="18"/>
      <c r="N327" s="18"/>
      <c r="O327" s="1"/>
      <c r="P327" s="1"/>
      <c r="Q327" s="1"/>
      <c r="R327" s="18"/>
      <c r="S327" s="1"/>
      <c r="T327" s="1"/>
      <c r="U327" s="1"/>
      <c r="V327" s="1"/>
      <c r="Z327" s="18"/>
      <c r="AD327" s="18"/>
      <c r="AH327" s="18"/>
      <c r="AL327" s="18"/>
      <c r="AM327" s="22"/>
      <c r="AN327" s="22"/>
      <c r="AO327" s="22"/>
      <c r="AP327" s="22"/>
      <c r="AQ327" s="22"/>
      <c r="AR327" s="22"/>
      <c r="AS327" s="22"/>
      <c r="AT327" s="22"/>
    </row>
    <row r="328" spans="7:46" ht="13">
      <c r="G328" s="34"/>
      <c r="J328" s="18"/>
      <c r="N328" s="18"/>
      <c r="O328" s="1"/>
      <c r="P328" s="1"/>
      <c r="Q328" s="1"/>
      <c r="R328" s="18"/>
      <c r="S328" s="1"/>
      <c r="T328" s="1"/>
      <c r="U328" s="1"/>
      <c r="V328" s="1"/>
      <c r="Z328" s="18"/>
      <c r="AD328" s="18"/>
      <c r="AH328" s="18"/>
      <c r="AL328" s="18"/>
      <c r="AM328" s="22"/>
      <c r="AN328" s="22"/>
      <c r="AO328" s="22"/>
      <c r="AP328" s="22"/>
      <c r="AQ328" s="22"/>
      <c r="AR328" s="22"/>
      <c r="AS328" s="22"/>
      <c r="AT328" s="22"/>
    </row>
    <row r="329" spans="7:46" ht="13">
      <c r="G329" s="34"/>
      <c r="J329" s="18"/>
      <c r="N329" s="18"/>
      <c r="O329" s="1"/>
      <c r="P329" s="1"/>
      <c r="Q329" s="1"/>
      <c r="R329" s="18"/>
      <c r="S329" s="1"/>
      <c r="T329" s="1"/>
      <c r="U329" s="1"/>
      <c r="V329" s="1"/>
      <c r="Z329" s="18"/>
      <c r="AD329" s="18"/>
      <c r="AH329" s="18"/>
      <c r="AL329" s="18"/>
      <c r="AM329" s="22"/>
      <c r="AN329" s="22"/>
      <c r="AO329" s="22"/>
      <c r="AP329" s="22"/>
      <c r="AQ329" s="22"/>
      <c r="AR329" s="22"/>
      <c r="AS329" s="22"/>
      <c r="AT329" s="22"/>
    </row>
    <row r="330" spans="7:46" ht="13">
      <c r="G330" s="34"/>
      <c r="J330" s="18"/>
      <c r="N330" s="18"/>
      <c r="O330" s="1"/>
      <c r="P330" s="1"/>
      <c r="Q330" s="1"/>
      <c r="R330" s="18"/>
      <c r="S330" s="1"/>
      <c r="T330" s="1"/>
      <c r="U330" s="1"/>
      <c r="V330" s="1"/>
      <c r="Z330" s="18"/>
      <c r="AD330" s="18"/>
      <c r="AH330" s="18"/>
      <c r="AL330" s="18"/>
      <c r="AM330" s="22"/>
      <c r="AN330" s="22"/>
      <c r="AO330" s="22"/>
      <c r="AP330" s="22"/>
      <c r="AQ330" s="22"/>
      <c r="AR330" s="22"/>
      <c r="AS330" s="22"/>
      <c r="AT330" s="22"/>
    </row>
    <row r="331" spans="7:46" ht="13">
      <c r="G331" s="34"/>
      <c r="J331" s="18"/>
      <c r="N331" s="18"/>
      <c r="O331" s="1"/>
      <c r="P331" s="1"/>
      <c r="Q331" s="1"/>
      <c r="R331" s="18"/>
      <c r="S331" s="1"/>
      <c r="T331" s="1"/>
      <c r="U331" s="1"/>
      <c r="V331" s="1"/>
      <c r="Z331" s="18"/>
      <c r="AD331" s="18"/>
      <c r="AH331" s="18"/>
      <c r="AL331" s="18"/>
      <c r="AM331" s="22"/>
      <c r="AN331" s="22"/>
      <c r="AO331" s="22"/>
      <c r="AP331" s="22"/>
      <c r="AQ331" s="22"/>
      <c r="AR331" s="22"/>
      <c r="AS331" s="22"/>
      <c r="AT331" s="22"/>
    </row>
    <row r="332" spans="7:46" ht="13">
      <c r="G332" s="34"/>
      <c r="J332" s="18"/>
      <c r="N332" s="18"/>
      <c r="O332" s="1"/>
      <c r="P332" s="1"/>
      <c r="Q332" s="1"/>
      <c r="R332" s="18"/>
      <c r="S332" s="1"/>
      <c r="T332" s="1"/>
      <c r="U332" s="1"/>
      <c r="V332" s="1"/>
      <c r="Z332" s="18"/>
      <c r="AD332" s="18"/>
      <c r="AH332" s="18"/>
      <c r="AL332" s="18"/>
      <c r="AM332" s="22"/>
      <c r="AN332" s="22"/>
      <c r="AO332" s="22"/>
      <c r="AP332" s="22"/>
      <c r="AQ332" s="22"/>
      <c r="AR332" s="22"/>
      <c r="AS332" s="22"/>
      <c r="AT332" s="22"/>
    </row>
    <row r="333" spans="7:46" ht="13">
      <c r="G333" s="34"/>
      <c r="J333" s="18"/>
      <c r="N333" s="18"/>
      <c r="O333" s="1"/>
      <c r="P333" s="1"/>
      <c r="Q333" s="1"/>
      <c r="R333" s="18"/>
      <c r="S333" s="1"/>
      <c r="T333" s="1"/>
      <c r="U333" s="1"/>
      <c r="V333" s="1"/>
      <c r="Z333" s="18"/>
      <c r="AD333" s="18"/>
      <c r="AH333" s="18"/>
      <c r="AL333" s="18"/>
      <c r="AM333" s="22"/>
      <c r="AN333" s="22"/>
      <c r="AO333" s="22"/>
      <c r="AP333" s="22"/>
      <c r="AQ333" s="22"/>
      <c r="AR333" s="22"/>
      <c r="AS333" s="22"/>
      <c r="AT333" s="22"/>
    </row>
    <row r="334" spans="7:46" ht="13">
      <c r="G334" s="34"/>
      <c r="J334" s="18"/>
      <c r="N334" s="18"/>
      <c r="O334" s="1"/>
      <c r="P334" s="1"/>
      <c r="Q334" s="1"/>
      <c r="R334" s="18"/>
      <c r="S334" s="1"/>
      <c r="T334" s="1"/>
      <c r="U334" s="1"/>
      <c r="V334" s="1"/>
      <c r="Z334" s="18"/>
      <c r="AD334" s="18"/>
      <c r="AH334" s="18"/>
      <c r="AL334" s="18"/>
      <c r="AM334" s="22"/>
      <c r="AN334" s="22"/>
      <c r="AO334" s="22"/>
      <c r="AP334" s="22"/>
      <c r="AQ334" s="22"/>
      <c r="AR334" s="22"/>
      <c r="AS334" s="22"/>
      <c r="AT334" s="22"/>
    </row>
    <row r="335" spans="7:46" ht="13">
      <c r="G335" s="34"/>
      <c r="J335" s="18"/>
      <c r="N335" s="18"/>
      <c r="O335" s="1"/>
      <c r="P335" s="1"/>
      <c r="Q335" s="1"/>
      <c r="R335" s="18"/>
      <c r="S335" s="1"/>
      <c r="T335" s="1"/>
      <c r="U335" s="1"/>
      <c r="V335" s="1"/>
      <c r="Z335" s="18"/>
      <c r="AD335" s="18"/>
      <c r="AH335" s="18"/>
      <c r="AL335" s="18"/>
      <c r="AM335" s="22"/>
      <c r="AN335" s="22"/>
      <c r="AO335" s="22"/>
      <c r="AP335" s="22"/>
      <c r="AQ335" s="22"/>
      <c r="AR335" s="22"/>
      <c r="AS335" s="22"/>
      <c r="AT335" s="22"/>
    </row>
    <row r="336" spans="7:46" ht="13">
      <c r="G336" s="34"/>
      <c r="J336" s="18"/>
      <c r="N336" s="18"/>
      <c r="O336" s="1"/>
      <c r="P336" s="1"/>
      <c r="Q336" s="1"/>
      <c r="R336" s="18"/>
      <c r="S336" s="1"/>
      <c r="T336" s="1"/>
      <c r="U336" s="1"/>
      <c r="V336" s="1"/>
      <c r="Z336" s="18"/>
      <c r="AD336" s="18"/>
      <c r="AH336" s="18"/>
      <c r="AL336" s="18"/>
      <c r="AM336" s="22"/>
      <c r="AN336" s="22"/>
      <c r="AO336" s="22"/>
      <c r="AP336" s="22"/>
      <c r="AQ336" s="22"/>
      <c r="AR336" s="22"/>
      <c r="AS336" s="22"/>
      <c r="AT336" s="22"/>
    </row>
    <row r="337" spans="7:46" ht="13">
      <c r="G337" s="34"/>
      <c r="J337" s="18"/>
      <c r="N337" s="18"/>
      <c r="O337" s="1"/>
      <c r="P337" s="1"/>
      <c r="Q337" s="1"/>
      <c r="R337" s="18"/>
      <c r="S337" s="1"/>
      <c r="T337" s="1"/>
      <c r="U337" s="1"/>
      <c r="V337" s="1"/>
      <c r="Z337" s="18"/>
      <c r="AD337" s="18"/>
      <c r="AH337" s="18"/>
      <c r="AL337" s="18"/>
      <c r="AM337" s="22"/>
      <c r="AN337" s="22"/>
      <c r="AO337" s="22"/>
      <c r="AP337" s="22"/>
      <c r="AQ337" s="22"/>
      <c r="AR337" s="22"/>
      <c r="AS337" s="22"/>
      <c r="AT337" s="22"/>
    </row>
    <row r="338" spans="7:46" ht="13">
      <c r="G338" s="34"/>
      <c r="J338" s="18"/>
      <c r="N338" s="18"/>
      <c r="O338" s="1"/>
      <c r="P338" s="1"/>
      <c r="Q338" s="1"/>
      <c r="R338" s="18"/>
      <c r="S338" s="1"/>
      <c r="T338" s="1"/>
      <c r="U338" s="1"/>
      <c r="V338" s="1"/>
      <c r="Z338" s="18"/>
      <c r="AD338" s="18"/>
      <c r="AH338" s="18"/>
      <c r="AL338" s="18"/>
      <c r="AM338" s="22"/>
      <c r="AN338" s="22"/>
      <c r="AO338" s="22"/>
      <c r="AP338" s="22"/>
      <c r="AQ338" s="22"/>
      <c r="AR338" s="22"/>
      <c r="AS338" s="22"/>
      <c r="AT338" s="22"/>
    </row>
    <row r="339" spans="7:46" ht="13">
      <c r="G339" s="34"/>
      <c r="J339" s="18"/>
      <c r="N339" s="18"/>
      <c r="O339" s="1"/>
      <c r="P339" s="1"/>
      <c r="Q339" s="1"/>
      <c r="R339" s="18"/>
      <c r="S339" s="1"/>
      <c r="T339" s="1"/>
      <c r="U339" s="1"/>
      <c r="V339" s="1"/>
      <c r="Z339" s="18"/>
      <c r="AD339" s="18"/>
      <c r="AH339" s="18"/>
      <c r="AL339" s="18"/>
      <c r="AM339" s="22"/>
      <c r="AN339" s="22"/>
      <c r="AO339" s="22"/>
      <c r="AP339" s="22"/>
      <c r="AQ339" s="22"/>
      <c r="AR339" s="22"/>
      <c r="AS339" s="22"/>
      <c r="AT339" s="22"/>
    </row>
    <row r="340" spans="7:46" ht="13">
      <c r="G340" s="34"/>
      <c r="J340" s="18"/>
      <c r="N340" s="18"/>
      <c r="O340" s="1"/>
      <c r="P340" s="1"/>
      <c r="Q340" s="1"/>
      <c r="R340" s="18"/>
      <c r="S340" s="1"/>
      <c r="T340" s="1"/>
      <c r="U340" s="1"/>
      <c r="V340" s="1"/>
      <c r="Z340" s="18"/>
      <c r="AD340" s="18"/>
      <c r="AH340" s="18"/>
      <c r="AL340" s="18"/>
      <c r="AM340" s="22"/>
      <c r="AN340" s="22"/>
      <c r="AO340" s="22"/>
      <c r="AP340" s="22"/>
      <c r="AQ340" s="22"/>
      <c r="AR340" s="22"/>
      <c r="AS340" s="22"/>
      <c r="AT340" s="22"/>
    </row>
    <row r="341" spans="7:46" ht="13">
      <c r="G341" s="34"/>
      <c r="J341" s="18"/>
      <c r="N341" s="18"/>
      <c r="O341" s="1"/>
      <c r="P341" s="1"/>
      <c r="Q341" s="1"/>
      <c r="R341" s="18"/>
      <c r="S341" s="1"/>
      <c r="T341" s="1"/>
      <c r="U341" s="1"/>
      <c r="V341" s="1"/>
      <c r="Z341" s="18"/>
      <c r="AD341" s="18"/>
      <c r="AH341" s="18"/>
      <c r="AL341" s="18"/>
      <c r="AM341" s="22"/>
      <c r="AN341" s="22"/>
      <c r="AO341" s="22"/>
      <c r="AP341" s="22"/>
      <c r="AQ341" s="22"/>
      <c r="AR341" s="22"/>
      <c r="AS341" s="22"/>
      <c r="AT341" s="22"/>
    </row>
    <row r="342" spans="7:46" ht="13">
      <c r="G342" s="34"/>
      <c r="J342" s="18"/>
      <c r="N342" s="18"/>
      <c r="O342" s="1"/>
      <c r="P342" s="1"/>
      <c r="Q342" s="1"/>
      <c r="R342" s="18"/>
      <c r="S342" s="1"/>
      <c r="T342" s="1"/>
      <c r="U342" s="1"/>
      <c r="V342" s="1"/>
      <c r="Z342" s="18"/>
      <c r="AD342" s="18"/>
      <c r="AH342" s="18"/>
      <c r="AL342" s="18"/>
      <c r="AM342" s="22"/>
      <c r="AN342" s="22"/>
      <c r="AO342" s="22"/>
      <c r="AP342" s="22"/>
      <c r="AQ342" s="22"/>
      <c r="AR342" s="22"/>
      <c r="AS342" s="22"/>
      <c r="AT342" s="22"/>
    </row>
    <row r="343" spans="7:46" ht="13">
      <c r="G343" s="34"/>
      <c r="J343" s="18"/>
      <c r="N343" s="18"/>
      <c r="O343" s="1"/>
      <c r="P343" s="1"/>
      <c r="Q343" s="1"/>
      <c r="R343" s="18"/>
      <c r="S343" s="1"/>
      <c r="T343" s="1"/>
      <c r="U343" s="1"/>
      <c r="V343" s="1"/>
      <c r="Z343" s="18"/>
      <c r="AD343" s="18"/>
      <c r="AH343" s="18"/>
      <c r="AL343" s="18"/>
      <c r="AM343" s="22"/>
      <c r="AN343" s="22"/>
      <c r="AO343" s="22"/>
      <c r="AP343" s="22"/>
      <c r="AQ343" s="22"/>
      <c r="AR343" s="22"/>
      <c r="AS343" s="22"/>
      <c r="AT343" s="22"/>
    </row>
    <row r="344" spans="7:46" ht="13">
      <c r="G344" s="34"/>
      <c r="J344" s="18"/>
      <c r="N344" s="18"/>
      <c r="O344" s="1"/>
      <c r="P344" s="1"/>
      <c r="Q344" s="1"/>
      <c r="R344" s="18"/>
      <c r="S344" s="1"/>
      <c r="T344" s="1"/>
      <c r="U344" s="1"/>
      <c r="V344" s="1"/>
      <c r="Z344" s="18"/>
      <c r="AD344" s="18"/>
      <c r="AH344" s="18"/>
      <c r="AL344" s="18"/>
      <c r="AM344" s="22"/>
      <c r="AN344" s="22"/>
      <c r="AO344" s="22"/>
      <c r="AP344" s="22"/>
      <c r="AQ344" s="22"/>
      <c r="AR344" s="22"/>
      <c r="AS344" s="22"/>
      <c r="AT344" s="22"/>
    </row>
    <row r="345" spans="7:46" ht="13">
      <c r="G345" s="34"/>
      <c r="J345" s="18"/>
      <c r="N345" s="18"/>
      <c r="O345" s="1"/>
      <c r="P345" s="1"/>
      <c r="Q345" s="1"/>
      <c r="R345" s="18"/>
      <c r="S345" s="1"/>
      <c r="T345" s="1"/>
      <c r="U345" s="1"/>
      <c r="V345" s="1"/>
      <c r="Z345" s="18"/>
      <c r="AD345" s="18"/>
      <c r="AH345" s="18"/>
      <c r="AL345" s="18"/>
      <c r="AM345" s="22"/>
      <c r="AN345" s="22"/>
      <c r="AO345" s="22"/>
      <c r="AP345" s="22"/>
      <c r="AQ345" s="22"/>
      <c r="AR345" s="22"/>
      <c r="AS345" s="22"/>
      <c r="AT345" s="22"/>
    </row>
    <row r="346" spans="7:46" ht="13">
      <c r="G346" s="34"/>
      <c r="J346" s="18"/>
      <c r="N346" s="18"/>
      <c r="O346" s="1"/>
      <c r="P346" s="1"/>
      <c r="Q346" s="1"/>
      <c r="R346" s="18"/>
      <c r="S346" s="1"/>
      <c r="T346" s="1"/>
      <c r="U346" s="1"/>
      <c r="V346" s="1"/>
      <c r="Z346" s="18"/>
      <c r="AD346" s="18"/>
      <c r="AH346" s="18"/>
      <c r="AL346" s="18"/>
      <c r="AM346" s="22"/>
      <c r="AN346" s="22"/>
      <c r="AO346" s="22"/>
      <c r="AP346" s="22"/>
      <c r="AQ346" s="22"/>
      <c r="AR346" s="22"/>
      <c r="AS346" s="22"/>
      <c r="AT346" s="22"/>
    </row>
    <row r="347" spans="7:46" ht="13">
      <c r="G347" s="34"/>
      <c r="J347" s="18"/>
      <c r="N347" s="18"/>
      <c r="O347" s="1"/>
      <c r="P347" s="1"/>
      <c r="Q347" s="1"/>
      <c r="R347" s="18"/>
      <c r="S347" s="1"/>
      <c r="T347" s="1"/>
      <c r="U347" s="1"/>
      <c r="V347" s="1"/>
      <c r="Z347" s="18"/>
      <c r="AD347" s="18"/>
      <c r="AH347" s="18"/>
      <c r="AL347" s="18"/>
      <c r="AM347" s="22"/>
      <c r="AN347" s="22"/>
      <c r="AO347" s="22"/>
      <c r="AP347" s="22"/>
      <c r="AQ347" s="22"/>
      <c r="AR347" s="22"/>
      <c r="AS347" s="22"/>
      <c r="AT347" s="22"/>
    </row>
    <row r="348" spans="7:46" ht="13">
      <c r="G348" s="34"/>
      <c r="J348" s="18"/>
      <c r="N348" s="18"/>
      <c r="O348" s="1"/>
      <c r="P348" s="1"/>
      <c r="Q348" s="1"/>
      <c r="R348" s="18"/>
      <c r="S348" s="1"/>
      <c r="T348" s="1"/>
      <c r="U348" s="1"/>
      <c r="V348" s="1"/>
      <c r="Z348" s="18"/>
      <c r="AD348" s="18"/>
      <c r="AH348" s="18"/>
      <c r="AL348" s="18"/>
      <c r="AM348" s="22"/>
      <c r="AN348" s="22"/>
      <c r="AO348" s="22"/>
      <c r="AP348" s="22"/>
      <c r="AQ348" s="22"/>
      <c r="AR348" s="22"/>
      <c r="AS348" s="22"/>
      <c r="AT348" s="22"/>
    </row>
    <row r="349" spans="7:46" ht="13">
      <c r="G349" s="34"/>
      <c r="J349" s="18"/>
      <c r="N349" s="18"/>
      <c r="O349" s="1"/>
      <c r="P349" s="1"/>
      <c r="Q349" s="1"/>
      <c r="R349" s="18"/>
      <c r="S349" s="1"/>
      <c r="T349" s="1"/>
      <c r="U349" s="1"/>
      <c r="V349" s="1"/>
      <c r="Z349" s="18"/>
      <c r="AD349" s="18"/>
      <c r="AH349" s="18"/>
      <c r="AL349" s="18"/>
      <c r="AM349" s="22"/>
      <c r="AN349" s="22"/>
      <c r="AO349" s="22"/>
      <c r="AP349" s="22"/>
      <c r="AQ349" s="22"/>
      <c r="AR349" s="22"/>
      <c r="AS349" s="22"/>
      <c r="AT349" s="22"/>
    </row>
    <row r="350" spans="7:46" ht="13">
      <c r="G350" s="34"/>
      <c r="J350" s="18"/>
      <c r="N350" s="18"/>
      <c r="O350" s="1"/>
      <c r="P350" s="1"/>
      <c r="Q350" s="1"/>
      <c r="R350" s="18"/>
      <c r="S350" s="1"/>
      <c r="T350" s="1"/>
      <c r="U350" s="1"/>
      <c r="V350" s="1"/>
      <c r="Z350" s="18"/>
      <c r="AD350" s="18"/>
      <c r="AH350" s="18"/>
      <c r="AL350" s="18"/>
      <c r="AM350" s="22"/>
      <c r="AN350" s="22"/>
      <c r="AO350" s="22"/>
      <c r="AP350" s="22"/>
      <c r="AQ350" s="22"/>
      <c r="AR350" s="22"/>
      <c r="AS350" s="22"/>
      <c r="AT350" s="22"/>
    </row>
    <row r="351" spans="7:46" ht="13">
      <c r="G351" s="34"/>
      <c r="J351" s="18"/>
      <c r="N351" s="18"/>
      <c r="O351" s="1"/>
      <c r="P351" s="1"/>
      <c r="Q351" s="1"/>
      <c r="R351" s="18"/>
      <c r="S351" s="1"/>
      <c r="T351" s="1"/>
      <c r="U351" s="1"/>
      <c r="V351" s="1"/>
      <c r="Z351" s="18"/>
      <c r="AD351" s="18"/>
      <c r="AH351" s="18"/>
      <c r="AL351" s="18"/>
      <c r="AM351" s="22"/>
      <c r="AN351" s="22"/>
      <c r="AO351" s="22"/>
      <c r="AP351" s="22"/>
      <c r="AQ351" s="22"/>
      <c r="AR351" s="22"/>
      <c r="AS351" s="22"/>
      <c r="AT351" s="22"/>
    </row>
    <row r="352" spans="7:46" ht="13">
      <c r="G352" s="34"/>
      <c r="J352" s="18"/>
      <c r="N352" s="18"/>
      <c r="O352" s="1"/>
      <c r="P352" s="1"/>
      <c r="Q352" s="1"/>
      <c r="R352" s="18"/>
      <c r="S352" s="1"/>
      <c r="T352" s="1"/>
      <c r="U352" s="1"/>
      <c r="V352" s="1"/>
      <c r="Z352" s="18"/>
      <c r="AD352" s="18"/>
      <c r="AH352" s="18"/>
      <c r="AL352" s="18"/>
      <c r="AM352" s="22"/>
      <c r="AN352" s="22"/>
      <c r="AO352" s="22"/>
      <c r="AP352" s="22"/>
      <c r="AQ352" s="22"/>
      <c r="AR352" s="22"/>
      <c r="AS352" s="22"/>
      <c r="AT352" s="22"/>
    </row>
    <row r="353" spans="7:46" ht="13">
      <c r="G353" s="34"/>
      <c r="J353" s="18"/>
      <c r="N353" s="18"/>
      <c r="O353" s="1"/>
      <c r="P353" s="1"/>
      <c r="Q353" s="1"/>
      <c r="R353" s="18"/>
      <c r="S353" s="1"/>
      <c r="T353" s="1"/>
      <c r="U353" s="1"/>
      <c r="V353" s="1"/>
      <c r="Z353" s="18"/>
      <c r="AD353" s="18"/>
      <c r="AH353" s="18"/>
      <c r="AL353" s="18"/>
      <c r="AM353" s="22"/>
      <c r="AN353" s="22"/>
      <c r="AO353" s="22"/>
      <c r="AP353" s="22"/>
      <c r="AQ353" s="22"/>
      <c r="AR353" s="22"/>
      <c r="AS353" s="22"/>
      <c r="AT353" s="22"/>
    </row>
    <row r="354" spans="7:46" ht="13">
      <c r="G354" s="34"/>
      <c r="J354" s="18"/>
      <c r="N354" s="18"/>
      <c r="O354" s="1"/>
      <c r="P354" s="1"/>
      <c r="Q354" s="1"/>
      <c r="R354" s="18"/>
      <c r="S354" s="1"/>
      <c r="T354" s="1"/>
      <c r="U354" s="1"/>
      <c r="V354" s="1"/>
      <c r="Z354" s="18"/>
      <c r="AD354" s="18"/>
      <c r="AH354" s="18"/>
      <c r="AL354" s="18"/>
      <c r="AM354" s="22"/>
      <c r="AN354" s="22"/>
      <c r="AO354" s="22"/>
      <c r="AP354" s="22"/>
      <c r="AQ354" s="22"/>
      <c r="AR354" s="22"/>
      <c r="AS354" s="22"/>
      <c r="AT354" s="22"/>
    </row>
    <row r="355" spans="7:46" ht="13">
      <c r="G355" s="34"/>
      <c r="J355" s="18"/>
      <c r="N355" s="18"/>
      <c r="O355" s="1"/>
      <c r="P355" s="1"/>
      <c r="Q355" s="1"/>
      <c r="R355" s="18"/>
      <c r="S355" s="1"/>
      <c r="T355" s="1"/>
      <c r="U355" s="1"/>
      <c r="V355" s="1"/>
      <c r="Z355" s="18"/>
      <c r="AD355" s="18"/>
      <c r="AH355" s="18"/>
      <c r="AL355" s="18"/>
      <c r="AM355" s="22"/>
      <c r="AN355" s="22"/>
      <c r="AO355" s="22"/>
      <c r="AP355" s="22"/>
      <c r="AQ355" s="22"/>
      <c r="AR355" s="22"/>
      <c r="AS355" s="22"/>
      <c r="AT355" s="22"/>
    </row>
    <row r="356" spans="7:46" ht="13">
      <c r="G356" s="34"/>
      <c r="J356" s="18"/>
      <c r="N356" s="18"/>
      <c r="O356" s="1"/>
      <c r="P356" s="1"/>
      <c r="Q356" s="1"/>
      <c r="R356" s="18"/>
      <c r="S356" s="1"/>
      <c r="T356" s="1"/>
      <c r="U356" s="1"/>
      <c r="V356" s="1"/>
      <c r="Z356" s="18"/>
      <c r="AD356" s="18"/>
      <c r="AH356" s="18"/>
      <c r="AL356" s="18"/>
      <c r="AM356" s="22"/>
      <c r="AN356" s="22"/>
      <c r="AO356" s="22"/>
      <c r="AP356" s="22"/>
      <c r="AQ356" s="22"/>
      <c r="AR356" s="22"/>
      <c r="AS356" s="22"/>
      <c r="AT356" s="22"/>
    </row>
    <row r="357" spans="7:46" ht="13">
      <c r="G357" s="34"/>
      <c r="J357" s="18"/>
      <c r="N357" s="18"/>
      <c r="O357" s="1"/>
      <c r="P357" s="1"/>
      <c r="Q357" s="1"/>
      <c r="R357" s="18"/>
      <c r="S357" s="1"/>
      <c r="T357" s="1"/>
      <c r="U357" s="1"/>
      <c r="V357" s="1"/>
      <c r="Z357" s="18"/>
      <c r="AD357" s="18"/>
      <c r="AH357" s="18"/>
      <c r="AL357" s="18"/>
      <c r="AM357" s="22"/>
      <c r="AN357" s="22"/>
      <c r="AO357" s="22"/>
      <c r="AP357" s="22"/>
      <c r="AQ357" s="22"/>
      <c r="AR357" s="22"/>
      <c r="AS357" s="22"/>
      <c r="AT357" s="22"/>
    </row>
    <row r="358" spans="7:46" ht="13">
      <c r="G358" s="34"/>
      <c r="J358" s="18"/>
      <c r="N358" s="18"/>
      <c r="O358" s="1"/>
      <c r="P358" s="1"/>
      <c r="Q358" s="1"/>
      <c r="R358" s="18"/>
      <c r="S358" s="1"/>
      <c r="T358" s="1"/>
      <c r="U358" s="1"/>
      <c r="V358" s="1"/>
      <c r="Z358" s="18"/>
      <c r="AD358" s="18"/>
      <c r="AH358" s="18"/>
      <c r="AL358" s="18"/>
      <c r="AM358" s="22"/>
      <c r="AN358" s="22"/>
      <c r="AO358" s="22"/>
      <c r="AP358" s="22"/>
      <c r="AQ358" s="22"/>
      <c r="AR358" s="22"/>
      <c r="AS358" s="22"/>
      <c r="AT358" s="22"/>
    </row>
    <row r="359" spans="7:46" ht="13">
      <c r="G359" s="34"/>
      <c r="J359" s="18"/>
      <c r="N359" s="18"/>
      <c r="O359" s="1"/>
      <c r="P359" s="1"/>
      <c r="Q359" s="1"/>
      <c r="R359" s="18"/>
      <c r="S359" s="1"/>
      <c r="T359" s="1"/>
      <c r="U359" s="1"/>
      <c r="V359" s="1"/>
      <c r="Z359" s="18"/>
      <c r="AD359" s="18"/>
      <c r="AH359" s="18"/>
      <c r="AL359" s="18"/>
      <c r="AM359" s="22"/>
      <c r="AN359" s="22"/>
      <c r="AO359" s="22"/>
      <c r="AP359" s="22"/>
      <c r="AQ359" s="22"/>
      <c r="AR359" s="22"/>
      <c r="AS359" s="22"/>
      <c r="AT359" s="22"/>
    </row>
    <row r="360" spans="7:46" ht="13">
      <c r="G360" s="34"/>
      <c r="J360" s="18"/>
      <c r="N360" s="18"/>
      <c r="O360" s="1"/>
      <c r="P360" s="1"/>
      <c r="Q360" s="1"/>
      <c r="R360" s="18"/>
      <c r="S360" s="1"/>
      <c r="T360" s="1"/>
      <c r="U360" s="1"/>
      <c r="V360" s="1"/>
      <c r="Z360" s="18"/>
      <c r="AD360" s="18"/>
      <c r="AH360" s="18"/>
      <c r="AL360" s="18"/>
      <c r="AM360" s="22"/>
      <c r="AN360" s="22"/>
      <c r="AO360" s="22"/>
      <c r="AP360" s="22"/>
      <c r="AQ360" s="22"/>
      <c r="AR360" s="22"/>
      <c r="AS360" s="22"/>
      <c r="AT360" s="22"/>
    </row>
    <row r="361" spans="7:46" ht="13">
      <c r="G361" s="34"/>
      <c r="J361" s="18"/>
      <c r="N361" s="18"/>
      <c r="O361" s="1"/>
      <c r="P361" s="1"/>
      <c r="Q361" s="1"/>
      <c r="R361" s="18"/>
      <c r="S361" s="1"/>
      <c r="T361" s="1"/>
      <c r="U361" s="1"/>
      <c r="V361" s="1"/>
      <c r="Z361" s="18"/>
      <c r="AD361" s="18"/>
      <c r="AH361" s="18"/>
      <c r="AL361" s="18"/>
      <c r="AM361" s="22"/>
      <c r="AN361" s="22"/>
      <c r="AO361" s="22"/>
      <c r="AP361" s="22"/>
      <c r="AQ361" s="22"/>
      <c r="AR361" s="22"/>
      <c r="AS361" s="22"/>
      <c r="AT361" s="22"/>
    </row>
    <row r="362" spans="7:46" ht="13">
      <c r="G362" s="34"/>
      <c r="J362" s="18"/>
      <c r="N362" s="18"/>
      <c r="O362" s="1"/>
      <c r="P362" s="1"/>
      <c r="Q362" s="1"/>
      <c r="R362" s="18"/>
      <c r="S362" s="1"/>
      <c r="T362" s="1"/>
      <c r="U362" s="1"/>
      <c r="V362" s="1"/>
      <c r="Z362" s="18"/>
      <c r="AD362" s="18"/>
      <c r="AH362" s="18"/>
      <c r="AL362" s="18"/>
      <c r="AM362" s="22"/>
      <c r="AN362" s="22"/>
      <c r="AO362" s="22"/>
      <c r="AP362" s="22"/>
      <c r="AQ362" s="22"/>
      <c r="AR362" s="22"/>
      <c r="AS362" s="22"/>
      <c r="AT362" s="22"/>
    </row>
    <row r="363" spans="7:46" ht="13">
      <c r="G363" s="34"/>
      <c r="J363" s="18"/>
      <c r="N363" s="18"/>
      <c r="O363" s="1"/>
      <c r="P363" s="1"/>
      <c r="Q363" s="1"/>
      <c r="R363" s="18"/>
      <c r="S363" s="1"/>
      <c r="T363" s="1"/>
      <c r="U363" s="1"/>
      <c r="V363" s="1"/>
      <c r="Z363" s="18"/>
      <c r="AD363" s="18"/>
      <c r="AH363" s="18"/>
      <c r="AL363" s="18"/>
      <c r="AM363" s="22"/>
      <c r="AN363" s="22"/>
      <c r="AO363" s="22"/>
      <c r="AP363" s="22"/>
      <c r="AQ363" s="22"/>
      <c r="AR363" s="22"/>
      <c r="AS363" s="22"/>
      <c r="AT363" s="22"/>
    </row>
    <row r="364" spans="7:46" ht="13">
      <c r="G364" s="34"/>
      <c r="J364" s="18"/>
      <c r="N364" s="18"/>
      <c r="O364" s="1"/>
      <c r="P364" s="1"/>
      <c r="Q364" s="1"/>
      <c r="R364" s="18"/>
      <c r="S364" s="1"/>
      <c r="T364" s="1"/>
      <c r="U364" s="1"/>
      <c r="V364" s="1"/>
      <c r="Z364" s="18"/>
      <c r="AD364" s="18"/>
      <c r="AH364" s="18"/>
      <c r="AL364" s="18"/>
      <c r="AM364" s="22"/>
      <c r="AN364" s="22"/>
      <c r="AO364" s="22"/>
      <c r="AP364" s="22"/>
      <c r="AQ364" s="22"/>
      <c r="AR364" s="22"/>
      <c r="AS364" s="22"/>
      <c r="AT364" s="22"/>
    </row>
    <row r="365" spans="7:46" ht="13">
      <c r="G365" s="34"/>
      <c r="J365" s="18"/>
      <c r="N365" s="18"/>
      <c r="O365" s="1"/>
      <c r="P365" s="1"/>
      <c r="Q365" s="1"/>
      <c r="R365" s="18"/>
      <c r="S365" s="1"/>
      <c r="T365" s="1"/>
      <c r="U365" s="1"/>
      <c r="V365" s="1"/>
      <c r="Z365" s="18"/>
      <c r="AD365" s="18"/>
      <c r="AH365" s="18"/>
      <c r="AL365" s="18"/>
      <c r="AM365" s="22"/>
      <c r="AN365" s="22"/>
      <c r="AO365" s="22"/>
      <c r="AP365" s="22"/>
      <c r="AQ365" s="22"/>
      <c r="AR365" s="22"/>
      <c r="AS365" s="22"/>
      <c r="AT365" s="22"/>
    </row>
    <row r="366" spans="7:46" ht="13">
      <c r="G366" s="34"/>
      <c r="J366" s="18"/>
      <c r="N366" s="18"/>
      <c r="O366" s="1"/>
      <c r="P366" s="1"/>
      <c r="Q366" s="1"/>
      <c r="R366" s="18"/>
      <c r="S366" s="1"/>
      <c r="T366" s="1"/>
      <c r="U366" s="1"/>
      <c r="V366" s="1"/>
      <c r="Z366" s="18"/>
      <c r="AD366" s="18"/>
      <c r="AH366" s="18"/>
      <c r="AL366" s="18"/>
      <c r="AM366" s="22"/>
      <c r="AN366" s="22"/>
      <c r="AO366" s="22"/>
      <c r="AP366" s="22"/>
      <c r="AQ366" s="22"/>
      <c r="AR366" s="22"/>
      <c r="AS366" s="22"/>
      <c r="AT366" s="22"/>
    </row>
    <row r="367" spans="7:46" ht="13">
      <c r="G367" s="34"/>
      <c r="J367" s="18"/>
      <c r="N367" s="18"/>
      <c r="O367" s="1"/>
      <c r="P367" s="1"/>
      <c r="Q367" s="1"/>
      <c r="R367" s="18"/>
      <c r="S367" s="1"/>
      <c r="T367" s="1"/>
      <c r="U367" s="1"/>
      <c r="V367" s="1"/>
      <c r="Z367" s="18"/>
      <c r="AD367" s="18"/>
      <c r="AH367" s="18"/>
      <c r="AL367" s="18"/>
      <c r="AM367" s="22"/>
      <c r="AN367" s="22"/>
      <c r="AO367" s="22"/>
      <c r="AP367" s="22"/>
      <c r="AQ367" s="22"/>
      <c r="AR367" s="22"/>
      <c r="AS367" s="22"/>
      <c r="AT367" s="22"/>
    </row>
    <row r="368" spans="7:46" ht="13">
      <c r="G368" s="34"/>
      <c r="J368" s="18"/>
      <c r="N368" s="18"/>
      <c r="O368" s="1"/>
      <c r="P368" s="1"/>
      <c r="Q368" s="1"/>
      <c r="R368" s="18"/>
      <c r="S368" s="1"/>
      <c r="T368" s="1"/>
      <c r="U368" s="1"/>
      <c r="V368" s="1"/>
      <c r="Z368" s="18"/>
      <c r="AD368" s="18"/>
      <c r="AH368" s="18"/>
      <c r="AL368" s="18"/>
      <c r="AM368" s="22"/>
      <c r="AN368" s="22"/>
      <c r="AO368" s="22"/>
      <c r="AP368" s="22"/>
      <c r="AQ368" s="22"/>
      <c r="AR368" s="22"/>
      <c r="AS368" s="22"/>
      <c r="AT368" s="22"/>
    </row>
    <row r="369" spans="7:46" ht="13">
      <c r="G369" s="34"/>
      <c r="J369" s="18"/>
      <c r="N369" s="18"/>
      <c r="O369" s="1"/>
      <c r="P369" s="1"/>
      <c r="Q369" s="1"/>
      <c r="R369" s="18"/>
      <c r="S369" s="1"/>
      <c r="T369" s="1"/>
      <c r="U369" s="1"/>
      <c r="V369" s="1"/>
      <c r="Z369" s="18"/>
      <c r="AD369" s="18"/>
      <c r="AH369" s="18"/>
      <c r="AL369" s="18"/>
      <c r="AM369" s="22"/>
      <c r="AN369" s="22"/>
      <c r="AO369" s="22"/>
      <c r="AP369" s="22"/>
      <c r="AQ369" s="22"/>
      <c r="AR369" s="22"/>
      <c r="AS369" s="22"/>
      <c r="AT369" s="22"/>
    </row>
    <row r="370" spans="7:46" ht="13">
      <c r="G370" s="34"/>
      <c r="J370" s="18"/>
      <c r="N370" s="18"/>
      <c r="O370" s="1"/>
      <c r="P370" s="1"/>
      <c r="Q370" s="1"/>
      <c r="R370" s="18"/>
      <c r="S370" s="1"/>
      <c r="T370" s="1"/>
      <c r="U370" s="1"/>
      <c r="V370" s="1"/>
      <c r="Z370" s="18"/>
      <c r="AD370" s="18"/>
      <c r="AH370" s="18"/>
      <c r="AL370" s="18"/>
      <c r="AM370" s="22"/>
      <c r="AN370" s="22"/>
      <c r="AO370" s="22"/>
      <c r="AP370" s="22"/>
      <c r="AQ370" s="22"/>
      <c r="AR370" s="22"/>
      <c r="AS370" s="22"/>
      <c r="AT370" s="22"/>
    </row>
    <row r="371" spans="7:46" ht="13">
      <c r="G371" s="34"/>
      <c r="J371" s="18"/>
      <c r="N371" s="18"/>
      <c r="O371" s="1"/>
      <c r="P371" s="1"/>
      <c r="Q371" s="1"/>
      <c r="R371" s="18"/>
      <c r="S371" s="1"/>
      <c r="T371" s="1"/>
      <c r="U371" s="1"/>
      <c r="V371" s="1"/>
      <c r="Z371" s="18"/>
      <c r="AD371" s="18"/>
      <c r="AH371" s="18"/>
      <c r="AL371" s="18"/>
      <c r="AM371" s="22"/>
      <c r="AN371" s="22"/>
      <c r="AO371" s="22"/>
      <c r="AP371" s="22"/>
      <c r="AQ371" s="22"/>
      <c r="AR371" s="22"/>
      <c r="AS371" s="22"/>
      <c r="AT371" s="22"/>
    </row>
    <row r="372" spans="7:46" ht="13">
      <c r="G372" s="34"/>
      <c r="J372" s="18"/>
      <c r="N372" s="18"/>
      <c r="O372" s="1"/>
      <c r="P372" s="1"/>
      <c r="Q372" s="1"/>
      <c r="R372" s="18"/>
      <c r="S372" s="1"/>
      <c r="T372" s="1"/>
      <c r="U372" s="1"/>
      <c r="V372" s="1"/>
      <c r="Z372" s="18"/>
      <c r="AD372" s="18"/>
      <c r="AH372" s="18"/>
      <c r="AL372" s="18"/>
      <c r="AM372" s="22"/>
      <c r="AN372" s="22"/>
      <c r="AO372" s="22"/>
      <c r="AP372" s="22"/>
      <c r="AQ372" s="22"/>
      <c r="AR372" s="22"/>
      <c r="AS372" s="22"/>
      <c r="AT372" s="22"/>
    </row>
    <row r="373" spans="7:46" ht="13">
      <c r="G373" s="34"/>
      <c r="J373" s="18"/>
      <c r="N373" s="18"/>
      <c r="O373" s="1"/>
      <c r="P373" s="1"/>
      <c r="Q373" s="1"/>
      <c r="R373" s="18"/>
      <c r="S373" s="1"/>
      <c r="T373" s="1"/>
      <c r="U373" s="1"/>
      <c r="V373" s="1"/>
      <c r="Z373" s="18"/>
      <c r="AD373" s="18"/>
      <c r="AH373" s="18"/>
      <c r="AL373" s="18"/>
      <c r="AM373" s="22"/>
      <c r="AN373" s="22"/>
      <c r="AO373" s="22"/>
      <c r="AP373" s="22"/>
      <c r="AQ373" s="22"/>
      <c r="AR373" s="22"/>
      <c r="AS373" s="22"/>
      <c r="AT373" s="22"/>
    </row>
    <row r="374" spans="7:46" ht="13">
      <c r="G374" s="34"/>
      <c r="J374" s="18"/>
      <c r="N374" s="18"/>
      <c r="O374" s="1"/>
      <c r="P374" s="1"/>
      <c r="Q374" s="1"/>
      <c r="R374" s="18"/>
      <c r="S374" s="1"/>
      <c r="T374" s="1"/>
      <c r="U374" s="1"/>
      <c r="V374" s="1"/>
      <c r="Z374" s="18"/>
      <c r="AD374" s="18"/>
      <c r="AH374" s="18"/>
      <c r="AL374" s="18"/>
      <c r="AM374" s="22"/>
      <c r="AN374" s="22"/>
      <c r="AO374" s="22"/>
      <c r="AP374" s="22"/>
      <c r="AQ374" s="22"/>
      <c r="AR374" s="22"/>
      <c r="AS374" s="22"/>
      <c r="AT374" s="22"/>
    </row>
    <row r="375" spans="7:46" ht="13">
      <c r="G375" s="34"/>
      <c r="J375" s="18"/>
      <c r="N375" s="18"/>
      <c r="O375" s="1"/>
      <c r="P375" s="1"/>
      <c r="Q375" s="1"/>
      <c r="R375" s="18"/>
      <c r="S375" s="1"/>
      <c r="T375" s="1"/>
      <c r="U375" s="1"/>
      <c r="V375" s="1"/>
      <c r="Z375" s="18"/>
      <c r="AD375" s="18"/>
      <c r="AH375" s="18"/>
      <c r="AL375" s="18"/>
      <c r="AM375" s="22"/>
      <c r="AN375" s="22"/>
      <c r="AO375" s="22"/>
      <c r="AP375" s="22"/>
      <c r="AQ375" s="22"/>
      <c r="AR375" s="22"/>
      <c r="AS375" s="22"/>
      <c r="AT375" s="22"/>
    </row>
    <row r="376" spans="7:46" ht="13">
      <c r="G376" s="34"/>
      <c r="J376" s="18"/>
      <c r="N376" s="18"/>
      <c r="O376" s="1"/>
      <c r="P376" s="1"/>
      <c r="Q376" s="1"/>
      <c r="R376" s="18"/>
      <c r="S376" s="1"/>
      <c r="T376" s="1"/>
      <c r="U376" s="1"/>
      <c r="V376" s="1"/>
      <c r="Z376" s="18"/>
      <c r="AD376" s="18"/>
      <c r="AH376" s="18"/>
      <c r="AL376" s="18"/>
      <c r="AM376" s="22"/>
      <c r="AN376" s="22"/>
      <c r="AO376" s="22"/>
      <c r="AP376" s="22"/>
      <c r="AQ376" s="22"/>
      <c r="AR376" s="22"/>
      <c r="AS376" s="22"/>
      <c r="AT376" s="22"/>
    </row>
    <row r="377" spans="7:46" ht="13">
      <c r="G377" s="34"/>
      <c r="J377" s="18"/>
      <c r="N377" s="18"/>
      <c r="O377" s="1"/>
      <c r="P377" s="1"/>
      <c r="Q377" s="1"/>
      <c r="R377" s="18"/>
      <c r="S377" s="1"/>
      <c r="T377" s="1"/>
      <c r="U377" s="1"/>
      <c r="V377" s="1"/>
      <c r="Z377" s="18"/>
      <c r="AD377" s="18"/>
      <c r="AH377" s="18"/>
      <c r="AL377" s="18"/>
      <c r="AM377" s="22"/>
      <c r="AN377" s="22"/>
      <c r="AO377" s="22"/>
      <c r="AP377" s="22"/>
      <c r="AQ377" s="22"/>
      <c r="AR377" s="22"/>
      <c r="AS377" s="22"/>
      <c r="AT377" s="22"/>
    </row>
    <row r="378" spans="7:46" ht="13">
      <c r="G378" s="34"/>
      <c r="J378" s="18"/>
      <c r="N378" s="18"/>
      <c r="O378" s="1"/>
      <c r="P378" s="1"/>
      <c r="Q378" s="1"/>
      <c r="R378" s="18"/>
      <c r="S378" s="1"/>
      <c r="T378" s="1"/>
      <c r="U378" s="1"/>
      <c r="V378" s="1"/>
      <c r="Z378" s="18"/>
      <c r="AD378" s="18"/>
      <c r="AH378" s="18"/>
      <c r="AL378" s="18"/>
      <c r="AM378" s="22"/>
      <c r="AN378" s="22"/>
      <c r="AO378" s="22"/>
      <c r="AP378" s="22"/>
      <c r="AQ378" s="22"/>
      <c r="AR378" s="22"/>
      <c r="AS378" s="22"/>
      <c r="AT378" s="22"/>
    </row>
    <row r="379" spans="7:46" ht="13">
      <c r="G379" s="34"/>
      <c r="J379" s="18"/>
      <c r="N379" s="18"/>
      <c r="O379" s="1"/>
      <c r="P379" s="1"/>
      <c r="Q379" s="1"/>
      <c r="R379" s="18"/>
      <c r="S379" s="1"/>
      <c r="T379" s="1"/>
      <c r="U379" s="1"/>
      <c r="V379" s="1"/>
      <c r="Z379" s="18"/>
      <c r="AD379" s="18"/>
      <c r="AH379" s="18"/>
      <c r="AL379" s="18"/>
      <c r="AM379" s="22"/>
      <c r="AN379" s="22"/>
      <c r="AO379" s="22"/>
      <c r="AP379" s="22"/>
      <c r="AQ379" s="22"/>
      <c r="AR379" s="22"/>
      <c r="AS379" s="22"/>
      <c r="AT379" s="22"/>
    </row>
    <row r="380" spans="7:46" ht="13">
      <c r="G380" s="34"/>
      <c r="J380" s="18"/>
      <c r="N380" s="18"/>
      <c r="O380" s="1"/>
      <c r="P380" s="1"/>
      <c r="Q380" s="1"/>
      <c r="R380" s="18"/>
      <c r="S380" s="1"/>
      <c r="T380" s="1"/>
      <c r="U380" s="1"/>
      <c r="V380" s="1"/>
      <c r="Z380" s="18"/>
      <c r="AD380" s="18"/>
      <c r="AH380" s="18"/>
      <c r="AL380" s="18"/>
      <c r="AM380" s="22"/>
      <c r="AN380" s="22"/>
      <c r="AO380" s="22"/>
      <c r="AP380" s="22"/>
      <c r="AQ380" s="22"/>
      <c r="AR380" s="22"/>
      <c r="AS380" s="22"/>
      <c r="AT380" s="22"/>
    </row>
    <row r="381" spans="7:46" ht="13">
      <c r="G381" s="34"/>
      <c r="J381" s="18"/>
      <c r="N381" s="18"/>
      <c r="O381" s="1"/>
      <c r="P381" s="1"/>
      <c r="Q381" s="1"/>
      <c r="R381" s="18"/>
      <c r="S381" s="1"/>
      <c r="T381" s="1"/>
      <c r="U381" s="1"/>
      <c r="V381" s="1"/>
      <c r="Z381" s="18"/>
      <c r="AD381" s="18"/>
      <c r="AH381" s="18"/>
      <c r="AL381" s="18"/>
      <c r="AM381" s="22"/>
      <c r="AN381" s="22"/>
      <c r="AO381" s="22"/>
      <c r="AP381" s="22"/>
      <c r="AQ381" s="22"/>
      <c r="AR381" s="22"/>
      <c r="AS381" s="22"/>
      <c r="AT381" s="22"/>
    </row>
    <row r="382" spans="7:46" ht="13">
      <c r="G382" s="34"/>
      <c r="J382" s="18"/>
      <c r="N382" s="18"/>
      <c r="O382" s="1"/>
      <c r="P382" s="1"/>
      <c r="Q382" s="1"/>
      <c r="R382" s="18"/>
      <c r="S382" s="1"/>
      <c r="T382" s="1"/>
      <c r="U382" s="1"/>
      <c r="V382" s="1"/>
      <c r="Z382" s="18"/>
      <c r="AD382" s="18"/>
      <c r="AH382" s="18"/>
      <c r="AL382" s="18"/>
      <c r="AM382" s="22"/>
      <c r="AN382" s="22"/>
      <c r="AO382" s="22"/>
      <c r="AP382" s="22"/>
      <c r="AQ382" s="22"/>
      <c r="AR382" s="22"/>
      <c r="AS382" s="22"/>
      <c r="AT382" s="22"/>
    </row>
    <row r="383" spans="7:46" ht="13">
      <c r="G383" s="34"/>
      <c r="J383" s="18"/>
      <c r="N383" s="18"/>
      <c r="O383" s="1"/>
      <c r="P383" s="1"/>
      <c r="Q383" s="1"/>
      <c r="R383" s="18"/>
      <c r="S383" s="1"/>
      <c r="T383" s="1"/>
      <c r="U383" s="1"/>
      <c r="V383" s="1"/>
      <c r="Z383" s="18"/>
      <c r="AD383" s="18"/>
      <c r="AH383" s="18"/>
      <c r="AL383" s="18"/>
      <c r="AM383" s="22"/>
      <c r="AN383" s="22"/>
      <c r="AO383" s="22"/>
      <c r="AP383" s="22"/>
      <c r="AQ383" s="22"/>
      <c r="AR383" s="22"/>
      <c r="AS383" s="22"/>
      <c r="AT383" s="22"/>
    </row>
    <row r="384" spans="7:46" ht="13">
      <c r="G384" s="34"/>
      <c r="J384" s="18"/>
      <c r="N384" s="18"/>
      <c r="O384" s="1"/>
      <c r="P384" s="1"/>
      <c r="Q384" s="1"/>
      <c r="R384" s="18"/>
      <c r="S384" s="1"/>
      <c r="T384" s="1"/>
      <c r="U384" s="1"/>
      <c r="V384" s="1"/>
      <c r="Z384" s="18"/>
      <c r="AD384" s="18"/>
      <c r="AH384" s="18"/>
      <c r="AL384" s="18"/>
      <c r="AM384" s="22"/>
      <c r="AN384" s="22"/>
      <c r="AO384" s="22"/>
      <c r="AP384" s="22"/>
      <c r="AQ384" s="22"/>
      <c r="AR384" s="22"/>
      <c r="AS384" s="22"/>
      <c r="AT384" s="22"/>
    </row>
    <row r="385" spans="7:46" ht="13">
      <c r="G385" s="34"/>
      <c r="J385" s="18"/>
      <c r="N385" s="18"/>
      <c r="O385" s="1"/>
      <c r="P385" s="1"/>
      <c r="Q385" s="1"/>
      <c r="R385" s="18"/>
      <c r="S385" s="1"/>
      <c r="T385" s="1"/>
      <c r="U385" s="1"/>
      <c r="V385" s="1"/>
      <c r="Z385" s="18"/>
      <c r="AD385" s="18"/>
      <c r="AH385" s="18"/>
      <c r="AL385" s="18"/>
      <c r="AM385" s="22"/>
      <c r="AN385" s="22"/>
      <c r="AO385" s="22"/>
      <c r="AP385" s="22"/>
      <c r="AQ385" s="22"/>
      <c r="AR385" s="22"/>
      <c r="AS385" s="22"/>
      <c r="AT385" s="22"/>
    </row>
    <row r="386" spans="7:46" ht="13">
      <c r="G386" s="34"/>
      <c r="J386" s="18"/>
      <c r="N386" s="18"/>
      <c r="O386" s="1"/>
      <c r="P386" s="1"/>
      <c r="Q386" s="1"/>
      <c r="R386" s="18"/>
      <c r="S386" s="1"/>
      <c r="T386" s="1"/>
      <c r="U386" s="1"/>
      <c r="V386" s="1"/>
      <c r="Z386" s="18"/>
      <c r="AD386" s="18"/>
      <c r="AH386" s="18"/>
      <c r="AL386" s="18"/>
      <c r="AM386" s="22"/>
      <c r="AN386" s="22"/>
      <c r="AO386" s="22"/>
      <c r="AP386" s="22"/>
      <c r="AQ386" s="22"/>
      <c r="AR386" s="22"/>
      <c r="AS386" s="22"/>
      <c r="AT386" s="22"/>
    </row>
    <row r="387" spans="7:46" ht="13">
      <c r="G387" s="34"/>
      <c r="J387" s="18"/>
      <c r="N387" s="18"/>
      <c r="O387" s="1"/>
      <c r="P387" s="1"/>
      <c r="Q387" s="1"/>
      <c r="R387" s="18"/>
      <c r="S387" s="1"/>
      <c r="T387" s="1"/>
      <c r="U387" s="1"/>
      <c r="V387" s="1"/>
      <c r="Z387" s="18"/>
      <c r="AD387" s="18"/>
      <c r="AH387" s="18"/>
      <c r="AL387" s="18"/>
      <c r="AM387" s="22"/>
      <c r="AN387" s="22"/>
      <c r="AO387" s="22"/>
      <c r="AP387" s="22"/>
      <c r="AQ387" s="22"/>
      <c r="AR387" s="22"/>
      <c r="AS387" s="22"/>
      <c r="AT387" s="22"/>
    </row>
    <row r="388" spans="7:46" ht="13">
      <c r="G388" s="34"/>
      <c r="J388" s="18"/>
      <c r="N388" s="18"/>
      <c r="O388" s="1"/>
      <c r="P388" s="1"/>
      <c r="Q388" s="1"/>
      <c r="R388" s="18"/>
      <c r="S388" s="1"/>
      <c r="T388" s="1"/>
      <c r="U388" s="1"/>
      <c r="V388" s="1"/>
      <c r="Z388" s="18"/>
      <c r="AD388" s="18"/>
      <c r="AH388" s="18"/>
      <c r="AL388" s="18"/>
      <c r="AM388" s="22"/>
      <c r="AN388" s="22"/>
      <c r="AO388" s="22"/>
      <c r="AP388" s="22"/>
      <c r="AQ388" s="22"/>
      <c r="AR388" s="22"/>
      <c r="AS388" s="22"/>
      <c r="AT388" s="22"/>
    </row>
    <row r="389" spans="7:46" ht="13">
      <c r="G389" s="34"/>
      <c r="J389" s="18"/>
      <c r="N389" s="18"/>
      <c r="O389" s="1"/>
      <c r="P389" s="1"/>
      <c r="Q389" s="1"/>
      <c r="R389" s="18"/>
      <c r="S389" s="1"/>
      <c r="T389" s="1"/>
      <c r="U389" s="1"/>
      <c r="V389" s="1"/>
      <c r="Z389" s="18"/>
      <c r="AD389" s="18"/>
      <c r="AH389" s="18"/>
      <c r="AL389" s="18"/>
      <c r="AM389" s="22"/>
      <c r="AN389" s="22"/>
      <c r="AO389" s="22"/>
      <c r="AP389" s="22"/>
      <c r="AQ389" s="22"/>
      <c r="AR389" s="22"/>
      <c r="AS389" s="22"/>
      <c r="AT389" s="22"/>
    </row>
    <row r="390" spans="7:46" ht="13">
      <c r="G390" s="34"/>
      <c r="J390" s="18"/>
      <c r="N390" s="18"/>
      <c r="O390" s="1"/>
      <c r="P390" s="1"/>
      <c r="Q390" s="1"/>
      <c r="R390" s="18"/>
      <c r="S390" s="1"/>
      <c r="T390" s="1"/>
      <c r="U390" s="1"/>
      <c r="V390" s="1"/>
      <c r="Z390" s="18"/>
      <c r="AD390" s="18"/>
      <c r="AH390" s="18"/>
      <c r="AL390" s="18"/>
      <c r="AM390" s="22"/>
      <c r="AN390" s="22"/>
      <c r="AO390" s="22"/>
      <c r="AP390" s="22"/>
      <c r="AQ390" s="22"/>
      <c r="AR390" s="22"/>
      <c r="AS390" s="22"/>
      <c r="AT390" s="22"/>
    </row>
    <row r="391" spans="7:46" ht="13">
      <c r="G391" s="34"/>
      <c r="J391" s="18"/>
      <c r="N391" s="18"/>
      <c r="O391" s="1"/>
      <c r="P391" s="1"/>
      <c r="Q391" s="1"/>
      <c r="R391" s="18"/>
      <c r="S391" s="1"/>
      <c r="T391" s="1"/>
      <c r="U391" s="1"/>
      <c r="V391" s="1"/>
      <c r="Z391" s="18"/>
      <c r="AD391" s="18"/>
      <c r="AH391" s="18"/>
      <c r="AL391" s="18"/>
      <c r="AM391" s="22"/>
      <c r="AN391" s="22"/>
      <c r="AO391" s="22"/>
      <c r="AP391" s="22"/>
      <c r="AQ391" s="22"/>
      <c r="AR391" s="22"/>
      <c r="AS391" s="22"/>
      <c r="AT391" s="22"/>
    </row>
    <row r="392" spans="7:46" ht="13">
      <c r="G392" s="34"/>
      <c r="J392" s="18"/>
      <c r="N392" s="18"/>
      <c r="O392" s="1"/>
      <c r="P392" s="1"/>
      <c r="Q392" s="1"/>
      <c r="R392" s="18"/>
      <c r="S392" s="1"/>
      <c r="T392" s="1"/>
      <c r="U392" s="1"/>
      <c r="V392" s="1"/>
      <c r="Z392" s="18"/>
      <c r="AD392" s="18"/>
      <c r="AH392" s="18"/>
      <c r="AL392" s="18"/>
      <c r="AM392" s="22"/>
      <c r="AN392" s="22"/>
      <c r="AO392" s="22"/>
      <c r="AP392" s="22"/>
      <c r="AQ392" s="22"/>
      <c r="AR392" s="22"/>
      <c r="AS392" s="22"/>
      <c r="AT392" s="22"/>
    </row>
    <row r="393" spans="7:46" ht="13">
      <c r="G393" s="34"/>
      <c r="J393" s="18"/>
      <c r="N393" s="18"/>
      <c r="O393" s="1"/>
      <c r="P393" s="1"/>
      <c r="Q393" s="1"/>
      <c r="R393" s="18"/>
      <c r="S393" s="1"/>
      <c r="T393" s="1"/>
      <c r="U393" s="1"/>
      <c r="V393" s="1"/>
      <c r="Z393" s="18"/>
      <c r="AD393" s="18"/>
      <c r="AH393" s="18"/>
      <c r="AL393" s="18"/>
      <c r="AM393" s="22"/>
      <c r="AN393" s="22"/>
      <c r="AO393" s="22"/>
      <c r="AP393" s="22"/>
      <c r="AQ393" s="22"/>
      <c r="AR393" s="22"/>
      <c r="AS393" s="22"/>
      <c r="AT393" s="22"/>
    </row>
    <row r="394" spans="7:46" ht="13">
      <c r="G394" s="34"/>
      <c r="J394" s="18"/>
      <c r="N394" s="18"/>
      <c r="O394" s="1"/>
      <c r="P394" s="1"/>
      <c r="Q394" s="1"/>
      <c r="R394" s="18"/>
      <c r="S394" s="1"/>
      <c r="T394" s="1"/>
      <c r="U394" s="1"/>
      <c r="V394" s="1"/>
      <c r="Z394" s="18"/>
      <c r="AD394" s="18"/>
      <c r="AH394" s="18"/>
      <c r="AL394" s="18"/>
      <c r="AM394" s="22"/>
      <c r="AN394" s="22"/>
      <c r="AO394" s="22"/>
      <c r="AP394" s="22"/>
      <c r="AQ394" s="22"/>
      <c r="AR394" s="22"/>
      <c r="AS394" s="22"/>
      <c r="AT394" s="22"/>
    </row>
    <row r="395" spans="7:46" ht="13">
      <c r="G395" s="34"/>
      <c r="J395" s="18"/>
      <c r="N395" s="18"/>
      <c r="O395" s="1"/>
      <c r="P395" s="1"/>
      <c r="Q395" s="1"/>
      <c r="R395" s="18"/>
      <c r="S395" s="1"/>
      <c r="T395" s="1"/>
      <c r="U395" s="1"/>
      <c r="V395" s="1"/>
      <c r="Z395" s="18"/>
      <c r="AD395" s="18"/>
      <c r="AH395" s="18"/>
      <c r="AL395" s="18"/>
      <c r="AM395" s="22"/>
      <c r="AN395" s="22"/>
      <c r="AO395" s="22"/>
      <c r="AP395" s="22"/>
      <c r="AQ395" s="22"/>
      <c r="AR395" s="22"/>
      <c r="AS395" s="22"/>
      <c r="AT395" s="22"/>
    </row>
    <row r="396" spans="7:46" ht="13">
      <c r="G396" s="34"/>
      <c r="J396" s="18"/>
      <c r="N396" s="18"/>
      <c r="O396" s="1"/>
      <c r="P396" s="1"/>
      <c r="Q396" s="1"/>
      <c r="R396" s="18"/>
      <c r="S396" s="1"/>
      <c r="T396" s="1"/>
      <c r="U396" s="1"/>
      <c r="V396" s="1"/>
      <c r="Z396" s="18"/>
      <c r="AD396" s="18"/>
      <c r="AH396" s="18"/>
      <c r="AL396" s="18"/>
      <c r="AM396" s="22"/>
      <c r="AN396" s="22"/>
      <c r="AO396" s="22"/>
      <c r="AP396" s="22"/>
      <c r="AQ396" s="22"/>
      <c r="AR396" s="22"/>
      <c r="AS396" s="22"/>
      <c r="AT396" s="22"/>
    </row>
    <row r="397" spans="7:46" ht="13">
      <c r="G397" s="34"/>
      <c r="J397" s="18"/>
      <c r="N397" s="18"/>
      <c r="O397" s="1"/>
      <c r="P397" s="1"/>
      <c r="Q397" s="1"/>
      <c r="R397" s="18"/>
      <c r="S397" s="1"/>
      <c r="T397" s="1"/>
      <c r="U397" s="1"/>
      <c r="V397" s="1"/>
      <c r="Z397" s="18"/>
      <c r="AD397" s="18"/>
      <c r="AH397" s="18"/>
      <c r="AL397" s="18"/>
      <c r="AM397" s="22"/>
      <c r="AN397" s="22"/>
      <c r="AO397" s="22"/>
      <c r="AP397" s="22"/>
      <c r="AQ397" s="22"/>
      <c r="AR397" s="22"/>
      <c r="AS397" s="22"/>
      <c r="AT397" s="22"/>
    </row>
    <row r="398" spans="7:46" ht="13">
      <c r="G398" s="34"/>
      <c r="J398" s="18"/>
      <c r="N398" s="18"/>
      <c r="O398" s="1"/>
      <c r="P398" s="1"/>
      <c r="Q398" s="1"/>
      <c r="R398" s="18"/>
      <c r="S398" s="1"/>
      <c r="T398" s="1"/>
      <c r="U398" s="1"/>
      <c r="V398" s="1"/>
      <c r="Z398" s="18"/>
      <c r="AD398" s="18"/>
      <c r="AH398" s="18"/>
      <c r="AL398" s="18"/>
      <c r="AM398" s="22"/>
      <c r="AN398" s="22"/>
      <c r="AO398" s="22"/>
      <c r="AP398" s="22"/>
      <c r="AQ398" s="22"/>
      <c r="AR398" s="22"/>
      <c r="AS398" s="22"/>
      <c r="AT398" s="22"/>
    </row>
    <row r="399" spans="7:46" ht="13">
      <c r="G399" s="34"/>
      <c r="J399" s="18"/>
      <c r="N399" s="18"/>
      <c r="O399" s="1"/>
      <c r="P399" s="1"/>
      <c r="Q399" s="1"/>
      <c r="R399" s="18"/>
      <c r="S399" s="1"/>
      <c r="T399" s="1"/>
      <c r="U399" s="1"/>
      <c r="V399" s="1"/>
      <c r="Z399" s="18"/>
      <c r="AD399" s="18"/>
      <c r="AH399" s="18"/>
      <c r="AL399" s="18"/>
      <c r="AM399" s="22"/>
      <c r="AN399" s="22"/>
      <c r="AO399" s="22"/>
      <c r="AP399" s="22"/>
      <c r="AQ399" s="22"/>
      <c r="AR399" s="22"/>
      <c r="AS399" s="22"/>
      <c r="AT399" s="22"/>
    </row>
    <row r="400" spans="7:46" ht="13">
      <c r="G400" s="34"/>
      <c r="J400" s="18"/>
      <c r="N400" s="18"/>
      <c r="O400" s="1"/>
      <c r="P400" s="1"/>
      <c r="Q400" s="1"/>
      <c r="R400" s="18"/>
      <c r="S400" s="1"/>
      <c r="T400" s="1"/>
      <c r="U400" s="1"/>
      <c r="V400" s="1"/>
      <c r="Z400" s="18"/>
      <c r="AD400" s="18"/>
      <c r="AH400" s="18"/>
      <c r="AL400" s="18"/>
      <c r="AM400" s="22"/>
      <c r="AN400" s="22"/>
      <c r="AO400" s="22"/>
      <c r="AP400" s="22"/>
      <c r="AQ400" s="22"/>
      <c r="AR400" s="22"/>
      <c r="AS400" s="22"/>
      <c r="AT400" s="22"/>
    </row>
    <row r="401" spans="7:46" ht="13">
      <c r="G401" s="34"/>
      <c r="J401" s="18"/>
      <c r="N401" s="18"/>
      <c r="O401" s="1"/>
      <c r="P401" s="1"/>
      <c r="Q401" s="1"/>
      <c r="R401" s="18"/>
      <c r="S401" s="1"/>
      <c r="T401" s="1"/>
      <c r="U401" s="1"/>
      <c r="V401" s="1"/>
      <c r="Z401" s="18"/>
      <c r="AD401" s="18"/>
      <c r="AH401" s="18"/>
      <c r="AL401" s="18"/>
      <c r="AM401" s="22"/>
      <c r="AN401" s="22"/>
      <c r="AO401" s="22"/>
      <c r="AP401" s="22"/>
      <c r="AQ401" s="22"/>
      <c r="AR401" s="22"/>
      <c r="AS401" s="22"/>
      <c r="AT401" s="22"/>
    </row>
    <row r="402" spans="7:46" ht="13">
      <c r="G402" s="34"/>
      <c r="J402" s="18"/>
      <c r="N402" s="18"/>
      <c r="O402" s="1"/>
      <c r="P402" s="1"/>
      <c r="Q402" s="1"/>
      <c r="R402" s="18"/>
      <c r="S402" s="1"/>
      <c r="T402" s="1"/>
      <c r="U402" s="1"/>
      <c r="V402" s="1"/>
      <c r="Z402" s="18"/>
      <c r="AD402" s="18"/>
      <c r="AH402" s="18"/>
      <c r="AL402" s="18"/>
      <c r="AM402" s="22"/>
      <c r="AN402" s="22"/>
      <c r="AO402" s="22"/>
      <c r="AP402" s="22"/>
      <c r="AQ402" s="22"/>
      <c r="AR402" s="22"/>
      <c r="AS402" s="22"/>
      <c r="AT402" s="22"/>
    </row>
    <row r="403" spans="7:46" ht="13">
      <c r="G403" s="34"/>
      <c r="J403" s="18"/>
      <c r="N403" s="18"/>
      <c r="O403" s="1"/>
      <c r="P403" s="1"/>
      <c r="Q403" s="1"/>
      <c r="R403" s="18"/>
      <c r="S403" s="1"/>
      <c r="T403" s="1"/>
      <c r="U403" s="1"/>
      <c r="V403" s="1"/>
      <c r="Z403" s="18"/>
      <c r="AD403" s="18"/>
      <c r="AH403" s="18"/>
      <c r="AL403" s="18"/>
      <c r="AM403" s="22"/>
      <c r="AN403" s="22"/>
      <c r="AO403" s="22"/>
      <c r="AP403" s="22"/>
      <c r="AQ403" s="22"/>
      <c r="AR403" s="22"/>
      <c r="AS403" s="22"/>
      <c r="AT403" s="22"/>
    </row>
    <row r="404" spans="7:46" ht="13">
      <c r="G404" s="34"/>
      <c r="J404" s="18"/>
      <c r="N404" s="18"/>
      <c r="O404" s="1"/>
      <c r="P404" s="1"/>
      <c r="Q404" s="1"/>
      <c r="R404" s="18"/>
      <c r="S404" s="1"/>
      <c r="T404" s="1"/>
      <c r="U404" s="1"/>
      <c r="V404" s="1"/>
      <c r="Z404" s="18"/>
      <c r="AD404" s="18"/>
      <c r="AH404" s="18"/>
      <c r="AL404" s="18"/>
      <c r="AM404" s="22"/>
      <c r="AN404" s="22"/>
      <c r="AO404" s="22"/>
      <c r="AP404" s="22"/>
      <c r="AQ404" s="22"/>
      <c r="AR404" s="22"/>
      <c r="AS404" s="22"/>
      <c r="AT404" s="22"/>
    </row>
    <row r="405" spans="7:46" ht="13">
      <c r="G405" s="34"/>
      <c r="J405" s="18"/>
      <c r="N405" s="18"/>
      <c r="O405" s="1"/>
      <c r="P405" s="1"/>
      <c r="Q405" s="1"/>
      <c r="R405" s="18"/>
      <c r="S405" s="1"/>
      <c r="T405" s="1"/>
      <c r="U405" s="1"/>
      <c r="V405" s="1"/>
      <c r="Z405" s="18"/>
      <c r="AD405" s="18"/>
      <c r="AH405" s="18"/>
      <c r="AL405" s="18"/>
      <c r="AM405" s="22"/>
      <c r="AN405" s="22"/>
      <c r="AO405" s="22"/>
      <c r="AP405" s="22"/>
      <c r="AQ405" s="22"/>
      <c r="AR405" s="22"/>
      <c r="AS405" s="22"/>
      <c r="AT405" s="22"/>
    </row>
    <row r="406" spans="7:46" ht="13">
      <c r="G406" s="34"/>
      <c r="J406" s="18"/>
      <c r="N406" s="18"/>
      <c r="O406" s="1"/>
      <c r="P406" s="1"/>
      <c r="Q406" s="1"/>
      <c r="R406" s="18"/>
      <c r="S406" s="1"/>
      <c r="T406" s="1"/>
      <c r="U406" s="1"/>
      <c r="V406" s="1"/>
      <c r="Z406" s="18"/>
      <c r="AD406" s="18"/>
      <c r="AH406" s="18"/>
      <c r="AL406" s="18"/>
      <c r="AM406" s="22"/>
      <c r="AN406" s="22"/>
      <c r="AO406" s="22"/>
      <c r="AP406" s="22"/>
      <c r="AQ406" s="22"/>
      <c r="AR406" s="22"/>
      <c r="AS406" s="22"/>
      <c r="AT406" s="22"/>
    </row>
    <row r="407" spans="7:46" ht="13">
      <c r="G407" s="34"/>
      <c r="J407" s="18"/>
      <c r="N407" s="18"/>
      <c r="O407" s="1"/>
      <c r="P407" s="1"/>
      <c r="Q407" s="1"/>
      <c r="R407" s="18"/>
      <c r="S407" s="1"/>
      <c r="T407" s="1"/>
      <c r="U407" s="1"/>
      <c r="V407" s="1"/>
      <c r="Z407" s="18"/>
      <c r="AD407" s="18"/>
      <c r="AH407" s="18"/>
      <c r="AL407" s="18"/>
      <c r="AM407" s="22"/>
      <c r="AN407" s="22"/>
      <c r="AO407" s="22"/>
      <c r="AP407" s="22"/>
      <c r="AQ407" s="22"/>
      <c r="AR407" s="22"/>
      <c r="AS407" s="22"/>
      <c r="AT407" s="22"/>
    </row>
    <row r="408" spans="7:46" ht="13">
      <c r="G408" s="34"/>
      <c r="J408" s="18"/>
      <c r="N408" s="18"/>
      <c r="O408" s="1"/>
      <c r="P408" s="1"/>
      <c r="Q408" s="1"/>
      <c r="R408" s="18"/>
      <c r="S408" s="1"/>
      <c r="T408" s="1"/>
      <c r="U408" s="1"/>
      <c r="V408" s="1"/>
      <c r="Z408" s="18"/>
      <c r="AD408" s="18"/>
      <c r="AH408" s="18"/>
      <c r="AL408" s="18"/>
      <c r="AM408" s="22"/>
      <c r="AN408" s="22"/>
      <c r="AO408" s="22"/>
      <c r="AP408" s="22"/>
      <c r="AQ408" s="22"/>
      <c r="AR408" s="22"/>
      <c r="AS408" s="22"/>
      <c r="AT408" s="22"/>
    </row>
    <row r="409" spans="7:46" ht="13">
      <c r="G409" s="34"/>
      <c r="J409" s="18"/>
      <c r="N409" s="18"/>
      <c r="O409" s="1"/>
      <c r="P409" s="1"/>
      <c r="Q409" s="1"/>
      <c r="R409" s="18"/>
      <c r="S409" s="1"/>
      <c r="T409" s="1"/>
      <c r="U409" s="1"/>
      <c r="V409" s="1"/>
      <c r="Z409" s="18"/>
      <c r="AD409" s="18"/>
      <c r="AH409" s="18"/>
      <c r="AL409" s="18"/>
      <c r="AM409" s="22"/>
      <c r="AN409" s="22"/>
      <c r="AO409" s="22"/>
      <c r="AP409" s="22"/>
      <c r="AQ409" s="22"/>
      <c r="AR409" s="22"/>
      <c r="AS409" s="22"/>
      <c r="AT409" s="22"/>
    </row>
    <row r="410" spans="7:46" ht="13">
      <c r="G410" s="34"/>
      <c r="J410" s="18"/>
      <c r="N410" s="18"/>
      <c r="O410" s="1"/>
      <c r="P410" s="1"/>
      <c r="Q410" s="1"/>
      <c r="R410" s="18"/>
      <c r="S410" s="1"/>
      <c r="T410" s="1"/>
      <c r="U410" s="1"/>
      <c r="V410" s="1"/>
      <c r="Z410" s="18"/>
      <c r="AD410" s="18"/>
      <c r="AH410" s="18"/>
      <c r="AL410" s="18"/>
      <c r="AM410" s="22"/>
      <c r="AN410" s="22"/>
      <c r="AO410" s="22"/>
      <c r="AP410" s="22"/>
      <c r="AQ410" s="22"/>
      <c r="AR410" s="22"/>
      <c r="AS410" s="22"/>
      <c r="AT410" s="22"/>
    </row>
    <row r="411" spans="7:46" ht="13">
      <c r="G411" s="34"/>
      <c r="J411" s="18"/>
      <c r="N411" s="18"/>
      <c r="O411" s="1"/>
      <c r="P411" s="1"/>
      <c r="Q411" s="1"/>
      <c r="R411" s="18"/>
      <c r="S411" s="1"/>
      <c r="T411" s="1"/>
      <c r="U411" s="1"/>
      <c r="V411" s="1"/>
      <c r="Z411" s="18"/>
      <c r="AD411" s="18"/>
      <c r="AH411" s="18"/>
      <c r="AL411" s="18"/>
      <c r="AM411" s="22"/>
      <c r="AN411" s="22"/>
      <c r="AO411" s="22"/>
      <c r="AP411" s="22"/>
      <c r="AQ411" s="22"/>
      <c r="AR411" s="22"/>
      <c r="AS411" s="22"/>
      <c r="AT411" s="22"/>
    </row>
    <row r="412" spans="7:46" ht="13">
      <c r="G412" s="34"/>
      <c r="J412" s="18"/>
      <c r="N412" s="18"/>
      <c r="O412" s="1"/>
      <c r="P412" s="1"/>
      <c r="Q412" s="1"/>
      <c r="R412" s="18"/>
      <c r="S412" s="1"/>
      <c r="T412" s="1"/>
      <c r="U412" s="1"/>
      <c r="V412" s="1"/>
      <c r="Z412" s="18"/>
      <c r="AD412" s="18"/>
      <c r="AH412" s="18"/>
      <c r="AL412" s="18"/>
      <c r="AM412" s="22"/>
      <c r="AN412" s="22"/>
      <c r="AO412" s="22"/>
      <c r="AP412" s="22"/>
      <c r="AQ412" s="22"/>
      <c r="AR412" s="22"/>
      <c r="AS412" s="22"/>
      <c r="AT412" s="22"/>
    </row>
    <row r="413" spans="7:46" ht="13">
      <c r="G413" s="34"/>
      <c r="J413" s="18"/>
      <c r="N413" s="18"/>
      <c r="O413" s="1"/>
      <c r="P413" s="1"/>
      <c r="Q413" s="1"/>
      <c r="R413" s="18"/>
      <c r="S413" s="1"/>
      <c r="T413" s="1"/>
      <c r="U413" s="1"/>
      <c r="V413" s="1"/>
      <c r="Z413" s="18"/>
      <c r="AD413" s="18"/>
      <c r="AH413" s="18"/>
      <c r="AL413" s="18"/>
      <c r="AM413" s="22"/>
      <c r="AN413" s="22"/>
      <c r="AO413" s="22"/>
      <c r="AP413" s="22"/>
      <c r="AQ413" s="22"/>
      <c r="AR413" s="22"/>
      <c r="AS413" s="22"/>
      <c r="AT413" s="22"/>
    </row>
    <row r="414" spans="7:46" ht="13">
      <c r="G414" s="34"/>
      <c r="J414" s="18"/>
      <c r="N414" s="18"/>
      <c r="O414" s="1"/>
      <c r="P414" s="1"/>
      <c r="Q414" s="1"/>
      <c r="R414" s="18"/>
      <c r="S414" s="1"/>
      <c r="T414" s="1"/>
      <c r="U414" s="1"/>
      <c r="V414" s="1"/>
      <c r="Z414" s="18"/>
      <c r="AD414" s="18"/>
      <c r="AH414" s="18"/>
      <c r="AL414" s="18"/>
      <c r="AM414" s="22"/>
      <c r="AN414" s="22"/>
      <c r="AO414" s="22"/>
      <c r="AP414" s="22"/>
      <c r="AQ414" s="22"/>
      <c r="AR414" s="22"/>
      <c r="AS414" s="22"/>
      <c r="AT414" s="22"/>
    </row>
    <row r="415" spans="7:46" ht="13">
      <c r="G415" s="34"/>
      <c r="J415" s="18"/>
      <c r="N415" s="18"/>
      <c r="O415" s="1"/>
      <c r="P415" s="1"/>
      <c r="Q415" s="1"/>
      <c r="R415" s="18"/>
      <c r="S415" s="1"/>
      <c r="T415" s="1"/>
      <c r="U415" s="1"/>
      <c r="V415" s="1"/>
      <c r="Z415" s="18"/>
      <c r="AD415" s="18"/>
      <c r="AH415" s="18"/>
      <c r="AL415" s="18"/>
      <c r="AM415" s="22"/>
      <c r="AN415" s="22"/>
      <c r="AO415" s="22"/>
      <c r="AP415" s="22"/>
      <c r="AQ415" s="22"/>
      <c r="AR415" s="22"/>
      <c r="AS415" s="22"/>
      <c r="AT415" s="22"/>
    </row>
    <row r="416" spans="7:46" ht="13">
      <c r="G416" s="34"/>
      <c r="J416" s="18"/>
      <c r="N416" s="18"/>
      <c r="O416" s="1"/>
      <c r="P416" s="1"/>
      <c r="Q416" s="1"/>
      <c r="R416" s="18"/>
      <c r="S416" s="1"/>
      <c r="T416" s="1"/>
      <c r="U416" s="1"/>
      <c r="V416" s="1"/>
      <c r="Z416" s="18"/>
      <c r="AD416" s="18"/>
      <c r="AH416" s="18"/>
      <c r="AL416" s="18"/>
      <c r="AM416" s="22"/>
      <c r="AN416" s="22"/>
      <c r="AO416" s="22"/>
      <c r="AP416" s="22"/>
      <c r="AQ416" s="22"/>
      <c r="AR416" s="22"/>
      <c r="AS416" s="22"/>
      <c r="AT416" s="22"/>
    </row>
    <row r="417" spans="7:46" ht="13">
      <c r="G417" s="34"/>
      <c r="J417" s="18"/>
      <c r="N417" s="18"/>
      <c r="O417" s="1"/>
      <c r="P417" s="1"/>
      <c r="Q417" s="1"/>
      <c r="R417" s="18"/>
      <c r="S417" s="1"/>
      <c r="T417" s="1"/>
      <c r="U417" s="1"/>
      <c r="V417" s="1"/>
      <c r="Z417" s="18"/>
      <c r="AD417" s="18"/>
      <c r="AH417" s="18"/>
      <c r="AL417" s="18"/>
      <c r="AM417" s="22"/>
      <c r="AN417" s="22"/>
      <c r="AO417" s="22"/>
      <c r="AP417" s="22"/>
      <c r="AQ417" s="22"/>
      <c r="AR417" s="22"/>
      <c r="AS417" s="22"/>
      <c r="AT417" s="22"/>
    </row>
    <row r="418" spans="7:46" ht="13">
      <c r="G418" s="34"/>
      <c r="J418" s="18"/>
      <c r="N418" s="18"/>
      <c r="O418" s="1"/>
      <c r="P418" s="1"/>
      <c r="Q418" s="1"/>
      <c r="R418" s="18"/>
      <c r="S418" s="1"/>
      <c r="T418" s="1"/>
      <c r="U418" s="1"/>
      <c r="V418" s="1"/>
      <c r="Z418" s="18"/>
      <c r="AD418" s="18"/>
      <c r="AH418" s="18"/>
      <c r="AL418" s="18"/>
      <c r="AM418" s="22"/>
      <c r="AN418" s="22"/>
      <c r="AO418" s="22"/>
      <c r="AP418" s="22"/>
      <c r="AQ418" s="22"/>
      <c r="AR418" s="22"/>
      <c r="AS418" s="22"/>
      <c r="AT418" s="22"/>
    </row>
    <row r="419" spans="7:46" ht="13">
      <c r="G419" s="34"/>
      <c r="J419" s="18"/>
      <c r="N419" s="18"/>
      <c r="O419" s="1"/>
      <c r="P419" s="1"/>
      <c r="Q419" s="1"/>
      <c r="R419" s="18"/>
      <c r="S419" s="1"/>
      <c r="T419" s="1"/>
      <c r="U419" s="1"/>
      <c r="V419" s="1"/>
      <c r="Z419" s="18"/>
      <c r="AD419" s="18"/>
      <c r="AH419" s="18"/>
      <c r="AL419" s="18"/>
      <c r="AM419" s="22"/>
      <c r="AN419" s="22"/>
      <c r="AO419" s="22"/>
      <c r="AP419" s="22"/>
      <c r="AQ419" s="22"/>
      <c r="AR419" s="22"/>
      <c r="AS419" s="22"/>
      <c r="AT419" s="22"/>
    </row>
    <row r="420" spans="7:46" ht="13">
      <c r="G420" s="34"/>
      <c r="J420" s="18"/>
      <c r="N420" s="18"/>
      <c r="O420" s="1"/>
      <c r="P420" s="1"/>
      <c r="Q420" s="1"/>
      <c r="R420" s="18"/>
      <c r="S420" s="1"/>
      <c r="T420" s="1"/>
      <c r="U420" s="1"/>
      <c r="V420" s="1"/>
      <c r="Z420" s="18"/>
      <c r="AD420" s="18"/>
      <c r="AH420" s="18"/>
      <c r="AL420" s="18"/>
      <c r="AM420" s="22"/>
      <c r="AN420" s="22"/>
      <c r="AO420" s="22"/>
      <c r="AP420" s="22"/>
      <c r="AQ420" s="22"/>
      <c r="AR420" s="22"/>
      <c r="AS420" s="22"/>
      <c r="AT420" s="22"/>
    </row>
    <row r="421" spans="7:46" ht="13">
      <c r="G421" s="34"/>
      <c r="J421" s="18"/>
      <c r="N421" s="18"/>
      <c r="O421" s="1"/>
      <c r="P421" s="1"/>
      <c r="Q421" s="1"/>
      <c r="R421" s="18"/>
      <c r="S421" s="1"/>
      <c r="T421" s="1"/>
      <c r="U421" s="1"/>
      <c r="V421" s="1"/>
      <c r="Z421" s="18"/>
      <c r="AD421" s="18"/>
      <c r="AH421" s="18"/>
      <c r="AL421" s="18"/>
      <c r="AM421" s="22"/>
      <c r="AN421" s="22"/>
      <c r="AO421" s="22"/>
      <c r="AP421" s="22"/>
      <c r="AQ421" s="22"/>
      <c r="AR421" s="22"/>
      <c r="AS421" s="22"/>
      <c r="AT421" s="22"/>
    </row>
    <row r="422" spans="7:46" ht="13">
      <c r="G422" s="34"/>
      <c r="J422" s="18"/>
      <c r="N422" s="18"/>
      <c r="O422" s="1"/>
      <c r="P422" s="1"/>
      <c r="Q422" s="1"/>
      <c r="R422" s="18"/>
      <c r="S422" s="1"/>
      <c r="T422" s="1"/>
      <c r="U422" s="1"/>
      <c r="V422" s="1"/>
      <c r="Z422" s="18"/>
      <c r="AD422" s="18"/>
      <c r="AH422" s="18"/>
      <c r="AL422" s="18"/>
      <c r="AM422" s="22"/>
      <c r="AN422" s="22"/>
      <c r="AO422" s="22"/>
      <c r="AP422" s="22"/>
      <c r="AQ422" s="22"/>
      <c r="AR422" s="22"/>
      <c r="AS422" s="22"/>
      <c r="AT422" s="22"/>
    </row>
    <row r="423" spans="7:46" ht="13">
      <c r="G423" s="34"/>
      <c r="J423" s="18"/>
      <c r="N423" s="18"/>
      <c r="O423" s="1"/>
      <c r="P423" s="1"/>
      <c r="Q423" s="1"/>
      <c r="R423" s="18"/>
      <c r="S423" s="1"/>
      <c r="T423" s="1"/>
      <c r="U423" s="1"/>
      <c r="V423" s="1"/>
      <c r="Z423" s="18"/>
      <c r="AD423" s="18"/>
      <c r="AH423" s="18"/>
      <c r="AL423" s="18"/>
      <c r="AM423" s="22"/>
      <c r="AN423" s="22"/>
      <c r="AO423" s="22"/>
      <c r="AP423" s="22"/>
      <c r="AQ423" s="22"/>
      <c r="AR423" s="22"/>
      <c r="AS423" s="22"/>
      <c r="AT423" s="22"/>
    </row>
    <row r="424" spans="7:46" ht="13">
      <c r="G424" s="34"/>
      <c r="J424" s="18"/>
      <c r="N424" s="18"/>
      <c r="O424" s="1"/>
      <c r="P424" s="1"/>
      <c r="Q424" s="1"/>
      <c r="R424" s="18"/>
      <c r="S424" s="1"/>
      <c r="T424" s="1"/>
      <c r="U424" s="1"/>
      <c r="V424" s="1"/>
      <c r="Z424" s="18"/>
      <c r="AD424" s="18"/>
      <c r="AH424" s="18"/>
      <c r="AL424" s="18"/>
      <c r="AM424" s="22"/>
      <c r="AN424" s="22"/>
      <c r="AO424" s="22"/>
      <c r="AP424" s="22"/>
      <c r="AQ424" s="22"/>
      <c r="AR424" s="22"/>
      <c r="AS424" s="22"/>
      <c r="AT424" s="22"/>
    </row>
    <row r="425" spans="7:46" ht="13">
      <c r="G425" s="34"/>
      <c r="J425" s="18"/>
      <c r="N425" s="18"/>
      <c r="O425" s="1"/>
      <c r="P425" s="1"/>
      <c r="Q425" s="1"/>
      <c r="R425" s="18"/>
      <c r="S425" s="1"/>
      <c r="T425" s="1"/>
      <c r="U425" s="1"/>
      <c r="V425" s="1"/>
      <c r="Z425" s="18"/>
      <c r="AD425" s="18"/>
      <c r="AH425" s="18"/>
      <c r="AL425" s="18"/>
      <c r="AM425" s="22"/>
      <c r="AN425" s="22"/>
      <c r="AO425" s="22"/>
      <c r="AP425" s="22"/>
      <c r="AQ425" s="22"/>
      <c r="AR425" s="22"/>
      <c r="AS425" s="22"/>
      <c r="AT425" s="22"/>
    </row>
    <row r="426" spans="7:46" ht="13">
      <c r="G426" s="34"/>
      <c r="J426" s="18"/>
      <c r="N426" s="18"/>
      <c r="O426" s="1"/>
      <c r="P426" s="1"/>
      <c r="Q426" s="1"/>
      <c r="R426" s="18"/>
      <c r="S426" s="1"/>
      <c r="T426" s="1"/>
      <c r="U426" s="1"/>
      <c r="V426" s="1"/>
      <c r="Z426" s="18"/>
      <c r="AD426" s="18"/>
      <c r="AH426" s="18"/>
      <c r="AL426" s="18"/>
      <c r="AM426" s="22"/>
      <c r="AN426" s="22"/>
      <c r="AO426" s="22"/>
      <c r="AP426" s="22"/>
      <c r="AQ426" s="22"/>
      <c r="AR426" s="22"/>
      <c r="AS426" s="22"/>
      <c r="AT426" s="22"/>
    </row>
    <row r="427" spans="7:46" ht="13">
      <c r="G427" s="34"/>
      <c r="J427" s="18"/>
      <c r="N427" s="18"/>
      <c r="O427" s="1"/>
      <c r="P427" s="1"/>
      <c r="Q427" s="1"/>
      <c r="R427" s="18"/>
      <c r="S427" s="1"/>
      <c r="T427" s="1"/>
      <c r="U427" s="1"/>
      <c r="V427" s="1"/>
      <c r="Z427" s="18"/>
      <c r="AD427" s="18"/>
      <c r="AH427" s="18"/>
      <c r="AL427" s="18"/>
      <c r="AM427" s="22"/>
      <c r="AN427" s="22"/>
      <c r="AO427" s="22"/>
      <c r="AP427" s="22"/>
      <c r="AQ427" s="22"/>
      <c r="AR427" s="22"/>
      <c r="AS427" s="22"/>
      <c r="AT427" s="22"/>
    </row>
    <row r="428" spans="7:46" ht="13">
      <c r="G428" s="34"/>
      <c r="J428" s="18"/>
      <c r="N428" s="18"/>
      <c r="O428" s="1"/>
      <c r="P428" s="1"/>
      <c r="Q428" s="1"/>
      <c r="R428" s="18"/>
      <c r="S428" s="1"/>
      <c r="T428" s="1"/>
      <c r="U428" s="1"/>
      <c r="V428" s="1"/>
      <c r="Z428" s="18"/>
      <c r="AD428" s="18"/>
      <c r="AH428" s="18"/>
      <c r="AL428" s="18"/>
      <c r="AM428" s="22"/>
      <c r="AN428" s="22"/>
      <c r="AO428" s="22"/>
      <c r="AP428" s="22"/>
      <c r="AQ428" s="22"/>
      <c r="AR428" s="22"/>
      <c r="AS428" s="22"/>
      <c r="AT428" s="22"/>
    </row>
    <row r="429" spans="7:46" ht="13">
      <c r="G429" s="34"/>
      <c r="J429" s="18"/>
      <c r="N429" s="18"/>
      <c r="O429" s="1"/>
      <c r="P429" s="1"/>
      <c r="Q429" s="1"/>
      <c r="R429" s="18"/>
      <c r="S429" s="1"/>
      <c r="T429" s="1"/>
      <c r="U429" s="1"/>
      <c r="V429" s="1"/>
      <c r="Z429" s="18"/>
      <c r="AD429" s="18"/>
      <c r="AH429" s="18"/>
      <c r="AL429" s="18"/>
      <c r="AM429" s="22"/>
      <c r="AN429" s="22"/>
      <c r="AO429" s="22"/>
      <c r="AP429" s="22"/>
      <c r="AQ429" s="22"/>
      <c r="AR429" s="22"/>
      <c r="AS429" s="22"/>
      <c r="AT429" s="22"/>
    </row>
    <row r="430" spans="7:46" ht="13">
      <c r="G430" s="34"/>
      <c r="J430" s="18"/>
      <c r="N430" s="18"/>
      <c r="O430" s="1"/>
      <c r="P430" s="1"/>
      <c r="Q430" s="1"/>
      <c r="R430" s="18"/>
      <c r="S430" s="1"/>
      <c r="T430" s="1"/>
      <c r="U430" s="1"/>
      <c r="V430" s="1"/>
      <c r="Z430" s="18"/>
      <c r="AD430" s="18"/>
      <c r="AH430" s="18"/>
      <c r="AL430" s="18"/>
      <c r="AM430" s="22"/>
      <c r="AN430" s="22"/>
      <c r="AO430" s="22"/>
      <c r="AP430" s="22"/>
      <c r="AQ430" s="22"/>
      <c r="AR430" s="22"/>
      <c r="AS430" s="22"/>
      <c r="AT430" s="22"/>
    </row>
    <row r="431" spans="7:46" ht="13">
      <c r="G431" s="34"/>
      <c r="J431" s="18"/>
      <c r="N431" s="18"/>
      <c r="O431" s="1"/>
      <c r="P431" s="1"/>
      <c r="Q431" s="1"/>
      <c r="R431" s="18"/>
      <c r="S431" s="1"/>
      <c r="T431" s="1"/>
      <c r="U431" s="1"/>
      <c r="V431" s="1"/>
      <c r="Z431" s="18"/>
      <c r="AD431" s="18"/>
      <c r="AH431" s="18"/>
      <c r="AL431" s="18"/>
      <c r="AM431" s="22"/>
      <c r="AN431" s="22"/>
      <c r="AO431" s="22"/>
      <c r="AP431" s="22"/>
      <c r="AQ431" s="22"/>
      <c r="AR431" s="22"/>
      <c r="AS431" s="22"/>
      <c r="AT431" s="22"/>
    </row>
    <row r="432" spans="7:46" ht="13">
      <c r="G432" s="34"/>
      <c r="J432" s="18"/>
      <c r="N432" s="18"/>
      <c r="O432" s="1"/>
      <c r="P432" s="1"/>
      <c r="Q432" s="1"/>
      <c r="R432" s="18"/>
      <c r="S432" s="1"/>
      <c r="T432" s="1"/>
      <c r="U432" s="1"/>
      <c r="V432" s="1"/>
      <c r="Z432" s="18"/>
      <c r="AD432" s="18"/>
      <c r="AH432" s="18"/>
      <c r="AL432" s="18"/>
      <c r="AM432" s="22"/>
      <c r="AN432" s="22"/>
      <c r="AO432" s="22"/>
      <c r="AP432" s="22"/>
      <c r="AQ432" s="22"/>
      <c r="AR432" s="22"/>
      <c r="AS432" s="22"/>
      <c r="AT432" s="22"/>
    </row>
    <row r="433" spans="7:46" ht="13">
      <c r="G433" s="34"/>
      <c r="J433" s="18"/>
      <c r="N433" s="18"/>
      <c r="O433" s="1"/>
      <c r="P433" s="1"/>
      <c r="Q433" s="1"/>
      <c r="R433" s="18"/>
      <c r="S433" s="1"/>
      <c r="T433" s="1"/>
      <c r="U433" s="1"/>
      <c r="V433" s="1"/>
      <c r="Z433" s="18"/>
      <c r="AD433" s="18"/>
      <c r="AH433" s="18"/>
      <c r="AL433" s="18"/>
      <c r="AM433" s="22"/>
      <c r="AN433" s="22"/>
      <c r="AO433" s="22"/>
      <c r="AP433" s="22"/>
      <c r="AQ433" s="22"/>
      <c r="AR433" s="22"/>
      <c r="AS433" s="22"/>
      <c r="AT433" s="22"/>
    </row>
    <row r="434" spans="7:46" ht="13">
      <c r="G434" s="34"/>
      <c r="J434" s="18"/>
      <c r="N434" s="18"/>
      <c r="O434" s="1"/>
      <c r="P434" s="1"/>
      <c r="Q434" s="1"/>
      <c r="R434" s="18"/>
      <c r="S434" s="1"/>
      <c r="T434" s="1"/>
      <c r="U434" s="1"/>
      <c r="V434" s="1"/>
      <c r="Z434" s="18"/>
      <c r="AD434" s="18"/>
      <c r="AH434" s="18"/>
      <c r="AL434" s="18"/>
      <c r="AM434" s="22"/>
      <c r="AN434" s="22"/>
      <c r="AO434" s="22"/>
      <c r="AP434" s="22"/>
      <c r="AQ434" s="22"/>
      <c r="AR434" s="22"/>
      <c r="AS434" s="22"/>
      <c r="AT434" s="22"/>
    </row>
    <row r="435" spans="7:46" ht="13">
      <c r="G435" s="34"/>
      <c r="J435" s="18"/>
      <c r="N435" s="18"/>
      <c r="O435" s="1"/>
      <c r="P435" s="1"/>
      <c r="Q435" s="1"/>
      <c r="R435" s="18"/>
      <c r="S435" s="1"/>
      <c r="T435" s="1"/>
      <c r="U435" s="1"/>
      <c r="V435" s="1"/>
      <c r="Z435" s="18"/>
      <c r="AD435" s="18"/>
      <c r="AH435" s="18"/>
      <c r="AL435" s="18"/>
      <c r="AM435" s="22"/>
      <c r="AN435" s="22"/>
      <c r="AO435" s="22"/>
      <c r="AP435" s="22"/>
      <c r="AQ435" s="22"/>
      <c r="AR435" s="22"/>
      <c r="AS435" s="22"/>
      <c r="AT435" s="22"/>
    </row>
    <row r="436" spans="7:46" ht="13">
      <c r="G436" s="34"/>
      <c r="J436" s="18"/>
      <c r="N436" s="18"/>
      <c r="O436" s="1"/>
      <c r="P436" s="1"/>
      <c r="Q436" s="1"/>
      <c r="R436" s="18"/>
      <c r="S436" s="1"/>
      <c r="T436" s="1"/>
      <c r="U436" s="1"/>
      <c r="V436" s="1"/>
      <c r="Z436" s="18"/>
      <c r="AD436" s="18"/>
      <c r="AH436" s="18"/>
      <c r="AL436" s="18"/>
      <c r="AM436" s="22"/>
      <c r="AN436" s="22"/>
      <c r="AO436" s="22"/>
      <c r="AP436" s="22"/>
      <c r="AQ436" s="22"/>
      <c r="AR436" s="22"/>
      <c r="AS436" s="22"/>
      <c r="AT436" s="22"/>
    </row>
    <row r="437" spans="7:46" ht="13">
      <c r="G437" s="34"/>
      <c r="J437" s="18"/>
      <c r="N437" s="18"/>
      <c r="O437" s="1"/>
      <c r="P437" s="1"/>
      <c r="Q437" s="1"/>
      <c r="R437" s="18"/>
      <c r="S437" s="1"/>
      <c r="T437" s="1"/>
      <c r="U437" s="1"/>
      <c r="V437" s="1"/>
      <c r="Z437" s="18"/>
      <c r="AD437" s="18"/>
      <c r="AH437" s="18"/>
      <c r="AL437" s="18"/>
      <c r="AM437" s="22"/>
      <c r="AN437" s="22"/>
      <c r="AO437" s="22"/>
      <c r="AP437" s="22"/>
      <c r="AQ437" s="22"/>
      <c r="AR437" s="22"/>
      <c r="AS437" s="22"/>
      <c r="AT437" s="22"/>
    </row>
    <row r="438" spans="7:46" ht="13">
      <c r="G438" s="34"/>
      <c r="J438" s="18"/>
      <c r="N438" s="18"/>
      <c r="O438" s="1"/>
      <c r="P438" s="1"/>
      <c r="Q438" s="1"/>
      <c r="R438" s="18"/>
      <c r="S438" s="1"/>
      <c r="T438" s="1"/>
      <c r="U438" s="1"/>
      <c r="V438" s="1"/>
      <c r="Z438" s="18"/>
      <c r="AD438" s="18"/>
      <c r="AH438" s="18"/>
      <c r="AL438" s="18"/>
      <c r="AM438" s="22"/>
      <c r="AN438" s="22"/>
      <c r="AO438" s="22"/>
      <c r="AP438" s="22"/>
      <c r="AQ438" s="22"/>
      <c r="AR438" s="22"/>
      <c r="AS438" s="22"/>
      <c r="AT438" s="22"/>
    </row>
    <row r="439" spans="7:46" ht="13">
      <c r="G439" s="34"/>
      <c r="J439" s="18"/>
      <c r="N439" s="18"/>
      <c r="O439" s="1"/>
      <c r="P439" s="1"/>
      <c r="Q439" s="1"/>
      <c r="R439" s="18"/>
      <c r="S439" s="1"/>
      <c r="T439" s="1"/>
      <c r="U439" s="1"/>
      <c r="V439" s="1"/>
      <c r="Z439" s="18"/>
      <c r="AD439" s="18"/>
      <c r="AH439" s="18"/>
      <c r="AL439" s="18"/>
      <c r="AM439" s="22"/>
      <c r="AN439" s="22"/>
      <c r="AO439" s="22"/>
      <c r="AP439" s="22"/>
      <c r="AQ439" s="22"/>
      <c r="AR439" s="22"/>
      <c r="AS439" s="22"/>
      <c r="AT439" s="22"/>
    </row>
    <row r="440" spans="7:46" ht="13">
      <c r="G440" s="34"/>
      <c r="J440" s="18"/>
      <c r="N440" s="18"/>
      <c r="O440" s="1"/>
      <c r="P440" s="1"/>
      <c r="Q440" s="1"/>
      <c r="R440" s="18"/>
      <c r="S440" s="1"/>
      <c r="T440" s="1"/>
      <c r="U440" s="1"/>
      <c r="V440" s="1"/>
      <c r="Z440" s="18"/>
      <c r="AD440" s="18"/>
      <c r="AH440" s="18"/>
      <c r="AL440" s="18"/>
      <c r="AM440" s="22"/>
      <c r="AN440" s="22"/>
      <c r="AO440" s="22"/>
      <c r="AP440" s="22"/>
      <c r="AQ440" s="22"/>
      <c r="AR440" s="22"/>
      <c r="AS440" s="22"/>
      <c r="AT440" s="22"/>
    </row>
    <row r="441" spans="7:46" ht="13">
      <c r="G441" s="34"/>
      <c r="J441" s="18"/>
      <c r="N441" s="18"/>
      <c r="O441" s="1"/>
      <c r="P441" s="1"/>
      <c r="Q441" s="1"/>
      <c r="R441" s="18"/>
      <c r="S441" s="1"/>
      <c r="T441" s="1"/>
      <c r="U441" s="1"/>
      <c r="V441" s="1"/>
      <c r="Z441" s="18"/>
      <c r="AD441" s="18"/>
      <c r="AH441" s="18"/>
      <c r="AL441" s="18"/>
      <c r="AM441" s="22"/>
      <c r="AN441" s="22"/>
      <c r="AO441" s="22"/>
      <c r="AP441" s="22"/>
      <c r="AQ441" s="22"/>
      <c r="AR441" s="22"/>
      <c r="AS441" s="22"/>
      <c r="AT441" s="22"/>
    </row>
    <row r="442" spans="7:46" ht="13">
      <c r="G442" s="34"/>
      <c r="J442" s="18"/>
      <c r="N442" s="18"/>
      <c r="O442" s="1"/>
      <c r="P442" s="1"/>
      <c r="Q442" s="1"/>
      <c r="R442" s="18"/>
      <c r="S442" s="1"/>
      <c r="T442" s="1"/>
      <c r="U442" s="1"/>
      <c r="V442" s="1"/>
      <c r="Z442" s="18"/>
      <c r="AD442" s="18"/>
      <c r="AH442" s="18"/>
      <c r="AL442" s="18"/>
      <c r="AM442" s="22"/>
      <c r="AN442" s="22"/>
      <c r="AO442" s="22"/>
      <c r="AP442" s="22"/>
      <c r="AQ442" s="22"/>
      <c r="AR442" s="22"/>
      <c r="AS442" s="22"/>
      <c r="AT442" s="22"/>
    </row>
    <row r="443" spans="7:46" ht="13">
      <c r="G443" s="34"/>
      <c r="J443" s="18"/>
      <c r="N443" s="18"/>
      <c r="O443" s="1"/>
      <c r="P443" s="1"/>
      <c r="Q443" s="1"/>
      <c r="R443" s="18"/>
      <c r="S443" s="1"/>
      <c r="T443" s="1"/>
      <c r="U443" s="1"/>
      <c r="V443" s="1"/>
      <c r="Z443" s="18"/>
      <c r="AD443" s="18"/>
      <c r="AH443" s="18"/>
      <c r="AL443" s="18"/>
      <c r="AM443" s="22"/>
      <c r="AN443" s="22"/>
      <c r="AO443" s="22"/>
      <c r="AP443" s="22"/>
      <c r="AQ443" s="22"/>
      <c r="AR443" s="22"/>
      <c r="AS443" s="22"/>
      <c r="AT443" s="22"/>
    </row>
    <row r="444" spans="7:46" ht="13">
      <c r="G444" s="34"/>
      <c r="J444" s="18"/>
      <c r="N444" s="18"/>
      <c r="O444" s="1"/>
      <c r="P444" s="1"/>
      <c r="Q444" s="1"/>
      <c r="R444" s="18"/>
      <c r="S444" s="1"/>
      <c r="T444" s="1"/>
      <c r="U444" s="1"/>
      <c r="V444" s="1"/>
      <c r="Z444" s="18"/>
      <c r="AD444" s="18"/>
      <c r="AH444" s="18"/>
      <c r="AL444" s="18"/>
      <c r="AM444" s="22"/>
      <c r="AN444" s="22"/>
      <c r="AO444" s="22"/>
      <c r="AP444" s="22"/>
      <c r="AQ444" s="22"/>
      <c r="AR444" s="22"/>
      <c r="AS444" s="22"/>
      <c r="AT444" s="22"/>
    </row>
    <row r="445" spans="7:46" ht="13">
      <c r="G445" s="34"/>
      <c r="J445" s="18"/>
      <c r="N445" s="18"/>
      <c r="O445" s="1"/>
      <c r="P445" s="1"/>
      <c r="Q445" s="1"/>
      <c r="R445" s="18"/>
      <c r="S445" s="1"/>
      <c r="T445" s="1"/>
      <c r="U445" s="1"/>
      <c r="V445" s="1"/>
      <c r="Z445" s="18"/>
      <c r="AD445" s="18"/>
      <c r="AH445" s="18"/>
      <c r="AL445" s="18"/>
      <c r="AM445" s="22"/>
      <c r="AN445" s="22"/>
      <c r="AO445" s="22"/>
      <c r="AP445" s="22"/>
      <c r="AQ445" s="22"/>
      <c r="AR445" s="22"/>
      <c r="AS445" s="22"/>
      <c r="AT445" s="22"/>
    </row>
    <row r="446" spans="7:46" ht="13">
      <c r="G446" s="34"/>
      <c r="J446" s="18"/>
      <c r="N446" s="18"/>
      <c r="O446" s="1"/>
      <c r="P446" s="1"/>
      <c r="Q446" s="1"/>
      <c r="R446" s="18"/>
      <c r="S446" s="1"/>
      <c r="T446" s="1"/>
      <c r="U446" s="1"/>
      <c r="V446" s="1"/>
      <c r="Z446" s="18"/>
      <c r="AD446" s="18"/>
      <c r="AH446" s="18"/>
      <c r="AL446" s="18"/>
      <c r="AM446" s="22"/>
      <c r="AN446" s="22"/>
      <c r="AO446" s="22"/>
      <c r="AP446" s="22"/>
      <c r="AQ446" s="22"/>
      <c r="AR446" s="22"/>
      <c r="AS446" s="22"/>
      <c r="AT446" s="22"/>
    </row>
    <row r="447" spans="7:46" ht="13">
      <c r="G447" s="34"/>
      <c r="J447" s="18"/>
      <c r="N447" s="18"/>
      <c r="O447" s="1"/>
      <c r="P447" s="1"/>
      <c r="Q447" s="1"/>
      <c r="R447" s="18"/>
      <c r="S447" s="1"/>
      <c r="T447" s="1"/>
      <c r="U447" s="1"/>
      <c r="V447" s="1"/>
      <c r="Z447" s="18"/>
      <c r="AD447" s="18"/>
      <c r="AH447" s="18"/>
      <c r="AL447" s="18"/>
      <c r="AM447" s="22"/>
      <c r="AN447" s="22"/>
      <c r="AO447" s="22"/>
      <c r="AP447" s="22"/>
      <c r="AQ447" s="22"/>
      <c r="AR447" s="22"/>
      <c r="AS447" s="22"/>
      <c r="AT447" s="22"/>
    </row>
    <row r="448" spans="7:46" ht="13">
      <c r="G448" s="34"/>
      <c r="J448" s="18"/>
      <c r="N448" s="18"/>
      <c r="O448" s="1"/>
      <c r="P448" s="1"/>
      <c r="Q448" s="1"/>
      <c r="R448" s="18"/>
      <c r="S448" s="1"/>
      <c r="T448" s="1"/>
      <c r="U448" s="1"/>
      <c r="V448" s="1"/>
      <c r="Z448" s="18"/>
      <c r="AD448" s="18"/>
      <c r="AH448" s="18"/>
      <c r="AL448" s="18"/>
      <c r="AM448" s="22"/>
      <c r="AN448" s="22"/>
      <c r="AO448" s="22"/>
      <c r="AP448" s="22"/>
      <c r="AQ448" s="22"/>
      <c r="AR448" s="22"/>
      <c r="AS448" s="22"/>
      <c r="AT448" s="22"/>
    </row>
    <row r="449" spans="7:46" ht="13">
      <c r="G449" s="34"/>
      <c r="J449" s="18"/>
      <c r="N449" s="18"/>
      <c r="O449" s="1"/>
      <c r="P449" s="1"/>
      <c r="Q449" s="1"/>
      <c r="R449" s="18"/>
      <c r="S449" s="1"/>
      <c r="T449" s="1"/>
      <c r="U449" s="1"/>
      <c r="V449" s="1"/>
      <c r="Z449" s="18"/>
      <c r="AD449" s="18"/>
      <c r="AH449" s="18"/>
      <c r="AL449" s="18"/>
      <c r="AM449" s="22"/>
      <c r="AN449" s="22"/>
      <c r="AO449" s="22"/>
      <c r="AP449" s="22"/>
      <c r="AQ449" s="22"/>
      <c r="AR449" s="22"/>
      <c r="AS449" s="22"/>
      <c r="AT449" s="22"/>
    </row>
    <row r="450" spans="7:46" ht="13">
      <c r="G450" s="34"/>
      <c r="J450" s="18"/>
      <c r="N450" s="18"/>
      <c r="O450" s="1"/>
      <c r="P450" s="1"/>
      <c r="Q450" s="1"/>
      <c r="R450" s="18"/>
      <c r="S450" s="1"/>
      <c r="T450" s="1"/>
      <c r="U450" s="1"/>
      <c r="V450" s="1"/>
      <c r="Z450" s="18"/>
      <c r="AD450" s="18"/>
      <c r="AH450" s="18"/>
      <c r="AL450" s="18"/>
      <c r="AM450" s="22"/>
      <c r="AN450" s="22"/>
      <c r="AO450" s="22"/>
      <c r="AP450" s="22"/>
      <c r="AQ450" s="22"/>
      <c r="AR450" s="22"/>
      <c r="AS450" s="22"/>
      <c r="AT450" s="22"/>
    </row>
    <row r="451" spans="7:46" ht="13">
      <c r="G451" s="34"/>
      <c r="J451" s="18"/>
      <c r="N451" s="18"/>
      <c r="O451" s="1"/>
      <c r="P451" s="1"/>
      <c r="Q451" s="1"/>
      <c r="R451" s="18"/>
      <c r="S451" s="1"/>
      <c r="T451" s="1"/>
      <c r="U451" s="1"/>
      <c r="V451" s="1"/>
      <c r="Z451" s="18"/>
      <c r="AD451" s="18"/>
      <c r="AH451" s="18"/>
      <c r="AL451" s="18"/>
      <c r="AM451" s="22"/>
      <c r="AN451" s="22"/>
      <c r="AO451" s="22"/>
      <c r="AP451" s="22"/>
      <c r="AQ451" s="22"/>
      <c r="AR451" s="22"/>
      <c r="AS451" s="22"/>
      <c r="AT451" s="22"/>
    </row>
    <row r="452" spans="7:46" ht="13">
      <c r="G452" s="34"/>
      <c r="J452" s="18"/>
      <c r="N452" s="18"/>
      <c r="O452" s="1"/>
      <c r="P452" s="1"/>
      <c r="Q452" s="1"/>
      <c r="R452" s="18"/>
      <c r="S452" s="1"/>
      <c r="T452" s="1"/>
      <c r="U452" s="1"/>
      <c r="V452" s="1"/>
      <c r="Z452" s="18"/>
      <c r="AD452" s="18"/>
      <c r="AH452" s="18"/>
      <c r="AL452" s="18"/>
      <c r="AM452" s="22"/>
      <c r="AN452" s="22"/>
      <c r="AO452" s="22"/>
      <c r="AP452" s="22"/>
      <c r="AQ452" s="22"/>
      <c r="AR452" s="22"/>
      <c r="AS452" s="22"/>
      <c r="AT452" s="22"/>
    </row>
    <row r="453" spans="7:46" ht="13">
      <c r="G453" s="34"/>
      <c r="J453" s="18"/>
      <c r="N453" s="18"/>
      <c r="O453" s="1"/>
      <c r="P453" s="1"/>
      <c r="Q453" s="1"/>
      <c r="R453" s="18"/>
      <c r="S453" s="1"/>
      <c r="T453" s="1"/>
      <c r="U453" s="1"/>
      <c r="V453" s="1"/>
      <c r="Z453" s="18"/>
      <c r="AD453" s="18"/>
      <c r="AH453" s="18"/>
      <c r="AL453" s="18"/>
      <c r="AM453" s="22"/>
      <c r="AN453" s="22"/>
      <c r="AO453" s="22"/>
      <c r="AP453" s="22"/>
      <c r="AQ453" s="22"/>
      <c r="AR453" s="22"/>
      <c r="AS453" s="22"/>
      <c r="AT453" s="22"/>
    </row>
    <row r="454" spans="7:46" ht="13">
      <c r="G454" s="34"/>
      <c r="J454" s="18"/>
      <c r="N454" s="18"/>
      <c r="O454" s="1"/>
      <c r="P454" s="1"/>
      <c r="Q454" s="1"/>
      <c r="R454" s="18"/>
      <c r="S454" s="1"/>
      <c r="T454" s="1"/>
      <c r="U454" s="1"/>
      <c r="V454" s="1"/>
      <c r="Z454" s="18"/>
      <c r="AD454" s="18"/>
      <c r="AH454" s="18"/>
      <c r="AL454" s="18"/>
      <c r="AM454" s="22"/>
      <c r="AN454" s="22"/>
      <c r="AO454" s="22"/>
      <c r="AP454" s="22"/>
      <c r="AQ454" s="22"/>
      <c r="AR454" s="22"/>
      <c r="AS454" s="22"/>
      <c r="AT454" s="22"/>
    </row>
    <row r="455" spans="7:46" ht="13">
      <c r="G455" s="34"/>
      <c r="J455" s="18"/>
      <c r="N455" s="18"/>
      <c r="O455" s="1"/>
      <c r="P455" s="1"/>
      <c r="Q455" s="1"/>
      <c r="R455" s="18"/>
      <c r="S455" s="1"/>
      <c r="T455" s="1"/>
      <c r="U455" s="1"/>
      <c r="V455" s="1"/>
      <c r="Z455" s="18"/>
      <c r="AD455" s="18"/>
      <c r="AH455" s="18"/>
      <c r="AL455" s="18"/>
      <c r="AM455" s="22"/>
      <c r="AN455" s="22"/>
      <c r="AO455" s="22"/>
      <c r="AP455" s="22"/>
      <c r="AQ455" s="22"/>
      <c r="AR455" s="22"/>
      <c r="AS455" s="22"/>
      <c r="AT455" s="22"/>
    </row>
    <row r="456" spans="7:46" ht="13">
      <c r="G456" s="34"/>
      <c r="J456" s="18"/>
      <c r="N456" s="18"/>
      <c r="O456" s="1"/>
      <c r="P456" s="1"/>
      <c r="Q456" s="1"/>
      <c r="R456" s="18"/>
      <c r="S456" s="1"/>
      <c r="T456" s="1"/>
      <c r="U456" s="1"/>
      <c r="V456" s="1"/>
      <c r="Z456" s="18"/>
      <c r="AD456" s="18"/>
      <c r="AH456" s="18"/>
      <c r="AL456" s="18"/>
      <c r="AM456" s="22"/>
      <c r="AN456" s="22"/>
      <c r="AO456" s="22"/>
      <c r="AP456" s="22"/>
      <c r="AQ456" s="22"/>
      <c r="AR456" s="22"/>
      <c r="AS456" s="22"/>
      <c r="AT456" s="22"/>
    </row>
    <row r="457" spans="7:46" ht="13">
      <c r="G457" s="34"/>
      <c r="J457" s="18"/>
      <c r="N457" s="18"/>
      <c r="O457" s="1"/>
      <c r="P457" s="1"/>
      <c r="Q457" s="1"/>
      <c r="R457" s="18"/>
      <c r="S457" s="1"/>
      <c r="T457" s="1"/>
      <c r="U457" s="1"/>
      <c r="V457" s="1"/>
      <c r="Z457" s="18"/>
      <c r="AD457" s="18"/>
      <c r="AH457" s="18"/>
      <c r="AL457" s="18"/>
      <c r="AM457" s="22"/>
      <c r="AN457" s="22"/>
      <c r="AO457" s="22"/>
      <c r="AP457" s="22"/>
      <c r="AQ457" s="22"/>
      <c r="AR457" s="22"/>
      <c r="AS457" s="22"/>
      <c r="AT457" s="22"/>
    </row>
    <row r="458" spans="7:46" ht="13">
      <c r="G458" s="34"/>
      <c r="J458" s="18"/>
      <c r="N458" s="18"/>
      <c r="O458" s="1"/>
      <c r="P458" s="1"/>
      <c r="Q458" s="1"/>
      <c r="R458" s="18"/>
      <c r="S458" s="1"/>
      <c r="T458" s="1"/>
      <c r="U458" s="1"/>
      <c r="V458" s="1"/>
      <c r="Z458" s="18"/>
      <c r="AD458" s="18"/>
      <c r="AH458" s="18"/>
      <c r="AL458" s="18"/>
      <c r="AM458" s="22"/>
      <c r="AN458" s="22"/>
      <c r="AO458" s="22"/>
      <c r="AP458" s="22"/>
      <c r="AQ458" s="22"/>
      <c r="AR458" s="22"/>
      <c r="AS458" s="22"/>
      <c r="AT458" s="22"/>
    </row>
    <row r="459" spans="7:46" ht="13">
      <c r="G459" s="34"/>
      <c r="J459" s="18"/>
      <c r="N459" s="18"/>
      <c r="O459" s="1"/>
      <c r="P459" s="1"/>
      <c r="Q459" s="1"/>
      <c r="R459" s="18"/>
      <c r="S459" s="1"/>
      <c r="T459" s="1"/>
      <c r="U459" s="1"/>
      <c r="V459" s="1"/>
      <c r="Z459" s="18"/>
      <c r="AD459" s="18"/>
      <c r="AH459" s="18"/>
      <c r="AL459" s="18"/>
      <c r="AM459" s="22"/>
      <c r="AN459" s="22"/>
      <c r="AO459" s="22"/>
      <c r="AP459" s="22"/>
      <c r="AQ459" s="22"/>
      <c r="AR459" s="22"/>
      <c r="AS459" s="22"/>
      <c r="AT459" s="22"/>
    </row>
    <row r="460" spans="7:46" ht="13">
      <c r="G460" s="34"/>
      <c r="J460" s="18"/>
      <c r="N460" s="18"/>
      <c r="O460" s="1"/>
      <c r="P460" s="1"/>
      <c r="Q460" s="1"/>
      <c r="R460" s="18"/>
      <c r="S460" s="1"/>
      <c r="T460" s="1"/>
      <c r="U460" s="1"/>
      <c r="V460" s="1"/>
      <c r="Z460" s="18"/>
      <c r="AD460" s="18"/>
      <c r="AH460" s="18"/>
      <c r="AL460" s="18"/>
      <c r="AM460" s="22"/>
      <c r="AN460" s="22"/>
      <c r="AO460" s="22"/>
      <c r="AP460" s="22"/>
      <c r="AQ460" s="22"/>
      <c r="AR460" s="22"/>
      <c r="AS460" s="22"/>
      <c r="AT460" s="22"/>
    </row>
    <row r="461" spans="7:46" ht="13">
      <c r="G461" s="34"/>
      <c r="J461" s="18"/>
      <c r="N461" s="18"/>
      <c r="O461" s="1"/>
      <c r="P461" s="1"/>
      <c r="Q461" s="1"/>
      <c r="R461" s="18"/>
      <c r="S461" s="1"/>
      <c r="T461" s="1"/>
      <c r="U461" s="1"/>
      <c r="V461" s="1"/>
      <c r="Z461" s="18"/>
      <c r="AD461" s="18"/>
      <c r="AH461" s="18"/>
      <c r="AL461" s="18"/>
      <c r="AM461" s="22"/>
      <c r="AN461" s="22"/>
      <c r="AO461" s="22"/>
      <c r="AP461" s="22"/>
      <c r="AQ461" s="22"/>
      <c r="AR461" s="22"/>
      <c r="AS461" s="22"/>
      <c r="AT461" s="22"/>
    </row>
    <row r="462" spans="7:46" ht="13">
      <c r="G462" s="34"/>
      <c r="J462" s="18"/>
      <c r="N462" s="18"/>
      <c r="O462" s="1"/>
      <c r="P462" s="1"/>
      <c r="Q462" s="1"/>
      <c r="R462" s="18"/>
      <c r="S462" s="1"/>
      <c r="T462" s="1"/>
      <c r="U462" s="1"/>
      <c r="V462" s="1"/>
      <c r="Z462" s="18"/>
      <c r="AD462" s="18"/>
      <c r="AH462" s="18"/>
      <c r="AL462" s="18"/>
      <c r="AM462" s="22"/>
      <c r="AN462" s="22"/>
      <c r="AO462" s="22"/>
      <c r="AP462" s="22"/>
      <c r="AQ462" s="22"/>
      <c r="AR462" s="22"/>
      <c r="AS462" s="22"/>
      <c r="AT462" s="22"/>
    </row>
    <row r="463" spans="7:46" ht="13">
      <c r="G463" s="34"/>
      <c r="J463" s="18"/>
      <c r="N463" s="18"/>
      <c r="O463" s="1"/>
      <c r="P463" s="1"/>
      <c r="Q463" s="1"/>
      <c r="R463" s="18"/>
      <c r="S463" s="1"/>
      <c r="T463" s="1"/>
      <c r="U463" s="1"/>
      <c r="V463" s="1"/>
      <c r="Z463" s="18"/>
      <c r="AD463" s="18"/>
      <c r="AH463" s="18"/>
      <c r="AL463" s="18"/>
      <c r="AM463" s="22"/>
      <c r="AN463" s="22"/>
      <c r="AO463" s="22"/>
      <c r="AP463" s="22"/>
      <c r="AQ463" s="22"/>
      <c r="AR463" s="22"/>
      <c r="AS463" s="22"/>
      <c r="AT463" s="22"/>
    </row>
    <row r="464" spans="7:46" ht="13">
      <c r="G464" s="34"/>
      <c r="J464" s="18"/>
      <c r="N464" s="18"/>
      <c r="O464" s="1"/>
      <c r="P464" s="1"/>
      <c r="Q464" s="1"/>
      <c r="R464" s="18"/>
      <c r="S464" s="1"/>
      <c r="T464" s="1"/>
      <c r="U464" s="1"/>
      <c r="V464" s="1"/>
      <c r="Z464" s="18"/>
      <c r="AD464" s="18"/>
      <c r="AH464" s="18"/>
      <c r="AL464" s="18"/>
      <c r="AM464" s="22"/>
      <c r="AN464" s="22"/>
      <c r="AO464" s="22"/>
      <c r="AP464" s="22"/>
      <c r="AQ464" s="22"/>
      <c r="AR464" s="22"/>
      <c r="AS464" s="22"/>
      <c r="AT464" s="22"/>
    </row>
    <row r="465" spans="7:46" ht="13">
      <c r="G465" s="34"/>
      <c r="J465" s="18"/>
      <c r="N465" s="18"/>
      <c r="O465" s="1"/>
      <c r="P465" s="1"/>
      <c r="Q465" s="1"/>
      <c r="R465" s="18"/>
      <c r="S465" s="1"/>
      <c r="T465" s="1"/>
      <c r="U465" s="1"/>
      <c r="V465" s="1"/>
      <c r="Z465" s="18"/>
      <c r="AD465" s="18"/>
      <c r="AH465" s="18"/>
      <c r="AL465" s="18"/>
      <c r="AM465" s="22"/>
      <c r="AN465" s="22"/>
      <c r="AO465" s="22"/>
      <c r="AP465" s="22"/>
      <c r="AQ465" s="22"/>
      <c r="AR465" s="22"/>
      <c r="AS465" s="22"/>
      <c r="AT465" s="22"/>
    </row>
    <row r="466" spans="7:46" ht="13">
      <c r="G466" s="34"/>
      <c r="J466" s="18"/>
      <c r="N466" s="18"/>
      <c r="O466" s="1"/>
      <c r="P466" s="1"/>
      <c r="Q466" s="1"/>
      <c r="R466" s="18"/>
      <c r="S466" s="1"/>
      <c r="T466" s="1"/>
      <c r="U466" s="1"/>
      <c r="V466" s="1"/>
      <c r="Z466" s="18"/>
      <c r="AD466" s="18"/>
      <c r="AH466" s="18"/>
      <c r="AL466" s="18"/>
      <c r="AM466" s="22"/>
      <c r="AN466" s="22"/>
      <c r="AO466" s="22"/>
      <c r="AP466" s="22"/>
      <c r="AQ466" s="22"/>
      <c r="AR466" s="22"/>
      <c r="AS466" s="22"/>
      <c r="AT466" s="22"/>
    </row>
    <row r="467" spans="7:46" ht="13">
      <c r="G467" s="34"/>
      <c r="J467" s="18"/>
      <c r="N467" s="18"/>
      <c r="O467" s="1"/>
      <c r="P467" s="1"/>
      <c r="Q467" s="1"/>
      <c r="R467" s="18"/>
      <c r="S467" s="1"/>
      <c r="T467" s="1"/>
      <c r="U467" s="1"/>
      <c r="V467" s="1"/>
      <c r="Z467" s="18"/>
      <c r="AD467" s="18"/>
      <c r="AH467" s="18"/>
      <c r="AL467" s="18"/>
      <c r="AM467" s="22"/>
      <c r="AN467" s="22"/>
      <c r="AO467" s="22"/>
      <c r="AP467" s="22"/>
      <c r="AQ467" s="22"/>
      <c r="AR467" s="22"/>
      <c r="AS467" s="22"/>
      <c r="AT467" s="22"/>
    </row>
    <row r="468" spans="7:46" ht="13">
      <c r="G468" s="34"/>
      <c r="J468" s="18"/>
      <c r="N468" s="18"/>
      <c r="O468" s="1"/>
      <c r="P468" s="1"/>
      <c r="Q468" s="1"/>
      <c r="R468" s="18"/>
      <c r="S468" s="1"/>
      <c r="T468" s="1"/>
      <c r="U468" s="1"/>
      <c r="V468" s="1"/>
      <c r="Z468" s="18"/>
      <c r="AD468" s="18"/>
      <c r="AH468" s="18"/>
      <c r="AL468" s="18"/>
      <c r="AM468" s="22"/>
      <c r="AN468" s="22"/>
      <c r="AO468" s="22"/>
      <c r="AP468" s="22"/>
      <c r="AQ468" s="22"/>
      <c r="AR468" s="22"/>
      <c r="AS468" s="22"/>
      <c r="AT468" s="22"/>
    </row>
    <row r="469" spans="7:46" ht="13">
      <c r="G469" s="34"/>
      <c r="J469" s="18"/>
      <c r="N469" s="18"/>
      <c r="O469" s="1"/>
      <c r="P469" s="1"/>
      <c r="Q469" s="1"/>
      <c r="R469" s="18"/>
      <c r="S469" s="1"/>
      <c r="T469" s="1"/>
      <c r="U469" s="1"/>
      <c r="V469" s="1"/>
      <c r="Z469" s="18"/>
      <c r="AD469" s="18"/>
      <c r="AH469" s="18"/>
      <c r="AL469" s="18"/>
      <c r="AM469" s="22"/>
      <c r="AN469" s="22"/>
      <c r="AO469" s="22"/>
      <c r="AP469" s="22"/>
      <c r="AQ469" s="22"/>
      <c r="AR469" s="22"/>
      <c r="AS469" s="22"/>
      <c r="AT469" s="22"/>
    </row>
    <row r="470" spans="7:46" ht="13">
      <c r="G470" s="34"/>
      <c r="J470" s="18"/>
      <c r="N470" s="18"/>
      <c r="O470" s="1"/>
      <c r="P470" s="1"/>
      <c r="Q470" s="1"/>
      <c r="R470" s="18"/>
      <c r="S470" s="1"/>
      <c r="T470" s="1"/>
      <c r="U470" s="1"/>
      <c r="V470" s="1"/>
      <c r="Z470" s="18"/>
      <c r="AD470" s="18"/>
      <c r="AH470" s="18"/>
      <c r="AL470" s="18"/>
      <c r="AM470" s="22"/>
      <c r="AN470" s="22"/>
      <c r="AO470" s="22"/>
      <c r="AP470" s="22"/>
      <c r="AQ470" s="22"/>
      <c r="AR470" s="22"/>
      <c r="AS470" s="22"/>
      <c r="AT470" s="22"/>
    </row>
    <row r="471" spans="7:46" ht="13">
      <c r="G471" s="34"/>
      <c r="J471" s="18"/>
      <c r="N471" s="18"/>
      <c r="O471" s="1"/>
      <c r="P471" s="1"/>
      <c r="Q471" s="1"/>
      <c r="R471" s="18"/>
      <c r="S471" s="1"/>
      <c r="T471" s="1"/>
      <c r="U471" s="1"/>
      <c r="V471" s="1"/>
      <c r="Z471" s="18"/>
      <c r="AD471" s="18"/>
      <c r="AH471" s="18"/>
      <c r="AL471" s="18"/>
      <c r="AM471" s="22"/>
      <c r="AN471" s="22"/>
      <c r="AO471" s="22"/>
      <c r="AP471" s="22"/>
      <c r="AQ471" s="22"/>
      <c r="AR471" s="22"/>
      <c r="AS471" s="22"/>
      <c r="AT471" s="22"/>
    </row>
    <row r="472" spans="7:46" ht="13">
      <c r="G472" s="34"/>
      <c r="J472" s="18"/>
      <c r="N472" s="18"/>
      <c r="O472" s="1"/>
      <c r="P472" s="1"/>
      <c r="Q472" s="1"/>
      <c r="R472" s="18"/>
      <c r="S472" s="1"/>
      <c r="T472" s="1"/>
      <c r="U472" s="1"/>
      <c r="V472" s="1"/>
      <c r="Z472" s="18"/>
      <c r="AD472" s="18"/>
      <c r="AH472" s="18"/>
      <c r="AL472" s="18"/>
      <c r="AM472" s="22"/>
      <c r="AN472" s="22"/>
      <c r="AO472" s="22"/>
      <c r="AP472" s="22"/>
      <c r="AQ472" s="22"/>
      <c r="AR472" s="22"/>
      <c r="AS472" s="22"/>
      <c r="AT472" s="22"/>
    </row>
    <row r="473" spans="7:46" ht="13">
      <c r="G473" s="34"/>
      <c r="J473" s="18"/>
      <c r="N473" s="18"/>
      <c r="O473" s="1"/>
      <c r="P473" s="1"/>
      <c r="Q473" s="1"/>
      <c r="R473" s="18"/>
      <c r="S473" s="1"/>
      <c r="T473" s="1"/>
      <c r="U473" s="1"/>
      <c r="V473" s="1"/>
      <c r="Z473" s="18"/>
      <c r="AD473" s="18"/>
      <c r="AH473" s="18"/>
      <c r="AL473" s="18"/>
      <c r="AM473" s="22"/>
      <c r="AN473" s="22"/>
      <c r="AO473" s="22"/>
      <c r="AP473" s="22"/>
      <c r="AQ473" s="22"/>
      <c r="AR473" s="22"/>
      <c r="AS473" s="22"/>
      <c r="AT473" s="22"/>
    </row>
    <row r="474" spans="7:46" ht="13">
      <c r="G474" s="34"/>
      <c r="J474" s="18"/>
      <c r="N474" s="18"/>
      <c r="O474" s="1"/>
      <c r="P474" s="1"/>
      <c r="Q474" s="1"/>
      <c r="R474" s="18"/>
      <c r="S474" s="1"/>
      <c r="T474" s="1"/>
      <c r="U474" s="1"/>
      <c r="V474" s="1"/>
      <c r="Z474" s="18"/>
      <c r="AD474" s="18"/>
      <c r="AH474" s="18"/>
      <c r="AL474" s="18"/>
      <c r="AM474" s="22"/>
      <c r="AN474" s="22"/>
      <c r="AO474" s="22"/>
      <c r="AP474" s="22"/>
      <c r="AQ474" s="22"/>
      <c r="AR474" s="22"/>
      <c r="AS474" s="22"/>
      <c r="AT474" s="22"/>
    </row>
    <row r="475" spans="7:46" ht="13">
      <c r="G475" s="34"/>
      <c r="J475" s="18"/>
      <c r="N475" s="18"/>
      <c r="O475" s="1"/>
      <c r="P475" s="1"/>
      <c r="Q475" s="1"/>
      <c r="R475" s="18"/>
      <c r="S475" s="1"/>
      <c r="T475" s="1"/>
      <c r="U475" s="1"/>
      <c r="V475" s="1"/>
      <c r="Z475" s="18"/>
      <c r="AD475" s="18"/>
      <c r="AH475" s="18"/>
      <c r="AL475" s="18"/>
      <c r="AM475" s="22"/>
      <c r="AN475" s="22"/>
      <c r="AO475" s="22"/>
      <c r="AP475" s="22"/>
      <c r="AQ475" s="22"/>
      <c r="AR475" s="22"/>
      <c r="AS475" s="22"/>
      <c r="AT475" s="22"/>
    </row>
    <row r="476" spans="7:46" ht="13">
      <c r="G476" s="34"/>
      <c r="J476" s="18"/>
      <c r="N476" s="18"/>
      <c r="O476" s="1"/>
      <c r="P476" s="1"/>
      <c r="Q476" s="1"/>
      <c r="R476" s="18"/>
      <c r="S476" s="1"/>
      <c r="T476" s="1"/>
      <c r="U476" s="1"/>
      <c r="V476" s="1"/>
      <c r="Z476" s="18"/>
      <c r="AD476" s="18"/>
      <c r="AH476" s="18"/>
      <c r="AL476" s="18"/>
      <c r="AM476" s="22"/>
      <c r="AN476" s="22"/>
      <c r="AO476" s="22"/>
      <c r="AP476" s="22"/>
      <c r="AQ476" s="22"/>
      <c r="AR476" s="22"/>
      <c r="AS476" s="22"/>
      <c r="AT476" s="22"/>
    </row>
    <row r="477" spans="7:46" ht="13">
      <c r="G477" s="34"/>
      <c r="J477" s="18"/>
      <c r="N477" s="18"/>
      <c r="O477" s="1"/>
      <c r="P477" s="1"/>
      <c r="Q477" s="1"/>
      <c r="R477" s="18"/>
      <c r="S477" s="1"/>
      <c r="T477" s="1"/>
      <c r="U477" s="1"/>
      <c r="V477" s="1"/>
      <c r="Z477" s="18"/>
      <c r="AD477" s="18"/>
      <c r="AH477" s="18"/>
      <c r="AL477" s="18"/>
      <c r="AM477" s="22"/>
      <c r="AN477" s="22"/>
      <c r="AO477" s="22"/>
      <c r="AP477" s="22"/>
      <c r="AQ477" s="22"/>
      <c r="AR477" s="22"/>
      <c r="AS477" s="22"/>
      <c r="AT477" s="22"/>
    </row>
    <row r="478" spans="7:46" ht="13">
      <c r="G478" s="34"/>
      <c r="J478" s="18"/>
      <c r="N478" s="18"/>
      <c r="O478" s="1"/>
      <c r="P478" s="1"/>
      <c r="Q478" s="1"/>
      <c r="R478" s="18"/>
      <c r="S478" s="1"/>
      <c r="T478" s="1"/>
      <c r="U478" s="1"/>
      <c r="V478" s="1"/>
      <c r="Z478" s="18"/>
      <c r="AD478" s="18"/>
      <c r="AH478" s="18"/>
      <c r="AL478" s="18"/>
      <c r="AM478" s="22"/>
      <c r="AN478" s="22"/>
      <c r="AO478" s="22"/>
      <c r="AP478" s="22"/>
      <c r="AQ478" s="22"/>
      <c r="AR478" s="22"/>
      <c r="AS478" s="22"/>
      <c r="AT478" s="22"/>
    </row>
    <row r="479" spans="7:46" ht="13">
      <c r="G479" s="34"/>
      <c r="J479" s="18"/>
      <c r="N479" s="18"/>
      <c r="O479" s="1"/>
      <c r="P479" s="1"/>
      <c r="Q479" s="1"/>
      <c r="R479" s="18"/>
      <c r="S479" s="1"/>
      <c r="T479" s="1"/>
      <c r="U479" s="1"/>
      <c r="V479" s="1"/>
      <c r="Z479" s="18"/>
      <c r="AD479" s="18"/>
      <c r="AH479" s="18"/>
      <c r="AL479" s="18"/>
      <c r="AM479" s="22"/>
      <c r="AN479" s="22"/>
      <c r="AO479" s="22"/>
      <c r="AP479" s="22"/>
      <c r="AQ479" s="22"/>
      <c r="AR479" s="22"/>
      <c r="AS479" s="22"/>
      <c r="AT479" s="22"/>
    </row>
    <row r="480" spans="7:46" ht="13">
      <c r="G480" s="34"/>
      <c r="J480" s="18"/>
      <c r="N480" s="18"/>
      <c r="O480" s="1"/>
      <c r="P480" s="1"/>
      <c r="Q480" s="1"/>
      <c r="R480" s="18"/>
      <c r="S480" s="1"/>
      <c r="T480" s="1"/>
      <c r="U480" s="1"/>
      <c r="V480" s="1"/>
      <c r="Z480" s="18"/>
      <c r="AD480" s="18"/>
      <c r="AH480" s="18"/>
      <c r="AL480" s="18"/>
      <c r="AM480" s="22"/>
      <c r="AN480" s="22"/>
      <c r="AO480" s="22"/>
      <c r="AP480" s="22"/>
      <c r="AQ480" s="22"/>
      <c r="AR480" s="22"/>
      <c r="AS480" s="22"/>
      <c r="AT480" s="22"/>
    </row>
    <row r="481" spans="7:46" ht="13">
      <c r="G481" s="34"/>
      <c r="J481" s="18"/>
      <c r="N481" s="18"/>
      <c r="O481" s="1"/>
      <c r="P481" s="1"/>
      <c r="Q481" s="1"/>
      <c r="R481" s="18"/>
      <c r="S481" s="1"/>
      <c r="T481" s="1"/>
      <c r="U481" s="1"/>
      <c r="V481" s="1"/>
      <c r="Z481" s="18"/>
      <c r="AD481" s="18"/>
      <c r="AH481" s="18"/>
      <c r="AL481" s="18"/>
      <c r="AM481" s="22"/>
      <c r="AN481" s="22"/>
      <c r="AO481" s="22"/>
      <c r="AP481" s="22"/>
      <c r="AQ481" s="22"/>
      <c r="AR481" s="22"/>
      <c r="AS481" s="22"/>
      <c r="AT481" s="22"/>
    </row>
    <row r="482" spans="7:46" ht="13">
      <c r="G482" s="34"/>
      <c r="J482" s="18"/>
      <c r="N482" s="18"/>
      <c r="O482" s="1"/>
      <c r="P482" s="1"/>
      <c r="Q482" s="1"/>
      <c r="R482" s="18"/>
      <c r="S482" s="1"/>
      <c r="T482" s="1"/>
      <c r="U482" s="1"/>
      <c r="V482" s="1"/>
      <c r="Z482" s="18"/>
      <c r="AD482" s="18"/>
      <c r="AH482" s="18"/>
      <c r="AL482" s="18"/>
      <c r="AM482" s="22"/>
      <c r="AN482" s="22"/>
      <c r="AO482" s="22"/>
      <c r="AP482" s="22"/>
      <c r="AQ482" s="22"/>
      <c r="AR482" s="22"/>
      <c r="AS482" s="22"/>
      <c r="AT482" s="22"/>
    </row>
    <row r="483" spans="7:46" ht="13">
      <c r="G483" s="34"/>
      <c r="J483" s="18"/>
      <c r="N483" s="18"/>
      <c r="O483" s="1"/>
      <c r="P483" s="1"/>
      <c r="Q483" s="1"/>
      <c r="R483" s="18"/>
      <c r="S483" s="1"/>
      <c r="T483" s="1"/>
      <c r="U483" s="1"/>
      <c r="V483" s="1"/>
      <c r="Z483" s="18"/>
      <c r="AD483" s="18"/>
      <c r="AH483" s="18"/>
      <c r="AL483" s="18"/>
      <c r="AM483" s="22"/>
      <c r="AN483" s="22"/>
      <c r="AO483" s="22"/>
      <c r="AP483" s="22"/>
      <c r="AQ483" s="22"/>
      <c r="AR483" s="22"/>
      <c r="AS483" s="22"/>
      <c r="AT483" s="22"/>
    </row>
    <row r="484" spans="7:46" ht="13">
      <c r="G484" s="34"/>
      <c r="J484" s="18"/>
      <c r="N484" s="18"/>
      <c r="O484" s="1"/>
      <c r="P484" s="1"/>
      <c r="Q484" s="1"/>
      <c r="R484" s="18"/>
      <c r="S484" s="1"/>
      <c r="T484" s="1"/>
      <c r="U484" s="1"/>
      <c r="V484" s="1"/>
      <c r="Z484" s="18"/>
      <c r="AD484" s="18"/>
      <c r="AH484" s="18"/>
      <c r="AL484" s="18"/>
      <c r="AM484" s="22"/>
      <c r="AN484" s="22"/>
      <c r="AO484" s="22"/>
      <c r="AP484" s="22"/>
      <c r="AQ484" s="22"/>
      <c r="AR484" s="22"/>
      <c r="AS484" s="22"/>
      <c r="AT484" s="22"/>
    </row>
    <row r="485" spans="7:46" ht="13">
      <c r="G485" s="34"/>
      <c r="J485" s="18"/>
      <c r="N485" s="18"/>
      <c r="O485" s="1"/>
      <c r="P485" s="1"/>
      <c r="Q485" s="1"/>
      <c r="R485" s="18"/>
      <c r="S485" s="1"/>
      <c r="T485" s="1"/>
      <c r="U485" s="1"/>
      <c r="V485" s="1"/>
      <c r="Z485" s="18"/>
      <c r="AD485" s="18"/>
      <c r="AH485" s="18"/>
      <c r="AL485" s="18"/>
      <c r="AM485" s="22"/>
      <c r="AN485" s="22"/>
      <c r="AO485" s="22"/>
      <c r="AP485" s="22"/>
      <c r="AQ485" s="22"/>
      <c r="AR485" s="22"/>
      <c r="AS485" s="22"/>
      <c r="AT485" s="22"/>
    </row>
    <row r="486" spans="7:46" ht="13">
      <c r="G486" s="34"/>
      <c r="J486" s="18"/>
      <c r="N486" s="18"/>
      <c r="O486" s="1"/>
      <c r="P486" s="1"/>
      <c r="Q486" s="1"/>
      <c r="R486" s="18"/>
      <c r="S486" s="1"/>
      <c r="T486" s="1"/>
      <c r="U486" s="1"/>
      <c r="V486" s="1"/>
      <c r="Z486" s="18"/>
      <c r="AD486" s="18"/>
      <c r="AH486" s="18"/>
      <c r="AL486" s="18"/>
      <c r="AM486" s="22"/>
      <c r="AN486" s="22"/>
      <c r="AO486" s="22"/>
      <c r="AP486" s="22"/>
      <c r="AQ486" s="22"/>
      <c r="AR486" s="22"/>
      <c r="AS486" s="22"/>
      <c r="AT486" s="22"/>
    </row>
    <row r="487" spans="7:46" ht="13">
      <c r="G487" s="34"/>
      <c r="J487" s="18"/>
      <c r="N487" s="18"/>
      <c r="O487" s="1"/>
      <c r="P487" s="1"/>
      <c r="Q487" s="1"/>
      <c r="R487" s="18"/>
      <c r="S487" s="1"/>
      <c r="T487" s="1"/>
      <c r="U487" s="1"/>
      <c r="V487" s="1"/>
      <c r="Z487" s="18"/>
      <c r="AD487" s="18"/>
      <c r="AH487" s="18"/>
      <c r="AL487" s="18"/>
      <c r="AM487" s="22"/>
      <c r="AN487" s="22"/>
      <c r="AO487" s="22"/>
      <c r="AP487" s="22"/>
      <c r="AQ487" s="22"/>
      <c r="AR487" s="22"/>
      <c r="AS487" s="22"/>
      <c r="AT487" s="22"/>
    </row>
    <row r="488" spans="7:46" ht="13">
      <c r="G488" s="34"/>
      <c r="J488" s="18"/>
      <c r="N488" s="18"/>
      <c r="O488" s="1"/>
      <c r="P488" s="1"/>
      <c r="Q488" s="1"/>
      <c r="R488" s="18"/>
      <c r="S488" s="1"/>
      <c r="T488" s="1"/>
      <c r="U488" s="1"/>
      <c r="V488" s="1"/>
      <c r="Z488" s="18"/>
      <c r="AD488" s="18"/>
      <c r="AH488" s="18"/>
      <c r="AL488" s="18"/>
      <c r="AM488" s="22"/>
      <c r="AN488" s="22"/>
      <c r="AO488" s="22"/>
      <c r="AP488" s="22"/>
      <c r="AQ488" s="22"/>
      <c r="AR488" s="22"/>
      <c r="AS488" s="22"/>
      <c r="AT488" s="22"/>
    </row>
    <row r="489" spans="7:46" ht="13">
      <c r="G489" s="34"/>
      <c r="J489" s="18"/>
      <c r="N489" s="18"/>
      <c r="O489" s="1"/>
      <c r="P489" s="1"/>
      <c r="Q489" s="1"/>
      <c r="R489" s="18"/>
      <c r="S489" s="1"/>
      <c r="T489" s="1"/>
      <c r="U489" s="1"/>
      <c r="V489" s="1"/>
      <c r="Z489" s="18"/>
      <c r="AD489" s="18"/>
      <c r="AH489" s="18"/>
      <c r="AL489" s="18"/>
      <c r="AM489" s="22"/>
      <c r="AN489" s="22"/>
      <c r="AO489" s="22"/>
      <c r="AP489" s="22"/>
      <c r="AQ489" s="22"/>
      <c r="AR489" s="22"/>
      <c r="AS489" s="22"/>
      <c r="AT489" s="22"/>
    </row>
    <row r="490" spans="7:46" ht="13">
      <c r="G490" s="34"/>
      <c r="J490" s="18"/>
      <c r="N490" s="18"/>
      <c r="O490" s="1"/>
      <c r="P490" s="1"/>
      <c r="Q490" s="1"/>
      <c r="R490" s="18"/>
      <c r="S490" s="1"/>
      <c r="T490" s="1"/>
      <c r="U490" s="1"/>
      <c r="V490" s="1"/>
      <c r="Z490" s="18"/>
      <c r="AD490" s="18"/>
      <c r="AH490" s="18"/>
      <c r="AL490" s="18"/>
      <c r="AM490" s="22"/>
      <c r="AN490" s="22"/>
      <c r="AO490" s="22"/>
      <c r="AP490" s="22"/>
      <c r="AQ490" s="22"/>
      <c r="AR490" s="22"/>
      <c r="AS490" s="22"/>
      <c r="AT490" s="22"/>
    </row>
    <row r="491" spans="7:46" ht="13">
      <c r="G491" s="34"/>
      <c r="J491" s="18"/>
      <c r="N491" s="18"/>
      <c r="O491" s="1"/>
      <c r="P491" s="1"/>
      <c r="Q491" s="1"/>
      <c r="R491" s="18"/>
      <c r="S491" s="1"/>
      <c r="T491" s="1"/>
      <c r="U491" s="1"/>
      <c r="V491" s="1"/>
      <c r="Z491" s="18"/>
      <c r="AD491" s="18"/>
      <c r="AH491" s="18"/>
      <c r="AL491" s="18"/>
      <c r="AM491" s="22"/>
      <c r="AN491" s="22"/>
      <c r="AO491" s="22"/>
      <c r="AP491" s="22"/>
      <c r="AQ491" s="22"/>
      <c r="AR491" s="22"/>
      <c r="AS491" s="22"/>
      <c r="AT491" s="22"/>
    </row>
    <row r="492" spans="7:46" ht="13">
      <c r="G492" s="34"/>
      <c r="J492" s="18"/>
      <c r="N492" s="18"/>
      <c r="O492" s="1"/>
      <c r="P492" s="1"/>
      <c r="Q492" s="1"/>
      <c r="R492" s="18"/>
      <c r="S492" s="1"/>
      <c r="T492" s="1"/>
      <c r="U492" s="1"/>
      <c r="V492" s="1"/>
      <c r="Z492" s="18"/>
      <c r="AD492" s="18"/>
      <c r="AH492" s="18"/>
      <c r="AL492" s="18"/>
      <c r="AM492" s="22"/>
      <c r="AN492" s="22"/>
      <c r="AO492" s="22"/>
      <c r="AP492" s="22"/>
      <c r="AQ492" s="22"/>
      <c r="AR492" s="22"/>
      <c r="AS492" s="22"/>
      <c r="AT492" s="22"/>
    </row>
    <row r="493" spans="7:46" ht="13">
      <c r="G493" s="34"/>
      <c r="J493" s="18"/>
      <c r="N493" s="18"/>
      <c r="O493" s="1"/>
      <c r="P493" s="1"/>
      <c r="Q493" s="1"/>
      <c r="R493" s="18"/>
      <c r="S493" s="1"/>
      <c r="T493" s="1"/>
      <c r="U493" s="1"/>
      <c r="V493" s="1"/>
      <c r="Z493" s="18"/>
      <c r="AD493" s="18"/>
      <c r="AH493" s="18"/>
      <c r="AL493" s="18"/>
      <c r="AM493" s="22"/>
      <c r="AN493" s="22"/>
      <c r="AO493" s="22"/>
      <c r="AP493" s="22"/>
      <c r="AQ493" s="22"/>
      <c r="AR493" s="22"/>
      <c r="AS493" s="22"/>
      <c r="AT493" s="22"/>
    </row>
    <row r="494" spans="7:46" ht="13">
      <c r="G494" s="34"/>
      <c r="J494" s="18"/>
      <c r="N494" s="18"/>
      <c r="O494" s="1"/>
      <c r="P494" s="1"/>
      <c r="Q494" s="1"/>
      <c r="R494" s="18"/>
      <c r="S494" s="1"/>
      <c r="T494" s="1"/>
      <c r="U494" s="1"/>
      <c r="V494" s="1"/>
      <c r="Z494" s="18"/>
      <c r="AD494" s="18"/>
      <c r="AH494" s="18"/>
      <c r="AL494" s="18"/>
      <c r="AM494" s="22"/>
      <c r="AN494" s="22"/>
      <c r="AO494" s="22"/>
      <c r="AP494" s="22"/>
      <c r="AQ494" s="22"/>
      <c r="AR494" s="22"/>
      <c r="AS494" s="22"/>
      <c r="AT494" s="22"/>
    </row>
    <row r="495" spans="7:46" ht="13">
      <c r="G495" s="34"/>
      <c r="J495" s="18"/>
      <c r="N495" s="18"/>
      <c r="O495" s="1"/>
      <c r="P495" s="1"/>
      <c r="Q495" s="1"/>
      <c r="R495" s="18"/>
      <c r="S495" s="1"/>
      <c r="T495" s="1"/>
      <c r="U495" s="1"/>
      <c r="V495" s="1"/>
      <c r="Z495" s="18"/>
      <c r="AD495" s="18"/>
      <c r="AH495" s="18"/>
      <c r="AL495" s="18"/>
      <c r="AM495" s="22"/>
      <c r="AN495" s="22"/>
      <c r="AO495" s="22"/>
      <c r="AP495" s="22"/>
      <c r="AQ495" s="22"/>
      <c r="AR495" s="22"/>
      <c r="AS495" s="22"/>
      <c r="AT495" s="22"/>
    </row>
    <row r="496" spans="7:46" ht="13">
      <c r="G496" s="34"/>
      <c r="J496" s="18"/>
      <c r="N496" s="18"/>
      <c r="O496" s="1"/>
      <c r="P496" s="1"/>
      <c r="Q496" s="1"/>
      <c r="R496" s="18"/>
      <c r="S496" s="1"/>
      <c r="T496" s="1"/>
      <c r="U496" s="1"/>
      <c r="V496" s="1"/>
      <c r="Z496" s="18"/>
      <c r="AD496" s="18"/>
      <c r="AH496" s="18"/>
      <c r="AL496" s="18"/>
      <c r="AM496" s="22"/>
      <c r="AN496" s="22"/>
      <c r="AO496" s="22"/>
      <c r="AP496" s="22"/>
      <c r="AQ496" s="22"/>
      <c r="AR496" s="22"/>
      <c r="AS496" s="22"/>
      <c r="AT496" s="22"/>
    </row>
    <row r="497" spans="7:46" ht="13">
      <c r="G497" s="34"/>
      <c r="J497" s="18"/>
      <c r="N497" s="18"/>
      <c r="O497" s="1"/>
      <c r="P497" s="1"/>
      <c r="Q497" s="1"/>
      <c r="R497" s="18"/>
      <c r="S497" s="1"/>
      <c r="T497" s="1"/>
      <c r="U497" s="1"/>
      <c r="V497" s="1"/>
      <c r="Z497" s="18"/>
      <c r="AD497" s="18"/>
      <c r="AH497" s="18"/>
      <c r="AL497" s="18"/>
      <c r="AM497" s="22"/>
      <c r="AN497" s="22"/>
      <c r="AO497" s="22"/>
      <c r="AP497" s="22"/>
      <c r="AQ497" s="22"/>
      <c r="AR497" s="22"/>
      <c r="AS497" s="22"/>
      <c r="AT497" s="22"/>
    </row>
    <row r="498" spans="7:46" ht="13">
      <c r="G498" s="34"/>
      <c r="J498" s="18"/>
      <c r="N498" s="18"/>
      <c r="O498" s="1"/>
      <c r="P498" s="1"/>
      <c r="Q498" s="1"/>
      <c r="R498" s="18"/>
      <c r="S498" s="1"/>
      <c r="T498" s="1"/>
      <c r="U498" s="1"/>
      <c r="V498" s="1"/>
      <c r="Z498" s="18"/>
      <c r="AD498" s="18"/>
      <c r="AH498" s="18"/>
      <c r="AL498" s="18"/>
      <c r="AM498" s="22"/>
      <c r="AN498" s="22"/>
      <c r="AO498" s="22"/>
      <c r="AP498" s="22"/>
      <c r="AQ498" s="22"/>
      <c r="AR498" s="22"/>
      <c r="AS498" s="22"/>
      <c r="AT498" s="22"/>
    </row>
    <row r="499" spans="7:46" ht="13">
      <c r="G499" s="34"/>
      <c r="J499" s="18"/>
      <c r="N499" s="18"/>
      <c r="O499" s="1"/>
      <c r="P499" s="1"/>
      <c r="Q499" s="1"/>
      <c r="R499" s="18"/>
      <c r="S499" s="1"/>
      <c r="T499" s="1"/>
      <c r="U499" s="1"/>
      <c r="V499" s="1"/>
      <c r="Z499" s="18"/>
      <c r="AD499" s="18"/>
      <c r="AH499" s="18"/>
      <c r="AL499" s="18"/>
      <c r="AM499" s="22"/>
      <c r="AN499" s="22"/>
      <c r="AO499" s="22"/>
      <c r="AP499" s="22"/>
      <c r="AQ499" s="22"/>
      <c r="AR499" s="22"/>
      <c r="AS499" s="22"/>
      <c r="AT499" s="22"/>
    </row>
    <row r="500" spans="7:46" ht="13">
      <c r="G500" s="34"/>
      <c r="J500" s="18"/>
      <c r="N500" s="18"/>
      <c r="O500" s="1"/>
      <c r="P500" s="1"/>
      <c r="Q500" s="1"/>
      <c r="R500" s="18"/>
      <c r="S500" s="1"/>
      <c r="T500" s="1"/>
      <c r="U500" s="1"/>
      <c r="V500" s="1"/>
      <c r="Z500" s="18"/>
      <c r="AD500" s="18"/>
      <c r="AH500" s="18"/>
      <c r="AL500" s="18"/>
      <c r="AM500" s="22"/>
      <c r="AN500" s="22"/>
      <c r="AO500" s="22"/>
      <c r="AP500" s="22"/>
      <c r="AQ500" s="22"/>
      <c r="AR500" s="22"/>
      <c r="AS500" s="22"/>
      <c r="AT500" s="22"/>
    </row>
    <row r="501" spans="7:46" ht="13">
      <c r="G501" s="34"/>
      <c r="J501" s="18"/>
      <c r="N501" s="18"/>
      <c r="O501" s="1"/>
      <c r="P501" s="1"/>
      <c r="Q501" s="1"/>
      <c r="R501" s="18"/>
      <c r="S501" s="1"/>
      <c r="T501" s="1"/>
      <c r="U501" s="1"/>
      <c r="V501" s="1"/>
      <c r="Z501" s="18"/>
      <c r="AD501" s="18"/>
      <c r="AH501" s="18"/>
      <c r="AL501" s="18"/>
      <c r="AM501" s="22"/>
      <c r="AN501" s="22"/>
      <c r="AO501" s="22"/>
      <c r="AP501" s="22"/>
      <c r="AQ501" s="22"/>
      <c r="AR501" s="22"/>
      <c r="AS501" s="22"/>
      <c r="AT501" s="22"/>
    </row>
    <row r="502" spans="7:46" ht="13">
      <c r="G502" s="34"/>
      <c r="J502" s="18"/>
      <c r="N502" s="18"/>
      <c r="O502" s="1"/>
      <c r="P502" s="1"/>
      <c r="Q502" s="1"/>
      <c r="R502" s="18"/>
      <c r="S502" s="1"/>
      <c r="T502" s="1"/>
      <c r="U502" s="1"/>
      <c r="V502" s="1"/>
      <c r="Z502" s="18"/>
      <c r="AD502" s="18"/>
      <c r="AH502" s="18"/>
      <c r="AL502" s="18"/>
      <c r="AM502" s="22"/>
      <c r="AN502" s="22"/>
      <c r="AO502" s="22"/>
      <c r="AP502" s="22"/>
      <c r="AQ502" s="22"/>
      <c r="AR502" s="22"/>
      <c r="AS502" s="22"/>
      <c r="AT502" s="22"/>
    </row>
    <row r="503" spans="7:46" ht="13">
      <c r="G503" s="34"/>
      <c r="J503" s="18"/>
      <c r="N503" s="18"/>
      <c r="O503" s="1"/>
      <c r="P503" s="1"/>
      <c r="Q503" s="1"/>
      <c r="R503" s="18"/>
      <c r="S503" s="1"/>
      <c r="T503" s="1"/>
      <c r="U503" s="1"/>
      <c r="V503" s="1"/>
      <c r="Z503" s="18"/>
      <c r="AD503" s="18"/>
      <c r="AH503" s="18"/>
      <c r="AL503" s="18"/>
      <c r="AM503" s="22"/>
      <c r="AN503" s="22"/>
      <c r="AO503" s="22"/>
      <c r="AP503" s="22"/>
      <c r="AQ503" s="22"/>
      <c r="AR503" s="22"/>
      <c r="AS503" s="22"/>
      <c r="AT503" s="22"/>
    </row>
    <row r="504" spans="7:46" ht="13">
      <c r="G504" s="34"/>
      <c r="J504" s="18"/>
      <c r="N504" s="18"/>
      <c r="O504" s="1"/>
      <c r="P504" s="1"/>
      <c r="Q504" s="1"/>
      <c r="R504" s="18"/>
      <c r="S504" s="1"/>
      <c r="T504" s="1"/>
      <c r="U504" s="1"/>
      <c r="V504" s="1"/>
      <c r="Z504" s="18"/>
      <c r="AD504" s="18"/>
      <c r="AH504" s="18"/>
      <c r="AL504" s="18"/>
      <c r="AM504" s="22"/>
      <c r="AN504" s="22"/>
      <c r="AO504" s="22"/>
      <c r="AP504" s="22"/>
      <c r="AQ504" s="22"/>
      <c r="AR504" s="22"/>
      <c r="AS504" s="22"/>
      <c r="AT504" s="22"/>
    </row>
    <row r="505" spans="7:46" ht="13">
      <c r="G505" s="34"/>
      <c r="J505" s="18"/>
      <c r="N505" s="18"/>
      <c r="O505" s="1"/>
      <c r="P505" s="1"/>
      <c r="Q505" s="1"/>
      <c r="R505" s="18"/>
      <c r="S505" s="1"/>
      <c r="T505" s="1"/>
      <c r="U505" s="1"/>
      <c r="V505" s="1"/>
      <c r="Z505" s="18"/>
      <c r="AD505" s="18"/>
      <c r="AH505" s="18"/>
      <c r="AL505" s="18"/>
      <c r="AM505" s="22"/>
      <c r="AN505" s="22"/>
      <c r="AO505" s="22"/>
      <c r="AP505" s="22"/>
      <c r="AQ505" s="22"/>
      <c r="AR505" s="22"/>
      <c r="AS505" s="22"/>
      <c r="AT505" s="22"/>
    </row>
    <row r="506" spans="7:46" ht="13">
      <c r="G506" s="34"/>
      <c r="J506" s="18"/>
      <c r="N506" s="18"/>
      <c r="O506" s="1"/>
      <c r="P506" s="1"/>
      <c r="Q506" s="1"/>
      <c r="R506" s="18"/>
      <c r="S506" s="1"/>
      <c r="T506" s="1"/>
      <c r="U506" s="1"/>
      <c r="V506" s="1"/>
      <c r="Z506" s="18"/>
      <c r="AD506" s="18"/>
      <c r="AH506" s="18"/>
      <c r="AL506" s="18"/>
      <c r="AM506" s="22"/>
      <c r="AN506" s="22"/>
      <c r="AO506" s="22"/>
      <c r="AP506" s="22"/>
      <c r="AQ506" s="22"/>
      <c r="AR506" s="22"/>
      <c r="AS506" s="22"/>
      <c r="AT506" s="22"/>
    </row>
    <row r="507" spans="7:46" ht="13">
      <c r="G507" s="34"/>
      <c r="J507" s="18"/>
      <c r="N507" s="18"/>
      <c r="O507" s="1"/>
      <c r="P507" s="1"/>
      <c r="Q507" s="1"/>
      <c r="R507" s="18"/>
      <c r="S507" s="1"/>
      <c r="T507" s="1"/>
      <c r="U507" s="1"/>
      <c r="V507" s="1"/>
      <c r="Z507" s="18"/>
      <c r="AD507" s="18"/>
      <c r="AH507" s="18"/>
      <c r="AL507" s="18"/>
      <c r="AM507" s="22"/>
      <c r="AN507" s="22"/>
      <c r="AO507" s="22"/>
      <c r="AP507" s="22"/>
      <c r="AQ507" s="22"/>
      <c r="AR507" s="22"/>
      <c r="AS507" s="22"/>
      <c r="AT507" s="22"/>
    </row>
    <row r="508" spans="7:46" ht="13">
      <c r="G508" s="34"/>
      <c r="J508" s="18"/>
      <c r="N508" s="18"/>
      <c r="O508" s="1"/>
      <c r="P508" s="1"/>
      <c r="Q508" s="1"/>
      <c r="R508" s="18"/>
      <c r="S508" s="1"/>
      <c r="T508" s="1"/>
      <c r="U508" s="1"/>
      <c r="V508" s="1"/>
      <c r="Z508" s="18"/>
      <c r="AD508" s="18"/>
      <c r="AH508" s="18"/>
      <c r="AL508" s="18"/>
      <c r="AM508" s="22"/>
      <c r="AN508" s="22"/>
      <c r="AO508" s="22"/>
      <c r="AP508" s="22"/>
      <c r="AQ508" s="22"/>
      <c r="AR508" s="22"/>
      <c r="AS508" s="22"/>
      <c r="AT508" s="22"/>
    </row>
    <row r="509" spans="7:46" ht="13">
      <c r="G509" s="34"/>
      <c r="J509" s="18"/>
      <c r="N509" s="18"/>
      <c r="O509" s="1"/>
      <c r="P509" s="1"/>
      <c r="Q509" s="1"/>
      <c r="R509" s="18"/>
      <c r="S509" s="1"/>
      <c r="T509" s="1"/>
      <c r="U509" s="1"/>
      <c r="V509" s="1"/>
      <c r="Z509" s="18"/>
      <c r="AD509" s="18"/>
      <c r="AH509" s="18"/>
      <c r="AL509" s="18"/>
      <c r="AM509" s="22"/>
      <c r="AN509" s="22"/>
      <c r="AO509" s="22"/>
      <c r="AP509" s="22"/>
      <c r="AQ509" s="22"/>
      <c r="AR509" s="22"/>
      <c r="AS509" s="22"/>
      <c r="AT509" s="22"/>
    </row>
    <row r="510" spans="7:46" ht="13">
      <c r="G510" s="34"/>
      <c r="J510" s="18"/>
      <c r="N510" s="18"/>
      <c r="O510" s="1"/>
      <c r="P510" s="1"/>
      <c r="Q510" s="1"/>
      <c r="R510" s="18"/>
      <c r="S510" s="1"/>
      <c r="T510" s="1"/>
      <c r="U510" s="1"/>
      <c r="V510" s="1"/>
      <c r="Z510" s="18"/>
      <c r="AD510" s="18"/>
      <c r="AH510" s="18"/>
      <c r="AL510" s="18"/>
      <c r="AM510" s="22"/>
      <c r="AN510" s="22"/>
      <c r="AO510" s="22"/>
      <c r="AP510" s="22"/>
      <c r="AQ510" s="22"/>
      <c r="AR510" s="22"/>
      <c r="AS510" s="22"/>
      <c r="AT510" s="22"/>
    </row>
    <row r="511" spans="7:46" ht="13">
      <c r="G511" s="34"/>
      <c r="J511" s="18"/>
      <c r="N511" s="18"/>
      <c r="O511" s="1"/>
      <c r="P511" s="1"/>
      <c r="Q511" s="1"/>
      <c r="R511" s="18"/>
      <c r="S511" s="1"/>
      <c r="T511" s="1"/>
      <c r="U511" s="1"/>
      <c r="V511" s="1"/>
      <c r="Z511" s="18"/>
      <c r="AD511" s="18"/>
      <c r="AH511" s="18"/>
      <c r="AL511" s="18"/>
      <c r="AM511" s="22"/>
      <c r="AN511" s="22"/>
      <c r="AO511" s="22"/>
      <c r="AP511" s="22"/>
      <c r="AQ511" s="22"/>
      <c r="AR511" s="22"/>
      <c r="AS511" s="22"/>
      <c r="AT511" s="22"/>
    </row>
    <row r="512" spans="7:46" ht="13">
      <c r="G512" s="34"/>
      <c r="J512" s="18"/>
      <c r="N512" s="18"/>
      <c r="O512" s="1"/>
      <c r="P512" s="1"/>
      <c r="Q512" s="1"/>
      <c r="R512" s="18"/>
      <c r="S512" s="1"/>
      <c r="T512" s="1"/>
      <c r="U512" s="1"/>
      <c r="V512" s="1"/>
      <c r="Z512" s="18"/>
      <c r="AD512" s="18"/>
      <c r="AH512" s="18"/>
      <c r="AL512" s="18"/>
      <c r="AM512" s="22"/>
      <c r="AN512" s="22"/>
      <c r="AO512" s="22"/>
      <c r="AP512" s="22"/>
      <c r="AQ512" s="22"/>
      <c r="AR512" s="22"/>
      <c r="AS512" s="22"/>
      <c r="AT512" s="22"/>
    </row>
    <row r="513" spans="7:46" ht="13">
      <c r="G513" s="34"/>
      <c r="J513" s="18"/>
      <c r="N513" s="18"/>
      <c r="O513" s="1"/>
      <c r="P513" s="1"/>
      <c r="Q513" s="1"/>
      <c r="R513" s="18"/>
      <c r="S513" s="1"/>
      <c r="T513" s="1"/>
      <c r="U513" s="1"/>
      <c r="V513" s="1"/>
      <c r="Z513" s="18"/>
      <c r="AD513" s="18"/>
      <c r="AH513" s="18"/>
      <c r="AL513" s="18"/>
      <c r="AM513" s="22"/>
      <c r="AN513" s="22"/>
      <c r="AO513" s="22"/>
      <c r="AP513" s="22"/>
      <c r="AQ513" s="22"/>
      <c r="AR513" s="22"/>
      <c r="AS513" s="22"/>
      <c r="AT513" s="22"/>
    </row>
    <row r="514" spans="7:46" ht="13">
      <c r="G514" s="34"/>
      <c r="J514" s="18"/>
      <c r="N514" s="18"/>
      <c r="O514" s="1"/>
      <c r="P514" s="1"/>
      <c r="Q514" s="1"/>
      <c r="R514" s="18"/>
      <c r="S514" s="1"/>
      <c r="T514" s="1"/>
      <c r="U514" s="1"/>
      <c r="V514" s="1"/>
      <c r="Z514" s="18"/>
      <c r="AD514" s="18"/>
      <c r="AH514" s="18"/>
      <c r="AL514" s="18"/>
      <c r="AM514" s="22"/>
      <c r="AN514" s="22"/>
      <c r="AO514" s="22"/>
      <c r="AP514" s="22"/>
      <c r="AQ514" s="22"/>
      <c r="AR514" s="22"/>
      <c r="AS514" s="22"/>
      <c r="AT514" s="22"/>
    </row>
    <row r="515" spans="7:46" ht="13">
      <c r="G515" s="34"/>
      <c r="J515" s="18"/>
      <c r="N515" s="18"/>
      <c r="O515" s="1"/>
      <c r="P515" s="1"/>
      <c r="Q515" s="1"/>
      <c r="R515" s="18"/>
      <c r="S515" s="1"/>
      <c r="T515" s="1"/>
      <c r="U515" s="1"/>
      <c r="V515" s="1"/>
      <c r="Z515" s="18"/>
      <c r="AD515" s="18"/>
      <c r="AH515" s="18"/>
      <c r="AL515" s="18"/>
      <c r="AM515" s="22"/>
      <c r="AN515" s="22"/>
      <c r="AO515" s="22"/>
      <c r="AP515" s="22"/>
      <c r="AQ515" s="22"/>
      <c r="AR515" s="22"/>
      <c r="AS515" s="22"/>
      <c r="AT515" s="22"/>
    </row>
    <row r="516" spans="7:46" ht="13">
      <c r="G516" s="34"/>
      <c r="J516" s="18"/>
      <c r="N516" s="18"/>
      <c r="O516" s="1"/>
      <c r="P516" s="1"/>
      <c r="Q516" s="1"/>
      <c r="R516" s="18"/>
      <c r="S516" s="1"/>
      <c r="T516" s="1"/>
      <c r="U516" s="1"/>
      <c r="V516" s="1"/>
      <c r="Z516" s="18"/>
      <c r="AD516" s="18"/>
      <c r="AH516" s="18"/>
      <c r="AL516" s="18"/>
      <c r="AM516" s="22"/>
      <c r="AN516" s="22"/>
      <c r="AO516" s="22"/>
      <c r="AP516" s="22"/>
      <c r="AQ516" s="22"/>
      <c r="AR516" s="22"/>
      <c r="AS516" s="22"/>
      <c r="AT516" s="22"/>
    </row>
    <row r="517" spans="7:46" ht="13">
      <c r="G517" s="34"/>
      <c r="J517" s="18"/>
      <c r="N517" s="18"/>
      <c r="O517" s="1"/>
      <c r="P517" s="1"/>
      <c r="Q517" s="1"/>
      <c r="R517" s="18"/>
      <c r="S517" s="1"/>
      <c r="T517" s="1"/>
      <c r="U517" s="1"/>
      <c r="V517" s="1"/>
      <c r="Z517" s="18"/>
      <c r="AD517" s="18"/>
      <c r="AH517" s="18"/>
      <c r="AL517" s="18"/>
      <c r="AM517" s="22"/>
      <c r="AN517" s="22"/>
      <c r="AO517" s="22"/>
      <c r="AP517" s="22"/>
      <c r="AQ517" s="22"/>
      <c r="AR517" s="22"/>
      <c r="AS517" s="22"/>
      <c r="AT517" s="22"/>
    </row>
    <row r="518" spans="7:46" ht="13">
      <c r="G518" s="34"/>
      <c r="J518" s="18"/>
      <c r="N518" s="18"/>
      <c r="O518" s="1"/>
      <c r="P518" s="1"/>
      <c r="Q518" s="1"/>
      <c r="R518" s="18"/>
      <c r="S518" s="1"/>
      <c r="T518" s="1"/>
      <c r="U518" s="1"/>
      <c r="V518" s="1"/>
      <c r="Z518" s="18"/>
      <c r="AD518" s="18"/>
      <c r="AH518" s="18"/>
      <c r="AL518" s="18"/>
      <c r="AM518" s="22"/>
      <c r="AN518" s="22"/>
      <c r="AO518" s="22"/>
      <c r="AP518" s="22"/>
      <c r="AQ518" s="22"/>
      <c r="AR518" s="22"/>
      <c r="AS518" s="22"/>
      <c r="AT518" s="22"/>
    </row>
    <row r="519" spans="7:46" ht="13">
      <c r="G519" s="34"/>
      <c r="J519" s="18"/>
      <c r="N519" s="18"/>
      <c r="O519" s="1"/>
      <c r="P519" s="1"/>
      <c r="Q519" s="1"/>
      <c r="R519" s="18"/>
      <c r="S519" s="1"/>
      <c r="T519" s="1"/>
      <c r="U519" s="1"/>
      <c r="V519" s="1"/>
      <c r="Z519" s="18"/>
      <c r="AD519" s="18"/>
      <c r="AH519" s="18"/>
      <c r="AL519" s="18"/>
      <c r="AM519" s="22"/>
      <c r="AN519" s="22"/>
      <c r="AO519" s="22"/>
      <c r="AP519" s="22"/>
      <c r="AQ519" s="22"/>
      <c r="AR519" s="22"/>
      <c r="AS519" s="22"/>
      <c r="AT519" s="22"/>
    </row>
    <row r="520" spans="7:46" ht="13">
      <c r="G520" s="34"/>
      <c r="J520" s="18"/>
      <c r="N520" s="18"/>
      <c r="O520" s="1"/>
      <c r="P520" s="1"/>
      <c r="Q520" s="1"/>
      <c r="R520" s="18"/>
      <c r="S520" s="1"/>
      <c r="T520" s="1"/>
      <c r="U520" s="1"/>
      <c r="V520" s="1"/>
      <c r="Z520" s="18"/>
      <c r="AD520" s="18"/>
      <c r="AH520" s="18"/>
      <c r="AL520" s="18"/>
      <c r="AM520" s="22"/>
      <c r="AN520" s="22"/>
      <c r="AO520" s="22"/>
      <c r="AP520" s="22"/>
      <c r="AQ520" s="22"/>
      <c r="AR520" s="22"/>
      <c r="AS520" s="22"/>
      <c r="AT520" s="22"/>
    </row>
    <row r="521" spans="7:46" ht="13">
      <c r="G521" s="34"/>
      <c r="J521" s="18"/>
      <c r="N521" s="18"/>
      <c r="O521" s="1"/>
      <c r="P521" s="1"/>
      <c r="Q521" s="1"/>
      <c r="R521" s="18"/>
      <c r="S521" s="1"/>
      <c r="T521" s="1"/>
      <c r="U521" s="1"/>
      <c r="V521" s="1"/>
      <c r="Z521" s="18"/>
      <c r="AD521" s="18"/>
      <c r="AH521" s="18"/>
      <c r="AL521" s="18"/>
      <c r="AM521" s="22"/>
      <c r="AN521" s="22"/>
      <c r="AO521" s="22"/>
      <c r="AP521" s="22"/>
      <c r="AQ521" s="22"/>
      <c r="AR521" s="22"/>
      <c r="AS521" s="22"/>
      <c r="AT521" s="22"/>
    </row>
    <row r="522" spans="7:46" ht="13">
      <c r="G522" s="34"/>
      <c r="J522" s="18"/>
      <c r="N522" s="18"/>
      <c r="O522" s="1"/>
      <c r="P522" s="1"/>
      <c r="Q522" s="1"/>
      <c r="R522" s="18"/>
      <c r="S522" s="1"/>
      <c r="T522" s="1"/>
      <c r="U522" s="1"/>
      <c r="V522" s="1"/>
      <c r="Z522" s="18"/>
      <c r="AD522" s="18"/>
      <c r="AH522" s="18"/>
      <c r="AL522" s="18"/>
      <c r="AM522" s="22"/>
      <c r="AN522" s="22"/>
      <c r="AO522" s="22"/>
      <c r="AP522" s="22"/>
      <c r="AQ522" s="22"/>
      <c r="AR522" s="22"/>
      <c r="AS522" s="22"/>
      <c r="AT522" s="22"/>
    </row>
    <row r="523" spans="7:46" ht="13">
      <c r="G523" s="34"/>
      <c r="J523" s="18"/>
      <c r="N523" s="18"/>
      <c r="O523" s="1"/>
      <c r="P523" s="1"/>
      <c r="Q523" s="1"/>
      <c r="R523" s="18"/>
      <c r="S523" s="1"/>
      <c r="T523" s="1"/>
      <c r="U523" s="1"/>
      <c r="V523" s="1"/>
      <c r="Z523" s="18"/>
      <c r="AD523" s="18"/>
      <c r="AH523" s="18"/>
      <c r="AL523" s="18"/>
      <c r="AM523" s="22"/>
      <c r="AN523" s="22"/>
      <c r="AO523" s="22"/>
      <c r="AP523" s="22"/>
      <c r="AQ523" s="22"/>
      <c r="AR523" s="22"/>
      <c r="AS523" s="22"/>
      <c r="AT523" s="22"/>
    </row>
    <row r="524" spans="7:46" ht="13">
      <c r="G524" s="34"/>
      <c r="J524" s="18"/>
      <c r="N524" s="18"/>
      <c r="O524" s="1"/>
      <c r="P524" s="1"/>
      <c r="Q524" s="1"/>
      <c r="R524" s="18"/>
      <c r="S524" s="1"/>
      <c r="T524" s="1"/>
      <c r="U524" s="1"/>
      <c r="V524" s="1"/>
      <c r="Z524" s="18"/>
      <c r="AD524" s="18"/>
      <c r="AH524" s="18"/>
      <c r="AL524" s="18"/>
      <c r="AM524" s="22"/>
      <c r="AN524" s="22"/>
      <c r="AO524" s="22"/>
      <c r="AP524" s="22"/>
      <c r="AQ524" s="22"/>
      <c r="AR524" s="22"/>
      <c r="AS524" s="22"/>
      <c r="AT524" s="22"/>
    </row>
    <row r="525" spans="7:46" ht="13">
      <c r="G525" s="34"/>
      <c r="J525" s="18"/>
      <c r="N525" s="18"/>
      <c r="O525" s="1"/>
      <c r="P525" s="1"/>
      <c r="Q525" s="1"/>
      <c r="R525" s="18"/>
      <c r="S525" s="1"/>
      <c r="T525" s="1"/>
      <c r="U525" s="1"/>
      <c r="V525" s="1"/>
      <c r="Z525" s="18"/>
      <c r="AD525" s="18"/>
      <c r="AH525" s="18"/>
      <c r="AL525" s="18"/>
      <c r="AM525" s="22"/>
      <c r="AN525" s="22"/>
      <c r="AO525" s="22"/>
      <c r="AP525" s="22"/>
      <c r="AQ525" s="22"/>
      <c r="AR525" s="22"/>
      <c r="AS525" s="22"/>
      <c r="AT525" s="22"/>
    </row>
    <row r="526" spans="7:46" ht="13">
      <c r="G526" s="34"/>
      <c r="J526" s="18"/>
      <c r="N526" s="18"/>
      <c r="O526" s="1"/>
      <c r="P526" s="1"/>
      <c r="Q526" s="1"/>
      <c r="R526" s="18"/>
      <c r="S526" s="1"/>
      <c r="T526" s="1"/>
      <c r="U526" s="1"/>
      <c r="V526" s="1"/>
      <c r="Z526" s="18"/>
      <c r="AD526" s="18"/>
      <c r="AH526" s="18"/>
      <c r="AL526" s="18"/>
      <c r="AM526" s="22"/>
      <c r="AN526" s="22"/>
      <c r="AO526" s="22"/>
      <c r="AP526" s="22"/>
      <c r="AQ526" s="22"/>
      <c r="AR526" s="22"/>
      <c r="AS526" s="22"/>
      <c r="AT526" s="22"/>
    </row>
    <row r="527" spans="7:46" ht="13">
      <c r="G527" s="34"/>
      <c r="J527" s="18"/>
      <c r="N527" s="18"/>
      <c r="O527" s="1"/>
      <c r="P527" s="1"/>
      <c r="Q527" s="1"/>
      <c r="R527" s="18"/>
      <c r="S527" s="1"/>
      <c r="T527" s="1"/>
      <c r="U527" s="1"/>
      <c r="V527" s="1"/>
      <c r="Z527" s="18"/>
      <c r="AD527" s="18"/>
      <c r="AH527" s="18"/>
      <c r="AL527" s="18"/>
      <c r="AM527" s="22"/>
      <c r="AN527" s="22"/>
      <c r="AO527" s="22"/>
      <c r="AP527" s="22"/>
      <c r="AQ527" s="22"/>
      <c r="AR527" s="22"/>
      <c r="AS527" s="22"/>
      <c r="AT527" s="22"/>
    </row>
    <row r="528" spans="7:46" ht="13">
      <c r="G528" s="34"/>
      <c r="J528" s="18"/>
      <c r="N528" s="18"/>
      <c r="O528" s="1"/>
      <c r="P528" s="1"/>
      <c r="Q528" s="1"/>
      <c r="R528" s="18"/>
      <c r="S528" s="1"/>
      <c r="T528" s="1"/>
      <c r="U528" s="1"/>
      <c r="V528" s="1"/>
      <c r="Z528" s="18"/>
      <c r="AD528" s="18"/>
      <c r="AH528" s="18"/>
      <c r="AL528" s="18"/>
      <c r="AM528" s="22"/>
      <c r="AN528" s="22"/>
      <c r="AO528" s="22"/>
      <c r="AP528" s="22"/>
      <c r="AQ528" s="22"/>
      <c r="AR528" s="22"/>
      <c r="AS528" s="22"/>
      <c r="AT528" s="22"/>
    </row>
    <row r="529" spans="7:46" ht="13">
      <c r="G529" s="34"/>
      <c r="J529" s="18"/>
      <c r="N529" s="18"/>
      <c r="O529" s="1"/>
      <c r="P529" s="1"/>
      <c r="Q529" s="1"/>
      <c r="R529" s="18"/>
      <c r="S529" s="1"/>
      <c r="T529" s="1"/>
      <c r="U529" s="1"/>
      <c r="V529" s="1"/>
      <c r="Z529" s="18"/>
      <c r="AD529" s="18"/>
      <c r="AH529" s="18"/>
      <c r="AL529" s="18"/>
      <c r="AM529" s="22"/>
      <c r="AN529" s="22"/>
      <c r="AO529" s="22"/>
      <c r="AP529" s="22"/>
      <c r="AQ529" s="22"/>
      <c r="AR529" s="22"/>
      <c r="AS529" s="22"/>
      <c r="AT529" s="22"/>
    </row>
    <row r="530" spans="7:46" ht="13">
      <c r="G530" s="34"/>
      <c r="J530" s="18"/>
      <c r="N530" s="18"/>
      <c r="O530" s="1"/>
      <c r="P530" s="1"/>
      <c r="Q530" s="1"/>
      <c r="R530" s="18"/>
      <c r="S530" s="1"/>
      <c r="T530" s="1"/>
      <c r="U530" s="1"/>
      <c r="V530" s="1"/>
      <c r="Z530" s="18"/>
      <c r="AD530" s="18"/>
      <c r="AH530" s="18"/>
      <c r="AL530" s="18"/>
      <c r="AM530" s="22"/>
      <c r="AN530" s="22"/>
      <c r="AO530" s="22"/>
      <c r="AP530" s="22"/>
      <c r="AQ530" s="22"/>
      <c r="AR530" s="22"/>
      <c r="AS530" s="22"/>
      <c r="AT530" s="22"/>
    </row>
    <row r="531" spans="7:46" ht="13">
      <c r="G531" s="34"/>
      <c r="J531" s="18"/>
      <c r="N531" s="18"/>
      <c r="O531" s="1"/>
      <c r="P531" s="1"/>
      <c r="Q531" s="1"/>
      <c r="R531" s="18"/>
      <c r="S531" s="1"/>
      <c r="T531" s="1"/>
      <c r="U531" s="1"/>
      <c r="V531" s="1"/>
      <c r="Z531" s="18"/>
      <c r="AD531" s="18"/>
      <c r="AH531" s="18"/>
      <c r="AL531" s="18"/>
      <c r="AM531" s="22"/>
      <c r="AN531" s="22"/>
      <c r="AO531" s="22"/>
      <c r="AP531" s="22"/>
      <c r="AQ531" s="22"/>
      <c r="AR531" s="22"/>
      <c r="AS531" s="22"/>
      <c r="AT531" s="22"/>
    </row>
    <row r="532" spans="7:46" ht="13">
      <c r="G532" s="34"/>
      <c r="J532" s="18"/>
      <c r="N532" s="18"/>
      <c r="O532" s="1"/>
      <c r="P532" s="1"/>
      <c r="Q532" s="1"/>
      <c r="R532" s="18"/>
      <c r="S532" s="1"/>
      <c r="T532" s="1"/>
      <c r="U532" s="1"/>
      <c r="V532" s="1"/>
      <c r="Z532" s="18"/>
      <c r="AD532" s="18"/>
      <c r="AH532" s="18"/>
      <c r="AL532" s="18"/>
      <c r="AM532" s="22"/>
      <c r="AN532" s="22"/>
      <c r="AO532" s="22"/>
      <c r="AP532" s="22"/>
      <c r="AQ532" s="22"/>
      <c r="AR532" s="22"/>
      <c r="AS532" s="22"/>
      <c r="AT532" s="22"/>
    </row>
    <row r="533" spans="7:46" ht="13">
      <c r="G533" s="34"/>
      <c r="J533" s="18"/>
      <c r="N533" s="18"/>
      <c r="O533" s="1"/>
      <c r="P533" s="1"/>
      <c r="Q533" s="1"/>
      <c r="R533" s="18"/>
      <c r="S533" s="1"/>
      <c r="T533" s="1"/>
      <c r="U533" s="1"/>
      <c r="V533" s="1"/>
      <c r="Z533" s="18"/>
      <c r="AD533" s="18"/>
      <c r="AH533" s="18"/>
      <c r="AL533" s="18"/>
      <c r="AM533" s="22"/>
      <c r="AN533" s="22"/>
      <c r="AO533" s="22"/>
      <c r="AP533" s="22"/>
      <c r="AQ533" s="22"/>
      <c r="AR533" s="22"/>
      <c r="AS533" s="22"/>
      <c r="AT533" s="22"/>
    </row>
    <row r="534" spans="7:46" ht="13">
      <c r="G534" s="34"/>
      <c r="J534" s="18"/>
      <c r="N534" s="18"/>
      <c r="O534" s="1"/>
      <c r="P534" s="1"/>
      <c r="Q534" s="1"/>
      <c r="R534" s="18"/>
      <c r="S534" s="1"/>
      <c r="T534" s="1"/>
      <c r="U534" s="1"/>
      <c r="V534" s="1"/>
      <c r="Z534" s="18"/>
      <c r="AD534" s="18"/>
      <c r="AH534" s="18"/>
      <c r="AL534" s="18"/>
      <c r="AM534" s="22"/>
      <c r="AN534" s="22"/>
      <c r="AO534" s="22"/>
      <c r="AP534" s="22"/>
      <c r="AQ534" s="22"/>
      <c r="AR534" s="22"/>
      <c r="AS534" s="22"/>
      <c r="AT534" s="22"/>
    </row>
    <row r="535" spans="7:46" ht="13">
      <c r="G535" s="34"/>
      <c r="J535" s="18"/>
      <c r="N535" s="18"/>
      <c r="O535" s="1"/>
      <c r="P535" s="1"/>
      <c r="Q535" s="1"/>
      <c r="R535" s="18"/>
      <c r="S535" s="1"/>
      <c r="T535" s="1"/>
      <c r="U535" s="1"/>
      <c r="V535" s="1"/>
      <c r="Z535" s="18"/>
      <c r="AD535" s="18"/>
      <c r="AH535" s="18"/>
      <c r="AL535" s="18"/>
      <c r="AM535" s="22"/>
      <c r="AN535" s="22"/>
      <c r="AO535" s="22"/>
      <c r="AP535" s="22"/>
      <c r="AQ535" s="22"/>
      <c r="AR535" s="22"/>
      <c r="AS535" s="22"/>
      <c r="AT535" s="22"/>
    </row>
    <row r="536" spans="7:46" ht="13">
      <c r="G536" s="34"/>
      <c r="J536" s="18"/>
      <c r="N536" s="18"/>
      <c r="O536" s="1"/>
      <c r="P536" s="1"/>
      <c r="Q536" s="1"/>
      <c r="R536" s="18"/>
      <c r="S536" s="1"/>
      <c r="T536" s="1"/>
      <c r="U536" s="1"/>
      <c r="V536" s="1"/>
      <c r="Z536" s="18"/>
      <c r="AD536" s="18"/>
      <c r="AH536" s="18"/>
      <c r="AL536" s="18"/>
      <c r="AM536" s="22"/>
      <c r="AN536" s="22"/>
      <c r="AO536" s="22"/>
      <c r="AP536" s="22"/>
      <c r="AQ536" s="22"/>
      <c r="AR536" s="22"/>
      <c r="AS536" s="22"/>
      <c r="AT536" s="22"/>
    </row>
    <row r="537" spans="7:46" ht="13">
      <c r="G537" s="34"/>
      <c r="J537" s="18"/>
      <c r="N537" s="18"/>
      <c r="O537" s="1"/>
      <c r="P537" s="1"/>
      <c r="Q537" s="1"/>
      <c r="R537" s="18"/>
      <c r="S537" s="1"/>
      <c r="T537" s="1"/>
      <c r="U537" s="1"/>
      <c r="V537" s="1"/>
      <c r="Z537" s="18"/>
      <c r="AD537" s="18"/>
      <c r="AH537" s="18"/>
      <c r="AL537" s="18"/>
      <c r="AM537" s="22"/>
      <c r="AN537" s="22"/>
      <c r="AO537" s="22"/>
      <c r="AP537" s="22"/>
      <c r="AQ537" s="22"/>
      <c r="AR537" s="22"/>
      <c r="AS537" s="22"/>
      <c r="AT537" s="22"/>
    </row>
    <row r="538" spans="7:46" ht="13">
      <c r="G538" s="34"/>
      <c r="J538" s="18"/>
      <c r="N538" s="18"/>
      <c r="O538" s="1"/>
      <c r="P538" s="1"/>
      <c r="Q538" s="1"/>
      <c r="R538" s="18"/>
      <c r="S538" s="1"/>
      <c r="T538" s="1"/>
      <c r="U538" s="1"/>
      <c r="V538" s="1"/>
      <c r="Z538" s="18"/>
      <c r="AD538" s="18"/>
      <c r="AH538" s="18"/>
      <c r="AL538" s="18"/>
      <c r="AM538" s="22"/>
      <c r="AN538" s="22"/>
      <c r="AO538" s="22"/>
      <c r="AP538" s="22"/>
      <c r="AQ538" s="22"/>
      <c r="AR538" s="22"/>
      <c r="AS538" s="22"/>
      <c r="AT538" s="22"/>
    </row>
    <row r="539" spans="7:46" ht="13">
      <c r="G539" s="34"/>
      <c r="J539" s="18"/>
      <c r="N539" s="18"/>
      <c r="O539" s="1"/>
      <c r="P539" s="1"/>
      <c r="Q539" s="1"/>
      <c r="R539" s="18"/>
      <c r="S539" s="1"/>
      <c r="T539" s="1"/>
      <c r="U539" s="1"/>
      <c r="V539" s="1"/>
      <c r="Z539" s="18"/>
      <c r="AD539" s="18"/>
      <c r="AH539" s="18"/>
      <c r="AL539" s="18"/>
      <c r="AM539" s="22"/>
      <c r="AN539" s="22"/>
      <c r="AO539" s="22"/>
      <c r="AP539" s="22"/>
      <c r="AQ539" s="22"/>
      <c r="AR539" s="22"/>
      <c r="AS539" s="22"/>
      <c r="AT539" s="22"/>
    </row>
    <row r="540" spans="7:46" ht="13">
      <c r="G540" s="34"/>
      <c r="J540" s="18"/>
      <c r="N540" s="18"/>
      <c r="O540" s="1"/>
      <c r="P540" s="1"/>
      <c r="Q540" s="1"/>
      <c r="R540" s="18"/>
      <c r="S540" s="1"/>
      <c r="T540" s="1"/>
      <c r="U540" s="1"/>
      <c r="V540" s="1"/>
      <c r="Z540" s="18"/>
      <c r="AD540" s="18"/>
      <c r="AH540" s="18"/>
      <c r="AL540" s="18"/>
      <c r="AM540" s="22"/>
      <c r="AN540" s="22"/>
      <c r="AO540" s="22"/>
      <c r="AP540" s="22"/>
      <c r="AQ540" s="22"/>
      <c r="AR540" s="22"/>
      <c r="AS540" s="22"/>
      <c r="AT540" s="22"/>
    </row>
    <row r="541" spans="7:46" ht="13">
      <c r="G541" s="34"/>
      <c r="J541" s="18"/>
      <c r="N541" s="18"/>
      <c r="O541" s="1"/>
      <c r="P541" s="1"/>
      <c r="Q541" s="1"/>
      <c r="R541" s="18"/>
      <c r="S541" s="1"/>
      <c r="T541" s="1"/>
      <c r="U541" s="1"/>
      <c r="V541" s="1"/>
      <c r="Z541" s="18"/>
      <c r="AD541" s="18"/>
      <c r="AH541" s="18"/>
      <c r="AL541" s="18"/>
      <c r="AM541" s="22"/>
      <c r="AN541" s="22"/>
      <c r="AO541" s="22"/>
      <c r="AP541" s="22"/>
      <c r="AQ541" s="22"/>
      <c r="AR541" s="22"/>
      <c r="AS541" s="22"/>
      <c r="AT541" s="22"/>
    </row>
    <row r="542" spans="7:46" ht="13">
      <c r="G542" s="34"/>
      <c r="J542" s="18"/>
      <c r="N542" s="18"/>
      <c r="O542" s="1"/>
      <c r="P542" s="1"/>
      <c r="Q542" s="1"/>
      <c r="R542" s="18"/>
      <c r="S542" s="1"/>
      <c r="T542" s="1"/>
      <c r="U542" s="1"/>
      <c r="V542" s="1"/>
      <c r="Z542" s="18"/>
      <c r="AD542" s="18"/>
      <c r="AH542" s="18"/>
      <c r="AL542" s="18"/>
      <c r="AM542" s="22"/>
      <c r="AN542" s="22"/>
      <c r="AO542" s="22"/>
      <c r="AP542" s="22"/>
      <c r="AQ542" s="22"/>
      <c r="AR542" s="22"/>
      <c r="AS542" s="22"/>
      <c r="AT542" s="22"/>
    </row>
    <row r="543" spans="7:46" ht="13">
      <c r="G543" s="34"/>
      <c r="J543" s="18"/>
      <c r="N543" s="18"/>
      <c r="O543" s="1"/>
      <c r="P543" s="1"/>
      <c r="Q543" s="1"/>
      <c r="R543" s="18"/>
      <c r="S543" s="1"/>
      <c r="T543" s="1"/>
      <c r="U543" s="1"/>
      <c r="V543" s="1"/>
      <c r="Z543" s="18"/>
      <c r="AD543" s="18"/>
      <c r="AH543" s="18"/>
      <c r="AL543" s="18"/>
      <c r="AM543" s="22"/>
      <c r="AN543" s="22"/>
      <c r="AO543" s="22"/>
      <c r="AP543" s="22"/>
      <c r="AQ543" s="22"/>
      <c r="AR543" s="22"/>
      <c r="AS543" s="22"/>
      <c r="AT543" s="22"/>
    </row>
    <row r="544" spans="7:46" ht="13">
      <c r="G544" s="34"/>
      <c r="J544" s="18"/>
      <c r="N544" s="18"/>
      <c r="O544" s="1"/>
      <c r="P544" s="1"/>
      <c r="Q544" s="1"/>
      <c r="R544" s="18"/>
      <c r="S544" s="1"/>
      <c r="T544" s="1"/>
      <c r="U544" s="1"/>
      <c r="V544" s="1"/>
      <c r="Z544" s="18"/>
      <c r="AD544" s="18"/>
      <c r="AH544" s="18"/>
      <c r="AL544" s="18"/>
      <c r="AM544" s="22"/>
      <c r="AN544" s="22"/>
      <c r="AO544" s="22"/>
      <c r="AP544" s="22"/>
      <c r="AQ544" s="22"/>
      <c r="AR544" s="22"/>
      <c r="AS544" s="22"/>
      <c r="AT544" s="22"/>
    </row>
    <row r="545" spans="7:46" ht="13">
      <c r="G545" s="34"/>
      <c r="J545" s="18"/>
      <c r="N545" s="18"/>
      <c r="O545" s="1"/>
      <c r="P545" s="1"/>
      <c r="Q545" s="1"/>
      <c r="R545" s="18"/>
      <c r="S545" s="1"/>
      <c r="T545" s="1"/>
      <c r="U545" s="1"/>
      <c r="V545" s="1"/>
      <c r="Z545" s="18"/>
      <c r="AD545" s="18"/>
      <c r="AH545" s="18"/>
      <c r="AL545" s="18"/>
      <c r="AM545" s="22"/>
      <c r="AN545" s="22"/>
      <c r="AO545" s="22"/>
      <c r="AP545" s="22"/>
      <c r="AQ545" s="22"/>
      <c r="AR545" s="22"/>
      <c r="AS545" s="22"/>
      <c r="AT545" s="22"/>
    </row>
    <row r="546" spans="7:46" ht="13">
      <c r="G546" s="34"/>
      <c r="J546" s="18"/>
      <c r="N546" s="18"/>
      <c r="O546" s="1"/>
      <c r="P546" s="1"/>
      <c r="Q546" s="1"/>
      <c r="R546" s="18"/>
      <c r="S546" s="1"/>
      <c r="T546" s="1"/>
      <c r="U546" s="1"/>
      <c r="V546" s="1"/>
      <c r="Z546" s="18"/>
      <c r="AD546" s="18"/>
      <c r="AH546" s="18"/>
      <c r="AL546" s="18"/>
      <c r="AM546" s="22"/>
      <c r="AN546" s="22"/>
      <c r="AO546" s="22"/>
      <c r="AP546" s="22"/>
      <c r="AQ546" s="22"/>
      <c r="AR546" s="22"/>
      <c r="AS546" s="22"/>
      <c r="AT546" s="22"/>
    </row>
    <row r="547" spans="7:46" ht="13">
      <c r="G547" s="34"/>
      <c r="J547" s="18"/>
      <c r="N547" s="18"/>
      <c r="O547" s="1"/>
      <c r="P547" s="1"/>
      <c r="Q547" s="1"/>
      <c r="R547" s="18"/>
      <c r="S547" s="1"/>
      <c r="T547" s="1"/>
      <c r="U547" s="1"/>
      <c r="V547" s="1"/>
      <c r="Z547" s="18"/>
      <c r="AD547" s="18"/>
      <c r="AH547" s="18"/>
      <c r="AL547" s="18"/>
      <c r="AM547" s="22"/>
      <c r="AN547" s="22"/>
      <c r="AO547" s="22"/>
      <c r="AP547" s="22"/>
      <c r="AQ547" s="22"/>
      <c r="AR547" s="22"/>
      <c r="AS547" s="22"/>
      <c r="AT547" s="22"/>
    </row>
    <row r="548" spans="7:46" ht="13">
      <c r="G548" s="34"/>
      <c r="J548" s="18"/>
      <c r="N548" s="18"/>
      <c r="O548" s="1"/>
      <c r="P548" s="1"/>
      <c r="Q548" s="1"/>
      <c r="R548" s="18"/>
      <c r="S548" s="1"/>
      <c r="T548" s="1"/>
      <c r="U548" s="1"/>
      <c r="V548" s="1"/>
      <c r="Z548" s="18"/>
      <c r="AD548" s="18"/>
      <c r="AH548" s="18"/>
      <c r="AL548" s="18"/>
      <c r="AM548" s="22"/>
      <c r="AN548" s="22"/>
      <c r="AO548" s="22"/>
      <c r="AP548" s="22"/>
      <c r="AQ548" s="22"/>
      <c r="AR548" s="22"/>
      <c r="AS548" s="22"/>
      <c r="AT548" s="22"/>
    </row>
    <row r="549" spans="7:46" ht="13">
      <c r="G549" s="34"/>
      <c r="J549" s="18"/>
      <c r="N549" s="18"/>
      <c r="O549" s="1"/>
      <c r="P549" s="1"/>
      <c r="Q549" s="1"/>
      <c r="R549" s="18"/>
      <c r="S549" s="1"/>
      <c r="T549" s="1"/>
      <c r="U549" s="1"/>
      <c r="V549" s="1"/>
      <c r="Z549" s="18"/>
      <c r="AD549" s="18"/>
      <c r="AH549" s="18"/>
      <c r="AL549" s="18"/>
      <c r="AM549" s="22"/>
      <c r="AN549" s="22"/>
      <c r="AO549" s="22"/>
      <c r="AP549" s="22"/>
      <c r="AQ549" s="22"/>
      <c r="AR549" s="22"/>
      <c r="AS549" s="22"/>
      <c r="AT549" s="22"/>
    </row>
    <row r="550" spans="7:46" ht="13">
      <c r="G550" s="34"/>
      <c r="J550" s="18"/>
      <c r="N550" s="18"/>
      <c r="O550" s="1"/>
      <c r="P550" s="1"/>
      <c r="Q550" s="1"/>
      <c r="R550" s="18"/>
      <c r="S550" s="1"/>
      <c r="T550" s="1"/>
      <c r="U550" s="1"/>
      <c r="V550" s="1"/>
      <c r="Z550" s="18"/>
      <c r="AD550" s="18"/>
      <c r="AH550" s="18"/>
      <c r="AL550" s="18"/>
      <c r="AM550" s="22"/>
      <c r="AN550" s="22"/>
      <c r="AO550" s="22"/>
      <c r="AP550" s="22"/>
      <c r="AQ550" s="22"/>
      <c r="AR550" s="22"/>
      <c r="AS550" s="22"/>
      <c r="AT550" s="22"/>
    </row>
    <row r="551" spans="7:46" ht="13">
      <c r="G551" s="34"/>
      <c r="J551" s="18"/>
      <c r="N551" s="18"/>
      <c r="O551" s="1"/>
      <c r="P551" s="1"/>
      <c r="Q551" s="1"/>
      <c r="R551" s="18"/>
      <c r="S551" s="1"/>
      <c r="T551" s="1"/>
      <c r="U551" s="1"/>
      <c r="V551" s="1"/>
      <c r="Z551" s="18"/>
      <c r="AD551" s="18"/>
      <c r="AH551" s="18"/>
      <c r="AL551" s="18"/>
      <c r="AM551" s="22"/>
      <c r="AN551" s="22"/>
      <c r="AO551" s="22"/>
      <c r="AP551" s="22"/>
      <c r="AQ551" s="22"/>
      <c r="AR551" s="22"/>
      <c r="AS551" s="22"/>
      <c r="AT551" s="22"/>
    </row>
    <row r="552" spans="7:46" ht="13">
      <c r="G552" s="34"/>
      <c r="J552" s="18"/>
      <c r="N552" s="18"/>
      <c r="O552" s="1"/>
      <c r="P552" s="1"/>
      <c r="Q552" s="1"/>
      <c r="R552" s="18"/>
      <c r="S552" s="1"/>
      <c r="T552" s="1"/>
      <c r="U552" s="1"/>
      <c r="V552" s="1"/>
      <c r="Z552" s="18"/>
      <c r="AD552" s="18"/>
      <c r="AH552" s="18"/>
      <c r="AL552" s="18"/>
      <c r="AM552" s="22"/>
      <c r="AN552" s="22"/>
      <c r="AO552" s="22"/>
      <c r="AP552" s="22"/>
      <c r="AQ552" s="22"/>
      <c r="AR552" s="22"/>
      <c r="AS552" s="22"/>
      <c r="AT552" s="22"/>
    </row>
    <row r="553" spans="7:46" ht="13">
      <c r="G553" s="34"/>
      <c r="J553" s="18"/>
      <c r="N553" s="18"/>
      <c r="O553" s="1"/>
      <c r="P553" s="1"/>
      <c r="Q553" s="1"/>
      <c r="R553" s="18"/>
      <c r="S553" s="1"/>
      <c r="T553" s="1"/>
      <c r="U553" s="1"/>
      <c r="V553" s="1"/>
      <c r="Z553" s="18"/>
      <c r="AD553" s="18"/>
      <c r="AH553" s="18"/>
      <c r="AL553" s="18"/>
      <c r="AM553" s="22"/>
      <c r="AN553" s="22"/>
      <c r="AO553" s="22"/>
      <c r="AP553" s="22"/>
      <c r="AQ553" s="22"/>
      <c r="AR553" s="22"/>
      <c r="AS553" s="22"/>
      <c r="AT553" s="22"/>
    </row>
    <row r="554" spans="7:46" ht="13">
      <c r="G554" s="34"/>
      <c r="J554" s="18"/>
      <c r="N554" s="18"/>
      <c r="O554" s="1"/>
      <c r="P554" s="1"/>
      <c r="Q554" s="1"/>
      <c r="R554" s="18"/>
      <c r="S554" s="1"/>
      <c r="T554" s="1"/>
      <c r="U554" s="1"/>
      <c r="V554" s="1"/>
      <c r="Z554" s="18"/>
      <c r="AD554" s="18"/>
      <c r="AH554" s="18"/>
      <c r="AL554" s="18"/>
      <c r="AM554" s="22"/>
      <c r="AN554" s="22"/>
      <c r="AO554" s="22"/>
      <c r="AP554" s="22"/>
      <c r="AQ554" s="22"/>
      <c r="AR554" s="22"/>
      <c r="AS554" s="22"/>
      <c r="AT554" s="22"/>
    </row>
    <row r="555" spans="7:46" ht="13">
      <c r="G555" s="34"/>
      <c r="J555" s="18"/>
      <c r="N555" s="18"/>
      <c r="O555" s="1"/>
      <c r="P555" s="1"/>
      <c r="Q555" s="1"/>
      <c r="R555" s="18"/>
      <c r="S555" s="1"/>
      <c r="T555" s="1"/>
      <c r="U555" s="1"/>
      <c r="V555" s="1"/>
      <c r="Z555" s="18"/>
      <c r="AD555" s="18"/>
      <c r="AH555" s="18"/>
      <c r="AL555" s="18"/>
      <c r="AM555" s="22"/>
      <c r="AN555" s="22"/>
      <c r="AO555" s="22"/>
      <c r="AP555" s="22"/>
      <c r="AQ555" s="22"/>
      <c r="AR555" s="22"/>
      <c r="AS555" s="22"/>
      <c r="AT555" s="22"/>
    </row>
    <row r="556" spans="7:46" ht="13">
      <c r="G556" s="34"/>
      <c r="J556" s="18"/>
      <c r="N556" s="18"/>
      <c r="O556" s="1"/>
      <c r="P556" s="1"/>
      <c r="Q556" s="1"/>
      <c r="R556" s="18"/>
      <c r="S556" s="1"/>
      <c r="T556" s="1"/>
      <c r="U556" s="1"/>
      <c r="V556" s="1"/>
      <c r="Z556" s="18"/>
      <c r="AD556" s="18"/>
      <c r="AH556" s="18"/>
      <c r="AL556" s="18"/>
      <c r="AM556" s="22"/>
      <c r="AN556" s="22"/>
      <c r="AO556" s="22"/>
      <c r="AP556" s="22"/>
      <c r="AQ556" s="22"/>
      <c r="AR556" s="22"/>
      <c r="AS556" s="22"/>
      <c r="AT556" s="22"/>
    </row>
    <row r="557" spans="7:46" ht="13">
      <c r="G557" s="34"/>
      <c r="J557" s="18"/>
      <c r="N557" s="18"/>
      <c r="O557" s="1"/>
      <c r="P557" s="1"/>
      <c r="Q557" s="1"/>
      <c r="R557" s="18"/>
      <c r="S557" s="1"/>
      <c r="T557" s="1"/>
      <c r="U557" s="1"/>
      <c r="V557" s="1"/>
      <c r="Z557" s="18"/>
      <c r="AD557" s="18"/>
      <c r="AH557" s="18"/>
      <c r="AL557" s="18"/>
      <c r="AM557" s="22"/>
      <c r="AN557" s="22"/>
      <c r="AO557" s="22"/>
      <c r="AP557" s="22"/>
      <c r="AQ557" s="22"/>
      <c r="AR557" s="22"/>
      <c r="AS557" s="22"/>
      <c r="AT557" s="22"/>
    </row>
    <row r="558" spans="7:46" ht="13">
      <c r="G558" s="34"/>
      <c r="J558" s="18"/>
      <c r="N558" s="18"/>
      <c r="O558" s="1"/>
      <c r="P558" s="1"/>
      <c r="Q558" s="1"/>
      <c r="R558" s="18"/>
      <c r="S558" s="1"/>
      <c r="T558" s="1"/>
      <c r="U558" s="1"/>
      <c r="V558" s="1"/>
      <c r="Z558" s="18"/>
      <c r="AD558" s="18"/>
      <c r="AH558" s="18"/>
      <c r="AL558" s="18"/>
      <c r="AM558" s="22"/>
      <c r="AN558" s="22"/>
      <c r="AO558" s="22"/>
      <c r="AP558" s="22"/>
      <c r="AQ558" s="22"/>
      <c r="AR558" s="22"/>
      <c r="AS558" s="22"/>
      <c r="AT558" s="22"/>
    </row>
    <row r="559" spans="7:46" ht="13">
      <c r="G559" s="34"/>
      <c r="J559" s="18"/>
      <c r="N559" s="18"/>
      <c r="O559" s="1"/>
      <c r="P559" s="1"/>
      <c r="Q559" s="1"/>
      <c r="R559" s="18"/>
      <c r="S559" s="1"/>
      <c r="T559" s="1"/>
      <c r="U559" s="1"/>
      <c r="V559" s="1"/>
      <c r="Z559" s="18"/>
      <c r="AD559" s="18"/>
      <c r="AH559" s="18"/>
      <c r="AL559" s="18"/>
      <c r="AM559" s="22"/>
      <c r="AN559" s="22"/>
      <c r="AO559" s="22"/>
      <c r="AP559" s="22"/>
      <c r="AQ559" s="22"/>
      <c r="AR559" s="22"/>
      <c r="AS559" s="22"/>
      <c r="AT559" s="22"/>
    </row>
    <row r="560" spans="7:46" ht="13">
      <c r="G560" s="34"/>
      <c r="J560" s="18"/>
      <c r="N560" s="18"/>
      <c r="O560" s="1"/>
      <c r="P560" s="1"/>
      <c r="Q560" s="1"/>
      <c r="R560" s="18"/>
      <c r="S560" s="1"/>
      <c r="T560" s="1"/>
      <c r="U560" s="1"/>
      <c r="V560" s="1"/>
      <c r="Z560" s="18"/>
      <c r="AD560" s="18"/>
      <c r="AH560" s="18"/>
      <c r="AL560" s="18"/>
      <c r="AM560" s="22"/>
      <c r="AN560" s="22"/>
      <c r="AO560" s="22"/>
      <c r="AP560" s="22"/>
      <c r="AQ560" s="22"/>
      <c r="AR560" s="22"/>
      <c r="AS560" s="22"/>
      <c r="AT560" s="22"/>
    </row>
    <row r="561" spans="7:46" ht="13">
      <c r="G561" s="34"/>
      <c r="J561" s="18"/>
      <c r="N561" s="18"/>
      <c r="O561" s="1"/>
      <c r="P561" s="1"/>
      <c r="Q561" s="1"/>
      <c r="R561" s="18"/>
      <c r="S561" s="1"/>
      <c r="T561" s="1"/>
      <c r="U561" s="1"/>
      <c r="V561" s="1"/>
      <c r="Z561" s="18"/>
      <c r="AD561" s="18"/>
      <c r="AH561" s="18"/>
      <c r="AL561" s="18"/>
      <c r="AM561" s="22"/>
      <c r="AN561" s="22"/>
      <c r="AO561" s="22"/>
      <c r="AP561" s="22"/>
      <c r="AQ561" s="22"/>
      <c r="AR561" s="22"/>
      <c r="AS561" s="22"/>
      <c r="AT561" s="22"/>
    </row>
    <row r="562" spans="7:46" ht="13">
      <c r="G562" s="34"/>
      <c r="J562" s="18"/>
      <c r="N562" s="18"/>
      <c r="O562" s="1"/>
      <c r="P562" s="1"/>
      <c r="Q562" s="1"/>
      <c r="R562" s="18"/>
      <c r="S562" s="1"/>
      <c r="T562" s="1"/>
      <c r="U562" s="1"/>
      <c r="V562" s="1"/>
      <c r="Z562" s="18"/>
      <c r="AD562" s="18"/>
      <c r="AH562" s="18"/>
      <c r="AL562" s="18"/>
      <c r="AM562" s="22"/>
      <c r="AN562" s="22"/>
      <c r="AO562" s="22"/>
      <c r="AP562" s="22"/>
      <c r="AQ562" s="22"/>
      <c r="AR562" s="22"/>
      <c r="AS562" s="22"/>
      <c r="AT562" s="22"/>
    </row>
    <row r="563" spans="7:46" ht="13">
      <c r="G563" s="34"/>
      <c r="J563" s="18"/>
      <c r="N563" s="18"/>
      <c r="O563" s="1"/>
      <c r="P563" s="1"/>
      <c r="Q563" s="1"/>
      <c r="R563" s="18"/>
      <c r="S563" s="1"/>
      <c r="T563" s="1"/>
      <c r="U563" s="1"/>
      <c r="V563" s="1"/>
      <c r="Z563" s="18"/>
      <c r="AD563" s="18"/>
      <c r="AH563" s="18"/>
      <c r="AL563" s="18"/>
      <c r="AM563" s="22"/>
      <c r="AN563" s="22"/>
      <c r="AO563" s="22"/>
      <c r="AP563" s="22"/>
      <c r="AQ563" s="22"/>
      <c r="AR563" s="22"/>
      <c r="AS563" s="22"/>
      <c r="AT563" s="22"/>
    </row>
    <row r="564" spans="7:46" ht="13">
      <c r="G564" s="34"/>
      <c r="J564" s="18"/>
      <c r="N564" s="18"/>
      <c r="O564" s="1"/>
      <c r="P564" s="1"/>
      <c r="Q564" s="1"/>
      <c r="R564" s="18"/>
      <c r="S564" s="1"/>
      <c r="T564" s="1"/>
      <c r="U564" s="1"/>
      <c r="V564" s="1"/>
      <c r="Z564" s="18"/>
      <c r="AD564" s="18"/>
      <c r="AH564" s="18"/>
      <c r="AL564" s="18"/>
      <c r="AM564" s="22"/>
      <c r="AN564" s="22"/>
      <c r="AO564" s="22"/>
      <c r="AP564" s="22"/>
      <c r="AQ564" s="22"/>
      <c r="AR564" s="22"/>
      <c r="AS564" s="22"/>
      <c r="AT564" s="22"/>
    </row>
    <row r="565" spans="7:46" ht="13">
      <c r="G565" s="34"/>
      <c r="J565" s="18"/>
      <c r="N565" s="18"/>
      <c r="O565" s="1"/>
      <c r="P565" s="1"/>
      <c r="Q565" s="1"/>
      <c r="R565" s="18"/>
      <c r="S565" s="1"/>
      <c r="T565" s="1"/>
      <c r="U565" s="1"/>
      <c r="V565" s="1"/>
      <c r="Z565" s="18"/>
      <c r="AD565" s="18"/>
      <c r="AH565" s="18"/>
      <c r="AL565" s="18"/>
      <c r="AM565" s="22"/>
      <c r="AN565" s="22"/>
      <c r="AO565" s="22"/>
      <c r="AP565" s="22"/>
      <c r="AQ565" s="22"/>
      <c r="AR565" s="22"/>
      <c r="AS565" s="22"/>
      <c r="AT565" s="22"/>
    </row>
    <row r="566" spans="7:46" ht="13">
      <c r="G566" s="34"/>
      <c r="J566" s="18"/>
      <c r="N566" s="18"/>
      <c r="O566" s="1"/>
      <c r="P566" s="1"/>
      <c r="Q566" s="1"/>
      <c r="R566" s="18"/>
      <c r="S566" s="1"/>
      <c r="T566" s="1"/>
      <c r="U566" s="1"/>
      <c r="V566" s="1"/>
      <c r="Z566" s="18"/>
      <c r="AD566" s="18"/>
      <c r="AH566" s="18"/>
      <c r="AL566" s="18"/>
      <c r="AM566" s="22"/>
      <c r="AN566" s="22"/>
      <c r="AO566" s="22"/>
      <c r="AP566" s="22"/>
      <c r="AQ566" s="22"/>
      <c r="AR566" s="22"/>
      <c r="AS566" s="22"/>
      <c r="AT566" s="22"/>
    </row>
    <row r="567" spans="7:46" ht="13">
      <c r="G567" s="34"/>
      <c r="J567" s="18"/>
      <c r="N567" s="18"/>
      <c r="O567" s="1"/>
      <c r="P567" s="1"/>
      <c r="Q567" s="1"/>
      <c r="R567" s="18"/>
      <c r="S567" s="1"/>
      <c r="T567" s="1"/>
      <c r="U567" s="1"/>
      <c r="V567" s="1"/>
      <c r="Z567" s="18"/>
      <c r="AD567" s="18"/>
      <c r="AH567" s="18"/>
      <c r="AL567" s="18"/>
      <c r="AM567" s="22"/>
      <c r="AN567" s="22"/>
      <c r="AO567" s="22"/>
      <c r="AP567" s="22"/>
      <c r="AQ567" s="22"/>
      <c r="AR567" s="22"/>
      <c r="AS567" s="22"/>
      <c r="AT567" s="22"/>
    </row>
    <row r="568" spans="7:46" ht="13">
      <c r="G568" s="34"/>
      <c r="J568" s="18"/>
      <c r="N568" s="18"/>
      <c r="O568" s="1"/>
      <c r="P568" s="1"/>
      <c r="Q568" s="1"/>
      <c r="R568" s="18"/>
      <c r="S568" s="1"/>
      <c r="T568" s="1"/>
      <c r="U568" s="1"/>
      <c r="V568" s="1"/>
      <c r="Z568" s="18"/>
      <c r="AD568" s="18"/>
      <c r="AH568" s="18"/>
      <c r="AL568" s="18"/>
      <c r="AM568" s="22"/>
      <c r="AN568" s="22"/>
      <c r="AO568" s="22"/>
      <c r="AP568" s="22"/>
      <c r="AQ568" s="22"/>
      <c r="AR568" s="22"/>
      <c r="AS568" s="22"/>
      <c r="AT568" s="22"/>
    </row>
    <row r="569" spans="7:46" ht="13">
      <c r="G569" s="34"/>
      <c r="J569" s="18"/>
      <c r="N569" s="18"/>
      <c r="O569" s="1"/>
      <c r="P569" s="1"/>
      <c r="Q569" s="1"/>
      <c r="R569" s="18"/>
      <c r="S569" s="1"/>
      <c r="T569" s="1"/>
      <c r="U569" s="1"/>
      <c r="V569" s="1"/>
      <c r="Z569" s="18"/>
      <c r="AD569" s="18"/>
      <c r="AH569" s="18"/>
      <c r="AL569" s="18"/>
      <c r="AM569" s="22"/>
      <c r="AN569" s="22"/>
      <c r="AO569" s="22"/>
      <c r="AP569" s="22"/>
      <c r="AQ569" s="22"/>
      <c r="AR569" s="22"/>
      <c r="AS569" s="22"/>
      <c r="AT569" s="22"/>
    </row>
    <row r="570" spans="7:46" ht="13">
      <c r="G570" s="34"/>
      <c r="J570" s="18"/>
      <c r="N570" s="18"/>
      <c r="O570" s="1"/>
      <c r="P570" s="1"/>
      <c r="Q570" s="1"/>
      <c r="R570" s="18"/>
      <c r="S570" s="1"/>
      <c r="T570" s="1"/>
      <c r="U570" s="1"/>
      <c r="V570" s="1"/>
      <c r="Z570" s="18"/>
      <c r="AD570" s="18"/>
      <c r="AH570" s="18"/>
      <c r="AL570" s="18"/>
      <c r="AM570" s="22"/>
      <c r="AN570" s="22"/>
      <c r="AO570" s="22"/>
      <c r="AP570" s="22"/>
      <c r="AQ570" s="22"/>
      <c r="AR570" s="22"/>
      <c r="AS570" s="22"/>
      <c r="AT570" s="22"/>
    </row>
    <row r="571" spans="7:46" ht="13">
      <c r="G571" s="34"/>
      <c r="J571" s="18"/>
      <c r="N571" s="18"/>
      <c r="O571" s="1"/>
      <c r="P571" s="1"/>
      <c r="Q571" s="1"/>
      <c r="R571" s="18"/>
      <c r="S571" s="1"/>
      <c r="T571" s="1"/>
      <c r="U571" s="1"/>
      <c r="V571" s="1"/>
      <c r="Z571" s="18"/>
      <c r="AD571" s="18"/>
      <c r="AH571" s="18"/>
      <c r="AL571" s="18"/>
      <c r="AM571" s="22"/>
      <c r="AN571" s="22"/>
      <c r="AO571" s="22"/>
      <c r="AP571" s="22"/>
      <c r="AQ571" s="22"/>
      <c r="AR571" s="22"/>
      <c r="AS571" s="22"/>
      <c r="AT571" s="22"/>
    </row>
    <row r="572" spans="7:46" ht="13">
      <c r="G572" s="34"/>
      <c r="J572" s="18"/>
      <c r="N572" s="18"/>
      <c r="O572" s="1"/>
      <c r="P572" s="1"/>
      <c r="Q572" s="1"/>
      <c r="R572" s="18"/>
      <c r="S572" s="1"/>
      <c r="T572" s="1"/>
      <c r="U572" s="1"/>
      <c r="V572" s="1"/>
      <c r="Z572" s="18"/>
      <c r="AD572" s="18"/>
      <c r="AH572" s="18"/>
      <c r="AL572" s="18"/>
      <c r="AM572" s="22"/>
      <c r="AN572" s="22"/>
      <c r="AO572" s="22"/>
      <c r="AP572" s="22"/>
      <c r="AQ572" s="22"/>
      <c r="AR572" s="22"/>
      <c r="AS572" s="22"/>
      <c r="AT572" s="22"/>
    </row>
    <row r="573" spans="7:46" ht="13">
      <c r="G573" s="34"/>
      <c r="J573" s="18"/>
      <c r="N573" s="18"/>
      <c r="O573" s="1"/>
      <c r="P573" s="1"/>
      <c r="Q573" s="1"/>
      <c r="R573" s="18"/>
      <c r="S573" s="1"/>
      <c r="T573" s="1"/>
      <c r="U573" s="1"/>
      <c r="V573" s="1"/>
      <c r="Z573" s="18"/>
      <c r="AD573" s="18"/>
      <c r="AH573" s="18"/>
      <c r="AL573" s="18"/>
      <c r="AM573" s="22"/>
      <c r="AN573" s="22"/>
      <c r="AO573" s="22"/>
      <c r="AP573" s="22"/>
      <c r="AQ573" s="22"/>
      <c r="AR573" s="22"/>
      <c r="AS573" s="22"/>
      <c r="AT573" s="22"/>
    </row>
    <row r="574" spans="7:46" ht="13">
      <c r="G574" s="34"/>
      <c r="J574" s="18"/>
      <c r="N574" s="18"/>
      <c r="O574" s="1"/>
      <c r="P574" s="1"/>
      <c r="Q574" s="1"/>
      <c r="R574" s="18"/>
      <c r="S574" s="1"/>
      <c r="T574" s="1"/>
      <c r="U574" s="1"/>
      <c r="V574" s="1"/>
      <c r="Z574" s="18"/>
      <c r="AD574" s="18"/>
      <c r="AH574" s="18"/>
      <c r="AL574" s="18"/>
      <c r="AM574" s="22"/>
      <c r="AN574" s="22"/>
      <c r="AO574" s="22"/>
      <c r="AP574" s="22"/>
      <c r="AQ574" s="22"/>
      <c r="AR574" s="22"/>
      <c r="AS574" s="22"/>
      <c r="AT574" s="22"/>
    </row>
    <row r="575" spans="7:46" ht="13">
      <c r="G575" s="34"/>
      <c r="J575" s="18"/>
      <c r="N575" s="18"/>
      <c r="O575" s="1"/>
      <c r="P575" s="1"/>
      <c r="Q575" s="1"/>
      <c r="R575" s="18"/>
      <c r="S575" s="1"/>
      <c r="T575" s="1"/>
      <c r="U575" s="1"/>
      <c r="V575" s="1"/>
      <c r="Z575" s="18"/>
      <c r="AD575" s="18"/>
      <c r="AH575" s="18"/>
      <c r="AL575" s="18"/>
      <c r="AM575" s="22"/>
      <c r="AN575" s="22"/>
      <c r="AO575" s="22"/>
      <c r="AP575" s="22"/>
      <c r="AQ575" s="22"/>
      <c r="AR575" s="22"/>
      <c r="AS575" s="22"/>
      <c r="AT575" s="22"/>
    </row>
    <row r="576" spans="7:46" ht="13">
      <c r="G576" s="34"/>
      <c r="J576" s="18"/>
      <c r="N576" s="18"/>
      <c r="O576" s="1"/>
      <c r="P576" s="1"/>
      <c r="Q576" s="1"/>
      <c r="R576" s="18"/>
      <c r="S576" s="1"/>
      <c r="T576" s="1"/>
      <c r="U576" s="1"/>
      <c r="V576" s="1"/>
      <c r="Z576" s="18"/>
      <c r="AD576" s="18"/>
      <c r="AH576" s="18"/>
      <c r="AL576" s="18"/>
      <c r="AM576" s="22"/>
      <c r="AN576" s="22"/>
      <c r="AO576" s="22"/>
      <c r="AP576" s="22"/>
      <c r="AQ576" s="22"/>
      <c r="AR576" s="22"/>
      <c r="AS576" s="22"/>
      <c r="AT576" s="22"/>
    </row>
    <row r="577" spans="7:46" ht="13">
      <c r="G577" s="34"/>
      <c r="J577" s="18"/>
      <c r="N577" s="18"/>
      <c r="O577" s="1"/>
      <c r="P577" s="1"/>
      <c r="Q577" s="1"/>
      <c r="R577" s="18"/>
      <c r="S577" s="1"/>
      <c r="T577" s="1"/>
      <c r="U577" s="1"/>
      <c r="V577" s="1"/>
      <c r="Z577" s="18"/>
      <c r="AD577" s="18"/>
      <c r="AH577" s="18"/>
      <c r="AL577" s="18"/>
      <c r="AM577" s="22"/>
      <c r="AN577" s="22"/>
      <c r="AO577" s="22"/>
      <c r="AP577" s="22"/>
      <c r="AQ577" s="22"/>
      <c r="AR577" s="22"/>
      <c r="AS577" s="22"/>
      <c r="AT577" s="22"/>
    </row>
    <row r="578" spans="7:46" ht="13">
      <c r="G578" s="34"/>
      <c r="J578" s="18"/>
      <c r="N578" s="18"/>
      <c r="O578" s="1"/>
      <c r="P578" s="1"/>
      <c r="Q578" s="1"/>
      <c r="R578" s="18"/>
      <c r="S578" s="1"/>
      <c r="T578" s="1"/>
      <c r="U578" s="1"/>
      <c r="V578" s="1"/>
      <c r="Z578" s="18"/>
      <c r="AD578" s="18"/>
      <c r="AH578" s="18"/>
      <c r="AL578" s="18"/>
      <c r="AM578" s="22"/>
      <c r="AN578" s="22"/>
      <c r="AO578" s="22"/>
      <c r="AP578" s="22"/>
      <c r="AQ578" s="22"/>
      <c r="AR578" s="22"/>
      <c r="AS578" s="22"/>
      <c r="AT578" s="22"/>
    </row>
    <row r="579" spans="7:46" ht="13">
      <c r="G579" s="34"/>
      <c r="J579" s="18"/>
      <c r="N579" s="18"/>
      <c r="O579" s="1"/>
      <c r="P579" s="1"/>
      <c r="Q579" s="1"/>
      <c r="R579" s="18"/>
      <c r="S579" s="1"/>
      <c r="T579" s="1"/>
      <c r="U579" s="1"/>
      <c r="V579" s="1"/>
      <c r="Z579" s="18"/>
      <c r="AD579" s="18"/>
      <c r="AH579" s="18"/>
      <c r="AL579" s="18"/>
      <c r="AM579" s="22"/>
      <c r="AN579" s="22"/>
      <c r="AO579" s="22"/>
      <c r="AP579" s="22"/>
      <c r="AQ579" s="22"/>
      <c r="AR579" s="22"/>
      <c r="AS579" s="22"/>
      <c r="AT579" s="22"/>
    </row>
    <row r="580" spans="7:46" ht="13">
      <c r="G580" s="34"/>
      <c r="J580" s="18"/>
      <c r="N580" s="18"/>
      <c r="O580" s="1"/>
      <c r="P580" s="1"/>
      <c r="Q580" s="1"/>
      <c r="R580" s="18"/>
      <c r="S580" s="1"/>
      <c r="T580" s="1"/>
      <c r="U580" s="1"/>
      <c r="V580" s="1"/>
      <c r="Z580" s="18"/>
      <c r="AD580" s="18"/>
      <c r="AH580" s="18"/>
      <c r="AL580" s="18"/>
      <c r="AM580" s="22"/>
      <c r="AN580" s="22"/>
      <c r="AO580" s="22"/>
      <c r="AP580" s="22"/>
      <c r="AQ580" s="22"/>
      <c r="AR580" s="22"/>
      <c r="AS580" s="22"/>
      <c r="AT580" s="22"/>
    </row>
    <row r="581" spans="7:46" ht="13">
      <c r="G581" s="34"/>
      <c r="J581" s="18"/>
      <c r="N581" s="18"/>
      <c r="O581" s="1"/>
      <c r="P581" s="1"/>
      <c r="Q581" s="1"/>
      <c r="R581" s="18"/>
      <c r="S581" s="1"/>
      <c r="T581" s="1"/>
      <c r="U581" s="1"/>
      <c r="V581" s="1"/>
      <c r="Z581" s="18"/>
      <c r="AD581" s="18"/>
      <c r="AH581" s="18"/>
      <c r="AL581" s="18"/>
      <c r="AM581" s="22"/>
      <c r="AN581" s="22"/>
      <c r="AO581" s="22"/>
      <c r="AP581" s="22"/>
      <c r="AQ581" s="22"/>
      <c r="AR581" s="22"/>
      <c r="AS581" s="22"/>
      <c r="AT581" s="22"/>
    </row>
    <row r="582" spans="7:46" ht="13">
      <c r="G582" s="34"/>
      <c r="J582" s="18"/>
      <c r="N582" s="18"/>
      <c r="O582" s="1"/>
      <c r="P582" s="1"/>
      <c r="Q582" s="1"/>
      <c r="R582" s="18"/>
      <c r="S582" s="1"/>
      <c r="T582" s="1"/>
      <c r="U582" s="1"/>
      <c r="V582" s="1"/>
      <c r="Z582" s="18"/>
      <c r="AD582" s="18"/>
      <c r="AH582" s="18"/>
      <c r="AL582" s="18"/>
      <c r="AM582" s="22"/>
      <c r="AN582" s="22"/>
      <c r="AO582" s="22"/>
      <c r="AP582" s="22"/>
      <c r="AQ582" s="22"/>
      <c r="AR582" s="22"/>
      <c r="AS582" s="22"/>
      <c r="AT582" s="22"/>
    </row>
    <row r="583" spans="7:46" ht="13">
      <c r="G583" s="34"/>
      <c r="J583" s="18"/>
      <c r="N583" s="18"/>
      <c r="O583" s="1"/>
      <c r="P583" s="1"/>
      <c r="Q583" s="1"/>
      <c r="R583" s="18"/>
      <c r="S583" s="1"/>
      <c r="T583" s="1"/>
      <c r="U583" s="1"/>
      <c r="V583" s="1"/>
      <c r="Z583" s="18"/>
      <c r="AD583" s="18"/>
      <c r="AH583" s="18"/>
      <c r="AL583" s="18"/>
      <c r="AM583" s="22"/>
      <c r="AN583" s="22"/>
      <c r="AO583" s="22"/>
      <c r="AP583" s="22"/>
      <c r="AQ583" s="22"/>
      <c r="AR583" s="22"/>
      <c r="AS583" s="22"/>
      <c r="AT583" s="22"/>
    </row>
    <row r="584" spans="7:46" ht="13">
      <c r="G584" s="34"/>
      <c r="J584" s="18"/>
      <c r="N584" s="18"/>
      <c r="O584" s="1"/>
      <c r="P584" s="1"/>
      <c r="Q584" s="1"/>
      <c r="R584" s="18"/>
      <c r="S584" s="1"/>
      <c r="T584" s="1"/>
      <c r="U584" s="1"/>
      <c r="V584" s="1"/>
      <c r="Z584" s="18"/>
      <c r="AD584" s="18"/>
      <c r="AH584" s="18"/>
      <c r="AL584" s="18"/>
      <c r="AM584" s="22"/>
      <c r="AN584" s="22"/>
      <c r="AO584" s="22"/>
      <c r="AP584" s="22"/>
      <c r="AQ584" s="22"/>
      <c r="AR584" s="22"/>
      <c r="AS584" s="22"/>
      <c r="AT584" s="22"/>
    </row>
    <row r="585" spans="7:46" ht="13">
      <c r="G585" s="34"/>
      <c r="J585" s="18"/>
      <c r="N585" s="18"/>
      <c r="O585" s="1"/>
      <c r="P585" s="1"/>
      <c r="Q585" s="1"/>
      <c r="R585" s="18"/>
      <c r="S585" s="1"/>
      <c r="T585" s="1"/>
      <c r="U585" s="1"/>
      <c r="V585" s="1"/>
      <c r="Z585" s="18"/>
      <c r="AD585" s="18"/>
      <c r="AH585" s="18"/>
      <c r="AL585" s="18"/>
      <c r="AM585" s="22"/>
      <c r="AN585" s="22"/>
      <c r="AO585" s="22"/>
      <c r="AP585" s="22"/>
      <c r="AQ585" s="22"/>
      <c r="AR585" s="22"/>
      <c r="AS585" s="22"/>
      <c r="AT585" s="22"/>
    </row>
    <row r="586" spans="7:46" ht="13">
      <c r="G586" s="34"/>
      <c r="J586" s="18"/>
      <c r="N586" s="18"/>
      <c r="O586" s="1"/>
      <c r="P586" s="1"/>
      <c r="Q586" s="1"/>
      <c r="R586" s="18"/>
      <c r="S586" s="1"/>
      <c r="T586" s="1"/>
      <c r="U586" s="1"/>
      <c r="V586" s="1"/>
      <c r="Z586" s="18"/>
      <c r="AD586" s="18"/>
      <c r="AH586" s="18"/>
      <c r="AL586" s="18"/>
      <c r="AM586" s="22"/>
      <c r="AN586" s="22"/>
      <c r="AO586" s="22"/>
      <c r="AP586" s="22"/>
      <c r="AQ586" s="22"/>
      <c r="AR586" s="22"/>
      <c r="AS586" s="22"/>
      <c r="AT586" s="22"/>
    </row>
    <row r="587" spans="7:46" ht="13">
      <c r="G587" s="34"/>
      <c r="J587" s="18"/>
      <c r="N587" s="18"/>
      <c r="O587" s="1"/>
      <c r="P587" s="1"/>
      <c r="Q587" s="1"/>
      <c r="R587" s="18"/>
      <c r="S587" s="1"/>
      <c r="T587" s="1"/>
      <c r="U587" s="1"/>
      <c r="V587" s="1"/>
      <c r="Z587" s="18"/>
      <c r="AD587" s="18"/>
      <c r="AH587" s="18"/>
      <c r="AL587" s="18"/>
      <c r="AM587" s="22"/>
      <c r="AN587" s="22"/>
      <c r="AO587" s="22"/>
      <c r="AP587" s="22"/>
      <c r="AQ587" s="22"/>
      <c r="AR587" s="22"/>
      <c r="AS587" s="22"/>
      <c r="AT587" s="22"/>
    </row>
    <row r="588" spans="7:46" ht="13">
      <c r="G588" s="34"/>
      <c r="J588" s="18"/>
      <c r="N588" s="18"/>
      <c r="O588" s="1"/>
      <c r="P588" s="1"/>
      <c r="Q588" s="1"/>
      <c r="R588" s="18"/>
      <c r="S588" s="1"/>
      <c r="T588" s="1"/>
      <c r="U588" s="1"/>
      <c r="V588" s="1"/>
      <c r="Z588" s="18"/>
      <c r="AD588" s="18"/>
      <c r="AH588" s="18"/>
      <c r="AL588" s="18"/>
      <c r="AM588" s="22"/>
      <c r="AN588" s="22"/>
      <c r="AO588" s="22"/>
      <c r="AP588" s="22"/>
      <c r="AQ588" s="22"/>
      <c r="AR588" s="22"/>
      <c r="AS588" s="22"/>
      <c r="AT588" s="22"/>
    </row>
    <row r="589" spans="7:46" ht="13">
      <c r="G589" s="34"/>
      <c r="J589" s="18"/>
      <c r="N589" s="18"/>
      <c r="O589" s="1"/>
      <c r="P589" s="1"/>
      <c r="Q589" s="1"/>
      <c r="R589" s="18"/>
      <c r="S589" s="1"/>
      <c r="T589" s="1"/>
      <c r="U589" s="1"/>
      <c r="V589" s="1"/>
      <c r="Z589" s="18"/>
      <c r="AD589" s="18"/>
      <c r="AH589" s="18"/>
      <c r="AL589" s="18"/>
      <c r="AM589" s="22"/>
      <c r="AN589" s="22"/>
      <c r="AO589" s="22"/>
      <c r="AP589" s="22"/>
      <c r="AQ589" s="22"/>
      <c r="AR589" s="22"/>
      <c r="AS589" s="22"/>
      <c r="AT589" s="22"/>
    </row>
    <row r="590" spans="7:46" ht="13">
      <c r="G590" s="34"/>
      <c r="J590" s="18"/>
      <c r="N590" s="18"/>
      <c r="O590" s="1"/>
      <c r="P590" s="1"/>
      <c r="Q590" s="1"/>
      <c r="R590" s="18"/>
      <c r="S590" s="1"/>
      <c r="T590" s="1"/>
      <c r="U590" s="1"/>
      <c r="V590" s="1"/>
      <c r="Z590" s="18"/>
      <c r="AD590" s="18"/>
      <c r="AH590" s="18"/>
      <c r="AL590" s="18"/>
      <c r="AM590" s="22"/>
      <c r="AN590" s="22"/>
      <c r="AO590" s="22"/>
      <c r="AP590" s="22"/>
      <c r="AQ590" s="22"/>
      <c r="AR590" s="22"/>
      <c r="AS590" s="22"/>
      <c r="AT590" s="22"/>
    </row>
    <row r="591" spans="7:46" ht="13">
      <c r="G591" s="34"/>
      <c r="J591" s="18"/>
      <c r="N591" s="18"/>
      <c r="O591" s="1"/>
      <c r="P591" s="1"/>
      <c r="Q591" s="1"/>
      <c r="R591" s="18"/>
      <c r="S591" s="1"/>
      <c r="T591" s="1"/>
      <c r="U591" s="1"/>
      <c r="V591" s="1"/>
      <c r="Z591" s="18"/>
      <c r="AD591" s="18"/>
      <c r="AH591" s="18"/>
      <c r="AL591" s="18"/>
      <c r="AM591" s="22"/>
      <c r="AN591" s="22"/>
      <c r="AO591" s="22"/>
      <c r="AP591" s="22"/>
      <c r="AQ591" s="22"/>
      <c r="AR591" s="22"/>
      <c r="AS591" s="22"/>
      <c r="AT591" s="22"/>
    </row>
    <row r="592" spans="7:46" ht="13">
      <c r="G592" s="34"/>
      <c r="J592" s="18"/>
      <c r="N592" s="18"/>
      <c r="O592" s="1"/>
      <c r="P592" s="1"/>
      <c r="Q592" s="1"/>
      <c r="R592" s="18"/>
      <c r="S592" s="1"/>
      <c r="T592" s="1"/>
      <c r="U592" s="1"/>
      <c r="V592" s="1"/>
      <c r="Z592" s="18"/>
      <c r="AD592" s="18"/>
      <c r="AH592" s="18"/>
      <c r="AL592" s="18"/>
      <c r="AM592" s="22"/>
      <c r="AN592" s="22"/>
      <c r="AO592" s="22"/>
      <c r="AP592" s="22"/>
      <c r="AQ592" s="22"/>
      <c r="AR592" s="22"/>
      <c r="AS592" s="22"/>
      <c r="AT592" s="22"/>
    </row>
    <row r="593" spans="7:46" ht="13">
      <c r="G593" s="34"/>
      <c r="J593" s="18"/>
      <c r="N593" s="18"/>
      <c r="O593" s="1"/>
      <c r="P593" s="1"/>
      <c r="Q593" s="1"/>
      <c r="R593" s="18"/>
      <c r="S593" s="1"/>
      <c r="T593" s="1"/>
      <c r="U593" s="1"/>
      <c r="V593" s="1"/>
      <c r="Z593" s="18"/>
      <c r="AD593" s="18"/>
      <c r="AH593" s="18"/>
      <c r="AL593" s="18"/>
      <c r="AM593" s="22"/>
      <c r="AN593" s="22"/>
      <c r="AO593" s="22"/>
      <c r="AP593" s="22"/>
      <c r="AQ593" s="22"/>
      <c r="AR593" s="22"/>
      <c r="AS593" s="22"/>
      <c r="AT593" s="22"/>
    </row>
    <row r="594" spans="7:46" ht="13">
      <c r="G594" s="34"/>
      <c r="J594" s="18"/>
      <c r="N594" s="18"/>
      <c r="O594" s="1"/>
      <c r="P594" s="1"/>
      <c r="Q594" s="1"/>
      <c r="R594" s="18"/>
      <c r="S594" s="1"/>
      <c r="T594" s="1"/>
      <c r="U594" s="1"/>
      <c r="V594" s="1"/>
      <c r="Z594" s="18"/>
      <c r="AD594" s="18"/>
      <c r="AH594" s="18"/>
      <c r="AL594" s="18"/>
      <c r="AM594" s="22"/>
      <c r="AN594" s="22"/>
      <c r="AO594" s="22"/>
      <c r="AP594" s="22"/>
      <c r="AQ594" s="22"/>
      <c r="AR594" s="22"/>
      <c r="AS594" s="22"/>
      <c r="AT594" s="22"/>
    </row>
    <row r="595" spans="7:46" ht="13">
      <c r="G595" s="34"/>
      <c r="J595" s="18"/>
      <c r="N595" s="18"/>
      <c r="O595" s="1"/>
      <c r="P595" s="1"/>
      <c r="Q595" s="1"/>
      <c r="R595" s="18"/>
      <c r="S595" s="1"/>
      <c r="T595" s="1"/>
      <c r="U595" s="1"/>
      <c r="V595" s="1"/>
      <c r="Z595" s="18"/>
      <c r="AD595" s="18"/>
      <c r="AH595" s="18"/>
      <c r="AL595" s="18"/>
      <c r="AM595" s="22"/>
      <c r="AN595" s="22"/>
      <c r="AO595" s="22"/>
      <c r="AP595" s="22"/>
      <c r="AQ595" s="22"/>
      <c r="AR595" s="22"/>
      <c r="AS595" s="22"/>
      <c r="AT595" s="22"/>
    </row>
    <row r="596" spans="7:46" ht="13">
      <c r="G596" s="34"/>
      <c r="J596" s="18"/>
      <c r="N596" s="18"/>
      <c r="O596" s="1"/>
      <c r="P596" s="1"/>
      <c r="Q596" s="1"/>
      <c r="R596" s="18"/>
      <c r="S596" s="1"/>
      <c r="T596" s="1"/>
      <c r="U596" s="1"/>
      <c r="V596" s="1"/>
      <c r="Z596" s="18"/>
      <c r="AD596" s="18"/>
      <c r="AH596" s="18"/>
      <c r="AL596" s="18"/>
      <c r="AM596" s="22"/>
      <c r="AN596" s="22"/>
      <c r="AO596" s="22"/>
      <c r="AP596" s="22"/>
      <c r="AQ596" s="22"/>
      <c r="AR596" s="22"/>
      <c r="AS596" s="22"/>
      <c r="AT596" s="22"/>
    </row>
    <row r="597" spans="7:46" ht="13">
      <c r="G597" s="34"/>
      <c r="J597" s="18"/>
      <c r="N597" s="18"/>
      <c r="O597" s="1"/>
      <c r="P597" s="1"/>
      <c r="Q597" s="1"/>
      <c r="R597" s="18"/>
      <c r="S597" s="1"/>
      <c r="T597" s="1"/>
      <c r="U597" s="1"/>
      <c r="V597" s="1"/>
      <c r="Z597" s="18"/>
      <c r="AD597" s="18"/>
      <c r="AH597" s="18"/>
      <c r="AL597" s="18"/>
      <c r="AM597" s="22"/>
      <c r="AN597" s="22"/>
      <c r="AO597" s="22"/>
      <c r="AP597" s="22"/>
      <c r="AQ597" s="22"/>
      <c r="AR597" s="22"/>
      <c r="AS597" s="22"/>
      <c r="AT597" s="22"/>
    </row>
    <row r="598" spans="7:46" ht="13">
      <c r="G598" s="34"/>
      <c r="J598" s="18"/>
      <c r="N598" s="18"/>
      <c r="O598" s="1"/>
      <c r="P598" s="1"/>
      <c r="Q598" s="1"/>
      <c r="R598" s="18"/>
      <c r="S598" s="1"/>
      <c r="T598" s="1"/>
      <c r="U598" s="1"/>
      <c r="V598" s="1"/>
      <c r="Z598" s="18"/>
      <c r="AD598" s="18"/>
      <c r="AH598" s="18"/>
      <c r="AL598" s="18"/>
      <c r="AM598" s="22"/>
      <c r="AN598" s="22"/>
      <c r="AO598" s="22"/>
      <c r="AP598" s="22"/>
      <c r="AQ598" s="22"/>
      <c r="AR598" s="22"/>
      <c r="AS598" s="22"/>
      <c r="AT598" s="22"/>
    </row>
    <row r="599" spans="7:46" ht="13">
      <c r="G599" s="34"/>
      <c r="J599" s="18"/>
      <c r="N599" s="18"/>
      <c r="O599" s="1"/>
      <c r="P599" s="1"/>
      <c r="Q599" s="1"/>
      <c r="R599" s="18"/>
      <c r="S599" s="1"/>
      <c r="T599" s="1"/>
      <c r="U599" s="1"/>
      <c r="V599" s="1"/>
      <c r="Z599" s="18"/>
      <c r="AD599" s="18"/>
      <c r="AH599" s="18"/>
      <c r="AL599" s="18"/>
      <c r="AM599" s="22"/>
      <c r="AN599" s="22"/>
      <c r="AO599" s="22"/>
      <c r="AP599" s="22"/>
      <c r="AQ599" s="22"/>
      <c r="AR599" s="22"/>
      <c r="AS599" s="22"/>
      <c r="AT599" s="22"/>
    </row>
    <row r="600" spans="7:46" ht="13">
      <c r="G600" s="34"/>
      <c r="J600" s="18"/>
      <c r="N600" s="18"/>
      <c r="O600" s="1"/>
      <c r="P600" s="1"/>
      <c r="Q600" s="1"/>
      <c r="R600" s="18"/>
      <c r="S600" s="1"/>
      <c r="T600" s="1"/>
      <c r="U600" s="1"/>
      <c r="V600" s="1"/>
      <c r="Z600" s="18"/>
      <c r="AD600" s="18"/>
      <c r="AH600" s="18"/>
      <c r="AL600" s="18"/>
      <c r="AM600" s="22"/>
      <c r="AN600" s="22"/>
      <c r="AO600" s="22"/>
      <c r="AP600" s="22"/>
      <c r="AQ600" s="22"/>
      <c r="AR600" s="22"/>
      <c r="AS600" s="22"/>
      <c r="AT600" s="22"/>
    </row>
    <row r="601" spans="7:46" ht="13">
      <c r="G601" s="34"/>
      <c r="J601" s="18"/>
      <c r="N601" s="18"/>
      <c r="O601" s="1"/>
      <c r="P601" s="1"/>
      <c r="Q601" s="1"/>
      <c r="R601" s="18"/>
      <c r="S601" s="1"/>
      <c r="T601" s="1"/>
      <c r="U601" s="1"/>
      <c r="V601" s="1"/>
      <c r="Z601" s="18"/>
      <c r="AD601" s="18"/>
      <c r="AH601" s="18"/>
      <c r="AL601" s="18"/>
      <c r="AM601" s="22"/>
      <c r="AN601" s="22"/>
      <c r="AO601" s="22"/>
      <c r="AP601" s="22"/>
      <c r="AQ601" s="22"/>
      <c r="AR601" s="22"/>
      <c r="AS601" s="22"/>
      <c r="AT601" s="22"/>
    </row>
    <row r="602" spans="7:46" ht="13">
      <c r="G602" s="34"/>
      <c r="J602" s="18"/>
      <c r="N602" s="18"/>
      <c r="O602" s="1"/>
      <c r="P602" s="1"/>
      <c r="Q602" s="1"/>
      <c r="R602" s="18"/>
      <c r="S602" s="1"/>
      <c r="T602" s="1"/>
      <c r="U602" s="1"/>
      <c r="V602" s="1"/>
      <c r="Z602" s="18"/>
      <c r="AD602" s="18"/>
      <c r="AH602" s="18"/>
      <c r="AL602" s="18"/>
      <c r="AM602" s="22"/>
      <c r="AN602" s="22"/>
      <c r="AO602" s="22"/>
      <c r="AP602" s="22"/>
      <c r="AQ602" s="22"/>
      <c r="AR602" s="22"/>
      <c r="AS602" s="22"/>
      <c r="AT602" s="22"/>
    </row>
    <row r="603" spans="7:46" ht="13">
      <c r="G603" s="34"/>
      <c r="J603" s="18"/>
      <c r="N603" s="18"/>
      <c r="O603" s="1"/>
      <c r="P603" s="1"/>
      <c r="Q603" s="1"/>
      <c r="R603" s="18"/>
      <c r="S603" s="1"/>
      <c r="T603" s="1"/>
      <c r="U603" s="1"/>
      <c r="V603" s="1"/>
      <c r="Z603" s="18"/>
      <c r="AD603" s="18"/>
      <c r="AH603" s="18"/>
      <c r="AL603" s="18"/>
      <c r="AM603" s="22"/>
      <c r="AN603" s="22"/>
      <c r="AO603" s="22"/>
      <c r="AP603" s="22"/>
      <c r="AQ603" s="22"/>
      <c r="AR603" s="22"/>
      <c r="AS603" s="22"/>
      <c r="AT603" s="22"/>
    </row>
    <row r="604" spans="7:46" ht="13">
      <c r="G604" s="34"/>
      <c r="J604" s="18"/>
      <c r="N604" s="18"/>
      <c r="O604" s="1"/>
      <c r="P604" s="1"/>
      <c r="Q604" s="1"/>
      <c r="R604" s="18"/>
      <c r="S604" s="1"/>
      <c r="T604" s="1"/>
      <c r="U604" s="1"/>
      <c r="V604" s="1"/>
      <c r="Z604" s="18"/>
      <c r="AD604" s="18"/>
      <c r="AH604" s="18"/>
      <c r="AL604" s="18"/>
      <c r="AM604" s="22"/>
      <c r="AN604" s="22"/>
      <c r="AO604" s="22"/>
      <c r="AP604" s="22"/>
      <c r="AQ604" s="22"/>
      <c r="AR604" s="22"/>
      <c r="AS604" s="22"/>
      <c r="AT604" s="22"/>
    </row>
    <row r="605" spans="7:46" ht="13">
      <c r="G605" s="34"/>
      <c r="J605" s="18"/>
      <c r="N605" s="18"/>
      <c r="O605" s="1"/>
      <c r="P605" s="1"/>
      <c r="Q605" s="1"/>
      <c r="R605" s="18"/>
      <c r="S605" s="1"/>
      <c r="T605" s="1"/>
      <c r="U605" s="1"/>
      <c r="V605" s="1"/>
      <c r="Z605" s="18"/>
      <c r="AD605" s="18"/>
      <c r="AH605" s="18"/>
      <c r="AL605" s="18"/>
      <c r="AM605" s="22"/>
      <c r="AN605" s="22"/>
      <c r="AO605" s="22"/>
      <c r="AP605" s="22"/>
      <c r="AQ605" s="22"/>
      <c r="AR605" s="22"/>
      <c r="AS605" s="22"/>
      <c r="AT605" s="22"/>
    </row>
    <row r="606" spans="7:46" ht="13">
      <c r="G606" s="34"/>
      <c r="J606" s="18"/>
      <c r="N606" s="18"/>
      <c r="O606" s="1"/>
      <c r="P606" s="1"/>
      <c r="Q606" s="1"/>
      <c r="R606" s="18"/>
      <c r="S606" s="1"/>
      <c r="T606" s="1"/>
      <c r="U606" s="1"/>
      <c r="V606" s="1"/>
      <c r="Z606" s="18"/>
      <c r="AD606" s="18"/>
      <c r="AH606" s="18"/>
      <c r="AL606" s="18"/>
      <c r="AM606" s="22"/>
      <c r="AN606" s="22"/>
      <c r="AO606" s="22"/>
      <c r="AP606" s="22"/>
      <c r="AQ606" s="22"/>
      <c r="AR606" s="22"/>
      <c r="AS606" s="22"/>
      <c r="AT606" s="22"/>
    </row>
    <row r="607" spans="7:46" ht="13">
      <c r="G607" s="34"/>
      <c r="J607" s="18"/>
      <c r="N607" s="18"/>
      <c r="O607" s="1"/>
      <c r="P607" s="1"/>
      <c r="Q607" s="1"/>
      <c r="R607" s="18"/>
      <c r="S607" s="1"/>
      <c r="T607" s="1"/>
      <c r="U607" s="1"/>
      <c r="V607" s="1"/>
      <c r="Z607" s="18"/>
      <c r="AD607" s="18"/>
      <c r="AH607" s="18"/>
      <c r="AL607" s="18"/>
      <c r="AM607" s="22"/>
      <c r="AN607" s="22"/>
      <c r="AO607" s="22"/>
      <c r="AP607" s="22"/>
      <c r="AQ607" s="22"/>
      <c r="AR607" s="22"/>
      <c r="AS607" s="22"/>
      <c r="AT607" s="22"/>
    </row>
    <row r="608" spans="7:46" ht="13">
      <c r="G608" s="34"/>
      <c r="J608" s="18"/>
      <c r="N608" s="18"/>
      <c r="O608" s="1"/>
      <c r="P608" s="1"/>
      <c r="Q608" s="1"/>
      <c r="R608" s="18"/>
      <c r="S608" s="1"/>
      <c r="T608" s="1"/>
      <c r="U608" s="1"/>
      <c r="V608" s="1"/>
      <c r="Z608" s="18"/>
      <c r="AD608" s="18"/>
      <c r="AH608" s="18"/>
      <c r="AL608" s="18"/>
      <c r="AM608" s="22"/>
      <c r="AN608" s="22"/>
      <c r="AO608" s="22"/>
      <c r="AP608" s="22"/>
      <c r="AQ608" s="22"/>
      <c r="AR608" s="22"/>
      <c r="AS608" s="22"/>
      <c r="AT608" s="22"/>
    </row>
    <row r="609" spans="7:46" ht="13">
      <c r="G609" s="34"/>
      <c r="J609" s="18"/>
      <c r="N609" s="18"/>
      <c r="O609" s="1"/>
      <c r="P609" s="1"/>
      <c r="Q609" s="1"/>
      <c r="R609" s="18"/>
      <c r="S609" s="1"/>
      <c r="T609" s="1"/>
      <c r="U609" s="1"/>
      <c r="V609" s="1"/>
      <c r="Z609" s="18"/>
      <c r="AD609" s="18"/>
      <c r="AH609" s="18"/>
      <c r="AL609" s="18"/>
      <c r="AM609" s="22"/>
      <c r="AN609" s="22"/>
      <c r="AO609" s="22"/>
      <c r="AP609" s="22"/>
      <c r="AQ609" s="22"/>
      <c r="AR609" s="22"/>
      <c r="AS609" s="22"/>
      <c r="AT609" s="22"/>
    </row>
    <row r="610" spans="7:46" ht="13">
      <c r="G610" s="34"/>
      <c r="J610" s="18"/>
      <c r="N610" s="18"/>
      <c r="O610" s="1"/>
      <c r="P610" s="1"/>
      <c r="Q610" s="1"/>
      <c r="R610" s="18"/>
      <c r="S610" s="1"/>
      <c r="T610" s="1"/>
      <c r="U610" s="1"/>
      <c r="V610" s="1"/>
      <c r="Z610" s="18"/>
      <c r="AD610" s="18"/>
      <c r="AH610" s="18"/>
      <c r="AL610" s="18"/>
      <c r="AM610" s="22"/>
      <c r="AN610" s="22"/>
      <c r="AO610" s="22"/>
      <c r="AP610" s="22"/>
      <c r="AQ610" s="22"/>
      <c r="AR610" s="22"/>
      <c r="AS610" s="22"/>
      <c r="AT610" s="22"/>
    </row>
    <row r="611" spans="7:46" ht="13">
      <c r="G611" s="34"/>
      <c r="J611" s="18"/>
      <c r="N611" s="18"/>
      <c r="O611" s="1"/>
      <c r="P611" s="1"/>
      <c r="Q611" s="1"/>
      <c r="R611" s="18"/>
      <c r="S611" s="1"/>
      <c r="T611" s="1"/>
      <c r="U611" s="1"/>
      <c r="V611" s="1"/>
      <c r="Z611" s="18"/>
      <c r="AD611" s="18"/>
      <c r="AH611" s="18"/>
      <c r="AL611" s="18"/>
      <c r="AM611" s="22"/>
      <c r="AN611" s="22"/>
      <c r="AO611" s="22"/>
      <c r="AP611" s="22"/>
      <c r="AQ611" s="22"/>
      <c r="AR611" s="22"/>
      <c r="AS611" s="22"/>
      <c r="AT611" s="22"/>
    </row>
    <row r="612" spans="7:46" ht="13">
      <c r="G612" s="34"/>
      <c r="J612" s="18"/>
      <c r="N612" s="18"/>
      <c r="O612" s="1"/>
      <c r="P612" s="1"/>
      <c r="Q612" s="1"/>
      <c r="R612" s="18"/>
      <c r="S612" s="1"/>
      <c r="T612" s="1"/>
      <c r="U612" s="1"/>
      <c r="V612" s="1"/>
      <c r="Z612" s="18"/>
      <c r="AD612" s="18"/>
      <c r="AH612" s="18"/>
      <c r="AL612" s="18"/>
      <c r="AM612" s="22"/>
      <c r="AN612" s="22"/>
      <c r="AO612" s="22"/>
      <c r="AP612" s="22"/>
      <c r="AQ612" s="22"/>
      <c r="AR612" s="22"/>
      <c r="AS612" s="22"/>
      <c r="AT612" s="22"/>
    </row>
    <row r="613" spans="7:46" ht="13">
      <c r="G613" s="34"/>
      <c r="J613" s="18"/>
      <c r="N613" s="18"/>
      <c r="O613" s="1"/>
      <c r="P613" s="1"/>
      <c r="Q613" s="1"/>
      <c r="R613" s="18"/>
      <c r="S613" s="1"/>
      <c r="T613" s="1"/>
      <c r="U613" s="1"/>
      <c r="V613" s="1"/>
      <c r="Z613" s="18"/>
      <c r="AD613" s="18"/>
      <c r="AH613" s="18"/>
      <c r="AL613" s="18"/>
      <c r="AM613" s="22"/>
      <c r="AN613" s="22"/>
      <c r="AO613" s="22"/>
      <c r="AP613" s="22"/>
      <c r="AQ613" s="22"/>
      <c r="AR613" s="22"/>
      <c r="AS613" s="22"/>
      <c r="AT613" s="22"/>
    </row>
    <row r="614" spans="7:46" ht="13">
      <c r="G614" s="34"/>
      <c r="J614" s="18"/>
      <c r="N614" s="18"/>
      <c r="O614" s="1"/>
      <c r="P614" s="1"/>
      <c r="Q614" s="1"/>
      <c r="R614" s="18"/>
      <c r="S614" s="1"/>
      <c r="T614" s="1"/>
      <c r="U614" s="1"/>
      <c r="V614" s="1"/>
      <c r="Z614" s="18"/>
      <c r="AD614" s="18"/>
      <c r="AH614" s="18"/>
      <c r="AL614" s="18"/>
      <c r="AM614" s="22"/>
      <c r="AN614" s="22"/>
      <c r="AO614" s="22"/>
      <c r="AP614" s="22"/>
      <c r="AQ614" s="22"/>
      <c r="AR614" s="22"/>
      <c r="AS614" s="22"/>
      <c r="AT614" s="22"/>
    </row>
    <row r="615" spans="7:46" ht="13">
      <c r="G615" s="34"/>
      <c r="J615" s="18"/>
      <c r="N615" s="18"/>
      <c r="O615" s="1"/>
      <c r="P615" s="1"/>
      <c r="Q615" s="1"/>
      <c r="R615" s="18"/>
      <c r="S615" s="1"/>
      <c r="T615" s="1"/>
      <c r="U615" s="1"/>
      <c r="V615" s="1"/>
      <c r="Z615" s="18"/>
      <c r="AD615" s="18"/>
      <c r="AH615" s="18"/>
      <c r="AL615" s="18"/>
      <c r="AM615" s="22"/>
      <c r="AN615" s="22"/>
      <c r="AO615" s="22"/>
      <c r="AP615" s="22"/>
      <c r="AQ615" s="22"/>
      <c r="AR615" s="22"/>
      <c r="AS615" s="22"/>
      <c r="AT615" s="22"/>
    </row>
    <row r="616" spans="7:46" ht="13">
      <c r="G616" s="34"/>
      <c r="J616" s="18"/>
      <c r="N616" s="18"/>
      <c r="O616" s="1"/>
      <c r="P616" s="1"/>
      <c r="Q616" s="1"/>
      <c r="R616" s="18"/>
      <c r="S616" s="1"/>
      <c r="T616" s="1"/>
      <c r="U616" s="1"/>
      <c r="V616" s="1"/>
      <c r="Z616" s="18"/>
      <c r="AD616" s="18"/>
      <c r="AH616" s="18"/>
      <c r="AL616" s="18"/>
      <c r="AM616" s="22"/>
      <c r="AN616" s="22"/>
      <c r="AO616" s="22"/>
      <c r="AP616" s="22"/>
      <c r="AQ616" s="22"/>
      <c r="AR616" s="22"/>
      <c r="AS616" s="22"/>
      <c r="AT616" s="22"/>
    </row>
    <row r="617" spans="7:46" ht="13">
      <c r="G617" s="34"/>
      <c r="J617" s="18"/>
      <c r="N617" s="18"/>
      <c r="O617" s="1"/>
      <c r="P617" s="1"/>
      <c r="Q617" s="1"/>
      <c r="R617" s="18"/>
      <c r="S617" s="1"/>
      <c r="T617" s="1"/>
      <c r="U617" s="1"/>
      <c r="V617" s="1"/>
      <c r="Z617" s="18"/>
      <c r="AD617" s="18"/>
      <c r="AH617" s="18"/>
      <c r="AL617" s="18"/>
      <c r="AM617" s="22"/>
      <c r="AN617" s="22"/>
      <c r="AO617" s="22"/>
      <c r="AP617" s="22"/>
      <c r="AQ617" s="22"/>
      <c r="AR617" s="22"/>
      <c r="AS617" s="22"/>
      <c r="AT617" s="22"/>
    </row>
    <row r="618" spans="7:46" ht="13">
      <c r="G618" s="34"/>
      <c r="J618" s="18"/>
      <c r="N618" s="18"/>
      <c r="O618" s="1"/>
      <c r="P618" s="1"/>
      <c r="Q618" s="1"/>
      <c r="R618" s="18"/>
      <c r="S618" s="1"/>
      <c r="T618" s="1"/>
      <c r="U618" s="1"/>
      <c r="V618" s="1"/>
      <c r="Z618" s="18"/>
      <c r="AD618" s="18"/>
      <c r="AH618" s="18"/>
      <c r="AL618" s="18"/>
      <c r="AM618" s="22"/>
      <c r="AN618" s="22"/>
      <c r="AO618" s="22"/>
      <c r="AP618" s="22"/>
      <c r="AQ618" s="22"/>
      <c r="AR618" s="22"/>
      <c r="AS618" s="22"/>
      <c r="AT618" s="22"/>
    </row>
    <row r="619" spans="7:46" ht="13">
      <c r="G619" s="34"/>
      <c r="J619" s="18"/>
      <c r="N619" s="18"/>
      <c r="O619" s="1"/>
      <c r="P619" s="1"/>
      <c r="Q619" s="1"/>
      <c r="R619" s="18"/>
      <c r="S619" s="1"/>
      <c r="T619" s="1"/>
      <c r="U619" s="1"/>
      <c r="V619" s="1"/>
      <c r="Z619" s="18"/>
      <c r="AD619" s="18"/>
      <c r="AH619" s="18"/>
      <c r="AL619" s="18"/>
      <c r="AM619" s="22"/>
      <c r="AN619" s="22"/>
      <c r="AO619" s="22"/>
      <c r="AP619" s="22"/>
      <c r="AQ619" s="22"/>
      <c r="AR619" s="22"/>
      <c r="AS619" s="22"/>
      <c r="AT619" s="22"/>
    </row>
    <row r="620" spans="7:46" ht="13">
      <c r="G620" s="34"/>
      <c r="J620" s="18"/>
      <c r="N620" s="18"/>
      <c r="O620" s="1"/>
      <c r="P620" s="1"/>
      <c r="Q620" s="1"/>
      <c r="R620" s="18"/>
      <c r="S620" s="1"/>
      <c r="T620" s="1"/>
      <c r="U620" s="1"/>
      <c r="V620" s="1"/>
      <c r="Z620" s="18"/>
      <c r="AD620" s="18"/>
      <c r="AH620" s="18"/>
      <c r="AL620" s="18"/>
      <c r="AM620" s="22"/>
      <c r="AN620" s="22"/>
      <c r="AO620" s="22"/>
      <c r="AP620" s="22"/>
      <c r="AQ620" s="22"/>
      <c r="AR620" s="22"/>
      <c r="AS620" s="22"/>
      <c r="AT620" s="22"/>
    </row>
    <row r="621" spans="7:46" ht="13">
      <c r="G621" s="34"/>
      <c r="J621" s="18"/>
      <c r="N621" s="18"/>
      <c r="O621" s="1"/>
      <c r="P621" s="1"/>
      <c r="Q621" s="1"/>
      <c r="R621" s="18"/>
      <c r="S621" s="1"/>
      <c r="T621" s="1"/>
      <c r="U621" s="1"/>
      <c r="V621" s="1"/>
      <c r="Z621" s="18"/>
      <c r="AD621" s="18"/>
      <c r="AH621" s="18"/>
      <c r="AL621" s="18"/>
      <c r="AM621" s="22"/>
      <c r="AN621" s="22"/>
      <c r="AO621" s="22"/>
      <c r="AP621" s="22"/>
      <c r="AQ621" s="22"/>
      <c r="AR621" s="22"/>
      <c r="AS621" s="22"/>
      <c r="AT621" s="22"/>
    </row>
    <row r="622" spans="7:46" ht="13">
      <c r="G622" s="34"/>
      <c r="J622" s="18"/>
      <c r="N622" s="18"/>
      <c r="O622" s="1"/>
      <c r="P622" s="1"/>
      <c r="Q622" s="1"/>
      <c r="R622" s="18"/>
      <c r="S622" s="1"/>
      <c r="T622" s="1"/>
      <c r="U622" s="1"/>
      <c r="V622" s="1"/>
      <c r="Z622" s="18"/>
      <c r="AD622" s="18"/>
      <c r="AH622" s="18"/>
      <c r="AL622" s="18"/>
      <c r="AM622" s="22"/>
      <c r="AN622" s="22"/>
      <c r="AO622" s="22"/>
      <c r="AP622" s="22"/>
      <c r="AQ622" s="22"/>
      <c r="AR622" s="22"/>
      <c r="AS622" s="22"/>
      <c r="AT622" s="22"/>
    </row>
    <row r="623" spans="7:46" ht="13">
      <c r="G623" s="34"/>
      <c r="J623" s="18"/>
      <c r="N623" s="18"/>
      <c r="O623" s="1"/>
      <c r="P623" s="1"/>
      <c r="Q623" s="1"/>
      <c r="R623" s="18"/>
      <c r="S623" s="1"/>
      <c r="T623" s="1"/>
      <c r="U623" s="1"/>
      <c r="V623" s="1"/>
      <c r="Z623" s="18"/>
      <c r="AD623" s="18"/>
      <c r="AH623" s="18"/>
      <c r="AL623" s="18"/>
      <c r="AM623" s="22"/>
      <c r="AN623" s="22"/>
      <c r="AO623" s="22"/>
      <c r="AP623" s="22"/>
      <c r="AQ623" s="22"/>
      <c r="AR623" s="22"/>
      <c r="AS623" s="22"/>
      <c r="AT623" s="22"/>
    </row>
    <row r="624" spans="7:46" ht="13">
      <c r="G624" s="34"/>
      <c r="J624" s="18"/>
      <c r="N624" s="18"/>
      <c r="O624" s="1"/>
      <c r="P624" s="1"/>
      <c r="Q624" s="1"/>
      <c r="R624" s="18"/>
      <c r="S624" s="1"/>
      <c r="T624" s="1"/>
      <c r="U624" s="1"/>
      <c r="V624" s="1"/>
      <c r="Z624" s="18"/>
      <c r="AD624" s="18"/>
      <c r="AH624" s="18"/>
      <c r="AL624" s="18"/>
      <c r="AM624" s="22"/>
      <c r="AN624" s="22"/>
      <c r="AO624" s="22"/>
      <c r="AP624" s="22"/>
      <c r="AQ624" s="22"/>
      <c r="AR624" s="22"/>
      <c r="AS624" s="22"/>
      <c r="AT624" s="22"/>
    </row>
    <row r="625" spans="7:46" ht="13">
      <c r="G625" s="34"/>
      <c r="J625" s="18"/>
      <c r="N625" s="18"/>
      <c r="O625" s="1"/>
      <c r="P625" s="1"/>
      <c r="Q625" s="1"/>
      <c r="R625" s="18"/>
      <c r="S625" s="1"/>
      <c r="T625" s="1"/>
      <c r="U625" s="1"/>
      <c r="V625" s="1"/>
      <c r="Z625" s="18"/>
      <c r="AD625" s="18"/>
      <c r="AH625" s="18"/>
      <c r="AL625" s="18"/>
      <c r="AM625" s="22"/>
      <c r="AN625" s="22"/>
      <c r="AO625" s="22"/>
      <c r="AP625" s="22"/>
      <c r="AQ625" s="22"/>
      <c r="AR625" s="22"/>
      <c r="AS625" s="22"/>
      <c r="AT625" s="22"/>
    </row>
    <row r="626" spans="7:46" ht="13">
      <c r="G626" s="34"/>
      <c r="J626" s="18"/>
      <c r="N626" s="18"/>
      <c r="O626" s="1"/>
      <c r="P626" s="1"/>
      <c r="Q626" s="1"/>
      <c r="R626" s="18"/>
      <c r="S626" s="1"/>
      <c r="T626" s="1"/>
      <c r="U626" s="1"/>
      <c r="V626" s="1"/>
      <c r="Z626" s="18"/>
      <c r="AD626" s="18"/>
      <c r="AH626" s="18"/>
      <c r="AL626" s="18"/>
      <c r="AM626" s="22"/>
      <c r="AN626" s="22"/>
      <c r="AO626" s="22"/>
      <c r="AP626" s="22"/>
      <c r="AQ626" s="22"/>
      <c r="AR626" s="22"/>
      <c r="AS626" s="22"/>
      <c r="AT626" s="22"/>
    </row>
    <row r="627" spans="7:46" ht="13">
      <c r="G627" s="34"/>
      <c r="J627" s="18"/>
      <c r="N627" s="18"/>
      <c r="O627" s="1"/>
      <c r="P627" s="1"/>
      <c r="Q627" s="1"/>
      <c r="R627" s="18"/>
      <c r="S627" s="1"/>
      <c r="T627" s="1"/>
      <c r="U627" s="1"/>
      <c r="V627" s="1"/>
      <c r="Z627" s="18"/>
      <c r="AD627" s="18"/>
      <c r="AH627" s="18"/>
      <c r="AL627" s="18"/>
      <c r="AM627" s="22"/>
      <c r="AN627" s="22"/>
      <c r="AO627" s="22"/>
      <c r="AP627" s="22"/>
      <c r="AQ627" s="22"/>
      <c r="AR627" s="22"/>
      <c r="AS627" s="22"/>
      <c r="AT627" s="22"/>
    </row>
    <row r="628" spans="7:46" ht="13">
      <c r="G628" s="34"/>
      <c r="J628" s="18"/>
      <c r="N628" s="18"/>
      <c r="O628" s="1"/>
      <c r="P628" s="1"/>
      <c r="Q628" s="1"/>
      <c r="R628" s="18"/>
      <c r="S628" s="1"/>
      <c r="T628" s="1"/>
      <c r="U628" s="1"/>
      <c r="V628" s="1"/>
      <c r="Z628" s="18"/>
      <c r="AD628" s="18"/>
      <c r="AH628" s="18"/>
      <c r="AL628" s="18"/>
      <c r="AM628" s="22"/>
      <c r="AN628" s="22"/>
      <c r="AO628" s="22"/>
      <c r="AP628" s="22"/>
      <c r="AQ628" s="22"/>
      <c r="AR628" s="22"/>
      <c r="AS628" s="22"/>
      <c r="AT628" s="22"/>
    </row>
    <row r="629" spans="7:46" ht="13">
      <c r="G629" s="34"/>
      <c r="J629" s="18"/>
      <c r="N629" s="18"/>
      <c r="O629" s="1"/>
      <c r="P629" s="1"/>
      <c r="Q629" s="1"/>
      <c r="R629" s="18"/>
      <c r="S629" s="1"/>
      <c r="T629" s="1"/>
      <c r="U629" s="1"/>
      <c r="V629" s="1"/>
      <c r="Z629" s="18"/>
      <c r="AD629" s="18"/>
      <c r="AH629" s="18"/>
      <c r="AL629" s="18"/>
      <c r="AM629" s="22"/>
      <c r="AN629" s="22"/>
      <c r="AO629" s="22"/>
      <c r="AP629" s="22"/>
      <c r="AQ629" s="22"/>
      <c r="AR629" s="22"/>
      <c r="AS629" s="22"/>
      <c r="AT629" s="22"/>
    </row>
    <row r="630" spans="7:46" ht="13">
      <c r="G630" s="34"/>
      <c r="J630" s="18"/>
      <c r="N630" s="18"/>
      <c r="O630" s="1"/>
      <c r="P630" s="1"/>
      <c r="Q630" s="1"/>
      <c r="R630" s="18"/>
      <c r="S630" s="1"/>
      <c r="T630" s="1"/>
      <c r="U630" s="1"/>
      <c r="V630" s="1"/>
      <c r="Z630" s="18"/>
      <c r="AD630" s="18"/>
      <c r="AH630" s="18"/>
      <c r="AL630" s="18"/>
      <c r="AM630" s="22"/>
      <c r="AN630" s="22"/>
      <c r="AO630" s="22"/>
      <c r="AP630" s="22"/>
      <c r="AQ630" s="22"/>
      <c r="AR630" s="22"/>
      <c r="AS630" s="22"/>
      <c r="AT630" s="22"/>
    </row>
    <row r="631" spans="7:46" ht="13">
      <c r="G631" s="34"/>
      <c r="J631" s="18"/>
      <c r="N631" s="18"/>
      <c r="O631" s="1"/>
      <c r="P631" s="1"/>
      <c r="Q631" s="1"/>
      <c r="R631" s="18"/>
      <c r="S631" s="1"/>
      <c r="T631" s="1"/>
      <c r="U631" s="1"/>
      <c r="V631" s="1"/>
      <c r="Z631" s="18"/>
      <c r="AD631" s="18"/>
      <c r="AH631" s="18"/>
      <c r="AL631" s="18"/>
      <c r="AM631" s="22"/>
      <c r="AN631" s="22"/>
      <c r="AO631" s="22"/>
      <c r="AP631" s="22"/>
      <c r="AQ631" s="22"/>
      <c r="AR631" s="22"/>
      <c r="AS631" s="22"/>
      <c r="AT631" s="22"/>
    </row>
    <row r="632" spans="7:46" ht="13">
      <c r="G632" s="34"/>
      <c r="J632" s="18"/>
      <c r="N632" s="18"/>
      <c r="O632" s="1"/>
      <c r="P632" s="1"/>
      <c r="Q632" s="1"/>
      <c r="R632" s="18"/>
      <c r="S632" s="1"/>
      <c r="T632" s="1"/>
      <c r="U632" s="1"/>
      <c r="V632" s="1"/>
      <c r="Z632" s="18"/>
      <c r="AD632" s="18"/>
      <c r="AH632" s="18"/>
      <c r="AL632" s="18"/>
      <c r="AM632" s="22"/>
      <c r="AN632" s="22"/>
      <c r="AO632" s="22"/>
      <c r="AP632" s="22"/>
      <c r="AQ632" s="22"/>
      <c r="AR632" s="22"/>
      <c r="AS632" s="22"/>
      <c r="AT632" s="22"/>
    </row>
    <row r="633" spans="7:46" ht="13">
      <c r="G633" s="34"/>
      <c r="J633" s="18"/>
      <c r="N633" s="18"/>
      <c r="O633" s="1"/>
      <c r="P633" s="1"/>
      <c r="Q633" s="1"/>
      <c r="R633" s="18"/>
      <c r="S633" s="1"/>
      <c r="T633" s="1"/>
      <c r="U633" s="1"/>
      <c r="V633" s="1"/>
      <c r="Z633" s="18"/>
      <c r="AD633" s="18"/>
      <c r="AH633" s="18"/>
      <c r="AL633" s="18"/>
      <c r="AM633" s="22"/>
      <c r="AN633" s="22"/>
      <c r="AO633" s="22"/>
      <c r="AP633" s="22"/>
      <c r="AQ633" s="22"/>
      <c r="AR633" s="22"/>
      <c r="AS633" s="22"/>
      <c r="AT633" s="22"/>
    </row>
    <row r="634" spans="7:46" ht="13">
      <c r="G634" s="34"/>
      <c r="J634" s="18"/>
      <c r="N634" s="18"/>
      <c r="O634" s="1"/>
      <c r="P634" s="1"/>
      <c r="Q634" s="1"/>
      <c r="R634" s="18"/>
      <c r="S634" s="1"/>
      <c r="T634" s="1"/>
      <c r="U634" s="1"/>
      <c r="V634" s="1"/>
      <c r="Z634" s="18"/>
      <c r="AD634" s="18"/>
      <c r="AH634" s="18"/>
      <c r="AL634" s="18"/>
      <c r="AM634" s="22"/>
      <c r="AN634" s="22"/>
      <c r="AO634" s="22"/>
      <c r="AP634" s="22"/>
      <c r="AQ634" s="22"/>
      <c r="AR634" s="22"/>
      <c r="AS634" s="22"/>
      <c r="AT634" s="22"/>
    </row>
    <row r="635" spans="7:46" ht="13">
      <c r="G635" s="34"/>
      <c r="J635" s="18"/>
      <c r="N635" s="18"/>
      <c r="O635" s="1"/>
      <c r="P635" s="1"/>
      <c r="Q635" s="1"/>
      <c r="R635" s="18"/>
      <c r="S635" s="1"/>
      <c r="T635" s="1"/>
      <c r="U635" s="1"/>
      <c r="V635" s="1"/>
      <c r="Z635" s="18"/>
      <c r="AD635" s="18"/>
      <c r="AH635" s="18"/>
      <c r="AL635" s="18"/>
      <c r="AM635" s="22"/>
      <c r="AN635" s="22"/>
      <c r="AO635" s="22"/>
      <c r="AP635" s="22"/>
      <c r="AQ635" s="22"/>
      <c r="AR635" s="22"/>
      <c r="AS635" s="22"/>
      <c r="AT635" s="22"/>
    </row>
    <row r="636" spans="7:46" ht="13">
      <c r="G636" s="34"/>
      <c r="J636" s="18"/>
      <c r="N636" s="18"/>
      <c r="O636" s="1"/>
      <c r="P636" s="1"/>
      <c r="Q636" s="1"/>
      <c r="R636" s="18"/>
      <c r="S636" s="1"/>
      <c r="T636" s="1"/>
      <c r="U636" s="1"/>
      <c r="V636" s="1"/>
      <c r="Z636" s="18"/>
      <c r="AD636" s="18"/>
      <c r="AH636" s="18"/>
      <c r="AL636" s="18"/>
      <c r="AM636" s="22"/>
      <c r="AN636" s="22"/>
      <c r="AO636" s="22"/>
      <c r="AP636" s="22"/>
      <c r="AQ636" s="22"/>
      <c r="AR636" s="22"/>
      <c r="AS636" s="22"/>
      <c r="AT636" s="22"/>
    </row>
    <row r="637" spans="7:46" ht="13">
      <c r="G637" s="34"/>
      <c r="J637" s="18"/>
      <c r="N637" s="18"/>
      <c r="O637" s="1"/>
      <c r="P637" s="1"/>
      <c r="Q637" s="1"/>
      <c r="R637" s="18"/>
      <c r="S637" s="1"/>
      <c r="T637" s="1"/>
      <c r="U637" s="1"/>
      <c r="V637" s="1"/>
      <c r="Z637" s="18"/>
      <c r="AD637" s="18"/>
      <c r="AH637" s="18"/>
      <c r="AL637" s="18"/>
      <c r="AM637" s="22"/>
      <c r="AN637" s="22"/>
      <c r="AO637" s="22"/>
      <c r="AP637" s="22"/>
      <c r="AQ637" s="22"/>
      <c r="AR637" s="22"/>
      <c r="AS637" s="22"/>
      <c r="AT637" s="22"/>
    </row>
    <row r="638" spans="7:46" ht="13">
      <c r="G638" s="34"/>
      <c r="J638" s="18"/>
      <c r="N638" s="18"/>
      <c r="O638" s="1"/>
      <c r="P638" s="1"/>
      <c r="Q638" s="1"/>
      <c r="R638" s="18"/>
      <c r="S638" s="1"/>
      <c r="T638" s="1"/>
      <c r="U638" s="1"/>
      <c r="V638" s="1"/>
      <c r="Z638" s="18"/>
      <c r="AD638" s="18"/>
      <c r="AH638" s="18"/>
      <c r="AL638" s="18"/>
      <c r="AM638" s="22"/>
      <c r="AN638" s="22"/>
      <c r="AO638" s="22"/>
      <c r="AP638" s="22"/>
      <c r="AQ638" s="22"/>
      <c r="AR638" s="22"/>
      <c r="AS638" s="22"/>
      <c r="AT638" s="22"/>
    </row>
    <row r="639" spans="7:46" ht="13">
      <c r="G639" s="34"/>
      <c r="J639" s="18"/>
      <c r="N639" s="18"/>
      <c r="O639" s="1"/>
      <c r="P639" s="1"/>
      <c r="Q639" s="1"/>
      <c r="R639" s="18"/>
      <c r="S639" s="1"/>
      <c r="T639" s="1"/>
      <c r="U639" s="1"/>
      <c r="V639" s="1"/>
      <c r="Z639" s="18"/>
      <c r="AD639" s="18"/>
      <c r="AH639" s="18"/>
      <c r="AL639" s="18"/>
      <c r="AM639" s="22"/>
      <c r="AN639" s="22"/>
      <c r="AO639" s="22"/>
      <c r="AP639" s="22"/>
      <c r="AQ639" s="22"/>
      <c r="AR639" s="22"/>
      <c r="AS639" s="22"/>
      <c r="AT639" s="22"/>
    </row>
    <row r="640" spans="7:46" ht="13">
      <c r="G640" s="34"/>
      <c r="J640" s="18"/>
      <c r="N640" s="18"/>
      <c r="O640" s="1"/>
      <c r="P640" s="1"/>
      <c r="Q640" s="1"/>
      <c r="R640" s="18"/>
      <c r="S640" s="1"/>
      <c r="T640" s="1"/>
      <c r="U640" s="1"/>
      <c r="V640" s="1"/>
      <c r="Z640" s="18"/>
      <c r="AD640" s="18"/>
      <c r="AH640" s="18"/>
      <c r="AL640" s="18"/>
      <c r="AM640" s="22"/>
      <c r="AN640" s="22"/>
      <c r="AO640" s="22"/>
      <c r="AP640" s="22"/>
      <c r="AQ640" s="22"/>
      <c r="AR640" s="22"/>
      <c r="AS640" s="22"/>
      <c r="AT640" s="22"/>
    </row>
    <row r="641" spans="7:46" ht="13">
      <c r="G641" s="34"/>
      <c r="J641" s="18"/>
      <c r="N641" s="18"/>
      <c r="O641" s="1"/>
      <c r="P641" s="1"/>
      <c r="Q641" s="1"/>
      <c r="R641" s="18"/>
      <c r="S641" s="1"/>
      <c r="T641" s="1"/>
      <c r="U641" s="1"/>
      <c r="V641" s="1"/>
      <c r="Z641" s="18"/>
      <c r="AD641" s="18"/>
      <c r="AH641" s="18"/>
      <c r="AL641" s="18"/>
      <c r="AM641" s="22"/>
      <c r="AN641" s="22"/>
      <c r="AO641" s="22"/>
      <c r="AP641" s="22"/>
      <c r="AQ641" s="22"/>
      <c r="AR641" s="22"/>
      <c r="AS641" s="22"/>
      <c r="AT641" s="22"/>
    </row>
    <row r="642" spans="7:46" ht="13">
      <c r="G642" s="34"/>
      <c r="J642" s="18"/>
      <c r="N642" s="18"/>
      <c r="O642" s="1"/>
      <c r="P642" s="1"/>
      <c r="Q642" s="1"/>
      <c r="R642" s="18"/>
      <c r="S642" s="1"/>
      <c r="T642" s="1"/>
      <c r="U642" s="1"/>
      <c r="V642" s="1"/>
      <c r="Z642" s="18"/>
      <c r="AD642" s="18"/>
      <c r="AH642" s="18"/>
      <c r="AL642" s="18"/>
      <c r="AM642" s="22"/>
      <c r="AN642" s="22"/>
      <c r="AO642" s="22"/>
      <c r="AP642" s="22"/>
      <c r="AQ642" s="22"/>
      <c r="AR642" s="22"/>
      <c r="AS642" s="22"/>
      <c r="AT642" s="22"/>
    </row>
    <row r="643" spans="7:46" ht="13">
      <c r="G643" s="34"/>
      <c r="J643" s="18"/>
      <c r="N643" s="18"/>
      <c r="O643" s="1"/>
      <c r="P643" s="1"/>
      <c r="Q643" s="1"/>
      <c r="R643" s="18"/>
      <c r="S643" s="1"/>
      <c r="T643" s="1"/>
      <c r="U643" s="1"/>
      <c r="V643" s="1"/>
      <c r="Z643" s="18"/>
      <c r="AD643" s="18"/>
      <c r="AH643" s="18"/>
      <c r="AL643" s="18"/>
      <c r="AM643" s="22"/>
      <c r="AN643" s="22"/>
      <c r="AO643" s="22"/>
      <c r="AP643" s="22"/>
      <c r="AQ643" s="22"/>
      <c r="AR643" s="22"/>
      <c r="AS643" s="22"/>
      <c r="AT643" s="22"/>
    </row>
    <row r="644" spans="7:46" ht="13">
      <c r="G644" s="34"/>
      <c r="J644" s="18"/>
      <c r="N644" s="18"/>
      <c r="O644" s="1"/>
      <c r="P644" s="1"/>
      <c r="Q644" s="1"/>
      <c r="R644" s="18"/>
      <c r="S644" s="1"/>
      <c r="T644" s="1"/>
      <c r="U644" s="1"/>
      <c r="V644" s="1"/>
      <c r="Z644" s="18"/>
      <c r="AD644" s="18"/>
      <c r="AH644" s="18"/>
      <c r="AL644" s="18"/>
      <c r="AM644" s="22"/>
      <c r="AN644" s="22"/>
      <c r="AO644" s="22"/>
      <c r="AP644" s="22"/>
      <c r="AQ644" s="22"/>
      <c r="AR644" s="22"/>
      <c r="AS644" s="22"/>
      <c r="AT644" s="22"/>
    </row>
    <row r="645" spans="7:46" ht="13">
      <c r="G645" s="34"/>
      <c r="J645" s="18"/>
      <c r="N645" s="18"/>
      <c r="O645" s="1"/>
      <c r="P645" s="1"/>
      <c r="Q645" s="1"/>
      <c r="R645" s="18"/>
      <c r="S645" s="1"/>
      <c r="T645" s="1"/>
      <c r="U645" s="1"/>
      <c r="V645" s="1"/>
      <c r="Z645" s="18"/>
      <c r="AD645" s="18"/>
      <c r="AH645" s="18"/>
      <c r="AL645" s="18"/>
      <c r="AM645" s="22"/>
      <c r="AN645" s="22"/>
      <c r="AO645" s="22"/>
      <c r="AP645" s="22"/>
      <c r="AQ645" s="22"/>
      <c r="AR645" s="22"/>
      <c r="AS645" s="22"/>
      <c r="AT645" s="22"/>
    </row>
    <row r="646" spans="7:46" ht="13">
      <c r="G646" s="34"/>
      <c r="J646" s="18"/>
      <c r="N646" s="18"/>
      <c r="O646" s="1"/>
      <c r="P646" s="1"/>
      <c r="Q646" s="1"/>
      <c r="R646" s="18"/>
      <c r="S646" s="1"/>
      <c r="T646" s="1"/>
      <c r="U646" s="1"/>
      <c r="V646" s="1"/>
      <c r="Z646" s="18"/>
      <c r="AD646" s="18"/>
      <c r="AH646" s="18"/>
      <c r="AL646" s="18"/>
      <c r="AM646" s="22"/>
      <c r="AN646" s="22"/>
      <c r="AO646" s="22"/>
      <c r="AP646" s="22"/>
      <c r="AQ646" s="22"/>
      <c r="AR646" s="22"/>
      <c r="AS646" s="22"/>
      <c r="AT646" s="22"/>
    </row>
    <row r="647" spans="7:46" ht="13">
      <c r="G647" s="34"/>
      <c r="J647" s="18"/>
      <c r="N647" s="18"/>
      <c r="O647" s="1"/>
      <c r="P647" s="1"/>
      <c r="Q647" s="1"/>
      <c r="R647" s="18"/>
      <c r="S647" s="1"/>
      <c r="T647" s="1"/>
      <c r="U647" s="1"/>
      <c r="V647" s="1"/>
      <c r="Z647" s="18"/>
      <c r="AD647" s="18"/>
      <c r="AH647" s="18"/>
      <c r="AL647" s="18"/>
      <c r="AM647" s="22"/>
      <c r="AN647" s="22"/>
      <c r="AO647" s="22"/>
      <c r="AP647" s="22"/>
      <c r="AQ647" s="22"/>
      <c r="AR647" s="22"/>
      <c r="AS647" s="22"/>
      <c r="AT647" s="22"/>
    </row>
    <row r="648" spans="7:46" ht="13">
      <c r="G648" s="34"/>
      <c r="J648" s="18"/>
      <c r="N648" s="18"/>
      <c r="O648" s="1"/>
      <c r="P648" s="1"/>
      <c r="Q648" s="1"/>
      <c r="R648" s="18"/>
      <c r="S648" s="1"/>
      <c r="T648" s="1"/>
      <c r="U648" s="1"/>
      <c r="V648" s="1"/>
      <c r="Z648" s="18"/>
      <c r="AD648" s="18"/>
      <c r="AH648" s="18"/>
      <c r="AL648" s="18"/>
      <c r="AM648" s="22"/>
      <c r="AN648" s="22"/>
      <c r="AO648" s="22"/>
      <c r="AP648" s="22"/>
      <c r="AQ648" s="22"/>
      <c r="AR648" s="22"/>
      <c r="AS648" s="22"/>
      <c r="AT648" s="22"/>
    </row>
    <row r="649" spans="7:46" ht="13">
      <c r="G649" s="34"/>
      <c r="J649" s="18"/>
      <c r="N649" s="18"/>
      <c r="O649" s="1"/>
      <c r="P649" s="1"/>
      <c r="Q649" s="1"/>
      <c r="R649" s="18"/>
      <c r="S649" s="1"/>
      <c r="T649" s="1"/>
      <c r="U649" s="1"/>
      <c r="V649" s="1"/>
      <c r="Z649" s="18"/>
      <c r="AD649" s="18"/>
      <c r="AH649" s="18"/>
      <c r="AL649" s="18"/>
      <c r="AM649" s="22"/>
      <c r="AN649" s="22"/>
      <c r="AO649" s="22"/>
      <c r="AP649" s="22"/>
      <c r="AQ649" s="22"/>
      <c r="AR649" s="22"/>
      <c r="AS649" s="22"/>
      <c r="AT649" s="22"/>
    </row>
    <row r="650" spans="7:46" ht="13">
      <c r="G650" s="34"/>
      <c r="J650" s="18"/>
      <c r="N650" s="18"/>
      <c r="O650" s="1"/>
      <c r="P650" s="1"/>
      <c r="Q650" s="1"/>
      <c r="R650" s="18"/>
      <c r="S650" s="1"/>
      <c r="T650" s="1"/>
      <c r="U650" s="1"/>
      <c r="V650" s="1"/>
      <c r="Z650" s="18"/>
      <c r="AD650" s="18"/>
      <c r="AH650" s="18"/>
      <c r="AL650" s="18"/>
      <c r="AM650" s="22"/>
      <c r="AN650" s="22"/>
      <c r="AO650" s="22"/>
      <c r="AP650" s="22"/>
      <c r="AQ650" s="22"/>
      <c r="AR650" s="22"/>
      <c r="AS650" s="22"/>
      <c r="AT650" s="22"/>
    </row>
    <row r="651" spans="7:46" ht="13">
      <c r="G651" s="34"/>
      <c r="J651" s="18"/>
      <c r="N651" s="18"/>
      <c r="O651" s="1"/>
      <c r="P651" s="1"/>
      <c r="Q651" s="1"/>
      <c r="R651" s="18"/>
      <c r="S651" s="1"/>
      <c r="T651" s="1"/>
      <c r="U651" s="1"/>
      <c r="V651" s="1"/>
      <c r="Z651" s="18"/>
      <c r="AD651" s="18"/>
      <c r="AH651" s="18"/>
      <c r="AL651" s="18"/>
      <c r="AM651" s="22"/>
      <c r="AN651" s="22"/>
      <c r="AO651" s="22"/>
      <c r="AP651" s="22"/>
      <c r="AQ651" s="22"/>
      <c r="AR651" s="22"/>
      <c r="AS651" s="22"/>
      <c r="AT651" s="22"/>
    </row>
    <row r="652" spans="7:46" ht="13">
      <c r="G652" s="34"/>
      <c r="J652" s="18"/>
      <c r="N652" s="18"/>
      <c r="O652" s="1"/>
      <c r="P652" s="1"/>
      <c r="Q652" s="1"/>
      <c r="R652" s="18"/>
      <c r="S652" s="1"/>
      <c r="T652" s="1"/>
      <c r="U652" s="1"/>
      <c r="V652" s="1"/>
      <c r="Z652" s="18"/>
      <c r="AD652" s="18"/>
      <c r="AH652" s="18"/>
      <c r="AL652" s="18"/>
      <c r="AM652" s="22"/>
      <c r="AN652" s="22"/>
      <c r="AO652" s="22"/>
      <c r="AP652" s="22"/>
      <c r="AQ652" s="22"/>
      <c r="AR652" s="22"/>
      <c r="AS652" s="22"/>
      <c r="AT652" s="22"/>
    </row>
    <row r="653" spans="7:46" ht="13">
      <c r="G653" s="34"/>
      <c r="J653" s="18"/>
      <c r="N653" s="18"/>
      <c r="O653" s="1"/>
      <c r="P653" s="1"/>
      <c r="Q653" s="1"/>
      <c r="R653" s="18"/>
      <c r="S653" s="1"/>
      <c r="T653" s="1"/>
      <c r="U653" s="1"/>
      <c r="V653" s="1"/>
      <c r="Z653" s="18"/>
      <c r="AD653" s="18"/>
      <c r="AH653" s="18"/>
      <c r="AL653" s="18"/>
      <c r="AM653" s="22"/>
      <c r="AN653" s="22"/>
      <c r="AO653" s="22"/>
      <c r="AP653" s="22"/>
      <c r="AQ653" s="22"/>
      <c r="AR653" s="22"/>
      <c r="AS653" s="22"/>
      <c r="AT653" s="22"/>
    </row>
    <row r="654" spans="7:46" ht="13">
      <c r="G654" s="34"/>
      <c r="J654" s="18"/>
      <c r="N654" s="18"/>
      <c r="O654" s="1"/>
      <c r="P654" s="1"/>
      <c r="Q654" s="1"/>
      <c r="R654" s="18"/>
      <c r="S654" s="1"/>
      <c r="T654" s="1"/>
      <c r="U654" s="1"/>
      <c r="V654" s="1"/>
      <c r="Z654" s="18"/>
      <c r="AD654" s="18"/>
      <c r="AH654" s="18"/>
      <c r="AL654" s="18"/>
      <c r="AM654" s="22"/>
      <c r="AN654" s="22"/>
      <c r="AO654" s="22"/>
      <c r="AP654" s="22"/>
      <c r="AQ654" s="22"/>
      <c r="AR654" s="22"/>
      <c r="AS654" s="22"/>
      <c r="AT654" s="22"/>
    </row>
    <row r="655" spans="7:46" ht="13">
      <c r="G655" s="34"/>
      <c r="J655" s="18"/>
      <c r="N655" s="18"/>
      <c r="O655" s="1"/>
      <c r="P655" s="1"/>
      <c r="Q655" s="1"/>
      <c r="R655" s="18"/>
      <c r="S655" s="1"/>
      <c r="T655" s="1"/>
      <c r="U655" s="1"/>
      <c r="V655" s="1"/>
      <c r="Z655" s="18"/>
      <c r="AD655" s="18"/>
      <c r="AH655" s="18"/>
      <c r="AL655" s="18"/>
      <c r="AM655" s="22"/>
      <c r="AN655" s="22"/>
      <c r="AO655" s="22"/>
      <c r="AP655" s="22"/>
      <c r="AQ655" s="22"/>
      <c r="AR655" s="22"/>
      <c r="AS655" s="22"/>
      <c r="AT655" s="22"/>
    </row>
    <row r="656" spans="7:46" ht="13">
      <c r="G656" s="34"/>
      <c r="J656" s="18"/>
      <c r="N656" s="18"/>
      <c r="O656" s="1"/>
      <c r="P656" s="1"/>
      <c r="Q656" s="1"/>
      <c r="R656" s="18"/>
      <c r="S656" s="1"/>
      <c r="T656" s="1"/>
      <c r="U656" s="1"/>
      <c r="V656" s="1"/>
      <c r="Z656" s="18"/>
      <c r="AD656" s="18"/>
      <c r="AH656" s="18"/>
      <c r="AL656" s="18"/>
      <c r="AM656" s="22"/>
      <c r="AN656" s="22"/>
      <c r="AO656" s="22"/>
      <c r="AP656" s="22"/>
      <c r="AQ656" s="22"/>
      <c r="AR656" s="22"/>
      <c r="AS656" s="22"/>
      <c r="AT656" s="22"/>
    </row>
    <row r="657" spans="7:46" ht="13">
      <c r="G657" s="34"/>
      <c r="J657" s="18"/>
      <c r="N657" s="18"/>
      <c r="O657" s="1"/>
      <c r="P657" s="1"/>
      <c r="Q657" s="1"/>
      <c r="R657" s="18"/>
      <c r="S657" s="1"/>
      <c r="T657" s="1"/>
      <c r="U657" s="1"/>
      <c r="V657" s="1"/>
      <c r="Z657" s="18"/>
      <c r="AD657" s="18"/>
      <c r="AH657" s="18"/>
      <c r="AL657" s="18"/>
      <c r="AM657" s="22"/>
      <c r="AN657" s="22"/>
      <c r="AO657" s="22"/>
      <c r="AP657" s="22"/>
      <c r="AQ657" s="22"/>
      <c r="AR657" s="22"/>
      <c r="AS657" s="22"/>
      <c r="AT657" s="22"/>
    </row>
    <row r="658" spans="7:46" ht="13">
      <c r="G658" s="34"/>
      <c r="J658" s="18"/>
      <c r="N658" s="18"/>
      <c r="O658" s="1"/>
      <c r="P658" s="1"/>
      <c r="Q658" s="1"/>
      <c r="R658" s="18"/>
      <c r="S658" s="1"/>
      <c r="T658" s="1"/>
      <c r="U658" s="1"/>
      <c r="V658" s="1"/>
      <c r="Z658" s="18"/>
      <c r="AD658" s="18"/>
      <c r="AH658" s="18"/>
      <c r="AL658" s="18"/>
      <c r="AM658" s="22"/>
      <c r="AN658" s="22"/>
      <c r="AO658" s="22"/>
      <c r="AP658" s="22"/>
      <c r="AQ658" s="22"/>
      <c r="AR658" s="22"/>
      <c r="AS658" s="22"/>
      <c r="AT658" s="22"/>
    </row>
    <row r="659" spans="7:46" ht="13">
      <c r="G659" s="34"/>
      <c r="J659" s="18"/>
      <c r="N659" s="18"/>
      <c r="O659" s="1"/>
      <c r="P659" s="1"/>
      <c r="Q659" s="1"/>
      <c r="R659" s="18"/>
      <c r="S659" s="1"/>
      <c r="T659" s="1"/>
      <c r="U659" s="1"/>
      <c r="V659" s="1"/>
      <c r="Z659" s="18"/>
      <c r="AD659" s="18"/>
      <c r="AH659" s="18"/>
      <c r="AL659" s="18"/>
      <c r="AM659" s="22"/>
      <c r="AN659" s="22"/>
      <c r="AO659" s="22"/>
      <c r="AP659" s="22"/>
      <c r="AQ659" s="22"/>
      <c r="AR659" s="22"/>
      <c r="AS659" s="22"/>
      <c r="AT659" s="22"/>
    </row>
    <row r="660" spans="7:46" ht="13">
      <c r="G660" s="34"/>
      <c r="J660" s="18"/>
      <c r="N660" s="18"/>
      <c r="O660" s="1"/>
      <c r="P660" s="1"/>
      <c r="Q660" s="1"/>
      <c r="R660" s="18"/>
      <c r="S660" s="1"/>
      <c r="T660" s="1"/>
      <c r="U660" s="1"/>
      <c r="V660" s="1"/>
      <c r="Z660" s="18"/>
      <c r="AD660" s="18"/>
      <c r="AH660" s="18"/>
      <c r="AL660" s="18"/>
      <c r="AM660" s="22"/>
      <c r="AN660" s="22"/>
      <c r="AO660" s="22"/>
      <c r="AP660" s="22"/>
      <c r="AQ660" s="22"/>
      <c r="AR660" s="22"/>
      <c r="AS660" s="22"/>
      <c r="AT660" s="22"/>
    </row>
    <row r="661" spans="7:46" ht="13">
      <c r="G661" s="34"/>
      <c r="J661" s="18"/>
      <c r="N661" s="18"/>
      <c r="O661" s="1"/>
      <c r="P661" s="1"/>
      <c r="Q661" s="1"/>
      <c r="R661" s="18"/>
      <c r="S661" s="1"/>
      <c r="T661" s="1"/>
      <c r="U661" s="1"/>
      <c r="V661" s="1"/>
      <c r="Z661" s="18"/>
      <c r="AD661" s="18"/>
      <c r="AH661" s="18"/>
      <c r="AL661" s="18"/>
      <c r="AM661" s="22"/>
      <c r="AN661" s="22"/>
      <c r="AO661" s="22"/>
      <c r="AP661" s="22"/>
      <c r="AQ661" s="22"/>
      <c r="AR661" s="22"/>
      <c r="AS661" s="22"/>
      <c r="AT661" s="22"/>
    </row>
    <row r="662" spans="7:46" ht="13">
      <c r="G662" s="34"/>
      <c r="J662" s="18"/>
      <c r="N662" s="18"/>
      <c r="O662" s="1"/>
      <c r="P662" s="1"/>
      <c r="Q662" s="1"/>
      <c r="R662" s="18"/>
      <c r="S662" s="1"/>
      <c r="T662" s="1"/>
      <c r="U662" s="1"/>
      <c r="V662" s="1"/>
      <c r="Z662" s="18"/>
      <c r="AD662" s="18"/>
      <c r="AH662" s="18"/>
      <c r="AL662" s="18"/>
      <c r="AM662" s="22"/>
      <c r="AN662" s="22"/>
      <c r="AO662" s="22"/>
      <c r="AP662" s="22"/>
      <c r="AQ662" s="22"/>
      <c r="AR662" s="22"/>
      <c r="AS662" s="22"/>
      <c r="AT662" s="22"/>
    </row>
    <row r="663" spans="7:46" ht="13">
      <c r="G663" s="34"/>
      <c r="J663" s="18"/>
      <c r="N663" s="18"/>
      <c r="O663" s="1"/>
      <c r="P663" s="1"/>
      <c r="Q663" s="1"/>
      <c r="R663" s="18"/>
      <c r="S663" s="1"/>
      <c r="T663" s="1"/>
      <c r="U663" s="1"/>
      <c r="V663" s="1"/>
      <c r="Z663" s="18"/>
      <c r="AD663" s="18"/>
      <c r="AH663" s="18"/>
      <c r="AL663" s="18"/>
      <c r="AM663" s="22"/>
      <c r="AN663" s="22"/>
      <c r="AO663" s="22"/>
      <c r="AP663" s="22"/>
      <c r="AQ663" s="22"/>
      <c r="AR663" s="22"/>
      <c r="AS663" s="22"/>
      <c r="AT663" s="22"/>
    </row>
    <row r="664" spans="7:46" ht="13">
      <c r="G664" s="34"/>
      <c r="J664" s="18"/>
      <c r="N664" s="18"/>
      <c r="O664" s="1"/>
      <c r="P664" s="1"/>
      <c r="Q664" s="1"/>
      <c r="R664" s="18"/>
      <c r="S664" s="1"/>
      <c r="T664" s="1"/>
      <c r="U664" s="1"/>
      <c r="V664" s="1"/>
      <c r="Z664" s="18"/>
      <c r="AD664" s="18"/>
      <c r="AH664" s="18"/>
      <c r="AL664" s="18"/>
      <c r="AM664" s="22"/>
      <c r="AN664" s="22"/>
      <c r="AO664" s="22"/>
      <c r="AP664" s="22"/>
      <c r="AQ664" s="22"/>
      <c r="AR664" s="22"/>
      <c r="AS664" s="22"/>
      <c r="AT664" s="22"/>
    </row>
    <row r="665" spans="7:46" ht="13">
      <c r="G665" s="34"/>
      <c r="J665" s="18"/>
      <c r="N665" s="18"/>
      <c r="O665" s="1"/>
      <c r="P665" s="1"/>
      <c r="Q665" s="1"/>
      <c r="R665" s="18"/>
      <c r="S665" s="1"/>
      <c r="T665" s="1"/>
      <c r="U665" s="1"/>
      <c r="V665" s="1"/>
      <c r="Z665" s="18"/>
      <c r="AD665" s="18"/>
      <c r="AH665" s="18"/>
      <c r="AL665" s="18"/>
      <c r="AM665" s="22"/>
      <c r="AN665" s="22"/>
      <c r="AO665" s="22"/>
      <c r="AP665" s="22"/>
      <c r="AQ665" s="22"/>
      <c r="AR665" s="22"/>
      <c r="AS665" s="22"/>
      <c r="AT665" s="22"/>
    </row>
    <row r="666" spans="7:46" ht="13">
      <c r="G666" s="34"/>
      <c r="J666" s="18"/>
      <c r="N666" s="18"/>
      <c r="O666" s="1"/>
      <c r="P666" s="1"/>
      <c r="Q666" s="1"/>
      <c r="R666" s="18"/>
      <c r="S666" s="1"/>
      <c r="T666" s="1"/>
      <c r="U666" s="1"/>
      <c r="V666" s="1"/>
      <c r="Z666" s="18"/>
      <c r="AD666" s="18"/>
      <c r="AH666" s="18"/>
      <c r="AL666" s="18"/>
      <c r="AM666" s="22"/>
      <c r="AN666" s="22"/>
      <c r="AO666" s="22"/>
      <c r="AP666" s="22"/>
      <c r="AQ666" s="22"/>
      <c r="AR666" s="22"/>
      <c r="AS666" s="22"/>
      <c r="AT666" s="22"/>
    </row>
    <row r="667" spans="7:46" ht="13">
      <c r="G667" s="34"/>
      <c r="J667" s="18"/>
      <c r="N667" s="18"/>
      <c r="O667" s="1"/>
      <c r="P667" s="1"/>
      <c r="Q667" s="1"/>
      <c r="R667" s="18"/>
      <c r="S667" s="1"/>
      <c r="T667" s="1"/>
      <c r="U667" s="1"/>
      <c r="V667" s="1"/>
      <c r="Z667" s="18"/>
      <c r="AD667" s="18"/>
      <c r="AH667" s="18"/>
      <c r="AL667" s="18"/>
      <c r="AM667" s="22"/>
      <c r="AN667" s="22"/>
      <c r="AO667" s="22"/>
      <c r="AP667" s="22"/>
      <c r="AQ667" s="22"/>
      <c r="AR667" s="22"/>
      <c r="AS667" s="22"/>
      <c r="AT667" s="22"/>
    </row>
    <row r="668" spans="7:46" ht="13">
      <c r="G668" s="34"/>
      <c r="J668" s="18"/>
      <c r="N668" s="18"/>
      <c r="O668" s="1"/>
      <c r="P668" s="1"/>
      <c r="Q668" s="1"/>
      <c r="R668" s="18"/>
      <c r="S668" s="1"/>
      <c r="T668" s="1"/>
      <c r="U668" s="1"/>
      <c r="V668" s="1"/>
      <c r="Z668" s="18"/>
      <c r="AD668" s="18"/>
      <c r="AH668" s="18"/>
      <c r="AL668" s="18"/>
      <c r="AM668" s="22"/>
      <c r="AN668" s="22"/>
      <c r="AO668" s="22"/>
      <c r="AP668" s="22"/>
      <c r="AQ668" s="22"/>
      <c r="AR668" s="22"/>
      <c r="AS668" s="22"/>
      <c r="AT668" s="22"/>
    </row>
    <row r="669" spans="7:46" ht="13">
      <c r="G669" s="34"/>
      <c r="J669" s="18"/>
      <c r="N669" s="18"/>
      <c r="O669" s="1"/>
      <c r="P669" s="1"/>
      <c r="Q669" s="1"/>
      <c r="R669" s="18"/>
      <c r="S669" s="1"/>
      <c r="T669" s="1"/>
      <c r="U669" s="1"/>
      <c r="V669" s="1"/>
      <c r="Z669" s="18"/>
      <c r="AD669" s="18"/>
      <c r="AH669" s="18"/>
      <c r="AL669" s="18"/>
      <c r="AM669" s="22"/>
      <c r="AN669" s="22"/>
      <c r="AO669" s="22"/>
      <c r="AP669" s="22"/>
      <c r="AQ669" s="22"/>
      <c r="AR669" s="22"/>
      <c r="AS669" s="22"/>
      <c r="AT669" s="22"/>
    </row>
    <row r="670" spans="7:46" ht="13">
      <c r="G670" s="34"/>
      <c r="J670" s="18"/>
      <c r="N670" s="18"/>
      <c r="O670" s="1"/>
      <c r="P670" s="1"/>
      <c r="Q670" s="1"/>
      <c r="R670" s="18"/>
      <c r="S670" s="1"/>
      <c r="T670" s="1"/>
      <c r="U670" s="1"/>
      <c r="V670" s="1"/>
      <c r="Z670" s="18"/>
      <c r="AD670" s="18"/>
      <c r="AH670" s="18"/>
      <c r="AL670" s="18"/>
      <c r="AM670" s="22"/>
      <c r="AN670" s="22"/>
      <c r="AO670" s="22"/>
      <c r="AP670" s="22"/>
      <c r="AQ670" s="22"/>
      <c r="AR670" s="22"/>
      <c r="AS670" s="22"/>
      <c r="AT670" s="22"/>
    </row>
    <row r="671" spans="7:46" ht="13">
      <c r="G671" s="34"/>
      <c r="J671" s="18"/>
      <c r="N671" s="18"/>
      <c r="O671" s="1"/>
      <c r="P671" s="1"/>
      <c r="Q671" s="1"/>
      <c r="R671" s="18"/>
      <c r="S671" s="1"/>
      <c r="T671" s="1"/>
      <c r="U671" s="1"/>
      <c r="V671" s="1"/>
      <c r="Z671" s="18"/>
      <c r="AD671" s="18"/>
      <c r="AH671" s="18"/>
      <c r="AL671" s="18"/>
      <c r="AM671" s="22"/>
      <c r="AN671" s="22"/>
      <c r="AO671" s="22"/>
      <c r="AP671" s="22"/>
      <c r="AQ671" s="22"/>
      <c r="AR671" s="22"/>
      <c r="AS671" s="22"/>
      <c r="AT671" s="22"/>
    </row>
    <row r="672" spans="7:46" ht="13">
      <c r="G672" s="34"/>
      <c r="J672" s="18"/>
      <c r="N672" s="18"/>
      <c r="O672" s="1"/>
      <c r="P672" s="1"/>
      <c r="Q672" s="1"/>
      <c r="R672" s="18"/>
      <c r="S672" s="1"/>
      <c r="T672" s="1"/>
      <c r="U672" s="1"/>
      <c r="V672" s="1"/>
      <c r="Z672" s="18"/>
      <c r="AD672" s="18"/>
      <c r="AH672" s="18"/>
      <c r="AL672" s="18"/>
      <c r="AM672" s="22"/>
      <c r="AN672" s="22"/>
      <c r="AO672" s="22"/>
      <c r="AP672" s="22"/>
      <c r="AQ672" s="22"/>
      <c r="AR672" s="22"/>
      <c r="AS672" s="22"/>
      <c r="AT672" s="22"/>
    </row>
    <row r="673" spans="7:46" ht="13">
      <c r="G673" s="34"/>
      <c r="J673" s="18"/>
      <c r="N673" s="18"/>
      <c r="O673" s="1"/>
      <c r="P673" s="1"/>
      <c r="Q673" s="1"/>
      <c r="R673" s="18"/>
      <c r="S673" s="1"/>
      <c r="T673" s="1"/>
      <c r="U673" s="1"/>
      <c r="V673" s="1"/>
      <c r="Z673" s="18"/>
      <c r="AD673" s="18"/>
      <c r="AH673" s="18"/>
      <c r="AL673" s="18"/>
      <c r="AM673" s="22"/>
      <c r="AN673" s="22"/>
      <c r="AO673" s="22"/>
      <c r="AP673" s="22"/>
      <c r="AQ673" s="22"/>
      <c r="AR673" s="22"/>
      <c r="AS673" s="22"/>
      <c r="AT673" s="22"/>
    </row>
    <row r="674" spans="7:46" ht="13">
      <c r="G674" s="34"/>
      <c r="J674" s="18"/>
      <c r="N674" s="18"/>
      <c r="O674" s="1"/>
      <c r="P674" s="1"/>
      <c r="Q674" s="1"/>
      <c r="R674" s="18"/>
      <c r="S674" s="1"/>
      <c r="T674" s="1"/>
      <c r="U674" s="1"/>
      <c r="V674" s="1"/>
      <c r="Z674" s="18"/>
      <c r="AD674" s="18"/>
      <c r="AH674" s="18"/>
      <c r="AL674" s="18"/>
      <c r="AM674" s="22"/>
      <c r="AN674" s="22"/>
      <c r="AO674" s="22"/>
      <c r="AP674" s="22"/>
      <c r="AQ674" s="22"/>
      <c r="AR674" s="22"/>
      <c r="AS674" s="22"/>
      <c r="AT674" s="22"/>
    </row>
    <row r="675" spans="7:46" ht="13">
      <c r="G675" s="34"/>
      <c r="J675" s="18"/>
      <c r="N675" s="18"/>
      <c r="O675" s="1"/>
      <c r="P675" s="1"/>
      <c r="Q675" s="1"/>
      <c r="R675" s="18"/>
      <c r="S675" s="1"/>
      <c r="T675" s="1"/>
      <c r="U675" s="1"/>
      <c r="V675" s="1"/>
      <c r="Z675" s="18"/>
      <c r="AD675" s="18"/>
      <c r="AH675" s="18"/>
      <c r="AL675" s="18"/>
      <c r="AM675" s="22"/>
      <c r="AN675" s="22"/>
      <c r="AO675" s="22"/>
      <c r="AP675" s="22"/>
      <c r="AQ675" s="22"/>
      <c r="AR675" s="22"/>
      <c r="AS675" s="22"/>
      <c r="AT675" s="22"/>
    </row>
    <row r="676" spans="7:46" ht="13">
      <c r="G676" s="34"/>
      <c r="J676" s="18"/>
      <c r="N676" s="18"/>
      <c r="O676" s="1"/>
      <c r="P676" s="1"/>
      <c r="Q676" s="1"/>
      <c r="R676" s="18"/>
      <c r="S676" s="1"/>
      <c r="T676" s="1"/>
      <c r="U676" s="1"/>
      <c r="V676" s="1"/>
      <c r="Z676" s="18"/>
      <c r="AD676" s="18"/>
      <c r="AH676" s="18"/>
      <c r="AL676" s="18"/>
      <c r="AM676" s="22"/>
      <c r="AN676" s="22"/>
      <c r="AO676" s="22"/>
      <c r="AP676" s="22"/>
      <c r="AQ676" s="22"/>
      <c r="AR676" s="22"/>
      <c r="AS676" s="22"/>
      <c r="AT676" s="22"/>
    </row>
    <row r="677" spans="7:46" ht="13">
      <c r="G677" s="34"/>
      <c r="J677" s="18"/>
      <c r="N677" s="18"/>
      <c r="O677" s="1"/>
      <c r="P677" s="1"/>
      <c r="Q677" s="1"/>
      <c r="R677" s="18"/>
      <c r="S677" s="1"/>
      <c r="T677" s="1"/>
      <c r="U677" s="1"/>
      <c r="V677" s="1"/>
      <c r="Z677" s="18"/>
      <c r="AD677" s="18"/>
      <c r="AH677" s="18"/>
      <c r="AL677" s="18"/>
      <c r="AM677" s="22"/>
      <c r="AN677" s="22"/>
      <c r="AO677" s="22"/>
      <c r="AP677" s="22"/>
      <c r="AQ677" s="22"/>
      <c r="AR677" s="22"/>
      <c r="AS677" s="22"/>
      <c r="AT677" s="22"/>
    </row>
    <row r="678" spans="7:46" ht="13">
      <c r="G678" s="34"/>
      <c r="J678" s="18"/>
      <c r="N678" s="18"/>
      <c r="O678" s="1"/>
      <c r="P678" s="1"/>
      <c r="Q678" s="1"/>
      <c r="R678" s="18"/>
      <c r="S678" s="1"/>
      <c r="T678" s="1"/>
      <c r="U678" s="1"/>
      <c r="V678" s="1"/>
      <c r="Z678" s="18"/>
      <c r="AD678" s="18"/>
      <c r="AH678" s="18"/>
      <c r="AL678" s="18"/>
      <c r="AM678" s="22"/>
      <c r="AN678" s="22"/>
      <c r="AO678" s="22"/>
      <c r="AP678" s="22"/>
      <c r="AQ678" s="22"/>
      <c r="AR678" s="22"/>
      <c r="AS678" s="22"/>
      <c r="AT678" s="22"/>
    </row>
    <row r="679" spans="7:46" ht="13">
      <c r="G679" s="34"/>
      <c r="J679" s="18"/>
      <c r="N679" s="18"/>
      <c r="O679" s="1"/>
      <c r="P679" s="1"/>
      <c r="Q679" s="1"/>
      <c r="R679" s="18"/>
      <c r="S679" s="1"/>
      <c r="T679" s="1"/>
      <c r="U679" s="1"/>
      <c r="V679" s="1"/>
      <c r="Z679" s="18"/>
      <c r="AD679" s="18"/>
      <c r="AH679" s="18"/>
      <c r="AL679" s="18"/>
      <c r="AM679" s="22"/>
      <c r="AN679" s="22"/>
      <c r="AO679" s="22"/>
      <c r="AP679" s="22"/>
      <c r="AQ679" s="22"/>
      <c r="AR679" s="22"/>
      <c r="AS679" s="22"/>
      <c r="AT679" s="22"/>
    </row>
    <row r="680" spans="7:46" ht="13">
      <c r="G680" s="34"/>
      <c r="J680" s="18"/>
      <c r="N680" s="18"/>
      <c r="O680" s="1"/>
      <c r="P680" s="1"/>
      <c r="Q680" s="1"/>
      <c r="R680" s="18"/>
      <c r="S680" s="1"/>
      <c r="T680" s="1"/>
      <c r="U680" s="1"/>
      <c r="V680" s="1"/>
      <c r="Z680" s="18"/>
      <c r="AD680" s="18"/>
      <c r="AH680" s="18"/>
      <c r="AL680" s="18"/>
      <c r="AM680" s="22"/>
      <c r="AN680" s="22"/>
      <c r="AO680" s="22"/>
      <c r="AP680" s="22"/>
      <c r="AQ680" s="22"/>
      <c r="AR680" s="22"/>
      <c r="AS680" s="22"/>
      <c r="AT680" s="22"/>
    </row>
    <row r="681" spans="7:46" ht="13">
      <c r="G681" s="34"/>
      <c r="J681" s="18"/>
      <c r="N681" s="18"/>
      <c r="O681" s="1"/>
      <c r="P681" s="1"/>
      <c r="Q681" s="1"/>
      <c r="R681" s="18"/>
      <c r="S681" s="1"/>
      <c r="T681" s="1"/>
      <c r="U681" s="1"/>
      <c r="V681" s="1"/>
      <c r="Z681" s="18"/>
      <c r="AD681" s="18"/>
      <c r="AH681" s="18"/>
      <c r="AL681" s="18"/>
      <c r="AM681" s="22"/>
      <c r="AN681" s="22"/>
      <c r="AO681" s="22"/>
      <c r="AP681" s="22"/>
      <c r="AQ681" s="22"/>
      <c r="AR681" s="22"/>
      <c r="AS681" s="22"/>
      <c r="AT681" s="22"/>
    </row>
    <row r="682" spans="7:46" ht="13">
      <c r="G682" s="34"/>
      <c r="J682" s="18"/>
      <c r="N682" s="18"/>
      <c r="O682" s="1"/>
      <c r="P682" s="1"/>
      <c r="Q682" s="1"/>
      <c r="R682" s="18"/>
      <c r="S682" s="1"/>
      <c r="T682" s="1"/>
      <c r="U682" s="1"/>
      <c r="V682" s="1"/>
      <c r="Z682" s="18"/>
      <c r="AD682" s="18"/>
      <c r="AH682" s="18"/>
      <c r="AL682" s="18"/>
      <c r="AM682" s="22"/>
      <c r="AN682" s="22"/>
      <c r="AO682" s="22"/>
      <c r="AP682" s="22"/>
      <c r="AQ682" s="22"/>
      <c r="AR682" s="22"/>
      <c r="AS682" s="22"/>
      <c r="AT682" s="22"/>
    </row>
    <row r="683" spans="7:46" ht="13">
      <c r="G683" s="34"/>
      <c r="J683" s="18"/>
      <c r="N683" s="18"/>
      <c r="O683" s="1"/>
      <c r="P683" s="1"/>
      <c r="Q683" s="1"/>
      <c r="R683" s="18"/>
      <c r="S683" s="1"/>
      <c r="T683" s="1"/>
      <c r="U683" s="1"/>
      <c r="V683" s="1"/>
      <c r="Z683" s="18"/>
      <c r="AD683" s="18"/>
      <c r="AH683" s="18"/>
      <c r="AL683" s="18"/>
      <c r="AM683" s="22"/>
      <c r="AN683" s="22"/>
      <c r="AO683" s="22"/>
      <c r="AP683" s="22"/>
      <c r="AQ683" s="22"/>
      <c r="AR683" s="22"/>
      <c r="AS683" s="22"/>
      <c r="AT683" s="22"/>
    </row>
    <row r="684" spans="7:46" ht="13">
      <c r="G684" s="34"/>
      <c r="J684" s="18"/>
      <c r="N684" s="18"/>
      <c r="O684" s="1"/>
      <c r="P684" s="1"/>
      <c r="Q684" s="1"/>
      <c r="R684" s="18"/>
      <c r="S684" s="1"/>
      <c r="T684" s="1"/>
      <c r="U684" s="1"/>
      <c r="V684" s="1"/>
      <c r="Z684" s="18"/>
      <c r="AD684" s="18"/>
      <c r="AH684" s="18"/>
      <c r="AL684" s="18"/>
      <c r="AM684" s="22"/>
      <c r="AN684" s="22"/>
      <c r="AO684" s="22"/>
      <c r="AP684" s="22"/>
      <c r="AQ684" s="22"/>
      <c r="AR684" s="22"/>
      <c r="AS684" s="22"/>
      <c r="AT684" s="22"/>
    </row>
    <row r="685" spans="7:46" ht="13">
      <c r="G685" s="34"/>
      <c r="J685" s="18"/>
      <c r="N685" s="18"/>
      <c r="O685" s="1"/>
      <c r="P685" s="1"/>
      <c r="Q685" s="1"/>
      <c r="R685" s="18"/>
      <c r="S685" s="1"/>
      <c r="T685" s="1"/>
      <c r="U685" s="1"/>
      <c r="V685" s="1"/>
      <c r="Z685" s="18"/>
      <c r="AD685" s="18"/>
      <c r="AH685" s="18"/>
      <c r="AL685" s="18"/>
      <c r="AM685" s="22"/>
      <c r="AN685" s="22"/>
      <c r="AO685" s="22"/>
      <c r="AP685" s="22"/>
      <c r="AQ685" s="22"/>
      <c r="AR685" s="22"/>
      <c r="AS685" s="22"/>
      <c r="AT685" s="22"/>
    </row>
    <row r="686" spans="7:46" ht="13">
      <c r="G686" s="34"/>
      <c r="J686" s="18"/>
      <c r="N686" s="18"/>
      <c r="O686" s="1"/>
      <c r="P686" s="1"/>
      <c r="Q686" s="1"/>
      <c r="R686" s="18"/>
      <c r="S686" s="1"/>
      <c r="T686" s="1"/>
      <c r="U686" s="1"/>
      <c r="V686" s="1"/>
      <c r="Z686" s="18"/>
      <c r="AD686" s="18"/>
      <c r="AH686" s="18"/>
      <c r="AL686" s="18"/>
      <c r="AM686" s="22"/>
      <c r="AN686" s="22"/>
      <c r="AO686" s="22"/>
      <c r="AP686" s="22"/>
      <c r="AQ686" s="22"/>
      <c r="AR686" s="22"/>
      <c r="AS686" s="22"/>
      <c r="AT686" s="22"/>
    </row>
    <row r="687" spans="7:46" ht="13">
      <c r="G687" s="34"/>
      <c r="J687" s="18"/>
      <c r="N687" s="18"/>
      <c r="O687" s="1"/>
      <c r="P687" s="1"/>
      <c r="Q687" s="1"/>
      <c r="R687" s="18"/>
      <c r="S687" s="1"/>
      <c r="T687" s="1"/>
      <c r="U687" s="1"/>
      <c r="V687" s="1"/>
      <c r="Z687" s="18"/>
      <c r="AD687" s="18"/>
      <c r="AH687" s="18"/>
      <c r="AL687" s="18"/>
      <c r="AM687" s="22"/>
      <c r="AN687" s="22"/>
      <c r="AO687" s="22"/>
      <c r="AP687" s="22"/>
      <c r="AQ687" s="22"/>
      <c r="AR687" s="22"/>
      <c r="AS687" s="22"/>
      <c r="AT687" s="22"/>
    </row>
    <row r="688" spans="7:46" ht="13">
      <c r="G688" s="34"/>
      <c r="J688" s="18"/>
      <c r="N688" s="18"/>
      <c r="O688" s="1"/>
      <c r="P688" s="1"/>
      <c r="Q688" s="1"/>
      <c r="R688" s="18"/>
      <c r="S688" s="1"/>
      <c r="T688" s="1"/>
      <c r="U688" s="1"/>
      <c r="V688" s="1"/>
      <c r="Z688" s="18"/>
      <c r="AD688" s="18"/>
      <c r="AH688" s="18"/>
      <c r="AL688" s="18"/>
      <c r="AM688" s="22"/>
      <c r="AN688" s="22"/>
      <c r="AO688" s="22"/>
      <c r="AP688" s="22"/>
      <c r="AQ688" s="22"/>
      <c r="AR688" s="22"/>
      <c r="AS688" s="22"/>
      <c r="AT688" s="22"/>
    </row>
    <row r="689" spans="7:46" ht="13">
      <c r="G689" s="34"/>
      <c r="J689" s="18"/>
      <c r="N689" s="18"/>
      <c r="O689" s="1"/>
      <c r="P689" s="1"/>
      <c r="Q689" s="1"/>
      <c r="R689" s="18"/>
      <c r="S689" s="1"/>
      <c r="T689" s="1"/>
      <c r="U689" s="1"/>
      <c r="V689" s="1"/>
      <c r="Z689" s="18"/>
      <c r="AD689" s="18"/>
      <c r="AH689" s="18"/>
      <c r="AL689" s="18"/>
      <c r="AM689" s="22"/>
      <c r="AN689" s="22"/>
      <c r="AO689" s="22"/>
      <c r="AP689" s="22"/>
      <c r="AQ689" s="22"/>
      <c r="AR689" s="22"/>
      <c r="AS689" s="22"/>
      <c r="AT689" s="22"/>
    </row>
    <row r="690" spans="7:46" ht="13">
      <c r="G690" s="34"/>
      <c r="J690" s="18"/>
      <c r="N690" s="18"/>
      <c r="O690" s="1"/>
      <c r="P690" s="1"/>
      <c r="Q690" s="1"/>
      <c r="R690" s="18"/>
      <c r="S690" s="1"/>
      <c r="T690" s="1"/>
      <c r="U690" s="1"/>
      <c r="V690" s="1"/>
      <c r="Z690" s="18"/>
      <c r="AD690" s="18"/>
      <c r="AH690" s="18"/>
      <c r="AL690" s="18"/>
      <c r="AM690" s="22"/>
      <c r="AN690" s="22"/>
      <c r="AO690" s="22"/>
      <c r="AP690" s="22"/>
      <c r="AQ690" s="22"/>
      <c r="AR690" s="22"/>
      <c r="AS690" s="22"/>
      <c r="AT690" s="22"/>
    </row>
    <row r="691" spans="7:46" ht="13">
      <c r="G691" s="34"/>
      <c r="J691" s="18"/>
      <c r="N691" s="18"/>
      <c r="O691" s="1"/>
      <c r="P691" s="1"/>
      <c r="Q691" s="1"/>
      <c r="R691" s="18"/>
      <c r="S691" s="1"/>
      <c r="T691" s="1"/>
      <c r="U691" s="1"/>
      <c r="V691" s="1"/>
      <c r="Z691" s="18"/>
      <c r="AD691" s="18"/>
      <c r="AH691" s="18"/>
      <c r="AL691" s="18"/>
      <c r="AM691" s="22"/>
      <c r="AN691" s="22"/>
      <c r="AO691" s="22"/>
      <c r="AP691" s="22"/>
      <c r="AQ691" s="22"/>
      <c r="AR691" s="22"/>
      <c r="AS691" s="22"/>
      <c r="AT691" s="22"/>
    </row>
    <row r="692" spans="7:46" ht="13">
      <c r="G692" s="34"/>
      <c r="J692" s="18"/>
      <c r="N692" s="18"/>
      <c r="O692" s="1"/>
      <c r="P692" s="1"/>
      <c r="Q692" s="1"/>
      <c r="R692" s="18"/>
      <c r="S692" s="1"/>
      <c r="T692" s="1"/>
      <c r="U692" s="1"/>
      <c r="V692" s="1"/>
      <c r="Z692" s="18"/>
      <c r="AD692" s="18"/>
      <c r="AH692" s="18"/>
      <c r="AL692" s="18"/>
      <c r="AM692" s="22"/>
      <c r="AN692" s="22"/>
      <c r="AO692" s="22"/>
      <c r="AP692" s="22"/>
      <c r="AQ692" s="22"/>
      <c r="AR692" s="22"/>
      <c r="AS692" s="22"/>
      <c r="AT692" s="22"/>
    </row>
    <row r="693" spans="7:46" ht="13">
      <c r="G693" s="34"/>
      <c r="J693" s="18"/>
      <c r="N693" s="18"/>
      <c r="O693" s="1"/>
      <c r="P693" s="1"/>
      <c r="Q693" s="1"/>
      <c r="R693" s="18"/>
      <c r="S693" s="1"/>
      <c r="T693" s="1"/>
      <c r="U693" s="1"/>
      <c r="V693" s="1"/>
      <c r="Z693" s="18"/>
      <c r="AD693" s="18"/>
      <c r="AH693" s="18"/>
      <c r="AL693" s="18"/>
      <c r="AM693" s="22"/>
      <c r="AN693" s="22"/>
      <c r="AO693" s="22"/>
      <c r="AP693" s="22"/>
      <c r="AQ693" s="22"/>
      <c r="AR693" s="22"/>
      <c r="AS693" s="22"/>
      <c r="AT693" s="22"/>
    </row>
    <row r="694" spans="7:46" ht="13">
      <c r="G694" s="34"/>
      <c r="J694" s="18"/>
      <c r="N694" s="18"/>
      <c r="O694" s="1"/>
      <c r="P694" s="1"/>
      <c r="Q694" s="1"/>
      <c r="R694" s="18"/>
      <c r="S694" s="1"/>
      <c r="T694" s="1"/>
      <c r="U694" s="1"/>
      <c r="V694" s="1"/>
      <c r="Z694" s="18"/>
      <c r="AD694" s="18"/>
      <c r="AH694" s="18"/>
      <c r="AL694" s="18"/>
      <c r="AM694" s="22"/>
      <c r="AN694" s="22"/>
      <c r="AO694" s="22"/>
      <c r="AP694" s="22"/>
      <c r="AQ694" s="22"/>
      <c r="AR694" s="22"/>
      <c r="AS694" s="22"/>
      <c r="AT694" s="22"/>
    </row>
    <row r="695" spans="7:46" ht="13">
      <c r="G695" s="34"/>
      <c r="J695" s="18"/>
      <c r="N695" s="18"/>
      <c r="O695" s="1"/>
      <c r="P695" s="1"/>
      <c r="Q695" s="1"/>
      <c r="R695" s="18"/>
      <c r="S695" s="1"/>
      <c r="T695" s="1"/>
      <c r="U695" s="1"/>
      <c r="V695" s="1"/>
      <c r="Z695" s="18"/>
      <c r="AD695" s="18"/>
      <c r="AH695" s="18"/>
      <c r="AL695" s="18"/>
      <c r="AM695" s="22"/>
      <c r="AN695" s="22"/>
      <c r="AO695" s="22"/>
      <c r="AP695" s="22"/>
      <c r="AQ695" s="22"/>
      <c r="AR695" s="22"/>
      <c r="AS695" s="22"/>
      <c r="AT695" s="22"/>
    </row>
    <row r="696" spans="7:46" ht="13">
      <c r="G696" s="34"/>
      <c r="J696" s="18"/>
      <c r="N696" s="18"/>
      <c r="O696" s="1"/>
      <c r="P696" s="1"/>
      <c r="Q696" s="1"/>
      <c r="R696" s="18"/>
      <c r="S696" s="1"/>
      <c r="T696" s="1"/>
      <c r="U696" s="1"/>
      <c r="V696" s="1"/>
      <c r="Z696" s="18"/>
      <c r="AD696" s="18"/>
      <c r="AH696" s="18"/>
      <c r="AL696" s="18"/>
      <c r="AM696" s="22"/>
      <c r="AN696" s="22"/>
      <c r="AO696" s="22"/>
      <c r="AP696" s="22"/>
      <c r="AQ696" s="22"/>
      <c r="AR696" s="22"/>
      <c r="AS696" s="22"/>
      <c r="AT696" s="22"/>
    </row>
    <row r="697" spans="7:46" ht="13">
      <c r="G697" s="34"/>
      <c r="J697" s="18"/>
      <c r="N697" s="18"/>
      <c r="O697" s="1"/>
      <c r="P697" s="1"/>
      <c r="Q697" s="1"/>
      <c r="R697" s="18"/>
      <c r="S697" s="1"/>
      <c r="T697" s="1"/>
      <c r="U697" s="1"/>
      <c r="V697" s="1"/>
      <c r="Z697" s="18"/>
      <c r="AD697" s="18"/>
      <c r="AH697" s="18"/>
      <c r="AL697" s="18"/>
      <c r="AM697" s="22"/>
      <c r="AN697" s="22"/>
      <c r="AO697" s="22"/>
      <c r="AP697" s="22"/>
      <c r="AQ697" s="22"/>
      <c r="AR697" s="22"/>
      <c r="AS697" s="22"/>
      <c r="AT697" s="22"/>
    </row>
    <row r="698" spans="7:46" ht="13">
      <c r="G698" s="34"/>
      <c r="J698" s="18"/>
      <c r="N698" s="18"/>
      <c r="O698" s="1"/>
      <c r="P698" s="1"/>
      <c r="Q698" s="1"/>
      <c r="R698" s="18"/>
      <c r="S698" s="1"/>
      <c r="T698" s="1"/>
      <c r="U698" s="1"/>
      <c r="V698" s="1"/>
      <c r="Z698" s="18"/>
      <c r="AD698" s="18"/>
      <c r="AH698" s="18"/>
      <c r="AL698" s="18"/>
      <c r="AM698" s="22"/>
      <c r="AN698" s="22"/>
      <c r="AO698" s="22"/>
      <c r="AP698" s="22"/>
      <c r="AQ698" s="22"/>
      <c r="AR698" s="22"/>
      <c r="AS698" s="22"/>
      <c r="AT698" s="22"/>
    </row>
    <row r="699" spans="7:46" ht="13">
      <c r="G699" s="34"/>
      <c r="J699" s="18"/>
      <c r="N699" s="18"/>
      <c r="O699" s="1"/>
      <c r="P699" s="1"/>
      <c r="Q699" s="1"/>
      <c r="R699" s="18"/>
      <c r="S699" s="1"/>
      <c r="T699" s="1"/>
      <c r="U699" s="1"/>
      <c r="V699" s="1"/>
      <c r="Z699" s="18"/>
      <c r="AD699" s="18"/>
      <c r="AH699" s="18"/>
      <c r="AL699" s="18"/>
      <c r="AM699" s="22"/>
      <c r="AN699" s="22"/>
      <c r="AO699" s="22"/>
      <c r="AP699" s="22"/>
      <c r="AQ699" s="22"/>
      <c r="AR699" s="22"/>
      <c r="AS699" s="22"/>
      <c r="AT699" s="22"/>
    </row>
    <row r="700" spans="7:46" ht="13">
      <c r="G700" s="34"/>
      <c r="J700" s="18"/>
      <c r="N700" s="18"/>
      <c r="O700" s="1"/>
      <c r="P700" s="1"/>
      <c r="Q700" s="1"/>
      <c r="R700" s="18"/>
      <c r="S700" s="1"/>
      <c r="T700" s="1"/>
      <c r="U700" s="1"/>
      <c r="V700" s="1"/>
      <c r="Z700" s="18"/>
      <c r="AD700" s="18"/>
      <c r="AH700" s="18"/>
      <c r="AL700" s="18"/>
      <c r="AM700" s="22"/>
      <c r="AN700" s="22"/>
      <c r="AO700" s="22"/>
      <c r="AP700" s="22"/>
      <c r="AQ700" s="22"/>
      <c r="AR700" s="22"/>
      <c r="AS700" s="22"/>
      <c r="AT700" s="22"/>
    </row>
    <row r="701" spans="7:46" ht="13">
      <c r="G701" s="34"/>
      <c r="J701" s="18"/>
      <c r="N701" s="18"/>
      <c r="O701" s="1"/>
      <c r="P701" s="1"/>
      <c r="Q701" s="1"/>
      <c r="R701" s="18"/>
      <c r="S701" s="1"/>
      <c r="T701" s="1"/>
      <c r="U701" s="1"/>
      <c r="V701" s="1"/>
      <c r="Z701" s="18"/>
      <c r="AD701" s="18"/>
      <c r="AH701" s="18"/>
      <c r="AL701" s="18"/>
      <c r="AM701" s="22"/>
      <c r="AN701" s="22"/>
      <c r="AO701" s="22"/>
      <c r="AP701" s="22"/>
      <c r="AQ701" s="22"/>
      <c r="AR701" s="22"/>
      <c r="AS701" s="22"/>
      <c r="AT701" s="22"/>
    </row>
    <row r="702" spans="7:46" ht="13">
      <c r="G702" s="34"/>
      <c r="J702" s="18"/>
      <c r="N702" s="18"/>
      <c r="O702" s="1"/>
      <c r="P702" s="1"/>
      <c r="Q702" s="1"/>
      <c r="R702" s="18"/>
      <c r="S702" s="1"/>
      <c r="T702" s="1"/>
      <c r="U702" s="1"/>
      <c r="V702" s="1"/>
      <c r="Z702" s="18"/>
      <c r="AD702" s="18"/>
      <c r="AH702" s="18"/>
      <c r="AL702" s="18"/>
      <c r="AM702" s="22"/>
      <c r="AN702" s="22"/>
      <c r="AO702" s="22"/>
      <c r="AP702" s="22"/>
      <c r="AQ702" s="22"/>
      <c r="AR702" s="22"/>
      <c r="AS702" s="22"/>
      <c r="AT702" s="22"/>
    </row>
    <row r="703" spans="7:46" ht="13">
      <c r="G703" s="34"/>
      <c r="J703" s="18"/>
      <c r="N703" s="18"/>
      <c r="O703" s="1"/>
      <c r="P703" s="1"/>
      <c r="Q703" s="1"/>
      <c r="R703" s="18"/>
      <c r="S703" s="1"/>
      <c r="T703" s="1"/>
      <c r="U703" s="1"/>
      <c r="V703" s="1"/>
      <c r="Z703" s="18"/>
      <c r="AD703" s="18"/>
      <c r="AH703" s="18"/>
      <c r="AL703" s="18"/>
      <c r="AM703" s="22"/>
      <c r="AN703" s="22"/>
      <c r="AO703" s="22"/>
      <c r="AP703" s="22"/>
      <c r="AQ703" s="22"/>
      <c r="AR703" s="22"/>
      <c r="AS703" s="22"/>
      <c r="AT703" s="22"/>
    </row>
    <row r="704" spans="7:46" ht="13">
      <c r="G704" s="34"/>
      <c r="J704" s="18"/>
      <c r="N704" s="18"/>
      <c r="O704" s="1"/>
      <c r="P704" s="1"/>
      <c r="Q704" s="1"/>
      <c r="R704" s="18"/>
      <c r="S704" s="1"/>
      <c r="T704" s="1"/>
      <c r="U704" s="1"/>
      <c r="V704" s="1"/>
      <c r="Z704" s="18"/>
      <c r="AD704" s="18"/>
      <c r="AH704" s="18"/>
      <c r="AL704" s="18"/>
      <c r="AM704" s="22"/>
      <c r="AN704" s="22"/>
      <c r="AO704" s="22"/>
      <c r="AP704" s="22"/>
      <c r="AQ704" s="22"/>
      <c r="AR704" s="22"/>
      <c r="AS704" s="22"/>
      <c r="AT704" s="22"/>
    </row>
    <row r="705" spans="7:46" ht="13">
      <c r="G705" s="34"/>
      <c r="J705" s="18"/>
      <c r="N705" s="18"/>
      <c r="O705" s="1"/>
      <c r="P705" s="1"/>
      <c r="Q705" s="1"/>
      <c r="R705" s="18"/>
      <c r="S705" s="1"/>
      <c r="T705" s="1"/>
      <c r="U705" s="1"/>
      <c r="V705" s="1"/>
      <c r="Z705" s="18"/>
      <c r="AD705" s="18"/>
      <c r="AH705" s="18"/>
      <c r="AL705" s="18"/>
      <c r="AM705" s="22"/>
      <c r="AN705" s="22"/>
      <c r="AO705" s="22"/>
      <c r="AP705" s="22"/>
      <c r="AQ705" s="22"/>
      <c r="AR705" s="22"/>
      <c r="AS705" s="22"/>
      <c r="AT705" s="22"/>
    </row>
    <row r="706" spans="7:46" ht="13">
      <c r="G706" s="34"/>
      <c r="J706" s="18"/>
      <c r="N706" s="18"/>
      <c r="O706" s="1"/>
      <c r="P706" s="1"/>
      <c r="Q706" s="1"/>
      <c r="R706" s="18"/>
      <c r="S706" s="1"/>
      <c r="T706" s="1"/>
      <c r="U706" s="1"/>
      <c r="V706" s="1"/>
      <c r="Z706" s="18"/>
      <c r="AD706" s="18"/>
      <c r="AH706" s="18"/>
      <c r="AL706" s="18"/>
      <c r="AM706" s="22"/>
      <c r="AN706" s="22"/>
      <c r="AO706" s="22"/>
      <c r="AP706" s="22"/>
      <c r="AQ706" s="22"/>
      <c r="AR706" s="22"/>
      <c r="AS706" s="22"/>
      <c r="AT706" s="22"/>
    </row>
    <row r="707" spans="7:46" ht="13">
      <c r="G707" s="34"/>
      <c r="J707" s="18"/>
      <c r="N707" s="18"/>
      <c r="O707" s="1"/>
      <c r="P707" s="1"/>
      <c r="Q707" s="1"/>
      <c r="R707" s="18"/>
      <c r="S707" s="1"/>
      <c r="T707" s="1"/>
      <c r="U707" s="1"/>
      <c r="V707" s="1"/>
      <c r="Z707" s="18"/>
      <c r="AD707" s="18"/>
      <c r="AH707" s="18"/>
      <c r="AL707" s="18"/>
      <c r="AM707" s="22"/>
      <c r="AN707" s="22"/>
      <c r="AO707" s="22"/>
      <c r="AP707" s="22"/>
      <c r="AQ707" s="22"/>
      <c r="AR707" s="22"/>
      <c r="AS707" s="22"/>
      <c r="AT707" s="22"/>
    </row>
    <row r="708" spans="7:46" ht="13">
      <c r="G708" s="34"/>
      <c r="J708" s="18"/>
      <c r="N708" s="18"/>
      <c r="O708" s="1"/>
      <c r="P708" s="1"/>
      <c r="Q708" s="1"/>
      <c r="R708" s="18"/>
      <c r="S708" s="1"/>
      <c r="T708" s="1"/>
      <c r="U708" s="1"/>
      <c r="V708" s="1"/>
      <c r="Z708" s="18"/>
      <c r="AD708" s="18"/>
      <c r="AH708" s="18"/>
      <c r="AL708" s="18"/>
      <c r="AM708" s="22"/>
      <c r="AN708" s="22"/>
      <c r="AO708" s="22"/>
      <c r="AP708" s="22"/>
      <c r="AQ708" s="22"/>
      <c r="AR708" s="22"/>
      <c r="AS708" s="22"/>
      <c r="AT708" s="22"/>
    </row>
    <row r="709" spans="7:46" ht="13">
      <c r="G709" s="34"/>
      <c r="J709" s="18"/>
      <c r="N709" s="18"/>
      <c r="O709" s="1"/>
      <c r="P709" s="1"/>
      <c r="Q709" s="1"/>
      <c r="R709" s="18"/>
      <c r="S709" s="1"/>
      <c r="T709" s="1"/>
      <c r="U709" s="1"/>
      <c r="V709" s="1"/>
      <c r="Z709" s="18"/>
      <c r="AD709" s="18"/>
      <c r="AH709" s="18"/>
      <c r="AL709" s="18"/>
      <c r="AM709" s="22"/>
      <c r="AN709" s="22"/>
      <c r="AO709" s="22"/>
      <c r="AP709" s="22"/>
      <c r="AQ709" s="22"/>
      <c r="AR709" s="22"/>
      <c r="AS709" s="22"/>
      <c r="AT709" s="22"/>
    </row>
    <row r="710" spans="7:46" ht="13">
      <c r="G710" s="34"/>
      <c r="J710" s="18"/>
      <c r="N710" s="18"/>
      <c r="O710" s="1"/>
      <c r="P710" s="1"/>
      <c r="Q710" s="1"/>
      <c r="R710" s="18"/>
      <c r="S710" s="1"/>
      <c r="T710" s="1"/>
      <c r="U710" s="1"/>
      <c r="V710" s="1"/>
      <c r="Z710" s="18"/>
      <c r="AD710" s="18"/>
      <c r="AH710" s="18"/>
      <c r="AL710" s="18"/>
      <c r="AM710" s="22"/>
      <c r="AN710" s="22"/>
      <c r="AO710" s="22"/>
      <c r="AP710" s="22"/>
      <c r="AQ710" s="22"/>
      <c r="AR710" s="22"/>
      <c r="AS710" s="22"/>
      <c r="AT710" s="22"/>
    </row>
    <row r="711" spans="7:46" ht="13">
      <c r="G711" s="34"/>
      <c r="J711" s="18"/>
      <c r="N711" s="18"/>
      <c r="O711" s="1"/>
      <c r="P711" s="1"/>
      <c r="Q711" s="1"/>
      <c r="R711" s="18"/>
      <c r="S711" s="1"/>
      <c r="T711" s="1"/>
      <c r="U711" s="1"/>
      <c r="V711" s="1"/>
      <c r="Z711" s="18"/>
      <c r="AD711" s="18"/>
      <c r="AH711" s="18"/>
      <c r="AL711" s="18"/>
      <c r="AM711" s="22"/>
      <c r="AN711" s="22"/>
      <c r="AO711" s="22"/>
      <c r="AP711" s="22"/>
      <c r="AQ711" s="22"/>
      <c r="AR711" s="22"/>
      <c r="AS711" s="22"/>
      <c r="AT711" s="22"/>
    </row>
    <row r="712" spans="7:46" ht="13">
      <c r="G712" s="34"/>
      <c r="J712" s="18"/>
      <c r="N712" s="18"/>
      <c r="O712" s="1"/>
      <c r="P712" s="1"/>
      <c r="Q712" s="1"/>
      <c r="R712" s="18"/>
      <c r="S712" s="1"/>
      <c r="T712" s="1"/>
      <c r="U712" s="1"/>
      <c r="V712" s="1"/>
      <c r="Z712" s="18"/>
      <c r="AD712" s="18"/>
      <c r="AH712" s="18"/>
      <c r="AL712" s="18"/>
      <c r="AM712" s="22"/>
      <c r="AN712" s="22"/>
      <c r="AO712" s="22"/>
      <c r="AP712" s="22"/>
      <c r="AQ712" s="22"/>
      <c r="AR712" s="22"/>
      <c r="AS712" s="22"/>
      <c r="AT712" s="22"/>
    </row>
    <row r="713" spans="7:46" ht="13">
      <c r="G713" s="34"/>
      <c r="J713" s="18"/>
      <c r="N713" s="18"/>
      <c r="O713" s="1"/>
      <c r="P713" s="1"/>
      <c r="Q713" s="1"/>
      <c r="R713" s="18"/>
      <c r="S713" s="1"/>
      <c r="T713" s="1"/>
      <c r="U713" s="1"/>
      <c r="V713" s="1"/>
      <c r="Z713" s="18"/>
      <c r="AD713" s="18"/>
      <c r="AH713" s="18"/>
      <c r="AL713" s="18"/>
      <c r="AM713" s="22"/>
      <c r="AN713" s="22"/>
      <c r="AO713" s="22"/>
      <c r="AP713" s="22"/>
      <c r="AQ713" s="22"/>
      <c r="AR713" s="22"/>
      <c r="AS713" s="22"/>
      <c r="AT713" s="22"/>
    </row>
    <row r="714" spans="7:46" ht="13">
      <c r="G714" s="34"/>
      <c r="J714" s="18"/>
      <c r="N714" s="18"/>
      <c r="O714" s="1"/>
      <c r="P714" s="1"/>
      <c r="Q714" s="1"/>
      <c r="R714" s="18"/>
      <c r="S714" s="1"/>
      <c r="T714" s="1"/>
      <c r="U714" s="1"/>
      <c r="V714" s="1"/>
      <c r="Z714" s="18"/>
      <c r="AD714" s="18"/>
      <c r="AH714" s="18"/>
      <c r="AL714" s="18"/>
      <c r="AM714" s="22"/>
      <c r="AN714" s="22"/>
      <c r="AO714" s="22"/>
      <c r="AP714" s="22"/>
      <c r="AQ714" s="22"/>
      <c r="AR714" s="22"/>
      <c r="AS714" s="22"/>
      <c r="AT714" s="22"/>
    </row>
    <row r="715" spans="7:46" ht="13">
      <c r="G715" s="34"/>
      <c r="J715" s="18"/>
      <c r="N715" s="18"/>
      <c r="O715" s="1"/>
      <c r="P715" s="1"/>
      <c r="Q715" s="1"/>
      <c r="R715" s="18"/>
      <c r="S715" s="1"/>
      <c r="T715" s="1"/>
      <c r="U715" s="1"/>
      <c r="V715" s="1"/>
      <c r="Z715" s="18"/>
      <c r="AD715" s="18"/>
      <c r="AH715" s="18"/>
      <c r="AL715" s="18"/>
      <c r="AM715" s="22"/>
      <c r="AN715" s="22"/>
      <c r="AO715" s="22"/>
      <c r="AP715" s="22"/>
      <c r="AQ715" s="22"/>
      <c r="AR715" s="22"/>
      <c r="AS715" s="22"/>
      <c r="AT715" s="22"/>
    </row>
    <row r="716" spans="7:46" ht="13">
      <c r="G716" s="34"/>
      <c r="J716" s="18"/>
      <c r="N716" s="18"/>
      <c r="O716" s="1"/>
      <c r="P716" s="1"/>
      <c r="Q716" s="1"/>
      <c r="R716" s="18"/>
      <c r="S716" s="1"/>
      <c r="T716" s="1"/>
      <c r="U716" s="1"/>
      <c r="V716" s="1"/>
      <c r="Z716" s="18"/>
      <c r="AD716" s="18"/>
      <c r="AH716" s="18"/>
      <c r="AL716" s="18"/>
      <c r="AM716" s="22"/>
      <c r="AN716" s="22"/>
      <c r="AO716" s="22"/>
      <c r="AP716" s="22"/>
      <c r="AQ716" s="22"/>
      <c r="AR716" s="22"/>
      <c r="AS716" s="22"/>
      <c r="AT716" s="22"/>
    </row>
    <row r="717" spans="7:46" ht="13">
      <c r="G717" s="34"/>
      <c r="J717" s="18"/>
      <c r="N717" s="18"/>
      <c r="O717" s="1"/>
      <c r="P717" s="1"/>
      <c r="Q717" s="1"/>
      <c r="R717" s="18"/>
      <c r="S717" s="1"/>
      <c r="T717" s="1"/>
      <c r="U717" s="1"/>
      <c r="V717" s="1"/>
      <c r="Z717" s="18"/>
      <c r="AD717" s="18"/>
      <c r="AH717" s="18"/>
      <c r="AL717" s="18"/>
      <c r="AM717" s="22"/>
      <c r="AN717" s="22"/>
      <c r="AO717" s="22"/>
      <c r="AP717" s="22"/>
      <c r="AQ717" s="22"/>
      <c r="AR717" s="22"/>
      <c r="AS717" s="22"/>
      <c r="AT717" s="22"/>
    </row>
    <row r="718" spans="7:46" ht="13">
      <c r="G718" s="34"/>
      <c r="J718" s="18"/>
      <c r="N718" s="18"/>
      <c r="O718" s="1"/>
      <c r="P718" s="1"/>
      <c r="Q718" s="1"/>
      <c r="R718" s="18"/>
      <c r="S718" s="1"/>
      <c r="T718" s="1"/>
      <c r="U718" s="1"/>
      <c r="V718" s="1"/>
      <c r="Z718" s="18"/>
      <c r="AD718" s="18"/>
      <c r="AH718" s="18"/>
      <c r="AL718" s="18"/>
      <c r="AM718" s="22"/>
      <c r="AN718" s="22"/>
      <c r="AO718" s="22"/>
      <c r="AP718" s="22"/>
      <c r="AQ718" s="22"/>
      <c r="AR718" s="22"/>
      <c r="AS718" s="22"/>
      <c r="AT718" s="22"/>
    </row>
    <row r="719" spans="7:46" ht="13">
      <c r="G719" s="34"/>
      <c r="J719" s="18"/>
      <c r="N719" s="18"/>
      <c r="O719" s="1"/>
      <c r="P719" s="1"/>
      <c r="Q719" s="1"/>
      <c r="R719" s="18"/>
      <c r="S719" s="1"/>
      <c r="T719" s="1"/>
      <c r="U719" s="1"/>
      <c r="V719" s="1"/>
      <c r="Z719" s="18"/>
      <c r="AD719" s="18"/>
      <c r="AH719" s="18"/>
      <c r="AL719" s="18"/>
      <c r="AM719" s="22"/>
      <c r="AN719" s="22"/>
      <c r="AO719" s="22"/>
      <c r="AP719" s="22"/>
      <c r="AQ719" s="22"/>
      <c r="AR719" s="22"/>
      <c r="AS719" s="22"/>
      <c r="AT719" s="22"/>
    </row>
    <row r="720" spans="7:46" ht="13">
      <c r="G720" s="34"/>
      <c r="J720" s="18"/>
      <c r="N720" s="18"/>
      <c r="O720" s="1"/>
      <c r="P720" s="1"/>
      <c r="Q720" s="1"/>
      <c r="R720" s="18"/>
      <c r="S720" s="1"/>
      <c r="T720" s="1"/>
      <c r="U720" s="1"/>
      <c r="V720" s="1"/>
      <c r="Z720" s="18"/>
      <c r="AD720" s="18"/>
      <c r="AH720" s="18"/>
      <c r="AL720" s="18"/>
      <c r="AM720" s="22"/>
      <c r="AN720" s="22"/>
      <c r="AO720" s="22"/>
      <c r="AP720" s="22"/>
      <c r="AQ720" s="22"/>
      <c r="AR720" s="22"/>
      <c r="AS720" s="22"/>
      <c r="AT720" s="22"/>
    </row>
    <row r="721" spans="7:46" ht="13">
      <c r="G721" s="34"/>
      <c r="J721" s="18"/>
      <c r="N721" s="18"/>
      <c r="O721" s="1"/>
      <c r="P721" s="1"/>
      <c r="Q721" s="1"/>
      <c r="R721" s="18"/>
      <c r="S721" s="1"/>
      <c r="T721" s="1"/>
      <c r="U721" s="1"/>
      <c r="V721" s="1"/>
      <c r="Z721" s="18"/>
      <c r="AD721" s="18"/>
      <c r="AH721" s="18"/>
      <c r="AL721" s="18"/>
      <c r="AM721" s="22"/>
      <c r="AN721" s="22"/>
      <c r="AO721" s="22"/>
      <c r="AP721" s="22"/>
      <c r="AQ721" s="22"/>
      <c r="AR721" s="22"/>
      <c r="AS721" s="22"/>
      <c r="AT721" s="22"/>
    </row>
    <row r="722" spans="7:46" ht="13">
      <c r="G722" s="34"/>
      <c r="J722" s="18"/>
      <c r="N722" s="18"/>
      <c r="O722" s="1"/>
      <c r="P722" s="1"/>
      <c r="Q722" s="1"/>
      <c r="R722" s="18"/>
      <c r="S722" s="1"/>
      <c r="T722" s="1"/>
      <c r="U722" s="1"/>
      <c r="V722" s="1"/>
      <c r="Z722" s="18"/>
      <c r="AD722" s="18"/>
      <c r="AH722" s="18"/>
      <c r="AL722" s="18"/>
      <c r="AM722" s="22"/>
      <c r="AN722" s="22"/>
      <c r="AO722" s="22"/>
      <c r="AP722" s="22"/>
      <c r="AQ722" s="22"/>
      <c r="AR722" s="22"/>
      <c r="AS722" s="22"/>
      <c r="AT722" s="22"/>
    </row>
    <row r="723" spans="7:46" ht="13">
      <c r="G723" s="34"/>
      <c r="J723" s="18"/>
      <c r="N723" s="18"/>
      <c r="O723" s="1"/>
      <c r="P723" s="1"/>
      <c r="Q723" s="1"/>
      <c r="R723" s="18"/>
      <c r="S723" s="1"/>
      <c r="T723" s="1"/>
      <c r="U723" s="1"/>
      <c r="V723" s="1"/>
      <c r="Z723" s="18"/>
      <c r="AD723" s="18"/>
      <c r="AH723" s="18"/>
      <c r="AL723" s="18"/>
      <c r="AM723" s="22"/>
      <c r="AN723" s="22"/>
      <c r="AO723" s="22"/>
      <c r="AP723" s="22"/>
      <c r="AQ723" s="22"/>
      <c r="AR723" s="22"/>
      <c r="AS723" s="22"/>
      <c r="AT723" s="22"/>
    </row>
    <row r="724" spans="7:46" ht="13">
      <c r="G724" s="34"/>
      <c r="J724" s="18"/>
      <c r="N724" s="18"/>
      <c r="O724" s="1"/>
      <c r="P724" s="1"/>
      <c r="Q724" s="1"/>
      <c r="R724" s="18"/>
      <c r="S724" s="1"/>
      <c r="T724" s="1"/>
      <c r="U724" s="1"/>
      <c r="V724" s="1"/>
      <c r="Z724" s="18"/>
      <c r="AD724" s="18"/>
      <c r="AH724" s="18"/>
      <c r="AL724" s="18"/>
      <c r="AM724" s="22"/>
      <c r="AN724" s="22"/>
      <c r="AO724" s="22"/>
      <c r="AP724" s="22"/>
      <c r="AQ724" s="22"/>
      <c r="AR724" s="22"/>
      <c r="AS724" s="22"/>
      <c r="AT724" s="22"/>
    </row>
    <row r="725" spans="7:46" ht="13">
      <c r="G725" s="34"/>
      <c r="J725" s="18"/>
      <c r="N725" s="18"/>
      <c r="O725" s="1"/>
      <c r="P725" s="1"/>
      <c r="Q725" s="1"/>
      <c r="R725" s="18"/>
      <c r="S725" s="1"/>
      <c r="T725" s="1"/>
      <c r="U725" s="1"/>
      <c r="V725" s="1"/>
      <c r="Z725" s="18"/>
      <c r="AD725" s="18"/>
      <c r="AH725" s="18"/>
      <c r="AL725" s="18"/>
      <c r="AM725" s="22"/>
      <c r="AN725" s="22"/>
      <c r="AO725" s="22"/>
      <c r="AP725" s="22"/>
      <c r="AQ725" s="22"/>
      <c r="AR725" s="22"/>
      <c r="AS725" s="22"/>
      <c r="AT725" s="22"/>
    </row>
    <row r="726" spans="7:46" ht="13">
      <c r="G726" s="34"/>
      <c r="J726" s="18"/>
      <c r="N726" s="18"/>
      <c r="O726" s="1"/>
      <c r="P726" s="1"/>
      <c r="Q726" s="1"/>
      <c r="R726" s="18"/>
      <c r="S726" s="1"/>
      <c r="T726" s="1"/>
      <c r="U726" s="1"/>
      <c r="V726" s="1"/>
      <c r="Z726" s="18"/>
      <c r="AD726" s="18"/>
      <c r="AH726" s="18"/>
      <c r="AL726" s="18"/>
      <c r="AM726" s="22"/>
      <c r="AN726" s="22"/>
      <c r="AO726" s="22"/>
      <c r="AP726" s="22"/>
      <c r="AQ726" s="22"/>
      <c r="AR726" s="22"/>
      <c r="AS726" s="22"/>
      <c r="AT726" s="22"/>
    </row>
    <row r="727" spans="7:46" ht="13">
      <c r="G727" s="34"/>
      <c r="J727" s="18"/>
      <c r="N727" s="18"/>
      <c r="O727" s="1"/>
      <c r="P727" s="1"/>
      <c r="Q727" s="1"/>
      <c r="R727" s="18"/>
      <c r="S727" s="1"/>
      <c r="T727" s="1"/>
      <c r="U727" s="1"/>
      <c r="V727" s="1"/>
      <c r="Z727" s="18"/>
      <c r="AD727" s="18"/>
      <c r="AH727" s="18"/>
      <c r="AL727" s="18"/>
      <c r="AM727" s="22"/>
      <c r="AN727" s="22"/>
      <c r="AO727" s="22"/>
      <c r="AP727" s="22"/>
      <c r="AQ727" s="22"/>
      <c r="AR727" s="22"/>
      <c r="AS727" s="22"/>
      <c r="AT727" s="22"/>
    </row>
    <row r="728" spans="7:46" ht="13">
      <c r="G728" s="34"/>
      <c r="J728" s="18"/>
      <c r="N728" s="18"/>
      <c r="O728" s="1"/>
      <c r="P728" s="1"/>
      <c r="Q728" s="1"/>
      <c r="R728" s="18"/>
      <c r="S728" s="1"/>
      <c r="T728" s="1"/>
      <c r="U728" s="1"/>
      <c r="V728" s="1"/>
      <c r="Z728" s="18"/>
      <c r="AD728" s="18"/>
      <c r="AH728" s="18"/>
      <c r="AL728" s="18"/>
      <c r="AM728" s="22"/>
      <c r="AN728" s="22"/>
      <c r="AO728" s="22"/>
      <c r="AP728" s="22"/>
      <c r="AQ728" s="22"/>
      <c r="AR728" s="22"/>
      <c r="AS728" s="22"/>
      <c r="AT728" s="22"/>
    </row>
    <row r="729" spans="7:46" ht="13">
      <c r="G729" s="34"/>
      <c r="J729" s="18"/>
      <c r="N729" s="18"/>
      <c r="O729" s="1"/>
      <c r="P729" s="1"/>
      <c r="Q729" s="1"/>
      <c r="R729" s="18"/>
      <c r="S729" s="1"/>
      <c r="T729" s="1"/>
      <c r="U729" s="1"/>
      <c r="V729" s="1"/>
      <c r="Z729" s="18"/>
      <c r="AD729" s="18"/>
      <c r="AH729" s="18"/>
      <c r="AL729" s="18"/>
      <c r="AM729" s="22"/>
      <c r="AN729" s="22"/>
      <c r="AO729" s="22"/>
      <c r="AP729" s="22"/>
      <c r="AQ729" s="22"/>
      <c r="AR729" s="22"/>
      <c r="AS729" s="22"/>
      <c r="AT729" s="22"/>
    </row>
    <row r="730" spans="7:46" ht="13">
      <c r="G730" s="34"/>
      <c r="J730" s="18"/>
      <c r="N730" s="18"/>
      <c r="O730" s="1"/>
      <c r="P730" s="1"/>
      <c r="Q730" s="1"/>
      <c r="R730" s="18"/>
      <c r="S730" s="1"/>
      <c r="T730" s="1"/>
      <c r="U730" s="1"/>
      <c r="V730" s="1"/>
      <c r="Z730" s="18"/>
      <c r="AD730" s="18"/>
      <c r="AH730" s="18"/>
      <c r="AL730" s="18"/>
      <c r="AM730" s="22"/>
      <c r="AN730" s="22"/>
      <c r="AO730" s="22"/>
      <c r="AP730" s="22"/>
      <c r="AQ730" s="22"/>
      <c r="AR730" s="22"/>
      <c r="AS730" s="22"/>
      <c r="AT730" s="22"/>
    </row>
    <row r="731" spans="7:46" ht="13">
      <c r="G731" s="34"/>
      <c r="J731" s="18"/>
      <c r="N731" s="18"/>
      <c r="O731" s="1"/>
      <c r="P731" s="1"/>
      <c r="Q731" s="1"/>
      <c r="R731" s="18"/>
      <c r="S731" s="1"/>
      <c r="T731" s="1"/>
      <c r="U731" s="1"/>
      <c r="V731" s="1"/>
      <c r="Z731" s="18"/>
      <c r="AD731" s="18"/>
      <c r="AH731" s="18"/>
      <c r="AL731" s="18"/>
      <c r="AM731" s="22"/>
      <c r="AN731" s="22"/>
      <c r="AO731" s="22"/>
      <c r="AP731" s="22"/>
      <c r="AQ731" s="22"/>
      <c r="AR731" s="22"/>
      <c r="AS731" s="22"/>
      <c r="AT731" s="22"/>
    </row>
    <row r="732" spans="7:46" ht="13">
      <c r="G732" s="34"/>
      <c r="J732" s="18"/>
      <c r="N732" s="18"/>
      <c r="O732" s="1"/>
      <c r="P732" s="1"/>
      <c r="Q732" s="1"/>
      <c r="R732" s="18"/>
      <c r="S732" s="1"/>
      <c r="T732" s="1"/>
      <c r="U732" s="1"/>
      <c r="V732" s="1"/>
      <c r="Z732" s="18"/>
      <c r="AD732" s="18"/>
      <c r="AH732" s="18"/>
      <c r="AL732" s="18"/>
      <c r="AM732" s="22"/>
      <c r="AN732" s="22"/>
      <c r="AO732" s="22"/>
      <c r="AP732" s="22"/>
      <c r="AQ732" s="22"/>
      <c r="AR732" s="22"/>
      <c r="AS732" s="22"/>
      <c r="AT732" s="22"/>
    </row>
    <row r="733" spans="7:46" ht="13">
      <c r="G733" s="34"/>
      <c r="J733" s="18"/>
      <c r="N733" s="18"/>
      <c r="O733" s="1"/>
      <c r="P733" s="1"/>
      <c r="Q733" s="1"/>
      <c r="R733" s="18"/>
      <c r="S733" s="1"/>
      <c r="T733" s="1"/>
      <c r="U733" s="1"/>
      <c r="V733" s="1"/>
      <c r="Z733" s="18"/>
      <c r="AD733" s="18"/>
      <c r="AH733" s="18"/>
      <c r="AL733" s="18"/>
      <c r="AM733" s="22"/>
      <c r="AN733" s="22"/>
      <c r="AO733" s="22"/>
      <c r="AP733" s="22"/>
      <c r="AQ733" s="22"/>
      <c r="AR733" s="22"/>
      <c r="AS733" s="22"/>
      <c r="AT733" s="22"/>
    </row>
    <row r="734" spans="7:46" ht="13">
      <c r="G734" s="34"/>
      <c r="J734" s="18"/>
      <c r="N734" s="18"/>
      <c r="O734" s="1"/>
      <c r="P734" s="1"/>
      <c r="Q734" s="1"/>
      <c r="R734" s="18"/>
      <c r="S734" s="1"/>
      <c r="T734" s="1"/>
      <c r="U734" s="1"/>
      <c r="V734" s="1"/>
      <c r="Z734" s="18"/>
      <c r="AD734" s="18"/>
      <c r="AH734" s="18"/>
      <c r="AL734" s="18"/>
      <c r="AM734" s="22"/>
      <c r="AN734" s="22"/>
      <c r="AO734" s="22"/>
      <c r="AP734" s="22"/>
      <c r="AQ734" s="22"/>
      <c r="AR734" s="22"/>
      <c r="AS734" s="22"/>
      <c r="AT734" s="22"/>
    </row>
    <row r="735" spans="7:46" ht="13">
      <c r="G735" s="34"/>
      <c r="J735" s="18"/>
      <c r="N735" s="18"/>
      <c r="O735" s="1"/>
      <c r="P735" s="1"/>
      <c r="Q735" s="1"/>
      <c r="R735" s="18"/>
      <c r="S735" s="1"/>
      <c r="T735" s="1"/>
      <c r="U735" s="1"/>
      <c r="V735" s="1"/>
      <c r="Z735" s="18"/>
      <c r="AD735" s="18"/>
      <c r="AH735" s="18"/>
      <c r="AL735" s="18"/>
      <c r="AM735" s="22"/>
      <c r="AN735" s="22"/>
      <c r="AO735" s="22"/>
      <c r="AP735" s="22"/>
      <c r="AQ735" s="22"/>
      <c r="AR735" s="22"/>
      <c r="AS735" s="22"/>
      <c r="AT735" s="22"/>
    </row>
    <row r="736" spans="7:46" ht="13">
      <c r="G736" s="34"/>
      <c r="J736" s="18"/>
      <c r="N736" s="18"/>
      <c r="O736" s="1"/>
      <c r="P736" s="1"/>
      <c r="Q736" s="1"/>
      <c r="R736" s="18"/>
      <c r="S736" s="1"/>
      <c r="T736" s="1"/>
      <c r="U736" s="1"/>
      <c r="V736" s="1"/>
      <c r="Z736" s="18"/>
      <c r="AD736" s="18"/>
      <c r="AH736" s="18"/>
      <c r="AL736" s="18"/>
      <c r="AM736" s="22"/>
      <c r="AN736" s="22"/>
      <c r="AO736" s="22"/>
      <c r="AP736" s="22"/>
      <c r="AQ736" s="22"/>
      <c r="AR736" s="22"/>
      <c r="AS736" s="22"/>
      <c r="AT736" s="22"/>
    </row>
    <row r="737" spans="7:46" ht="13">
      <c r="G737" s="34"/>
      <c r="J737" s="18"/>
      <c r="N737" s="18"/>
      <c r="O737" s="1"/>
      <c r="P737" s="1"/>
      <c r="Q737" s="1"/>
      <c r="R737" s="18"/>
      <c r="S737" s="1"/>
      <c r="T737" s="1"/>
      <c r="U737" s="1"/>
      <c r="V737" s="1"/>
      <c r="Z737" s="18"/>
      <c r="AD737" s="18"/>
      <c r="AH737" s="18"/>
      <c r="AL737" s="18"/>
      <c r="AM737" s="22"/>
      <c r="AN737" s="22"/>
      <c r="AO737" s="22"/>
      <c r="AP737" s="22"/>
      <c r="AQ737" s="22"/>
      <c r="AR737" s="22"/>
      <c r="AS737" s="22"/>
      <c r="AT737" s="22"/>
    </row>
    <row r="738" spans="7:46" ht="13">
      <c r="G738" s="34"/>
      <c r="J738" s="18"/>
      <c r="N738" s="18"/>
      <c r="O738" s="1"/>
      <c r="P738" s="1"/>
      <c r="Q738" s="1"/>
      <c r="R738" s="18"/>
      <c r="S738" s="1"/>
      <c r="T738" s="1"/>
      <c r="U738" s="1"/>
      <c r="V738" s="1"/>
      <c r="Z738" s="18"/>
      <c r="AD738" s="18"/>
      <c r="AH738" s="18"/>
      <c r="AL738" s="18"/>
      <c r="AM738" s="22"/>
      <c r="AN738" s="22"/>
      <c r="AO738" s="22"/>
      <c r="AP738" s="22"/>
      <c r="AQ738" s="22"/>
      <c r="AR738" s="22"/>
      <c r="AS738" s="22"/>
      <c r="AT738" s="22"/>
    </row>
    <row r="739" spans="7:46" ht="13">
      <c r="G739" s="34"/>
      <c r="J739" s="18"/>
      <c r="N739" s="18"/>
      <c r="O739" s="1"/>
      <c r="P739" s="1"/>
      <c r="Q739" s="1"/>
      <c r="R739" s="18"/>
      <c r="S739" s="1"/>
      <c r="T739" s="1"/>
      <c r="U739" s="1"/>
      <c r="V739" s="1"/>
      <c r="Z739" s="18"/>
      <c r="AD739" s="18"/>
      <c r="AH739" s="18"/>
      <c r="AL739" s="18"/>
      <c r="AM739" s="22"/>
      <c r="AN739" s="22"/>
      <c r="AO739" s="22"/>
      <c r="AP739" s="22"/>
      <c r="AQ739" s="22"/>
      <c r="AR739" s="22"/>
      <c r="AS739" s="22"/>
      <c r="AT739" s="22"/>
    </row>
    <row r="740" spans="7:46" ht="13">
      <c r="G740" s="34"/>
      <c r="J740" s="18"/>
      <c r="N740" s="18"/>
      <c r="O740" s="1"/>
      <c r="P740" s="1"/>
      <c r="Q740" s="1"/>
      <c r="R740" s="18"/>
      <c r="S740" s="1"/>
      <c r="T740" s="1"/>
      <c r="U740" s="1"/>
      <c r="V740" s="1"/>
      <c r="Z740" s="18"/>
      <c r="AD740" s="18"/>
      <c r="AH740" s="18"/>
      <c r="AL740" s="18"/>
      <c r="AM740" s="22"/>
      <c r="AN740" s="22"/>
      <c r="AO740" s="22"/>
      <c r="AP740" s="22"/>
      <c r="AQ740" s="22"/>
      <c r="AR740" s="22"/>
      <c r="AS740" s="22"/>
      <c r="AT740" s="22"/>
    </row>
    <row r="741" spans="7:46" ht="13">
      <c r="G741" s="34"/>
      <c r="J741" s="18"/>
      <c r="N741" s="18"/>
      <c r="O741" s="1"/>
      <c r="P741" s="1"/>
      <c r="Q741" s="1"/>
      <c r="R741" s="18"/>
      <c r="S741" s="1"/>
      <c r="T741" s="1"/>
      <c r="U741" s="1"/>
      <c r="V741" s="1"/>
      <c r="Z741" s="18"/>
      <c r="AD741" s="18"/>
      <c r="AH741" s="18"/>
      <c r="AL741" s="18"/>
      <c r="AM741" s="22"/>
      <c r="AN741" s="22"/>
      <c r="AO741" s="22"/>
      <c r="AP741" s="22"/>
      <c r="AQ741" s="22"/>
      <c r="AR741" s="22"/>
      <c r="AS741" s="22"/>
      <c r="AT741" s="22"/>
    </row>
    <row r="742" spans="7:46" ht="13">
      <c r="G742" s="34"/>
      <c r="J742" s="18"/>
      <c r="N742" s="18"/>
      <c r="O742" s="1"/>
      <c r="P742" s="1"/>
      <c r="Q742" s="1"/>
      <c r="R742" s="18"/>
      <c r="S742" s="1"/>
      <c r="T742" s="1"/>
      <c r="U742" s="1"/>
      <c r="V742" s="1"/>
      <c r="Z742" s="18"/>
      <c r="AD742" s="18"/>
      <c r="AH742" s="18"/>
      <c r="AL742" s="18"/>
      <c r="AM742" s="22"/>
      <c r="AN742" s="22"/>
      <c r="AO742" s="22"/>
      <c r="AP742" s="22"/>
      <c r="AQ742" s="22"/>
      <c r="AR742" s="22"/>
      <c r="AS742" s="22"/>
      <c r="AT742" s="22"/>
    </row>
    <row r="743" spans="7:46" ht="13">
      <c r="G743" s="34"/>
      <c r="J743" s="18"/>
      <c r="N743" s="18"/>
      <c r="O743" s="1"/>
      <c r="P743" s="1"/>
      <c r="Q743" s="1"/>
      <c r="R743" s="18"/>
      <c r="S743" s="1"/>
      <c r="T743" s="1"/>
      <c r="U743" s="1"/>
      <c r="V743" s="1"/>
      <c r="Z743" s="18"/>
      <c r="AD743" s="18"/>
      <c r="AH743" s="18"/>
      <c r="AL743" s="18"/>
      <c r="AM743" s="22"/>
      <c r="AN743" s="22"/>
      <c r="AO743" s="22"/>
      <c r="AP743" s="22"/>
      <c r="AQ743" s="22"/>
      <c r="AR743" s="22"/>
      <c r="AS743" s="22"/>
      <c r="AT743" s="22"/>
    </row>
    <row r="744" spans="7:46" ht="13">
      <c r="G744" s="34"/>
      <c r="J744" s="18"/>
      <c r="N744" s="18"/>
      <c r="O744" s="1"/>
      <c r="P744" s="1"/>
      <c r="Q744" s="1"/>
      <c r="R744" s="18"/>
      <c r="S744" s="1"/>
      <c r="T744" s="1"/>
      <c r="U744" s="1"/>
      <c r="V744" s="1"/>
      <c r="Z744" s="18"/>
      <c r="AD744" s="18"/>
      <c r="AH744" s="18"/>
      <c r="AL744" s="18"/>
      <c r="AM744" s="22"/>
      <c r="AN744" s="22"/>
      <c r="AO744" s="22"/>
      <c r="AP744" s="22"/>
      <c r="AQ744" s="22"/>
      <c r="AR744" s="22"/>
      <c r="AS744" s="22"/>
      <c r="AT744" s="22"/>
    </row>
    <row r="745" spans="7:46" ht="13">
      <c r="G745" s="34"/>
      <c r="J745" s="18"/>
      <c r="N745" s="18"/>
      <c r="O745" s="1"/>
      <c r="P745" s="1"/>
      <c r="Q745" s="1"/>
      <c r="R745" s="18"/>
      <c r="S745" s="1"/>
      <c r="T745" s="1"/>
      <c r="U745" s="1"/>
      <c r="V745" s="1"/>
      <c r="Z745" s="18"/>
      <c r="AD745" s="18"/>
      <c r="AH745" s="18"/>
      <c r="AL745" s="18"/>
      <c r="AM745" s="22"/>
      <c r="AN745" s="22"/>
      <c r="AO745" s="22"/>
      <c r="AP745" s="22"/>
      <c r="AQ745" s="22"/>
      <c r="AR745" s="22"/>
      <c r="AS745" s="22"/>
      <c r="AT745" s="22"/>
    </row>
    <row r="746" spans="7:46" ht="13">
      <c r="G746" s="34"/>
      <c r="J746" s="18"/>
      <c r="N746" s="18"/>
      <c r="O746" s="1"/>
      <c r="P746" s="1"/>
      <c r="Q746" s="1"/>
      <c r="R746" s="18"/>
      <c r="S746" s="1"/>
      <c r="T746" s="1"/>
      <c r="U746" s="1"/>
      <c r="V746" s="1"/>
      <c r="Z746" s="18"/>
      <c r="AD746" s="18"/>
      <c r="AH746" s="18"/>
      <c r="AL746" s="18"/>
      <c r="AM746" s="22"/>
      <c r="AN746" s="22"/>
      <c r="AO746" s="22"/>
      <c r="AP746" s="22"/>
      <c r="AQ746" s="22"/>
      <c r="AR746" s="22"/>
      <c r="AS746" s="22"/>
      <c r="AT746" s="22"/>
    </row>
    <row r="747" spans="7:46" ht="13">
      <c r="G747" s="34"/>
      <c r="J747" s="18"/>
      <c r="N747" s="18"/>
      <c r="O747" s="1"/>
      <c r="P747" s="1"/>
      <c r="Q747" s="1"/>
      <c r="R747" s="18"/>
      <c r="S747" s="1"/>
      <c r="T747" s="1"/>
      <c r="U747" s="1"/>
      <c r="V747" s="1"/>
      <c r="Z747" s="18"/>
      <c r="AD747" s="18"/>
      <c r="AH747" s="18"/>
      <c r="AL747" s="18"/>
      <c r="AM747" s="22"/>
      <c r="AN747" s="22"/>
      <c r="AO747" s="22"/>
      <c r="AP747" s="22"/>
      <c r="AQ747" s="22"/>
      <c r="AR747" s="22"/>
      <c r="AS747" s="22"/>
      <c r="AT747" s="22"/>
    </row>
    <row r="748" spans="7:46" ht="13">
      <c r="G748" s="34"/>
      <c r="J748" s="18"/>
      <c r="N748" s="18"/>
      <c r="O748" s="1"/>
      <c r="P748" s="1"/>
      <c r="Q748" s="1"/>
      <c r="R748" s="18"/>
      <c r="S748" s="1"/>
      <c r="T748" s="1"/>
      <c r="U748" s="1"/>
      <c r="V748" s="1"/>
      <c r="Z748" s="18"/>
      <c r="AD748" s="18"/>
      <c r="AH748" s="18"/>
      <c r="AL748" s="18"/>
      <c r="AM748" s="22"/>
      <c r="AN748" s="22"/>
      <c r="AO748" s="22"/>
      <c r="AP748" s="22"/>
      <c r="AQ748" s="22"/>
      <c r="AR748" s="22"/>
      <c r="AS748" s="22"/>
      <c r="AT748" s="22"/>
    </row>
    <row r="749" spans="7:46" ht="13">
      <c r="G749" s="34"/>
      <c r="J749" s="18"/>
      <c r="N749" s="18"/>
      <c r="O749" s="1"/>
      <c r="P749" s="1"/>
      <c r="Q749" s="1"/>
      <c r="R749" s="18"/>
      <c r="S749" s="1"/>
      <c r="T749" s="1"/>
      <c r="U749" s="1"/>
      <c r="V749" s="1"/>
      <c r="Z749" s="18"/>
      <c r="AD749" s="18"/>
      <c r="AH749" s="18"/>
      <c r="AL749" s="18"/>
      <c r="AM749" s="22"/>
      <c r="AN749" s="22"/>
      <c r="AO749" s="22"/>
      <c r="AP749" s="22"/>
      <c r="AQ749" s="22"/>
      <c r="AR749" s="22"/>
      <c r="AS749" s="22"/>
      <c r="AT749" s="22"/>
    </row>
    <row r="750" spans="7:46" ht="13">
      <c r="G750" s="34"/>
      <c r="J750" s="18"/>
      <c r="N750" s="18"/>
      <c r="O750" s="1"/>
      <c r="P750" s="1"/>
      <c r="Q750" s="1"/>
      <c r="R750" s="18"/>
      <c r="S750" s="1"/>
      <c r="T750" s="1"/>
      <c r="U750" s="1"/>
      <c r="V750" s="1"/>
      <c r="Z750" s="18"/>
      <c r="AD750" s="18"/>
      <c r="AH750" s="18"/>
      <c r="AL750" s="18"/>
      <c r="AM750" s="22"/>
      <c r="AN750" s="22"/>
      <c r="AO750" s="22"/>
      <c r="AP750" s="22"/>
      <c r="AQ750" s="22"/>
      <c r="AR750" s="22"/>
      <c r="AS750" s="22"/>
      <c r="AT750" s="22"/>
    </row>
    <row r="751" spans="7:46" ht="13">
      <c r="G751" s="34"/>
      <c r="J751" s="18"/>
      <c r="N751" s="18"/>
      <c r="O751" s="1"/>
      <c r="P751" s="1"/>
      <c r="Q751" s="1"/>
      <c r="R751" s="18"/>
      <c r="S751" s="1"/>
      <c r="T751" s="1"/>
      <c r="U751" s="1"/>
      <c r="V751" s="1"/>
      <c r="Z751" s="18"/>
      <c r="AD751" s="18"/>
      <c r="AH751" s="18"/>
      <c r="AL751" s="18"/>
      <c r="AM751" s="22"/>
      <c r="AN751" s="22"/>
      <c r="AO751" s="22"/>
      <c r="AP751" s="22"/>
      <c r="AQ751" s="22"/>
      <c r="AR751" s="22"/>
      <c r="AS751" s="22"/>
      <c r="AT751" s="22"/>
    </row>
    <row r="752" spans="7:46" ht="13">
      <c r="G752" s="34"/>
      <c r="J752" s="18"/>
      <c r="N752" s="18"/>
      <c r="O752" s="1"/>
      <c r="P752" s="1"/>
      <c r="Q752" s="1"/>
      <c r="R752" s="18"/>
      <c r="S752" s="1"/>
      <c r="T752" s="1"/>
      <c r="U752" s="1"/>
      <c r="V752" s="1"/>
      <c r="Z752" s="18"/>
      <c r="AD752" s="18"/>
      <c r="AH752" s="18"/>
      <c r="AL752" s="18"/>
      <c r="AM752" s="22"/>
      <c r="AN752" s="22"/>
      <c r="AO752" s="22"/>
      <c r="AP752" s="22"/>
      <c r="AQ752" s="22"/>
      <c r="AR752" s="22"/>
      <c r="AS752" s="22"/>
      <c r="AT752" s="22"/>
    </row>
    <row r="753" spans="7:46" ht="13">
      <c r="G753" s="34"/>
      <c r="J753" s="18"/>
      <c r="N753" s="18"/>
      <c r="O753" s="1"/>
      <c r="P753" s="1"/>
      <c r="Q753" s="1"/>
      <c r="R753" s="18"/>
      <c r="S753" s="1"/>
      <c r="T753" s="1"/>
      <c r="U753" s="1"/>
      <c r="V753" s="1"/>
      <c r="Z753" s="18"/>
      <c r="AD753" s="18"/>
      <c r="AH753" s="18"/>
      <c r="AL753" s="18"/>
      <c r="AM753" s="22"/>
      <c r="AN753" s="22"/>
      <c r="AO753" s="22"/>
      <c r="AP753" s="22"/>
      <c r="AQ753" s="22"/>
      <c r="AR753" s="22"/>
      <c r="AS753" s="22"/>
      <c r="AT753" s="22"/>
    </row>
    <row r="754" spans="7:46" ht="13">
      <c r="G754" s="34"/>
      <c r="J754" s="18"/>
      <c r="N754" s="18"/>
      <c r="O754" s="1"/>
      <c r="P754" s="1"/>
      <c r="Q754" s="1"/>
      <c r="R754" s="18"/>
      <c r="S754" s="1"/>
      <c r="T754" s="1"/>
      <c r="U754" s="1"/>
      <c r="V754" s="1"/>
      <c r="Z754" s="18"/>
      <c r="AD754" s="18"/>
      <c r="AH754" s="18"/>
      <c r="AL754" s="18"/>
      <c r="AM754" s="22"/>
      <c r="AN754" s="22"/>
      <c r="AO754" s="22"/>
      <c r="AP754" s="22"/>
      <c r="AQ754" s="22"/>
      <c r="AR754" s="22"/>
      <c r="AS754" s="22"/>
      <c r="AT754" s="22"/>
    </row>
    <row r="755" spans="7:46" ht="13">
      <c r="G755" s="34"/>
      <c r="J755" s="18"/>
      <c r="N755" s="18"/>
      <c r="O755" s="1"/>
      <c r="P755" s="1"/>
      <c r="Q755" s="1"/>
      <c r="R755" s="18"/>
      <c r="S755" s="1"/>
      <c r="T755" s="1"/>
      <c r="U755" s="1"/>
      <c r="V755" s="1"/>
      <c r="Z755" s="18"/>
      <c r="AD755" s="18"/>
      <c r="AH755" s="18"/>
      <c r="AL755" s="18"/>
      <c r="AM755" s="22"/>
      <c r="AN755" s="22"/>
      <c r="AO755" s="22"/>
      <c r="AP755" s="22"/>
      <c r="AQ755" s="22"/>
      <c r="AR755" s="22"/>
      <c r="AS755" s="22"/>
      <c r="AT755" s="22"/>
    </row>
    <row r="756" spans="7:46" ht="13">
      <c r="G756" s="34"/>
      <c r="J756" s="18"/>
      <c r="N756" s="18"/>
      <c r="O756" s="1"/>
      <c r="P756" s="1"/>
      <c r="Q756" s="1"/>
      <c r="R756" s="18"/>
      <c r="S756" s="1"/>
      <c r="T756" s="1"/>
      <c r="U756" s="1"/>
      <c r="V756" s="1"/>
      <c r="Z756" s="18"/>
      <c r="AD756" s="18"/>
      <c r="AH756" s="18"/>
      <c r="AL756" s="18"/>
      <c r="AM756" s="22"/>
      <c r="AN756" s="22"/>
      <c r="AO756" s="22"/>
      <c r="AP756" s="22"/>
      <c r="AQ756" s="22"/>
      <c r="AR756" s="22"/>
      <c r="AS756" s="22"/>
      <c r="AT756" s="22"/>
    </row>
    <row r="757" spans="7:46" ht="13">
      <c r="G757" s="34"/>
      <c r="J757" s="18"/>
      <c r="N757" s="18"/>
      <c r="O757" s="1"/>
      <c r="P757" s="1"/>
      <c r="Q757" s="1"/>
      <c r="R757" s="18"/>
      <c r="S757" s="1"/>
      <c r="T757" s="1"/>
      <c r="U757" s="1"/>
      <c r="V757" s="1"/>
      <c r="Z757" s="18"/>
      <c r="AD757" s="18"/>
      <c r="AH757" s="18"/>
      <c r="AL757" s="18"/>
      <c r="AM757" s="22"/>
      <c r="AN757" s="22"/>
      <c r="AO757" s="22"/>
      <c r="AP757" s="22"/>
      <c r="AQ757" s="22"/>
      <c r="AR757" s="22"/>
      <c r="AS757" s="22"/>
      <c r="AT757" s="22"/>
    </row>
    <row r="758" spans="7:46" ht="13">
      <c r="G758" s="34"/>
      <c r="J758" s="18"/>
      <c r="N758" s="18"/>
      <c r="O758" s="1"/>
      <c r="P758" s="1"/>
      <c r="Q758" s="1"/>
      <c r="R758" s="18"/>
      <c r="S758" s="1"/>
      <c r="T758" s="1"/>
      <c r="U758" s="1"/>
      <c r="V758" s="1"/>
      <c r="Z758" s="18"/>
      <c r="AD758" s="18"/>
      <c r="AH758" s="18"/>
      <c r="AL758" s="18"/>
      <c r="AM758" s="22"/>
      <c r="AN758" s="22"/>
      <c r="AO758" s="22"/>
      <c r="AP758" s="22"/>
      <c r="AQ758" s="22"/>
      <c r="AR758" s="22"/>
      <c r="AS758" s="22"/>
      <c r="AT758" s="22"/>
    </row>
    <row r="759" spans="7:46" ht="13">
      <c r="G759" s="34"/>
      <c r="J759" s="18"/>
      <c r="N759" s="18"/>
      <c r="O759" s="1"/>
      <c r="P759" s="1"/>
      <c r="Q759" s="1"/>
      <c r="R759" s="18"/>
      <c r="S759" s="1"/>
      <c r="T759" s="1"/>
      <c r="U759" s="1"/>
      <c r="V759" s="1"/>
      <c r="Z759" s="18"/>
      <c r="AD759" s="18"/>
      <c r="AH759" s="18"/>
      <c r="AL759" s="18"/>
      <c r="AM759" s="22"/>
      <c r="AN759" s="22"/>
      <c r="AO759" s="22"/>
      <c r="AP759" s="22"/>
      <c r="AQ759" s="22"/>
      <c r="AR759" s="22"/>
      <c r="AS759" s="22"/>
      <c r="AT759" s="22"/>
    </row>
    <row r="760" spans="7:46" ht="13">
      <c r="G760" s="34"/>
      <c r="J760" s="18"/>
      <c r="N760" s="18"/>
      <c r="O760" s="1"/>
      <c r="P760" s="1"/>
      <c r="Q760" s="1"/>
      <c r="R760" s="18"/>
      <c r="S760" s="1"/>
      <c r="T760" s="1"/>
      <c r="U760" s="1"/>
      <c r="V760" s="1"/>
      <c r="Z760" s="18"/>
      <c r="AD760" s="18"/>
      <c r="AH760" s="18"/>
      <c r="AL760" s="18"/>
      <c r="AM760" s="22"/>
      <c r="AN760" s="22"/>
      <c r="AO760" s="22"/>
      <c r="AP760" s="22"/>
      <c r="AQ760" s="22"/>
      <c r="AR760" s="22"/>
      <c r="AS760" s="22"/>
      <c r="AT760" s="22"/>
    </row>
    <row r="761" spans="7:46" ht="13">
      <c r="G761" s="34"/>
      <c r="J761" s="18"/>
      <c r="N761" s="18"/>
      <c r="O761" s="1"/>
      <c r="P761" s="1"/>
      <c r="Q761" s="1"/>
      <c r="R761" s="18"/>
      <c r="S761" s="1"/>
      <c r="T761" s="1"/>
      <c r="U761" s="1"/>
      <c r="V761" s="1"/>
      <c r="Z761" s="18"/>
      <c r="AD761" s="18"/>
      <c r="AH761" s="18"/>
      <c r="AL761" s="18"/>
      <c r="AM761" s="22"/>
      <c r="AN761" s="22"/>
      <c r="AO761" s="22"/>
      <c r="AP761" s="22"/>
      <c r="AQ761" s="22"/>
      <c r="AR761" s="22"/>
      <c r="AS761" s="22"/>
      <c r="AT761" s="22"/>
    </row>
    <row r="762" spans="7:46" ht="13">
      <c r="G762" s="34"/>
      <c r="J762" s="18"/>
      <c r="N762" s="18"/>
      <c r="O762" s="1"/>
      <c r="P762" s="1"/>
      <c r="Q762" s="1"/>
      <c r="R762" s="18"/>
      <c r="S762" s="1"/>
      <c r="T762" s="1"/>
      <c r="U762" s="1"/>
      <c r="V762" s="1"/>
      <c r="Z762" s="18"/>
      <c r="AD762" s="18"/>
      <c r="AH762" s="18"/>
      <c r="AL762" s="18"/>
      <c r="AM762" s="22"/>
      <c r="AN762" s="22"/>
      <c r="AO762" s="22"/>
      <c r="AP762" s="22"/>
      <c r="AQ762" s="22"/>
      <c r="AR762" s="22"/>
      <c r="AS762" s="22"/>
      <c r="AT762" s="22"/>
    </row>
    <row r="763" spans="7:46" ht="13">
      <c r="G763" s="34"/>
      <c r="J763" s="18"/>
      <c r="N763" s="18"/>
      <c r="O763" s="1"/>
      <c r="P763" s="1"/>
      <c r="Q763" s="1"/>
      <c r="R763" s="18"/>
      <c r="S763" s="1"/>
      <c r="T763" s="1"/>
      <c r="U763" s="1"/>
      <c r="V763" s="1"/>
      <c r="Z763" s="18"/>
      <c r="AD763" s="18"/>
      <c r="AH763" s="18"/>
      <c r="AL763" s="18"/>
      <c r="AM763" s="22"/>
      <c r="AN763" s="22"/>
      <c r="AO763" s="22"/>
      <c r="AP763" s="22"/>
      <c r="AQ763" s="22"/>
      <c r="AR763" s="22"/>
      <c r="AS763" s="22"/>
      <c r="AT763" s="22"/>
    </row>
    <row r="764" spans="7:46" ht="13">
      <c r="G764" s="34"/>
      <c r="J764" s="18"/>
      <c r="N764" s="18"/>
      <c r="O764" s="1"/>
      <c r="P764" s="1"/>
      <c r="Q764" s="1"/>
      <c r="R764" s="18"/>
      <c r="S764" s="1"/>
      <c r="T764" s="1"/>
      <c r="U764" s="1"/>
      <c r="V764" s="1"/>
      <c r="Z764" s="18"/>
      <c r="AD764" s="18"/>
      <c r="AH764" s="18"/>
      <c r="AL764" s="18"/>
      <c r="AM764" s="22"/>
      <c r="AN764" s="22"/>
      <c r="AO764" s="22"/>
      <c r="AP764" s="22"/>
      <c r="AQ764" s="22"/>
      <c r="AR764" s="22"/>
      <c r="AS764" s="22"/>
      <c r="AT764" s="22"/>
    </row>
    <row r="765" spans="7:46" ht="13">
      <c r="G765" s="34"/>
      <c r="J765" s="18"/>
      <c r="N765" s="18"/>
      <c r="O765" s="1"/>
      <c r="P765" s="1"/>
      <c r="Q765" s="1"/>
      <c r="R765" s="18"/>
      <c r="S765" s="1"/>
      <c r="T765" s="1"/>
      <c r="U765" s="1"/>
      <c r="V765" s="1"/>
      <c r="Z765" s="18"/>
      <c r="AD765" s="18"/>
      <c r="AH765" s="18"/>
      <c r="AL765" s="18"/>
      <c r="AM765" s="22"/>
      <c r="AN765" s="22"/>
      <c r="AO765" s="22"/>
      <c r="AP765" s="22"/>
      <c r="AQ765" s="22"/>
      <c r="AR765" s="22"/>
      <c r="AS765" s="22"/>
      <c r="AT765" s="22"/>
    </row>
    <row r="766" spans="7:46" ht="13">
      <c r="G766" s="34"/>
      <c r="J766" s="18"/>
      <c r="N766" s="18"/>
      <c r="O766" s="1"/>
      <c r="P766" s="1"/>
      <c r="Q766" s="1"/>
      <c r="R766" s="18"/>
      <c r="S766" s="1"/>
      <c r="T766" s="1"/>
      <c r="U766" s="1"/>
      <c r="V766" s="1"/>
      <c r="Z766" s="18"/>
      <c r="AD766" s="18"/>
      <c r="AH766" s="18"/>
      <c r="AL766" s="18"/>
      <c r="AM766" s="22"/>
      <c r="AN766" s="22"/>
      <c r="AO766" s="22"/>
      <c r="AP766" s="22"/>
      <c r="AQ766" s="22"/>
      <c r="AR766" s="22"/>
      <c r="AS766" s="22"/>
      <c r="AT766" s="22"/>
    </row>
    <row r="767" spans="7:46" ht="13">
      <c r="G767" s="34"/>
      <c r="J767" s="18"/>
      <c r="N767" s="18"/>
      <c r="O767" s="1"/>
      <c r="P767" s="1"/>
      <c r="Q767" s="1"/>
      <c r="R767" s="18"/>
      <c r="S767" s="1"/>
      <c r="T767" s="1"/>
      <c r="U767" s="1"/>
      <c r="V767" s="1"/>
      <c r="Z767" s="18"/>
      <c r="AD767" s="18"/>
      <c r="AH767" s="18"/>
      <c r="AL767" s="18"/>
      <c r="AM767" s="22"/>
      <c r="AN767" s="22"/>
      <c r="AO767" s="22"/>
      <c r="AP767" s="22"/>
      <c r="AQ767" s="22"/>
      <c r="AR767" s="22"/>
      <c r="AS767" s="22"/>
      <c r="AT767" s="22"/>
    </row>
    <row r="768" spans="7:46" ht="13">
      <c r="G768" s="34"/>
      <c r="J768" s="18"/>
      <c r="N768" s="18"/>
      <c r="O768" s="1"/>
      <c r="P768" s="1"/>
      <c r="Q768" s="1"/>
      <c r="R768" s="18"/>
      <c r="S768" s="1"/>
      <c r="T768" s="1"/>
      <c r="U768" s="1"/>
      <c r="V768" s="1"/>
      <c r="Z768" s="18"/>
      <c r="AD768" s="18"/>
      <c r="AH768" s="18"/>
      <c r="AL768" s="18"/>
      <c r="AM768" s="22"/>
      <c r="AN768" s="22"/>
      <c r="AO768" s="22"/>
      <c r="AP768" s="22"/>
      <c r="AQ768" s="22"/>
      <c r="AR768" s="22"/>
      <c r="AS768" s="22"/>
      <c r="AT768" s="22"/>
    </row>
    <row r="769" spans="7:46" ht="13">
      <c r="G769" s="34"/>
      <c r="J769" s="18"/>
      <c r="N769" s="18"/>
      <c r="O769" s="1"/>
      <c r="P769" s="1"/>
      <c r="Q769" s="1"/>
      <c r="R769" s="18"/>
      <c r="S769" s="1"/>
      <c r="T769" s="1"/>
      <c r="U769" s="1"/>
      <c r="V769" s="1"/>
      <c r="Z769" s="18"/>
      <c r="AD769" s="18"/>
      <c r="AH769" s="18"/>
      <c r="AL769" s="18"/>
      <c r="AM769" s="22"/>
      <c r="AN769" s="22"/>
      <c r="AO769" s="22"/>
      <c r="AP769" s="22"/>
      <c r="AQ769" s="22"/>
      <c r="AR769" s="22"/>
      <c r="AS769" s="22"/>
      <c r="AT769" s="22"/>
    </row>
    <row r="770" spans="7:46" ht="13">
      <c r="G770" s="34"/>
      <c r="J770" s="18"/>
      <c r="N770" s="18"/>
      <c r="O770" s="1"/>
      <c r="P770" s="1"/>
      <c r="Q770" s="1"/>
      <c r="R770" s="18"/>
      <c r="S770" s="1"/>
      <c r="T770" s="1"/>
      <c r="U770" s="1"/>
      <c r="V770" s="1"/>
      <c r="Z770" s="18"/>
      <c r="AD770" s="18"/>
      <c r="AH770" s="18"/>
      <c r="AL770" s="18"/>
      <c r="AM770" s="22"/>
      <c r="AN770" s="22"/>
      <c r="AO770" s="22"/>
      <c r="AP770" s="22"/>
      <c r="AQ770" s="22"/>
      <c r="AR770" s="22"/>
      <c r="AS770" s="22"/>
      <c r="AT770" s="22"/>
    </row>
    <row r="771" spans="7:46" ht="13">
      <c r="G771" s="34"/>
      <c r="J771" s="18"/>
      <c r="N771" s="18"/>
      <c r="O771" s="1"/>
      <c r="P771" s="1"/>
      <c r="Q771" s="1"/>
      <c r="R771" s="18"/>
      <c r="S771" s="1"/>
      <c r="T771" s="1"/>
      <c r="U771" s="1"/>
      <c r="V771" s="1"/>
      <c r="Z771" s="18"/>
      <c r="AD771" s="18"/>
      <c r="AH771" s="18"/>
      <c r="AL771" s="18"/>
      <c r="AM771" s="22"/>
      <c r="AN771" s="22"/>
      <c r="AO771" s="22"/>
      <c r="AP771" s="22"/>
      <c r="AQ771" s="22"/>
      <c r="AR771" s="22"/>
      <c r="AS771" s="22"/>
      <c r="AT771" s="22"/>
    </row>
    <row r="772" spans="7:46" ht="13">
      <c r="G772" s="34"/>
      <c r="J772" s="18"/>
      <c r="N772" s="18"/>
      <c r="O772" s="1"/>
      <c r="P772" s="1"/>
      <c r="Q772" s="1"/>
      <c r="R772" s="18"/>
      <c r="S772" s="1"/>
      <c r="T772" s="1"/>
      <c r="U772" s="1"/>
      <c r="V772" s="1"/>
      <c r="Z772" s="18"/>
      <c r="AD772" s="18"/>
      <c r="AH772" s="18"/>
      <c r="AL772" s="18"/>
      <c r="AM772" s="22"/>
      <c r="AN772" s="22"/>
      <c r="AO772" s="22"/>
      <c r="AP772" s="22"/>
      <c r="AQ772" s="22"/>
      <c r="AR772" s="22"/>
      <c r="AS772" s="22"/>
      <c r="AT772" s="22"/>
    </row>
    <row r="773" spans="7:46" ht="13">
      <c r="G773" s="34"/>
      <c r="J773" s="18"/>
      <c r="N773" s="18"/>
      <c r="O773" s="1"/>
      <c r="P773" s="1"/>
      <c r="Q773" s="1"/>
      <c r="R773" s="18"/>
      <c r="S773" s="1"/>
      <c r="T773" s="1"/>
      <c r="U773" s="1"/>
      <c r="V773" s="1"/>
      <c r="Z773" s="18"/>
      <c r="AD773" s="18"/>
      <c r="AH773" s="18"/>
      <c r="AL773" s="18"/>
      <c r="AM773" s="22"/>
      <c r="AN773" s="22"/>
      <c r="AO773" s="22"/>
      <c r="AP773" s="22"/>
      <c r="AQ773" s="22"/>
      <c r="AR773" s="22"/>
      <c r="AS773" s="22"/>
      <c r="AT773" s="22"/>
    </row>
    <row r="774" spans="7:46" ht="13">
      <c r="G774" s="34"/>
      <c r="J774" s="18"/>
      <c r="N774" s="18"/>
      <c r="O774" s="1"/>
      <c r="P774" s="1"/>
      <c r="Q774" s="1"/>
      <c r="R774" s="18"/>
      <c r="S774" s="1"/>
      <c r="T774" s="1"/>
      <c r="U774" s="1"/>
      <c r="V774" s="1"/>
      <c r="Z774" s="18"/>
      <c r="AD774" s="18"/>
      <c r="AH774" s="18"/>
      <c r="AL774" s="18"/>
      <c r="AM774" s="22"/>
      <c r="AN774" s="22"/>
      <c r="AO774" s="22"/>
      <c r="AP774" s="22"/>
      <c r="AQ774" s="22"/>
      <c r="AR774" s="22"/>
      <c r="AS774" s="22"/>
      <c r="AT774" s="22"/>
    </row>
    <row r="775" spans="7:46" ht="13">
      <c r="G775" s="34"/>
      <c r="J775" s="18"/>
      <c r="N775" s="18"/>
      <c r="O775" s="1"/>
      <c r="P775" s="1"/>
      <c r="Q775" s="1"/>
      <c r="R775" s="18"/>
      <c r="S775" s="1"/>
      <c r="T775" s="1"/>
      <c r="U775" s="1"/>
      <c r="V775" s="1"/>
      <c r="Z775" s="18"/>
      <c r="AD775" s="18"/>
      <c r="AH775" s="18"/>
      <c r="AL775" s="18"/>
      <c r="AM775" s="22"/>
      <c r="AN775" s="22"/>
      <c r="AO775" s="22"/>
      <c r="AP775" s="22"/>
      <c r="AQ775" s="22"/>
      <c r="AR775" s="22"/>
      <c r="AS775" s="22"/>
      <c r="AT775" s="22"/>
    </row>
    <row r="776" spans="7:46" ht="13">
      <c r="G776" s="34"/>
      <c r="J776" s="18"/>
      <c r="N776" s="18"/>
      <c r="O776" s="1"/>
      <c r="P776" s="1"/>
      <c r="Q776" s="1"/>
      <c r="R776" s="18"/>
      <c r="S776" s="1"/>
      <c r="T776" s="1"/>
      <c r="U776" s="1"/>
      <c r="V776" s="1"/>
      <c r="Z776" s="18"/>
      <c r="AD776" s="18"/>
      <c r="AH776" s="18"/>
      <c r="AL776" s="18"/>
      <c r="AM776" s="22"/>
      <c r="AN776" s="22"/>
      <c r="AO776" s="22"/>
      <c r="AP776" s="22"/>
      <c r="AQ776" s="22"/>
      <c r="AR776" s="22"/>
      <c r="AS776" s="22"/>
      <c r="AT776" s="22"/>
    </row>
    <row r="777" spans="7:46" ht="13">
      <c r="G777" s="34"/>
      <c r="J777" s="18"/>
      <c r="N777" s="18"/>
      <c r="O777" s="1"/>
      <c r="P777" s="1"/>
      <c r="Q777" s="1"/>
      <c r="R777" s="18"/>
      <c r="S777" s="1"/>
      <c r="T777" s="1"/>
      <c r="U777" s="1"/>
      <c r="V777" s="1"/>
      <c r="Z777" s="18"/>
      <c r="AD777" s="18"/>
      <c r="AH777" s="18"/>
      <c r="AL777" s="18"/>
      <c r="AM777" s="22"/>
      <c r="AN777" s="22"/>
      <c r="AO777" s="22"/>
      <c r="AP777" s="22"/>
      <c r="AQ777" s="22"/>
      <c r="AR777" s="22"/>
      <c r="AS777" s="22"/>
      <c r="AT777" s="22"/>
    </row>
    <row r="778" spans="7:46" ht="13">
      <c r="G778" s="34"/>
      <c r="J778" s="18"/>
      <c r="N778" s="18"/>
      <c r="O778" s="1"/>
      <c r="P778" s="1"/>
      <c r="Q778" s="1"/>
      <c r="R778" s="18"/>
      <c r="S778" s="1"/>
      <c r="T778" s="1"/>
      <c r="U778" s="1"/>
      <c r="V778" s="1"/>
      <c r="Z778" s="18"/>
      <c r="AD778" s="18"/>
      <c r="AH778" s="18"/>
      <c r="AL778" s="18"/>
      <c r="AM778" s="22"/>
      <c r="AN778" s="22"/>
      <c r="AO778" s="22"/>
      <c r="AP778" s="22"/>
      <c r="AQ778" s="22"/>
      <c r="AR778" s="22"/>
      <c r="AS778" s="22"/>
      <c r="AT778" s="22"/>
    </row>
    <row r="779" spans="7:46" ht="13">
      <c r="G779" s="34"/>
      <c r="J779" s="18"/>
      <c r="N779" s="18"/>
      <c r="O779" s="1"/>
      <c r="P779" s="1"/>
      <c r="Q779" s="1"/>
      <c r="R779" s="18"/>
      <c r="S779" s="1"/>
      <c r="T779" s="1"/>
      <c r="U779" s="1"/>
      <c r="V779" s="1"/>
      <c r="Z779" s="18"/>
      <c r="AD779" s="18"/>
      <c r="AH779" s="18"/>
      <c r="AL779" s="18"/>
      <c r="AM779" s="22"/>
      <c r="AN779" s="22"/>
      <c r="AO779" s="22"/>
      <c r="AP779" s="22"/>
      <c r="AQ779" s="22"/>
      <c r="AR779" s="22"/>
      <c r="AS779" s="22"/>
      <c r="AT779" s="22"/>
    </row>
    <row r="780" spans="7:46" ht="13">
      <c r="G780" s="34"/>
      <c r="J780" s="18"/>
      <c r="N780" s="18"/>
      <c r="O780" s="1"/>
      <c r="P780" s="1"/>
      <c r="Q780" s="1"/>
      <c r="R780" s="18"/>
      <c r="S780" s="1"/>
      <c r="T780" s="1"/>
      <c r="U780" s="1"/>
      <c r="V780" s="1"/>
      <c r="Z780" s="18"/>
      <c r="AD780" s="18"/>
      <c r="AH780" s="18"/>
      <c r="AL780" s="18"/>
      <c r="AM780" s="22"/>
      <c r="AN780" s="22"/>
      <c r="AO780" s="22"/>
      <c r="AP780" s="22"/>
      <c r="AQ780" s="22"/>
      <c r="AR780" s="22"/>
      <c r="AS780" s="22"/>
      <c r="AT780" s="22"/>
    </row>
    <row r="781" spans="7:46" ht="13">
      <c r="G781" s="34"/>
      <c r="J781" s="18"/>
      <c r="N781" s="18"/>
      <c r="O781" s="1"/>
      <c r="P781" s="1"/>
      <c r="Q781" s="1"/>
      <c r="R781" s="18"/>
      <c r="S781" s="1"/>
      <c r="T781" s="1"/>
      <c r="U781" s="1"/>
      <c r="V781" s="1"/>
      <c r="Z781" s="18"/>
      <c r="AD781" s="18"/>
      <c r="AH781" s="18"/>
      <c r="AL781" s="18"/>
      <c r="AM781" s="22"/>
      <c r="AN781" s="22"/>
      <c r="AO781" s="22"/>
      <c r="AP781" s="22"/>
      <c r="AQ781" s="22"/>
      <c r="AR781" s="22"/>
      <c r="AS781" s="22"/>
      <c r="AT781" s="22"/>
    </row>
    <row r="782" spans="7:46" ht="13">
      <c r="G782" s="34"/>
      <c r="J782" s="18"/>
      <c r="N782" s="18"/>
      <c r="O782" s="1"/>
      <c r="P782" s="1"/>
      <c r="Q782" s="1"/>
      <c r="R782" s="18"/>
      <c r="S782" s="1"/>
      <c r="T782" s="1"/>
      <c r="U782" s="1"/>
      <c r="V782" s="1"/>
      <c r="Z782" s="18"/>
      <c r="AD782" s="18"/>
      <c r="AH782" s="18"/>
      <c r="AL782" s="18"/>
      <c r="AM782" s="22"/>
      <c r="AN782" s="22"/>
      <c r="AO782" s="22"/>
      <c r="AP782" s="22"/>
      <c r="AQ782" s="22"/>
      <c r="AR782" s="22"/>
      <c r="AS782" s="22"/>
      <c r="AT782" s="22"/>
    </row>
    <row r="783" spans="7:46" ht="13">
      <c r="G783" s="34"/>
      <c r="J783" s="18"/>
      <c r="N783" s="18"/>
      <c r="O783" s="1"/>
      <c r="P783" s="1"/>
      <c r="Q783" s="1"/>
      <c r="R783" s="18"/>
      <c r="S783" s="1"/>
      <c r="T783" s="1"/>
      <c r="U783" s="1"/>
      <c r="V783" s="1"/>
      <c r="Z783" s="18"/>
      <c r="AD783" s="18"/>
      <c r="AH783" s="18"/>
      <c r="AL783" s="18"/>
      <c r="AM783" s="22"/>
      <c r="AN783" s="22"/>
      <c r="AO783" s="22"/>
      <c r="AP783" s="22"/>
      <c r="AQ783" s="22"/>
      <c r="AR783" s="22"/>
      <c r="AS783" s="22"/>
      <c r="AT783" s="22"/>
    </row>
    <row r="784" spans="7:46" ht="13">
      <c r="G784" s="34"/>
      <c r="J784" s="18"/>
      <c r="N784" s="18"/>
      <c r="O784" s="1"/>
      <c r="P784" s="1"/>
      <c r="Q784" s="1"/>
      <c r="R784" s="18"/>
      <c r="S784" s="1"/>
      <c r="T784" s="1"/>
      <c r="U784" s="1"/>
      <c r="V784" s="1"/>
      <c r="Z784" s="18"/>
      <c r="AD784" s="18"/>
      <c r="AH784" s="18"/>
      <c r="AL784" s="18"/>
      <c r="AM784" s="22"/>
      <c r="AN784" s="22"/>
      <c r="AO784" s="22"/>
      <c r="AP784" s="22"/>
      <c r="AQ784" s="22"/>
      <c r="AR784" s="22"/>
      <c r="AS784" s="22"/>
      <c r="AT784" s="22"/>
    </row>
    <row r="785" spans="7:46" ht="13">
      <c r="G785" s="34"/>
      <c r="J785" s="18"/>
      <c r="N785" s="18"/>
      <c r="O785" s="1"/>
      <c r="P785" s="1"/>
      <c r="Q785" s="1"/>
      <c r="R785" s="18"/>
      <c r="S785" s="1"/>
      <c r="T785" s="1"/>
      <c r="U785" s="1"/>
      <c r="V785" s="1"/>
      <c r="Z785" s="18"/>
      <c r="AD785" s="18"/>
      <c r="AH785" s="18"/>
      <c r="AL785" s="18"/>
      <c r="AM785" s="22"/>
      <c r="AN785" s="22"/>
      <c r="AO785" s="22"/>
      <c r="AP785" s="22"/>
      <c r="AQ785" s="22"/>
      <c r="AR785" s="22"/>
      <c r="AS785" s="22"/>
      <c r="AT785" s="22"/>
    </row>
    <row r="786" spans="7:46" ht="13">
      <c r="G786" s="34"/>
      <c r="J786" s="18"/>
      <c r="N786" s="18"/>
      <c r="O786" s="1"/>
      <c r="P786" s="1"/>
      <c r="Q786" s="1"/>
      <c r="R786" s="18"/>
      <c r="S786" s="1"/>
      <c r="T786" s="1"/>
      <c r="U786" s="1"/>
      <c r="V786" s="1"/>
      <c r="Z786" s="18"/>
      <c r="AD786" s="18"/>
      <c r="AH786" s="18"/>
      <c r="AL786" s="18"/>
      <c r="AM786" s="22"/>
      <c r="AN786" s="22"/>
      <c r="AO786" s="22"/>
      <c r="AP786" s="22"/>
      <c r="AQ786" s="22"/>
      <c r="AR786" s="22"/>
      <c r="AS786" s="22"/>
      <c r="AT786" s="22"/>
    </row>
    <row r="787" spans="7:46" ht="13">
      <c r="G787" s="34"/>
      <c r="J787" s="18"/>
      <c r="N787" s="18"/>
      <c r="O787" s="1"/>
      <c r="P787" s="1"/>
      <c r="Q787" s="1"/>
      <c r="R787" s="18"/>
      <c r="S787" s="1"/>
      <c r="T787" s="1"/>
      <c r="U787" s="1"/>
      <c r="V787" s="1"/>
      <c r="Z787" s="18"/>
      <c r="AD787" s="18"/>
      <c r="AH787" s="18"/>
      <c r="AL787" s="18"/>
      <c r="AM787" s="22"/>
      <c r="AN787" s="22"/>
      <c r="AO787" s="22"/>
      <c r="AP787" s="22"/>
      <c r="AQ787" s="22"/>
      <c r="AR787" s="22"/>
      <c r="AS787" s="22"/>
      <c r="AT787" s="22"/>
    </row>
    <row r="788" spans="7:46" ht="13">
      <c r="G788" s="34"/>
      <c r="J788" s="18"/>
      <c r="N788" s="18"/>
      <c r="O788" s="1"/>
      <c r="P788" s="1"/>
      <c r="Q788" s="1"/>
      <c r="R788" s="18"/>
      <c r="S788" s="1"/>
      <c r="T788" s="1"/>
      <c r="U788" s="1"/>
      <c r="V788" s="1"/>
      <c r="Z788" s="18"/>
      <c r="AD788" s="18"/>
      <c r="AH788" s="18"/>
      <c r="AL788" s="18"/>
      <c r="AM788" s="22"/>
      <c r="AN788" s="22"/>
      <c r="AO788" s="22"/>
      <c r="AP788" s="22"/>
      <c r="AQ788" s="22"/>
      <c r="AR788" s="22"/>
      <c r="AS788" s="22"/>
      <c r="AT788" s="22"/>
    </row>
    <row r="789" spans="7:46" ht="13">
      <c r="G789" s="34"/>
      <c r="J789" s="18"/>
      <c r="N789" s="18"/>
      <c r="O789" s="1"/>
      <c r="P789" s="1"/>
      <c r="Q789" s="1"/>
      <c r="R789" s="18"/>
      <c r="S789" s="1"/>
      <c r="T789" s="1"/>
      <c r="U789" s="1"/>
      <c r="V789" s="1"/>
      <c r="Z789" s="18"/>
      <c r="AD789" s="18"/>
      <c r="AH789" s="18"/>
      <c r="AL789" s="18"/>
      <c r="AM789" s="22"/>
      <c r="AN789" s="22"/>
      <c r="AO789" s="22"/>
      <c r="AP789" s="22"/>
      <c r="AQ789" s="22"/>
      <c r="AR789" s="22"/>
      <c r="AS789" s="22"/>
      <c r="AT789" s="22"/>
    </row>
    <row r="790" spans="7:46" ht="13">
      <c r="G790" s="34"/>
      <c r="J790" s="18"/>
      <c r="N790" s="18"/>
      <c r="O790" s="1"/>
      <c r="P790" s="1"/>
      <c r="Q790" s="1"/>
      <c r="R790" s="18"/>
      <c r="S790" s="1"/>
      <c r="T790" s="1"/>
      <c r="U790" s="1"/>
      <c r="V790" s="1"/>
      <c r="Z790" s="18"/>
      <c r="AD790" s="18"/>
      <c r="AH790" s="18"/>
      <c r="AL790" s="18"/>
      <c r="AM790" s="22"/>
      <c r="AN790" s="22"/>
      <c r="AO790" s="22"/>
      <c r="AP790" s="22"/>
      <c r="AQ790" s="22"/>
      <c r="AR790" s="22"/>
      <c r="AS790" s="22"/>
      <c r="AT790" s="22"/>
    </row>
    <row r="791" spans="7:46" ht="13">
      <c r="G791" s="34"/>
      <c r="J791" s="18"/>
      <c r="N791" s="18"/>
      <c r="O791" s="1"/>
      <c r="P791" s="1"/>
      <c r="Q791" s="1"/>
      <c r="R791" s="18"/>
      <c r="S791" s="1"/>
      <c r="T791" s="1"/>
      <c r="U791" s="1"/>
      <c r="V791" s="1"/>
      <c r="Z791" s="18"/>
      <c r="AD791" s="18"/>
      <c r="AH791" s="18"/>
      <c r="AL791" s="18"/>
      <c r="AM791" s="22"/>
      <c r="AN791" s="22"/>
      <c r="AO791" s="22"/>
      <c r="AP791" s="22"/>
      <c r="AQ791" s="22"/>
      <c r="AR791" s="22"/>
      <c r="AS791" s="22"/>
      <c r="AT791" s="22"/>
    </row>
    <row r="792" spans="7:46" ht="13">
      <c r="G792" s="34"/>
      <c r="J792" s="18"/>
      <c r="N792" s="18"/>
      <c r="O792" s="1"/>
      <c r="P792" s="1"/>
      <c r="Q792" s="1"/>
      <c r="R792" s="18"/>
      <c r="S792" s="1"/>
      <c r="T792" s="1"/>
      <c r="U792" s="1"/>
      <c r="V792" s="1"/>
      <c r="Z792" s="18"/>
      <c r="AD792" s="18"/>
      <c r="AH792" s="18"/>
      <c r="AL792" s="18"/>
      <c r="AM792" s="22"/>
      <c r="AN792" s="22"/>
      <c r="AO792" s="22"/>
      <c r="AP792" s="22"/>
      <c r="AQ792" s="22"/>
      <c r="AR792" s="22"/>
      <c r="AS792" s="22"/>
      <c r="AT792" s="22"/>
    </row>
    <row r="793" spans="7:46" ht="13">
      <c r="G793" s="34"/>
      <c r="J793" s="18"/>
      <c r="N793" s="18"/>
      <c r="O793" s="1"/>
      <c r="P793" s="1"/>
      <c r="Q793" s="1"/>
      <c r="R793" s="18"/>
      <c r="S793" s="1"/>
      <c r="T793" s="1"/>
      <c r="U793" s="1"/>
      <c r="V793" s="1"/>
      <c r="Z793" s="18"/>
      <c r="AD793" s="18"/>
      <c r="AH793" s="18"/>
      <c r="AL793" s="18"/>
      <c r="AM793" s="22"/>
      <c r="AN793" s="22"/>
      <c r="AO793" s="22"/>
      <c r="AP793" s="22"/>
      <c r="AQ793" s="22"/>
      <c r="AR793" s="22"/>
      <c r="AS793" s="22"/>
      <c r="AT793" s="22"/>
    </row>
    <row r="794" spans="7:46" ht="13">
      <c r="G794" s="34"/>
      <c r="J794" s="18"/>
      <c r="N794" s="18"/>
      <c r="O794" s="1"/>
      <c r="P794" s="1"/>
      <c r="Q794" s="1"/>
      <c r="R794" s="18"/>
      <c r="S794" s="1"/>
      <c r="T794" s="1"/>
      <c r="U794" s="1"/>
      <c r="V794" s="1"/>
      <c r="Z794" s="18"/>
      <c r="AD794" s="18"/>
      <c r="AH794" s="18"/>
      <c r="AL794" s="18"/>
      <c r="AM794" s="22"/>
      <c r="AN794" s="22"/>
      <c r="AO794" s="22"/>
      <c r="AP794" s="22"/>
      <c r="AQ794" s="22"/>
      <c r="AR794" s="22"/>
      <c r="AS794" s="22"/>
      <c r="AT794" s="22"/>
    </row>
    <row r="795" spans="7:46" ht="13">
      <c r="G795" s="34"/>
      <c r="J795" s="18"/>
      <c r="N795" s="18"/>
      <c r="O795" s="1"/>
      <c r="P795" s="1"/>
      <c r="Q795" s="1"/>
      <c r="R795" s="18"/>
      <c r="S795" s="1"/>
      <c r="T795" s="1"/>
      <c r="U795" s="1"/>
      <c r="V795" s="1"/>
      <c r="Z795" s="18"/>
      <c r="AD795" s="18"/>
      <c r="AH795" s="18"/>
      <c r="AL795" s="18"/>
      <c r="AM795" s="22"/>
      <c r="AN795" s="22"/>
      <c r="AO795" s="22"/>
      <c r="AP795" s="22"/>
      <c r="AQ795" s="22"/>
      <c r="AR795" s="22"/>
      <c r="AS795" s="22"/>
      <c r="AT795" s="22"/>
    </row>
    <row r="796" spans="7:46" ht="13">
      <c r="G796" s="34"/>
      <c r="J796" s="18"/>
      <c r="N796" s="18"/>
      <c r="O796" s="1"/>
      <c r="P796" s="1"/>
      <c r="Q796" s="1"/>
      <c r="R796" s="18"/>
      <c r="S796" s="1"/>
      <c r="T796" s="1"/>
      <c r="U796" s="1"/>
      <c r="V796" s="1"/>
      <c r="Z796" s="18"/>
      <c r="AD796" s="18"/>
      <c r="AH796" s="18"/>
      <c r="AL796" s="18"/>
      <c r="AM796" s="22"/>
      <c r="AN796" s="22"/>
      <c r="AO796" s="22"/>
      <c r="AP796" s="22"/>
      <c r="AQ796" s="22"/>
      <c r="AR796" s="22"/>
      <c r="AS796" s="22"/>
      <c r="AT796" s="22"/>
    </row>
    <row r="797" spans="7:46" ht="13">
      <c r="G797" s="34"/>
      <c r="J797" s="18"/>
      <c r="N797" s="18"/>
      <c r="O797" s="1"/>
      <c r="P797" s="1"/>
      <c r="Q797" s="1"/>
      <c r="R797" s="18"/>
      <c r="S797" s="1"/>
      <c r="T797" s="1"/>
      <c r="U797" s="1"/>
      <c r="V797" s="1"/>
      <c r="Z797" s="18"/>
      <c r="AD797" s="18"/>
      <c r="AH797" s="18"/>
      <c r="AL797" s="18"/>
      <c r="AM797" s="22"/>
      <c r="AN797" s="22"/>
      <c r="AO797" s="22"/>
      <c r="AP797" s="22"/>
      <c r="AQ797" s="22"/>
      <c r="AR797" s="22"/>
      <c r="AS797" s="22"/>
      <c r="AT797" s="22"/>
    </row>
    <row r="798" spans="7:46" ht="13">
      <c r="G798" s="34"/>
      <c r="J798" s="18"/>
      <c r="N798" s="18"/>
      <c r="O798" s="1"/>
      <c r="P798" s="1"/>
      <c r="Q798" s="1"/>
      <c r="R798" s="18"/>
      <c r="S798" s="1"/>
      <c r="T798" s="1"/>
      <c r="U798" s="1"/>
      <c r="V798" s="1"/>
      <c r="Z798" s="18"/>
      <c r="AD798" s="18"/>
      <c r="AH798" s="18"/>
      <c r="AL798" s="18"/>
      <c r="AM798" s="22"/>
      <c r="AN798" s="22"/>
      <c r="AO798" s="22"/>
      <c r="AP798" s="22"/>
      <c r="AQ798" s="22"/>
      <c r="AR798" s="22"/>
      <c r="AS798" s="22"/>
      <c r="AT798" s="22"/>
    </row>
    <row r="799" spans="7:46" ht="13">
      <c r="G799" s="34"/>
      <c r="J799" s="18"/>
      <c r="N799" s="18"/>
      <c r="O799" s="1"/>
      <c r="P799" s="1"/>
      <c r="Q799" s="1"/>
      <c r="R799" s="18"/>
      <c r="S799" s="1"/>
      <c r="T799" s="1"/>
      <c r="U799" s="1"/>
      <c r="V799" s="1"/>
      <c r="Z799" s="18"/>
      <c r="AD799" s="18"/>
      <c r="AH799" s="18"/>
      <c r="AL799" s="18"/>
      <c r="AM799" s="22"/>
      <c r="AN799" s="22"/>
      <c r="AO799" s="22"/>
      <c r="AP799" s="22"/>
      <c r="AQ799" s="22"/>
      <c r="AR799" s="22"/>
      <c r="AS799" s="22"/>
      <c r="AT799" s="22"/>
    </row>
    <row r="800" spans="7:46" ht="13">
      <c r="G800" s="34"/>
      <c r="J800" s="18"/>
      <c r="N800" s="18"/>
      <c r="O800" s="1"/>
      <c r="P800" s="1"/>
      <c r="Q800" s="1"/>
      <c r="R800" s="18"/>
      <c r="S800" s="1"/>
      <c r="T800" s="1"/>
      <c r="U800" s="1"/>
      <c r="V800" s="1"/>
      <c r="Z800" s="18"/>
      <c r="AD800" s="18"/>
      <c r="AH800" s="18"/>
      <c r="AL800" s="18"/>
      <c r="AM800" s="22"/>
      <c r="AN800" s="22"/>
      <c r="AO800" s="22"/>
      <c r="AP800" s="22"/>
      <c r="AQ800" s="22"/>
      <c r="AR800" s="22"/>
      <c r="AS800" s="22"/>
      <c r="AT800" s="22"/>
    </row>
    <row r="801" spans="7:46" ht="13">
      <c r="G801" s="34"/>
      <c r="J801" s="18"/>
      <c r="N801" s="18"/>
      <c r="O801" s="1"/>
      <c r="P801" s="1"/>
      <c r="Q801" s="1"/>
      <c r="R801" s="18"/>
      <c r="S801" s="1"/>
      <c r="T801" s="1"/>
      <c r="U801" s="1"/>
      <c r="V801" s="1"/>
      <c r="Z801" s="18"/>
      <c r="AD801" s="18"/>
      <c r="AH801" s="18"/>
      <c r="AL801" s="18"/>
      <c r="AM801" s="22"/>
      <c r="AN801" s="22"/>
      <c r="AO801" s="22"/>
      <c r="AP801" s="22"/>
      <c r="AQ801" s="22"/>
      <c r="AR801" s="22"/>
      <c r="AS801" s="22"/>
      <c r="AT801" s="22"/>
    </row>
    <row r="802" spans="7:46" ht="13">
      <c r="G802" s="34"/>
      <c r="J802" s="18"/>
      <c r="N802" s="18"/>
      <c r="O802" s="1"/>
      <c r="P802" s="1"/>
      <c r="Q802" s="1"/>
      <c r="R802" s="18"/>
      <c r="S802" s="1"/>
      <c r="T802" s="1"/>
      <c r="U802" s="1"/>
      <c r="V802" s="1"/>
      <c r="Z802" s="18"/>
      <c r="AD802" s="18"/>
      <c r="AH802" s="18"/>
      <c r="AL802" s="18"/>
      <c r="AM802" s="22"/>
      <c r="AN802" s="22"/>
      <c r="AO802" s="22"/>
      <c r="AP802" s="22"/>
      <c r="AQ802" s="22"/>
      <c r="AR802" s="22"/>
      <c r="AS802" s="22"/>
      <c r="AT802" s="22"/>
    </row>
    <row r="803" spans="7:46" ht="13">
      <c r="G803" s="34"/>
      <c r="J803" s="18"/>
      <c r="N803" s="18"/>
      <c r="O803" s="1"/>
      <c r="P803" s="1"/>
      <c r="Q803" s="1"/>
      <c r="R803" s="18"/>
      <c r="S803" s="1"/>
      <c r="T803" s="1"/>
      <c r="U803" s="1"/>
      <c r="V803" s="1"/>
      <c r="Z803" s="18"/>
      <c r="AD803" s="18"/>
      <c r="AH803" s="18"/>
      <c r="AL803" s="18"/>
      <c r="AM803" s="22"/>
      <c r="AN803" s="22"/>
      <c r="AO803" s="22"/>
      <c r="AP803" s="22"/>
      <c r="AQ803" s="22"/>
      <c r="AR803" s="22"/>
      <c r="AS803" s="22"/>
      <c r="AT803" s="22"/>
    </row>
    <row r="804" spans="7:46" ht="13">
      <c r="G804" s="34"/>
      <c r="J804" s="18"/>
      <c r="N804" s="18"/>
      <c r="O804" s="1"/>
      <c r="P804" s="1"/>
      <c r="Q804" s="1"/>
      <c r="R804" s="18"/>
      <c r="S804" s="1"/>
      <c r="T804" s="1"/>
      <c r="U804" s="1"/>
      <c r="V804" s="1"/>
      <c r="Z804" s="18"/>
      <c r="AD804" s="18"/>
      <c r="AH804" s="18"/>
      <c r="AL804" s="18"/>
      <c r="AM804" s="22"/>
      <c r="AN804" s="22"/>
      <c r="AO804" s="22"/>
      <c r="AP804" s="22"/>
      <c r="AQ804" s="22"/>
      <c r="AR804" s="22"/>
      <c r="AS804" s="22"/>
      <c r="AT804" s="22"/>
    </row>
    <row r="805" spans="7:46" ht="13">
      <c r="G805" s="34"/>
      <c r="J805" s="18"/>
      <c r="N805" s="18"/>
      <c r="O805" s="1"/>
      <c r="P805" s="1"/>
      <c r="Q805" s="1"/>
      <c r="R805" s="18"/>
      <c r="S805" s="1"/>
      <c r="T805" s="1"/>
      <c r="U805" s="1"/>
      <c r="V805" s="1"/>
      <c r="Z805" s="18"/>
      <c r="AD805" s="18"/>
      <c r="AH805" s="18"/>
      <c r="AL805" s="18"/>
      <c r="AM805" s="22"/>
      <c r="AN805" s="22"/>
      <c r="AO805" s="22"/>
      <c r="AP805" s="22"/>
      <c r="AQ805" s="22"/>
      <c r="AR805" s="22"/>
      <c r="AS805" s="22"/>
      <c r="AT805" s="22"/>
    </row>
    <row r="806" spans="7:46" ht="13">
      <c r="G806" s="34"/>
      <c r="J806" s="18"/>
      <c r="N806" s="18"/>
      <c r="O806" s="1"/>
      <c r="P806" s="1"/>
      <c r="Q806" s="1"/>
      <c r="R806" s="18"/>
      <c r="S806" s="1"/>
      <c r="T806" s="1"/>
      <c r="U806" s="1"/>
      <c r="V806" s="1"/>
      <c r="Z806" s="18"/>
      <c r="AD806" s="18"/>
      <c r="AH806" s="18"/>
      <c r="AL806" s="18"/>
      <c r="AM806" s="22"/>
      <c r="AN806" s="22"/>
      <c r="AO806" s="22"/>
      <c r="AP806" s="22"/>
      <c r="AQ806" s="22"/>
      <c r="AR806" s="22"/>
      <c r="AS806" s="22"/>
      <c r="AT806" s="22"/>
    </row>
    <row r="807" spans="7:46" ht="13">
      <c r="G807" s="34"/>
      <c r="J807" s="18"/>
      <c r="N807" s="18"/>
      <c r="O807" s="1"/>
      <c r="P807" s="1"/>
      <c r="Q807" s="1"/>
      <c r="R807" s="18"/>
      <c r="S807" s="1"/>
      <c r="T807" s="1"/>
      <c r="U807" s="1"/>
      <c r="V807" s="1"/>
      <c r="Z807" s="18"/>
      <c r="AD807" s="18"/>
      <c r="AH807" s="18"/>
      <c r="AL807" s="18"/>
      <c r="AM807" s="22"/>
      <c r="AN807" s="22"/>
      <c r="AO807" s="22"/>
      <c r="AP807" s="22"/>
      <c r="AQ807" s="22"/>
      <c r="AR807" s="22"/>
      <c r="AS807" s="22"/>
      <c r="AT807" s="22"/>
    </row>
    <row r="808" spans="7:46" ht="13">
      <c r="G808" s="34"/>
      <c r="J808" s="18"/>
      <c r="N808" s="18"/>
      <c r="O808" s="1"/>
      <c r="P808" s="1"/>
      <c r="Q808" s="1"/>
      <c r="R808" s="18"/>
      <c r="S808" s="1"/>
      <c r="T808" s="1"/>
      <c r="U808" s="1"/>
      <c r="V808" s="1"/>
      <c r="Z808" s="18"/>
      <c r="AD808" s="18"/>
      <c r="AH808" s="18"/>
      <c r="AL808" s="18"/>
      <c r="AM808" s="22"/>
      <c r="AN808" s="22"/>
      <c r="AO808" s="22"/>
      <c r="AP808" s="22"/>
      <c r="AQ808" s="22"/>
      <c r="AR808" s="22"/>
      <c r="AS808" s="22"/>
      <c r="AT808" s="22"/>
    </row>
    <row r="809" spans="7:46" ht="13">
      <c r="G809" s="34"/>
      <c r="J809" s="18"/>
      <c r="N809" s="18"/>
      <c r="O809" s="1"/>
      <c r="P809" s="1"/>
      <c r="Q809" s="1"/>
      <c r="R809" s="18"/>
      <c r="S809" s="1"/>
      <c r="T809" s="1"/>
      <c r="U809" s="1"/>
      <c r="V809" s="1"/>
      <c r="Z809" s="18"/>
      <c r="AD809" s="18"/>
      <c r="AH809" s="18"/>
      <c r="AL809" s="18"/>
      <c r="AM809" s="22"/>
      <c r="AN809" s="22"/>
      <c r="AO809" s="22"/>
      <c r="AP809" s="22"/>
      <c r="AQ809" s="22"/>
      <c r="AR809" s="22"/>
      <c r="AS809" s="22"/>
      <c r="AT809" s="22"/>
    </row>
    <row r="810" spans="7:46" ht="13">
      <c r="G810" s="34"/>
      <c r="J810" s="18"/>
      <c r="N810" s="18"/>
      <c r="O810" s="1"/>
      <c r="P810" s="1"/>
      <c r="Q810" s="1"/>
      <c r="R810" s="18"/>
      <c r="S810" s="1"/>
      <c r="T810" s="1"/>
      <c r="U810" s="1"/>
      <c r="V810" s="1"/>
      <c r="Z810" s="18"/>
      <c r="AD810" s="18"/>
      <c r="AH810" s="18"/>
      <c r="AL810" s="18"/>
      <c r="AM810" s="22"/>
      <c r="AN810" s="22"/>
      <c r="AO810" s="22"/>
      <c r="AP810" s="22"/>
      <c r="AQ810" s="22"/>
      <c r="AR810" s="22"/>
      <c r="AS810" s="22"/>
      <c r="AT810" s="22"/>
    </row>
    <row r="811" spans="7:46" ht="13">
      <c r="G811" s="34"/>
      <c r="J811" s="18"/>
      <c r="N811" s="18"/>
      <c r="O811" s="1"/>
      <c r="P811" s="1"/>
      <c r="Q811" s="1"/>
      <c r="R811" s="18"/>
      <c r="S811" s="1"/>
      <c r="T811" s="1"/>
      <c r="U811" s="1"/>
      <c r="V811" s="1"/>
      <c r="Z811" s="18"/>
      <c r="AD811" s="18"/>
      <c r="AH811" s="18"/>
      <c r="AL811" s="18"/>
      <c r="AM811" s="22"/>
      <c r="AN811" s="22"/>
      <c r="AO811" s="22"/>
      <c r="AP811" s="22"/>
      <c r="AQ811" s="22"/>
      <c r="AR811" s="22"/>
      <c r="AS811" s="22"/>
      <c r="AT811" s="22"/>
    </row>
    <row r="812" spans="7:46" ht="13">
      <c r="G812" s="34"/>
      <c r="J812" s="18"/>
      <c r="N812" s="18"/>
      <c r="O812" s="1"/>
      <c r="P812" s="1"/>
      <c r="Q812" s="1"/>
      <c r="R812" s="18"/>
      <c r="S812" s="1"/>
      <c r="T812" s="1"/>
      <c r="U812" s="1"/>
      <c r="V812" s="1"/>
      <c r="Z812" s="18"/>
      <c r="AD812" s="18"/>
      <c r="AH812" s="18"/>
      <c r="AL812" s="18"/>
      <c r="AM812" s="22"/>
      <c r="AN812" s="22"/>
      <c r="AO812" s="22"/>
      <c r="AP812" s="22"/>
      <c r="AQ812" s="22"/>
      <c r="AR812" s="22"/>
      <c r="AS812" s="22"/>
      <c r="AT812" s="22"/>
    </row>
    <row r="813" spans="7:46" ht="13">
      <c r="G813" s="34"/>
      <c r="J813" s="18"/>
      <c r="N813" s="18"/>
      <c r="O813" s="1"/>
      <c r="P813" s="1"/>
      <c r="Q813" s="1"/>
      <c r="R813" s="18"/>
      <c r="S813" s="1"/>
      <c r="T813" s="1"/>
      <c r="U813" s="1"/>
      <c r="V813" s="1"/>
      <c r="Z813" s="18"/>
      <c r="AD813" s="18"/>
      <c r="AH813" s="18"/>
      <c r="AL813" s="18"/>
      <c r="AM813" s="22"/>
      <c r="AN813" s="22"/>
      <c r="AO813" s="22"/>
      <c r="AP813" s="22"/>
      <c r="AQ813" s="22"/>
      <c r="AR813" s="22"/>
      <c r="AS813" s="22"/>
      <c r="AT813" s="22"/>
    </row>
    <row r="814" spans="7:46" ht="13">
      <c r="G814" s="34"/>
      <c r="J814" s="18"/>
      <c r="N814" s="18"/>
      <c r="O814" s="1"/>
      <c r="P814" s="1"/>
      <c r="Q814" s="1"/>
      <c r="R814" s="18"/>
      <c r="S814" s="1"/>
      <c r="T814" s="1"/>
      <c r="U814" s="1"/>
      <c r="V814" s="1"/>
      <c r="Z814" s="18"/>
      <c r="AD814" s="18"/>
      <c r="AH814" s="18"/>
      <c r="AL814" s="18"/>
      <c r="AM814" s="22"/>
      <c r="AN814" s="22"/>
      <c r="AO814" s="22"/>
      <c r="AP814" s="22"/>
      <c r="AQ814" s="22"/>
      <c r="AR814" s="22"/>
      <c r="AS814" s="22"/>
      <c r="AT814" s="22"/>
    </row>
    <row r="815" spans="7:46" ht="13">
      <c r="G815" s="34"/>
      <c r="J815" s="18"/>
      <c r="N815" s="18"/>
      <c r="O815" s="1"/>
      <c r="P815" s="1"/>
      <c r="Q815" s="1"/>
      <c r="R815" s="18"/>
      <c r="S815" s="1"/>
      <c r="T815" s="1"/>
      <c r="U815" s="1"/>
      <c r="V815" s="1"/>
      <c r="Z815" s="18"/>
      <c r="AD815" s="18"/>
      <c r="AH815" s="18"/>
      <c r="AL815" s="18"/>
      <c r="AM815" s="22"/>
      <c r="AN815" s="22"/>
      <c r="AO815" s="22"/>
      <c r="AP815" s="22"/>
      <c r="AQ815" s="22"/>
      <c r="AR815" s="22"/>
      <c r="AS815" s="22"/>
      <c r="AT815" s="22"/>
    </row>
    <row r="816" spans="7:46" ht="13">
      <c r="G816" s="34"/>
      <c r="J816" s="18"/>
      <c r="N816" s="18"/>
      <c r="O816" s="1"/>
      <c r="P816" s="1"/>
      <c r="Q816" s="1"/>
      <c r="R816" s="18"/>
      <c r="S816" s="1"/>
      <c r="T816" s="1"/>
      <c r="U816" s="1"/>
      <c r="V816" s="1"/>
      <c r="Z816" s="18"/>
      <c r="AD816" s="18"/>
      <c r="AH816" s="18"/>
      <c r="AL816" s="18"/>
      <c r="AM816" s="22"/>
      <c r="AN816" s="22"/>
      <c r="AO816" s="22"/>
      <c r="AP816" s="22"/>
      <c r="AQ816" s="22"/>
      <c r="AR816" s="22"/>
      <c r="AS816" s="22"/>
      <c r="AT816" s="22"/>
    </row>
    <row r="817" spans="7:46" ht="13">
      <c r="G817" s="34"/>
      <c r="J817" s="18"/>
      <c r="N817" s="18"/>
      <c r="O817" s="1"/>
      <c r="P817" s="1"/>
      <c r="Q817" s="1"/>
      <c r="R817" s="18"/>
      <c r="S817" s="1"/>
      <c r="T817" s="1"/>
      <c r="U817" s="1"/>
      <c r="V817" s="1"/>
      <c r="Z817" s="18"/>
      <c r="AD817" s="18"/>
      <c r="AH817" s="18"/>
      <c r="AL817" s="18"/>
      <c r="AM817" s="22"/>
      <c r="AN817" s="22"/>
      <c r="AO817" s="22"/>
      <c r="AP817" s="22"/>
      <c r="AQ817" s="22"/>
      <c r="AR817" s="22"/>
      <c r="AS817" s="22"/>
      <c r="AT817" s="22"/>
    </row>
    <row r="818" spans="7:46" ht="13">
      <c r="G818" s="34"/>
      <c r="J818" s="18"/>
      <c r="N818" s="18"/>
      <c r="O818" s="1"/>
      <c r="P818" s="1"/>
      <c r="Q818" s="1"/>
      <c r="R818" s="18"/>
      <c r="S818" s="1"/>
      <c r="T818" s="1"/>
      <c r="U818" s="1"/>
      <c r="V818" s="1"/>
      <c r="Z818" s="18"/>
      <c r="AD818" s="18"/>
      <c r="AH818" s="18"/>
      <c r="AL818" s="18"/>
      <c r="AM818" s="22"/>
      <c r="AN818" s="22"/>
      <c r="AO818" s="22"/>
      <c r="AP818" s="22"/>
      <c r="AQ818" s="22"/>
      <c r="AR818" s="22"/>
      <c r="AS818" s="22"/>
      <c r="AT818" s="22"/>
    </row>
    <row r="819" spans="7:46" ht="13">
      <c r="G819" s="34"/>
      <c r="J819" s="18"/>
      <c r="N819" s="18"/>
      <c r="O819" s="1"/>
      <c r="P819" s="1"/>
      <c r="Q819" s="1"/>
      <c r="R819" s="18"/>
      <c r="S819" s="1"/>
      <c r="T819" s="1"/>
      <c r="U819" s="1"/>
      <c r="V819" s="1"/>
      <c r="Z819" s="18"/>
      <c r="AD819" s="18"/>
      <c r="AH819" s="18"/>
      <c r="AL819" s="18"/>
      <c r="AM819" s="22"/>
      <c r="AN819" s="22"/>
      <c r="AO819" s="22"/>
      <c r="AP819" s="22"/>
      <c r="AQ819" s="22"/>
      <c r="AR819" s="22"/>
      <c r="AS819" s="22"/>
      <c r="AT819" s="22"/>
    </row>
    <row r="820" spans="7:46" ht="13">
      <c r="G820" s="34"/>
      <c r="J820" s="18"/>
      <c r="N820" s="18"/>
      <c r="O820" s="1"/>
      <c r="P820" s="1"/>
      <c r="Q820" s="1"/>
      <c r="R820" s="18"/>
      <c r="S820" s="1"/>
      <c r="T820" s="1"/>
      <c r="U820" s="1"/>
      <c r="V820" s="1"/>
      <c r="Z820" s="18"/>
      <c r="AD820" s="18"/>
      <c r="AH820" s="18"/>
      <c r="AL820" s="18"/>
      <c r="AM820" s="22"/>
      <c r="AN820" s="22"/>
      <c r="AO820" s="22"/>
      <c r="AP820" s="22"/>
      <c r="AQ820" s="22"/>
      <c r="AR820" s="22"/>
      <c r="AS820" s="22"/>
      <c r="AT820" s="22"/>
    </row>
    <row r="821" spans="7:46" ht="13">
      <c r="G821" s="34"/>
      <c r="J821" s="18"/>
      <c r="N821" s="18"/>
      <c r="O821" s="1"/>
      <c r="P821" s="1"/>
      <c r="Q821" s="1"/>
      <c r="R821" s="18"/>
      <c r="S821" s="1"/>
      <c r="T821" s="1"/>
      <c r="U821" s="1"/>
      <c r="V821" s="1"/>
      <c r="Z821" s="18"/>
      <c r="AD821" s="18"/>
      <c r="AH821" s="18"/>
      <c r="AL821" s="18"/>
      <c r="AM821" s="22"/>
      <c r="AN821" s="22"/>
      <c r="AO821" s="22"/>
      <c r="AP821" s="22"/>
      <c r="AQ821" s="22"/>
      <c r="AR821" s="22"/>
      <c r="AS821" s="22"/>
      <c r="AT821" s="22"/>
    </row>
    <row r="822" spans="7:46" ht="13">
      <c r="G822" s="34"/>
      <c r="J822" s="18"/>
      <c r="N822" s="18"/>
      <c r="O822" s="1"/>
      <c r="P822" s="1"/>
      <c r="Q822" s="1"/>
      <c r="R822" s="18"/>
      <c r="S822" s="1"/>
      <c r="T822" s="1"/>
      <c r="U822" s="1"/>
      <c r="V822" s="1"/>
      <c r="Z822" s="18"/>
      <c r="AD822" s="18"/>
      <c r="AH822" s="18"/>
      <c r="AL822" s="18"/>
      <c r="AM822" s="22"/>
      <c r="AN822" s="22"/>
      <c r="AO822" s="22"/>
      <c r="AP822" s="22"/>
      <c r="AQ822" s="22"/>
      <c r="AR822" s="22"/>
      <c r="AS822" s="22"/>
      <c r="AT822" s="22"/>
    </row>
    <row r="823" spans="7:46" ht="13">
      <c r="G823" s="34"/>
      <c r="J823" s="18"/>
      <c r="N823" s="18"/>
      <c r="O823" s="1"/>
      <c r="P823" s="1"/>
      <c r="Q823" s="1"/>
      <c r="R823" s="18"/>
      <c r="S823" s="1"/>
      <c r="T823" s="1"/>
      <c r="U823" s="1"/>
      <c r="V823" s="1"/>
      <c r="Z823" s="18"/>
      <c r="AD823" s="18"/>
      <c r="AH823" s="18"/>
      <c r="AL823" s="18"/>
      <c r="AM823" s="22"/>
      <c r="AN823" s="22"/>
      <c r="AO823" s="22"/>
      <c r="AP823" s="22"/>
      <c r="AQ823" s="22"/>
      <c r="AR823" s="22"/>
      <c r="AS823" s="22"/>
      <c r="AT823" s="22"/>
    </row>
    <row r="824" spans="7:46" ht="13">
      <c r="G824" s="34"/>
      <c r="J824" s="18"/>
      <c r="N824" s="18"/>
      <c r="O824" s="1"/>
      <c r="P824" s="1"/>
      <c r="Q824" s="1"/>
      <c r="R824" s="18"/>
      <c r="S824" s="1"/>
      <c r="T824" s="1"/>
      <c r="U824" s="1"/>
      <c r="V824" s="1"/>
      <c r="Z824" s="18"/>
      <c r="AD824" s="18"/>
      <c r="AH824" s="18"/>
      <c r="AL824" s="18"/>
      <c r="AM824" s="22"/>
      <c r="AN824" s="22"/>
      <c r="AO824" s="22"/>
      <c r="AP824" s="22"/>
      <c r="AQ824" s="22"/>
      <c r="AR824" s="22"/>
      <c r="AS824" s="22"/>
      <c r="AT824" s="22"/>
    </row>
    <row r="825" spans="7:46" ht="13">
      <c r="G825" s="34"/>
      <c r="J825" s="18"/>
      <c r="N825" s="18"/>
      <c r="O825" s="1"/>
      <c r="P825" s="1"/>
      <c r="Q825" s="1"/>
      <c r="R825" s="18"/>
      <c r="S825" s="1"/>
      <c r="T825" s="1"/>
      <c r="U825" s="1"/>
      <c r="V825" s="1"/>
      <c r="Z825" s="18"/>
      <c r="AD825" s="18"/>
      <c r="AH825" s="18"/>
      <c r="AL825" s="18"/>
      <c r="AM825" s="22"/>
      <c r="AN825" s="22"/>
      <c r="AO825" s="22"/>
      <c r="AP825" s="22"/>
      <c r="AQ825" s="22"/>
      <c r="AR825" s="22"/>
      <c r="AS825" s="22"/>
      <c r="AT825" s="22"/>
    </row>
    <row r="826" spans="7:46" ht="13">
      <c r="G826" s="34"/>
      <c r="J826" s="18"/>
      <c r="N826" s="18"/>
      <c r="O826" s="1"/>
      <c r="P826" s="1"/>
      <c r="Q826" s="1"/>
      <c r="R826" s="18"/>
      <c r="S826" s="1"/>
      <c r="T826" s="1"/>
      <c r="U826" s="1"/>
      <c r="V826" s="1"/>
      <c r="Z826" s="18"/>
      <c r="AD826" s="18"/>
      <c r="AH826" s="18"/>
      <c r="AL826" s="18"/>
      <c r="AM826" s="22"/>
      <c r="AN826" s="22"/>
      <c r="AO826" s="22"/>
      <c r="AP826" s="22"/>
      <c r="AQ826" s="22"/>
      <c r="AR826" s="22"/>
      <c r="AS826" s="22"/>
      <c r="AT826" s="22"/>
    </row>
    <row r="827" spans="7:46" ht="13">
      <c r="G827" s="34"/>
      <c r="J827" s="18"/>
      <c r="N827" s="18"/>
      <c r="O827" s="1"/>
      <c r="P827" s="1"/>
      <c r="Q827" s="1"/>
      <c r="R827" s="18"/>
      <c r="S827" s="1"/>
      <c r="T827" s="1"/>
      <c r="U827" s="1"/>
      <c r="V827" s="1"/>
      <c r="Z827" s="18"/>
      <c r="AD827" s="18"/>
      <c r="AH827" s="18"/>
      <c r="AL827" s="18"/>
      <c r="AM827" s="22"/>
      <c r="AN827" s="22"/>
      <c r="AO827" s="22"/>
      <c r="AP827" s="22"/>
      <c r="AQ827" s="22"/>
      <c r="AR827" s="22"/>
      <c r="AS827" s="22"/>
      <c r="AT827" s="22"/>
    </row>
    <row r="828" spans="7:46" ht="13">
      <c r="G828" s="34"/>
      <c r="J828" s="18"/>
      <c r="N828" s="18"/>
      <c r="O828" s="1"/>
      <c r="P828" s="1"/>
      <c r="Q828" s="1"/>
      <c r="R828" s="18"/>
      <c r="S828" s="1"/>
      <c r="T828" s="1"/>
      <c r="U828" s="1"/>
      <c r="V828" s="1"/>
      <c r="Z828" s="18"/>
      <c r="AD828" s="18"/>
      <c r="AH828" s="18"/>
      <c r="AL828" s="18"/>
      <c r="AM828" s="22"/>
      <c r="AN828" s="22"/>
      <c r="AO828" s="22"/>
      <c r="AP828" s="22"/>
      <c r="AQ828" s="22"/>
      <c r="AR828" s="22"/>
      <c r="AS828" s="22"/>
      <c r="AT828" s="22"/>
    </row>
    <row r="829" spans="7:46" ht="13">
      <c r="G829" s="34"/>
      <c r="J829" s="18"/>
      <c r="N829" s="18"/>
      <c r="O829" s="1"/>
      <c r="P829" s="1"/>
      <c r="Q829" s="1"/>
      <c r="R829" s="18"/>
      <c r="S829" s="1"/>
      <c r="T829" s="1"/>
      <c r="U829" s="1"/>
      <c r="V829" s="1"/>
      <c r="Z829" s="18"/>
      <c r="AD829" s="18"/>
      <c r="AH829" s="18"/>
      <c r="AL829" s="18"/>
      <c r="AM829" s="22"/>
      <c r="AN829" s="22"/>
      <c r="AO829" s="22"/>
      <c r="AP829" s="22"/>
      <c r="AQ829" s="22"/>
      <c r="AR829" s="22"/>
      <c r="AS829" s="22"/>
      <c r="AT829" s="22"/>
    </row>
    <row r="830" spans="7:46" ht="13">
      <c r="G830" s="34"/>
      <c r="J830" s="18"/>
      <c r="N830" s="18"/>
      <c r="O830" s="1"/>
      <c r="P830" s="1"/>
      <c r="Q830" s="1"/>
      <c r="R830" s="18"/>
      <c r="S830" s="1"/>
      <c r="T830" s="1"/>
      <c r="U830" s="1"/>
      <c r="V830" s="1"/>
      <c r="Z830" s="18"/>
      <c r="AD830" s="18"/>
      <c r="AH830" s="18"/>
      <c r="AL830" s="18"/>
      <c r="AM830" s="22"/>
      <c r="AN830" s="22"/>
      <c r="AO830" s="22"/>
      <c r="AP830" s="22"/>
      <c r="AQ830" s="22"/>
      <c r="AR830" s="22"/>
      <c r="AS830" s="22"/>
      <c r="AT830" s="22"/>
    </row>
    <row r="831" spans="7:46" ht="13">
      <c r="G831" s="34"/>
      <c r="J831" s="18"/>
      <c r="N831" s="18"/>
      <c r="O831" s="1"/>
      <c r="P831" s="1"/>
      <c r="Q831" s="1"/>
      <c r="R831" s="18"/>
      <c r="S831" s="1"/>
      <c r="T831" s="1"/>
      <c r="U831" s="1"/>
      <c r="V831" s="1"/>
      <c r="Z831" s="18"/>
      <c r="AD831" s="18"/>
      <c r="AH831" s="18"/>
      <c r="AL831" s="18"/>
      <c r="AM831" s="22"/>
      <c r="AN831" s="22"/>
      <c r="AO831" s="22"/>
      <c r="AP831" s="22"/>
      <c r="AQ831" s="22"/>
      <c r="AR831" s="22"/>
      <c r="AS831" s="22"/>
      <c r="AT831" s="22"/>
    </row>
    <row r="832" spans="7:46" ht="13">
      <c r="G832" s="34"/>
      <c r="J832" s="18"/>
      <c r="N832" s="18"/>
      <c r="O832" s="1"/>
      <c r="P832" s="1"/>
      <c r="Q832" s="1"/>
      <c r="R832" s="18"/>
      <c r="S832" s="1"/>
      <c r="T832" s="1"/>
      <c r="U832" s="1"/>
      <c r="V832" s="1"/>
      <c r="Z832" s="18"/>
      <c r="AD832" s="18"/>
      <c r="AH832" s="18"/>
      <c r="AL832" s="18"/>
      <c r="AM832" s="22"/>
      <c r="AN832" s="22"/>
      <c r="AO832" s="22"/>
      <c r="AP832" s="22"/>
      <c r="AQ832" s="22"/>
      <c r="AR832" s="22"/>
      <c r="AS832" s="22"/>
      <c r="AT832" s="22"/>
    </row>
    <row r="833" spans="7:46" ht="13">
      <c r="G833" s="34"/>
      <c r="J833" s="18"/>
      <c r="N833" s="18"/>
      <c r="O833" s="1"/>
      <c r="P833" s="1"/>
      <c r="Q833" s="1"/>
      <c r="R833" s="18"/>
      <c r="S833" s="1"/>
      <c r="T833" s="1"/>
      <c r="U833" s="1"/>
      <c r="V833" s="1"/>
      <c r="Z833" s="18"/>
      <c r="AD833" s="18"/>
      <c r="AH833" s="18"/>
      <c r="AL833" s="18"/>
      <c r="AM833" s="22"/>
      <c r="AN833" s="22"/>
      <c r="AO833" s="22"/>
      <c r="AP833" s="22"/>
      <c r="AQ833" s="22"/>
      <c r="AR833" s="22"/>
      <c r="AS833" s="22"/>
      <c r="AT833" s="22"/>
    </row>
    <row r="834" spans="7:46" ht="13">
      <c r="G834" s="34"/>
      <c r="J834" s="18"/>
      <c r="N834" s="18"/>
      <c r="O834" s="1"/>
      <c r="P834" s="1"/>
      <c r="Q834" s="1"/>
      <c r="R834" s="18"/>
      <c r="S834" s="1"/>
      <c r="T834" s="1"/>
      <c r="U834" s="1"/>
      <c r="V834" s="1"/>
      <c r="Z834" s="18"/>
      <c r="AD834" s="18"/>
      <c r="AH834" s="18"/>
      <c r="AL834" s="18"/>
      <c r="AM834" s="22"/>
      <c r="AN834" s="22"/>
      <c r="AO834" s="22"/>
      <c r="AP834" s="22"/>
      <c r="AQ834" s="22"/>
      <c r="AR834" s="22"/>
      <c r="AS834" s="22"/>
      <c r="AT834" s="22"/>
    </row>
    <row r="835" spans="7:46" ht="13">
      <c r="G835" s="34"/>
      <c r="J835" s="18"/>
      <c r="N835" s="18"/>
      <c r="O835" s="1"/>
      <c r="P835" s="1"/>
      <c r="Q835" s="1"/>
      <c r="R835" s="18"/>
      <c r="S835" s="1"/>
      <c r="T835" s="1"/>
      <c r="U835" s="1"/>
      <c r="V835" s="1"/>
      <c r="Z835" s="18"/>
      <c r="AD835" s="18"/>
      <c r="AH835" s="18"/>
      <c r="AL835" s="18"/>
      <c r="AM835" s="22"/>
      <c r="AN835" s="22"/>
      <c r="AO835" s="22"/>
      <c r="AP835" s="22"/>
      <c r="AQ835" s="22"/>
      <c r="AR835" s="22"/>
      <c r="AS835" s="22"/>
      <c r="AT835" s="22"/>
    </row>
    <row r="836" spans="7:46" ht="13">
      <c r="G836" s="34"/>
      <c r="J836" s="18"/>
      <c r="N836" s="18"/>
      <c r="O836" s="1"/>
      <c r="P836" s="1"/>
      <c r="Q836" s="1"/>
      <c r="R836" s="18"/>
      <c r="S836" s="1"/>
      <c r="T836" s="1"/>
      <c r="U836" s="1"/>
      <c r="V836" s="1"/>
      <c r="Z836" s="18"/>
      <c r="AD836" s="18"/>
      <c r="AH836" s="18"/>
      <c r="AL836" s="18"/>
      <c r="AM836" s="22"/>
      <c r="AN836" s="22"/>
      <c r="AO836" s="22"/>
      <c r="AP836" s="22"/>
      <c r="AQ836" s="22"/>
      <c r="AR836" s="22"/>
      <c r="AS836" s="22"/>
      <c r="AT836" s="22"/>
    </row>
    <row r="837" spans="7:46" ht="13">
      <c r="G837" s="34"/>
      <c r="J837" s="18"/>
      <c r="N837" s="18"/>
      <c r="O837" s="1"/>
      <c r="P837" s="1"/>
      <c r="Q837" s="1"/>
      <c r="R837" s="18"/>
      <c r="S837" s="1"/>
      <c r="T837" s="1"/>
      <c r="U837" s="1"/>
      <c r="V837" s="1"/>
      <c r="Z837" s="18"/>
      <c r="AD837" s="18"/>
      <c r="AH837" s="18"/>
      <c r="AL837" s="18"/>
      <c r="AM837" s="22"/>
      <c r="AN837" s="22"/>
      <c r="AO837" s="22"/>
      <c r="AP837" s="22"/>
      <c r="AQ837" s="22"/>
      <c r="AR837" s="22"/>
      <c r="AS837" s="22"/>
      <c r="AT837" s="22"/>
    </row>
    <row r="838" spans="7:46" ht="13">
      <c r="G838" s="34"/>
      <c r="J838" s="18"/>
      <c r="N838" s="18"/>
      <c r="O838" s="1"/>
      <c r="P838" s="1"/>
      <c r="Q838" s="1"/>
      <c r="R838" s="18"/>
      <c r="S838" s="1"/>
      <c r="T838" s="1"/>
      <c r="U838" s="1"/>
      <c r="V838" s="1"/>
      <c r="Z838" s="18"/>
      <c r="AD838" s="18"/>
      <c r="AH838" s="18"/>
      <c r="AL838" s="18"/>
      <c r="AM838" s="22"/>
      <c r="AN838" s="22"/>
      <c r="AO838" s="22"/>
      <c r="AP838" s="22"/>
      <c r="AQ838" s="22"/>
      <c r="AR838" s="22"/>
      <c r="AS838" s="22"/>
      <c r="AT838" s="22"/>
    </row>
    <row r="839" spans="7:46" ht="13">
      <c r="G839" s="34"/>
      <c r="J839" s="18"/>
      <c r="N839" s="18"/>
      <c r="O839" s="1"/>
      <c r="P839" s="1"/>
      <c r="Q839" s="1"/>
      <c r="R839" s="18"/>
      <c r="S839" s="1"/>
      <c r="T839" s="1"/>
      <c r="U839" s="1"/>
      <c r="V839" s="1"/>
      <c r="Z839" s="18"/>
      <c r="AD839" s="18"/>
      <c r="AH839" s="18"/>
      <c r="AL839" s="18"/>
      <c r="AM839" s="22"/>
      <c r="AN839" s="22"/>
      <c r="AO839" s="22"/>
      <c r="AP839" s="22"/>
      <c r="AQ839" s="22"/>
      <c r="AR839" s="22"/>
      <c r="AS839" s="22"/>
      <c r="AT839" s="22"/>
    </row>
    <row r="840" spans="7:46" ht="13">
      <c r="G840" s="34"/>
      <c r="J840" s="18"/>
      <c r="N840" s="18"/>
      <c r="O840" s="1"/>
      <c r="P840" s="1"/>
      <c r="Q840" s="1"/>
      <c r="R840" s="18"/>
      <c r="S840" s="1"/>
      <c r="T840" s="1"/>
      <c r="U840" s="1"/>
      <c r="V840" s="1"/>
      <c r="Z840" s="18"/>
      <c r="AD840" s="18"/>
      <c r="AH840" s="18"/>
      <c r="AL840" s="18"/>
      <c r="AM840" s="22"/>
      <c r="AN840" s="22"/>
      <c r="AO840" s="22"/>
      <c r="AP840" s="22"/>
      <c r="AQ840" s="22"/>
      <c r="AR840" s="22"/>
      <c r="AS840" s="22"/>
      <c r="AT840" s="22"/>
    </row>
    <row r="841" spans="7:46" ht="13">
      <c r="G841" s="34"/>
      <c r="J841" s="18"/>
      <c r="N841" s="18"/>
      <c r="O841" s="1"/>
      <c r="P841" s="1"/>
      <c r="Q841" s="1"/>
      <c r="R841" s="18"/>
      <c r="S841" s="1"/>
      <c r="T841" s="1"/>
      <c r="U841" s="1"/>
      <c r="V841" s="1"/>
      <c r="Z841" s="18"/>
      <c r="AD841" s="18"/>
      <c r="AH841" s="18"/>
      <c r="AL841" s="18"/>
      <c r="AM841" s="22"/>
      <c r="AN841" s="22"/>
      <c r="AO841" s="22"/>
      <c r="AP841" s="22"/>
      <c r="AQ841" s="22"/>
      <c r="AR841" s="22"/>
      <c r="AS841" s="22"/>
      <c r="AT841" s="22"/>
    </row>
    <row r="842" spans="7:46" ht="13">
      <c r="G842" s="34"/>
      <c r="J842" s="18"/>
      <c r="N842" s="18"/>
      <c r="O842" s="1"/>
      <c r="P842" s="1"/>
      <c r="Q842" s="1"/>
      <c r="R842" s="18"/>
      <c r="S842" s="1"/>
      <c r="T842" s="1"/>
      <c r="U842" s="1"/>
      <c r="V842" s="1"/>
      <c r="Z842" s="18"/>
      <c r="AD842" s="18"/>
      <c r="AH842" s="18"/>
      <c r="AL842" s="18"/>
      <c r="AM842" s="22"/>
      <c r="AN842" s="22"/>
      <c r="AO842" s="22"/>
      <c r="AP842" s="22"/>
      <c r="AQ842" s="22"/>
      <c r="AR842" s="22"/>
      <c r="AS842" s="22"/>
      <c r="AT842" s="22"/>
    </row>
    <row r="843" spans="7:46" ht="13">
      <c r="G843" s="34"/>
      <c r="J843" s="18"/>
      <c r="N843" s="18"/>
      <c r="O843" s="1"/>
      <c r="P843" s="1"/>
      <c r="Q843" s="1"/>
      <c r="R843" s="18"/>
      <c r="S843" s="1"/>
      <c r="T843" s="1"/>
      <c r="U843" s="1"/>
      <c r="V843" s="1"/>
      <c r="Z843" s="18"/>
      <c r="AD843" s="18"/>
      <c r="AH843" s="18"/>
      <c r="AL843" s="18"/>
      <c r="AM843" s="22"/>
      <c r="AN843" s="22"/>
      <c r="AO843" s="22"/>
      <c r="AP843" s="22"/>
      <c r="AQ843" s="22"/>
      <c r="AR843" s="22"/>
      <c r="AS843" s="22"/>
      <c r="AT843" s="22"/>
    </row>
    <row r="844" spans="7:46" ht="13">
      <c r="G844" s="34"/>
      <c r="J844" s="18"/>
      <c r="N844" s="18"/>
      <c r="O844" s="1"/>
      <c r="P844" s="1"/>
      <c r="Q844" s="1"/>
      <c r="R844" s="18"/>
      <c r="S844" s="1"/>
      <c r="T844" s="1"/>
      <c r="U844" s="1"/>
      <c r="V844" s="1"/>
      <c r="Z844" s="18"/>
      <c r="AD844" s="18"/>
      <c r="AH844" s="18"/>
      <c r="AL844" s="18"/>
      <c r="AM844" s="22"/>
      <c r="AN844" s="22"/>
      <c r="AO844" s="22"/>
      <c r="AP844" s="22"/>
      <c r="AQ844" s="22"/>
      <c r="AR844" s="22"/>
      <c r="AS844" s="22"/>
      <c r="AT844" s="22"/>
    </row>
    <row r="845" spans="7:46" ht="13">
      <c r="G845" s="34"/>
      <c r="J845" s="18"/>
      <c r="N845" s="18"/>
      <c r="O845" s="1"/>
      <c r="P845" s="1"/>
      <c r="Q845" s="1"/>
      <c r="R845" s="18"/>
      <c r="S845" s="1"/>
      <c r="T845" s="1"/>
      <c r="U845" s="1"/>
      <c r="V845" s="1"/>
      <c r="Z845" s="18"/>
      <c r="AD845" s="18"/>
      <c r="AH845" s="18"/>
      <c r="AL845" s="18"/>
      <c r="AM845" s="22"/>
      <c r="AN845" s="22"/>
      <c r="AO845" s="22"/>
      <c r="AP845" s="22"/>
      <c r="AQ845" s="22"/>
      <c r="AR845" s="22"/>
      <c r="AS845" s="22"/>
      <c r="AT845" s="22"/>
    </row>
    <row r="846" spans="7:46" ht="13">
      <c r="G846" s="34"/>
      <c r="J846" s="18"/>
      <c r="N846" s="18"/>
      <c r="O846" s="1"/>
      <c r="P846" s="1"/>
      <c r="Q846" s="1"/>
      <c r="R846" s="18"/>
      <c r="S846" s="1"/>
      <c r="T846" s="1"/>
      <c r="U846" s="1"/>
      <c r="V846" s="1"/>
      <c r="Z846" s="18"/>
      <c r="AD846" s="18"/>
      <c r="AH846" s="18"/>
      <c r="AL846" s="18"/>
      <c r="AM846" s="22"/>
      <c r="AN846" s="22"/>
      <c r="AO846" s="22"/>
      <c r="AP846" s="22"/>
      <c r="AQ846" s="22"/>
      <c r="AR846" s="22"/>
      <c r="AS846" s="22"/>
      <c r="AT846" s="22"/>
    </row>
    <row r="847" spans="7:46" ht="13">
      <c r="G847" s="34"/>
      <c r="J847" s="18"/>
      <c r="N847" s="18"/>
      <c r="O847" s="1"/>
      <c r="P847" s="1"/>
      <c r="Q847" s="1"/>
      <c r="R847" s="18"/>
      <c r="S847" s="1"/>
      <c r="T847" s="1"/>
      <c r="U847" s="1"/>
      <c r="V847" s="1"/>
      <c r="Z847" s="18"/>
      <c r="AD847" s="18"/>
      <c r="AH847" s="18"/>
      <c r="AL847" s="18"/>
      <c r="AM847" s="22"/>
      <c r="AN847" s="22"/>
      <c r="AO847" s="22"/>
      <c r="AP847" s="22"/>
      <c r="AQ847" s="22"/>
      <c r="AR847" s="22"/>
      <c r="AS847" s="22"/>
      <c r="AT847" s="22"/>
    </row>
    <row r="848" spans="7:46" ht="13">
      <c r="G848" s="34"/>
      <c r="J848" s="18"/>
      <c r="N848" s="18"/>
      <c r="O848" s="1"/>
      <c r="P848" s="1"/>
      <c r="Q848" s="1"/>
      <c r="R848" s="18"/>
      <c r="S848" s="1"/>
      <c r="T848" s="1"/>
      <c r="U848" s="1"/>
      <c r="V848" s="1"/>
      <c r="Z848" s="18"/>
      <c r="AD848" s="18"/>
      <c r="AH848" s="18"/>
      <c r="AL848" s="18"/>
      <c r="AM848" s="22"/>
      <c r="AN848" s="22"/>
      <c r="AO848" s="22"/>
      <c r="AP848" s="22"/>
      <c r="AQ848" s="22"/>
      <c r="AR848" s="22"/>
      <c r="AS848" s="22"/>
      <c r="AT848" s="22"/>
    </row>
    <row r="849" spans="7:46" ht="13">
      <c r="G849" s="34"/>
      <c r="J849" s="18"/>
      <c r="N849" s="18"/>
      <c r="O849" s="1"/>
      <c r="P849" s="1"/>
      <c r="Q849" s="1"/>
      <c r="R849" s="18"/>
      <c r="S849" s="1"/>
      <c r="T849" s="1"/>
      <c r="U849" s="1"/>
      <c r="V849" s="1"/>
      <c r="Z849" s="18"/>
      <c r="AD849" s="18"/>
      <c r="AH849" s="18"/>
      <c r="AL849" s="18"/>
      <c r="AM849" s="22"/>
      <c r="AN849" s="22"/>
      <c r="AO849" s="22"/>
      <c r="AP849" s="22"/>
      <c r="AQ849" s="22"/>
      <c r="AR849" s="22"/>
      <c r="AS849" s="22"/>
      <c r="AT849" s="22"/>
    </row>
    <row r="850" spans="7:46" ht="13">
      <c r="G850" s="34"/>
      <c r="J850" s="18"/>
      <c r="N850" s="18"/>
      <c r="O850" s="1"/>
      <c r="P850" s="1"/>
      <c r="Q850" s="1"/>
      <c r="R850" s="18"/>
      <c r="S850" s="1"/>
      <c r="T850" s="1"/>
      <c r="U850" s="1"/>
      <c r="V850" s="1"/>
      <c r="Z850" s="18"/>
      <c r="AD850" s="18"/>
      <c r="AH850" s="18"/>
      <c r="AL850" s="18"/>
      <c r="AM850" s="22"/>
      <c r="AN850" s="22"/>
      <c r="AO850" s="22"/>
      <c r="AP850" s="22"/>
      <c r="AQ850" s="22"/>
      <c r="AR850" s="22"/>
      <c r="AS850" s="22"/>
      <c r="AT850" s="22"/>
    </row>
    <row r="851" spans="7:46" ht="13">
      <c r="G851" s="34"/>
      <c r="J851" s="18"/>
      <c r="N851" s="18"/>
      <c r="O851" s="1"/>
      <c r="P851" s="1"/>
      <c r="Q851" s="1"/>
      <c r="R851" s="18"/>
      <c r="S851" s="1"/>
      <c r="T851" s="1"/>
      <c r="U851" s="1"/>
      <c r="V851" s="1"/>
      <c r="Z851" s="18"/>
      <c r="AD851" s="18"/>
      <c r="AH851" s="18"/>
      <c r="AL851" s="18"/>
      <c r="AM851" s="22"/>
      <c r="AN851" s="22"/>
      <c r="AO851" s="22"/>
      <c r="AP851" s="22"/>
      <c r="AQ851" s="22"/>
      <c r="AR851" s="22"/>
      <c r="AS851" s="22"/>
      <c r="AT851" s="22"/>
    </row>
    <row r="852" spans="7:46" ht="13">
      <c r="G852" s="34"/>
      <c r="J852" s="18"/>
      <c r="N852" s="18"/>
      <c r="O852" s="1"/>
      <c r="P852" s="1"/>
      <c r="Q852" s="1"/>
      <c r="R852" s="18"/>
      <c r="S852" s="1"/>
      <c r="T852" s="1"/>
      <c r="U852" s="1"/>
      <c r="V852" s="1"/>
      <c r="Z852" s="18"/>
      <c r="AD852" s="18"/>
      <c r="AH852" s="18"/>
      <c r="AL852" s="18"/>
      <c r="AM852" s="22"/>
      <c r="AN852" s="22"/>
      <c r="AO852" s="22"/>
      <c r="AP852" s="22"/>
      <c r="AQ852" s="22"/>
      <c r="AR852" s="22"/>
      <c r="AS852" s="22"/>
      <c r="AT852" s="22"/>
    </row>
    <row r="853" spans="7:46" ht="13">
      <c r="G853" s="34"/>
      <c r="J853" s="18"/>
      <c r="N853" s="18"/>
      <c r="O853" s="1"/>
      <c r="P853" s="1"/>
      <c r="Q853" s="1"/>
      <c r="R853" s="18"/>
      <c r="S853" s="1"/>
      <c r="T853" s="1"/>
      <c r="U853" s="1"/>
      <c r="V853" s="1"/>
      <c r="Z853" s="18"/>
      <c r="AD853" s="18"/>
      <c r="AH853" s="18"/>
      <c r="AL853" s="18"/>
      <c r="AM853" s="22"/>
      <c r="AN853" s="22"/>
      <c r="AO853" s="22"/>
      <c r="AP853" s="22"/>
      <c r="AQ853" s="22"/>
      <c r="AR853" s="22"/>
      <c r="AS853" s="22"/>
      <c r="AT853" s="22"/>
    </row>
    <row r="854" spans="7:46" ht="13">
      <c r="G854" s="34"/>
      <c r="J854" s="18"/>
      <c r="N854" s="18"/>
      <c r="O854" s="1"/>
      <c r="P854" s="1"/>
      <c r="Q854" s="1"/>
      <c r="R854" s="18"/>
      <c r="S854" s="1"/>
      <c r="T854" s="1"/>
      <c r="U854" s="1"/>
      <c r="V854" s="1"/>
      <c r="Z854" s="18"/>
      <c r="AD854" s="18"/>
      <c r="AH854" s="18"/>
      <c r="AL854" s="18"/>
      <c r="AM854" s="22"/>
      <c r="AN854" s="22"/>
      <c r="AO854" s="22"/>
      <c r="AP854" s="22"/>
      <c r="AQ854" s="22"/>
      <c r="AR854" s="22"/>
      <c r="AS854" s="22"/>
      <c r="AT854" s="22"/>
    </row>
    <row r="855" spans="7:46" ht="13">
      <c r="G855" s="34"/>
      <c r="J855" s="18"/>
      <c r="N855" s="18"/>
      <c r="O855" s="1"/>
      <c r="P855" s="1"/>
      <c r="Q855" s="1"/>
      <c r="R855" s="18"/>
      <c r="S855" s="1"/>
      <c r="T855" s="1"/>
      <c r="U855" s="1"/>
      <c r="V855" s="1"/>
      <c r="Z855" s="18"/>
      <c r="AD855" s="18"/>
      <c r="AH855" s="18"/>
      <c r="AL855" s="18"/>
      <c r="AM855" s="22"/>
      <c r="AN855" s="22"/>
      <c r="AO855" s="22"/>
      <c r="AP855" s="22"/>
      <c r="AQ855" s="22"/>
      <c r="AR855" s="22"/>
      <c r="AS855" s="22"/>
      <c r="AT855" s="22"/>
    </row>
    <row r="856" spans="7:46" ht="13">
      <c r="G856" s="34"/>
      <c r="J856" s="18"/>
      <c r="N856" s="18"/>
      <c r="O856" s="1"/>
      <c r="P856" s="1"/>
      <c r="Q856" s="1"/>
      <c r="R856" s="18"/>
      <c r="S856" s="1"/>
      <c r="T856" s="1"/>
      <c r="U856" s="1"/>
      <c r="V856" s="1"/>
      <c r="Z856" s="18"/>
      <c r="AD856" s="18"/>
      <c r="AH856" s="18"/>
      <c r="AL856" s="18"/>
      <c r="AM856" s="22"/>
      <c r="AN856" s="22"/>
      <c r="AO856" s="22"/>
      <c r="AP856" s="22"/>
      <c r="AQ856" s="22"/>
      <c r="AR856" s="22"/>
      <c r="AS856" s="22"/>
      <c r="AT856" s="22"/>
    </row>
    <row r="857" spans="7:46" ht="13">
      <c r="G857" s="34"/>
      <c r="J857" s="18"/>
      <c r="N857" s="18"/>
      <c r="O857" s="1"/>
      <c r="P857" s="1"/>
      <c r="Q857" s="1"/>
      <c r="R857" s="18"/>
      <c r="S857" s="1"/>
      <c r="T857" s="1"/>
      <c r="U857" s="1"/>
      <c r="V857" s="1"/>
      <c r="Z857" s="18"/>
      <c r="AD857" s="18"/>
      <c r="AH857" s="18"/>
      <c r="AL857" s="18"/>
      <c r="AM857" s="22"/>
      <c r="AN857" s="22"/>
      <c r="AO857" s="22"/>
      <c r="AP857" s="22"/>
      <c r="AQ857" s="22"/>
      <c r="AR857" s="22"/>
      <c r="AS857" s="22"/>
      <c r="AT857" s="22"/>
    </row>
    <row r="858" spans="7:46" ht="13">
      <c r="G858" s="34"/>
      <c r="J858" s="18"/>
      <c r="N858" s="18"/>
      <c r="O858" s="1"/>
      <c r="P858" s="1"/>
      <c r="Q858" s="1"/>
      <c r="R858" s="18"/>
      <c r="S858" s="1"/>
      <c r="T858" s="1"/>
      <c r="U858" s="1"/>
      <c r="V858" s="1"/>
      <c r="Z858" s="18"/>
      <c r="AD858" s="18"/>
      <c r="AH858" s="18"/>
      <c r="AL858" s="18"/>
      <c r="AM858" s="22"/>
      <c r="AN858" s="22"/>
      <c r="AO858" s="22"/>
      <c r="AP858" s="22"/>
      <c r="AQ858" s="22"/>
      <c r="AR858" s="22"/>
      <c r="AS858" s="22"/>
      <c r="AT858" s="22"/>
    </row>
    <row r="859" spans="7:46" ht="13">
      <c r="G859" s="34"/>
      <c r="J859" s="18"/>
      <c r="N859" s="18"/>
      <c r="O859" s="1"/>
      <c r="P859" s="1"/>
      <c r="Q859" s="1"/>
      <c r="R859" s="18"/>
      <c r="S859" s="1"/>
      <c r="T859" s="1"/>
      <c r="U859" s="1"/>
      <c r="V859" s="1"/>
      <c r="Z859" s="18"/>
      <c r="AD859" s="18"/>
      <c r="AH859" s="18"/>
      <c r="AL859" s="18"/>
      <c r="AM859" s="22"/>
      <c r="AN859" s="22"/>
      <c r="AO859" s="22"/>
      <c r="AP859" s="22"/>
      <c r="AQ859" s="22"/>
      <c r="AR859" s="22"/>
      <c r="AS859" s="22"/>
      <c r="AT859" s="22"/>
    </row>
    <row r="860" spans="7:46" ht="13">
      <c r="G860" s="34"/>
      <c r="J860" s="18"/>
      <c r="N860" s="18"/>
      <c r="O860" s="1"/>
      <c r="P860" s="1"/>
      <c r="Q860" s="1"/>
      <c r="R860" s="18"/>
      <c r="S860" s="1"/>
      <c r="T860" s="1"/>
      <c r="U860" s="1"/>
      <c r="V860" s="1"/>
      <c r="Z860" s="18"/>
      <c r="AD860" s="18"/>
      <c r="AH860" s="18"/>
      <c r="AL860" s="18"/>
      <c r="AM860" s="22"/>
      <c r="AN860" s="22"/>
      <c r="AO860" s="22"/>
      <c r="AP860" s="22"/>
      <c r="AQ860" s="22"/>
      <c r="AR860" s="22"/>
      <c r="AS860" s="22"/>
      <c r="AT860" s="22"/>
    </row>
    <row r="861" spans="7:46" ht="13">
      <c r="G861" s="34"/>
      <c r="J861" s="18"/>
      <c r="N861" s="18"/>
      <c r="O861" s="1"/>
      <c r="P861" s="1"/>
      <c r="Q861" s="1"/>
      <c r="R861" s="18"/>
      <c r="S861" s="1"/>
      <c r="T861" s="1"/>
      <c r="U861" s="1"/>
      <c r="V861" s="1"/>
      <c r="Z861" s="18"/>
      <c r="AD861" s="18"/>
      <c r="AH861" s="18"/>
      <c r="AL861" s="18"/>
      <c r="AM861" s="22"/>
      <c r="AN861" s="22"/>
      <c r="AO861" s="22"/>
      <c r="AP861" s="22"/>
      <c r="AQ861" s="22"/>
      <c r="AR861" s="22"/>
      <c r="AS861" s="22"/>
      <c r="AT861" s="22"/>
    </row>
    <row r="862" spans="7:46" ht="13">
      <c r="G862" s="34"/>
      <c r="J862" s="18"/>
      <c r="N862" s="18"/>
      <c r="O862" s="1"/>
      <c r="P862" s="1"/>
      <c r="Q862" s="1"/>
      <c r="R862" s="18"/>
      <c r="S862" s="1"/>
      <c r="T862" s="1"/>
      <c r="U862" s="1"/>
      <c r="V862" s="1"/>
      <c r="Z862" s="18"/>
      <c r="AD862" s="18"/>
      <c r="AH862" s="18"/>
      <c r="AL862" s="18"/>
      <c r="AM862" s="22"/>
      <c r="AN862" s="22"/>
      <c r="AO862" s="22"/>
      <c r="AP862" s="22"/>
      <c r="AQ862" s="22"/>
      <c r="AR862" s="22"/>
      <c r="AS862" s="22"/>
      <c r="AT862" s="22"/>
    </row>
    <row r="863" spans="7:46" ht="13">
      <c r="G863" s="34"/>
      <c r="J863" s="18"/>
      <c r="N863" s="18"/>
      <c r="O863" s="1"/>
      <c r="P863" s="1"/>
      <c r="Q863" s="1"/>
      <c r="R863" s="18"/>
      <c r="S863" s="1"/>
      <c r="T863" s="1"/>
      <c r="U863" s="1"/>
      <c r="V863" s="1"/>
      <c r="Z863" s="18"/>
      <c r="AD863" s="18"/>
      <c r="AH863" s="18"/>
      <c r="AL863" s="18"/>
      <c r="AM863" s="22"/>
      <c r="AN863" s="22"/>
      <c r="AO863" s="22"/>
      <c r="AP863" s="22"/>
      <c r="AQ863" s="22"/>
      <c r="AR863" s="22"/>
      <c r="AS863" s="22"/>
      <c r="AT863" s="22"/>
    </row>
    <row r="864" spans="7:46" ht="13">
      <c r="G864" s="34"/>
      <c r="J864" s="18"/>
      <c r="N864" s="18"/>
      <c r="O864" s="1"/>
      <c r="P864" s="1"/>
      <c r="Q864" s="1"/>
      <c r="R864" s="18"/>
      <c r="S864" s="1"/>
      <c r="T864" s="1"/>
      <c r="U864" s="1"/>
      <c r="V864" s="1"/>
      <c r="Z864" s="18"/>
      <c r="AD864" s="18"/>
      <c r="AH864" s="18"/>
      <c r="AL864" s="18"/>
      <c r="AM864" s="22"/>
      <c r="AN864" s="22"/>
      <c r="AO864" s="22"/>
      <c r="AP864" s="22"/>
      <c r="AQ864" s="22"/>
      <c r="AR864" s="22"/>
      <c r="AS864" s="22"/>
      <c r="AT864" s="22"/>
    </row>
    <row r="865" spans="7:46" ht="13">
      <c r="G865" s="34"/>
      <c r="J865" s="18"/>
      <c r="N865" s="18"/>
      <c r="O865" s="1"/>
      <c r="P865" s="1"/>
      <c r="Q865" s="1"/>
      <c r="R865" s="18"/>
      <c r="S865" s="1"/>
      <c r="T865" s="1"/>
      <c r="U865" s="1"/>
      <c r="V865" s="1"/>
      <c r="Z865" s="18"/>
      <c r="AD865" s="18"/>
      <c r="AH865" s="18"/>
      <c r="AL865" s="18"/>
      <c r="AM865" s="22"/>
      <c r="AN865" s="22"/>
      <c r="AO865" s="22"/>
      <c r="AP865" s="22"/>
      <c r="AQ865" s="22"/>
      <c r="AR865" s="22"/>
      <c r="AS865" s="22"/>
      <c r="AT865" s="22"/>
    </row>
    <row r="866" spans="7:46" ht="13">
      <c r="G866" s="34"/>
      <c r="J866" s="18"/>
      <c r="N866" s="18"/>
      <c r="O866" s="1"/>
      <c r="P866" s="1"/>
      <c r="Q866" s="1"/>
      <c r="R866" s="18"/>
      <c r="S866" s="1"/>
      <c r="T866" s="1"/>
      <c r="U866" s="1"/>
      <c r="V866" s="1"/>
      <c r="Z866" s="18"/>
      <c r="AD866" s="18"/>
      <c r="AH866" s="18"/>
      <c r="AL866" s="18"/>
      <c r="AM866" s="22"/>
      <c r="AN866" s="22"/>
      <c r="AO866" s="22"/>
      <c r="AP866" s="22"/>
      <c r="AQ866" s="22"/>
      <c r="AR866" s="22"/>
      <c r="AS866" s="22"/>
      <c r="AT866" s="22"/>
    </row>
    <row r="867" spans="7:46" ht="13">
      <c r="G867" s="34"/>
      <c r="J867" s="18"/>
      <c r="N867" s="18"/>
      <c r="O867" s="1"/>
      <c r="P867" s="1"/>
      <c r="Q867" s="1"/>
      <c r="R867" s="18"/>
      <c r="S867" s="1"/>
      <c r="T867" s="1"/>
      <c r="U867" s="1"/>
      <c r="V867" s="1"/>
      <c r="Z867" s="18"/>
      <c r="AD867" s="18"/>
      <c r="AH867" s="18"/>
      <c r="AL867" s="18"/>
      <c r="AM867" s="22"/>
      <c r="AN867" s="22"/>
      <c r="AO867" s="22"/>
      <c r="AP867" s="22"/>
      <c r="AQ867" s="22"/>
      <c r="AR867" s="22"/>
      <c r="AS867" s="22"/>
      <c r="AT867" s="22"/>
    </row>
    <row r="868" spans="7:46" ht="13">
      <c r="G868" s="34"/>
      <c r="J868" s="18"/>
      <c r="N868" s="18"/>
      <c r="O868" s="1"/>
      <c r="P868" s="1"/>
      <c r="Q868" s="1"/>
      <c r="R868" s="18"/>
      <c r="S868" s="1"/>
      <c r="T868" s="1"/>
      <c r="U868" s="1"/>
      <c r="V868" s="1"/>
      <c r="Z868" s="18"/>
      <c r="AD868" s="18"/>
      <c r="AH868" s="18"/>
      <c r="AL868" s="18"/>
      <c r="AM868" s="22"/>
      <c r="AN868" s="22"/>
      <c r="AO868" s="22"/>
      <c r="AP868" s="22"/>
      <c r="AQ868" s="22"/>
      <c r="AR868" s="22"/>
      <c r="AS868" s="22"/>
      <c r="AT868" s="22"/>
    </row>
    <row r="869" spans="7:46" ht="13">
      <c r="G869" s="34"/>
      <c r="J869" s="18"/>
      <c r="N869" s="18"/>
      <c r="O869" s="1"/>
      <c r="P869" s="1"/>
      <c r="Q869" s="1"/>
      <c r="R869" s="18"/>
      <c r="S869" s="1"/>
      <c r="T869" s="1"/>
      <c r="U869" s="1"/>
      <c r="V869" s="1"/>
      <c r="Z869" s="18"/>
      <c r="AD869" s="18"/>
      <c r="AH869" s="18"/>
      <c r="AL869" s="18"/>
      <c r="AM869" s="22"/>
      <c r="AN869" s="22"/>
      <c r="AO869" s="22"/>
      <c r="AP869" s="22"/>
      <c r="AQ869" s="22"/>
      <c r="AR869" s="22"/>
      <c r="AS869" s="22"/>
      <c r="AT869" s="22"/>
    </row>
    <row r="870" spans="7:46" ht="13">
      <c r="G870" s="34"/>
      <c r="J870" s="18"/>
      <c r="N870" s="18"/>
      <c r="O870" s="1"/>
      <c r="P870" s="1"/>
      <c r="Q870" s="1"/>
      <c r="R870" s="18"/>
      <c r="S870" s="1"/>
      <c r="T870" s="1"/>
      <c r="U870" s="1"/>
      <c r="V870" s="1"/>
      <c r="Z870" s="18"/>
      <c r="AD870" s="18"/>
      <c r="AH870" s="18"/>
      <c r="AL870" s="18"/>
      <c r="AM870" s="22"/>
      <c r="AN870" s="22"/>
      <c r="AO870" s="22"/>
      <c r="AP870" s="22"/>
      <c r="AQ870" s="22"/>
      <c r="AR870" s="22"/>
      <c r="AS870" s="22"/>
      <c r="AT870" s="22"/>
    </row>
    <row r="871" spans="7:46" ht="13">
      <c r="G871" s="34"/>
      <c r="J871" s="18"/>
      <c r="N871" s="18"/>
      <c r="O871" s="1"/>
      <c r="P871" s="1"/>
      <c r="Q871" s="1"/>
      <c r="R871" s="18"/>
      <c r="S871" s="1"/>
      <c r="T871" s="1"/>
      <c r="U871" s="1"/>
      <c r="V871" s="1"/>
      <c r="Z871" s="18"/>
      <c r="AD871" s="18"/>
      <c r="AH871" s="18"/>
      <c r="AL871" s="18"/>
      <c r="AM871" s="22"/>
      <c r="AN871" s="22"/>
      <c r="AO871" s="22"/>
      <c r="AP871" s="22"/>
      <c r="AQ871" s="22"/>
      <c r="AR871" s="22"/>
      <c r="AS871" s="22"/>
      <c r="AT871" s="22"/>
    </row>
    <row r="872" spans="7:46" ht="13">
      <c r="G872" s="34"/>
      <c r="J872" s="18"/>
      <c r="N872" s="18"/>
      <c r="O872" s="1"/>
      <c r="P872" s="1"/>
      <c r="Q872" s="1"/>
      <c r="R872" s="18"/>
      <c r="S872" s="1"/>
      <c r="T872" s="1"/>
      <c r="U872" s="1"/>
      <c r="V872" s="1"/>
      <c r="Z872" s="18"/>
      <c r="AD872" s="18"/>
      <c r="AH872" s="18"/>
      <c r="AL872" s="18"/>
      <c r="AM872" s="22"/>
      <c r="AN872" s="22"/>
      <c r="AO872" s="22"/>
      <c r="AP872" s="22"/>
      <c r="AQ872" s="22"/>
      <c r="AR872" s="22"/>
      <c r="AS872" s="22"/>
      <c r="AT872" s="22"/>
    </row>
    <row r="873" spans="7:46" ht="13">
      <c r="G873" s="34"/>
      <c r="J873" s="18"/>
      <c r="N873" s="18"/>
      <c r="O873" s="1"/>
      <c r="P873" s="1"/>
      <c r="Q873" s="1"/>
      <c r="R873" s="18"/>
      <c r="S873" s="1"/>
      <c r="T873" s="1"/>
      <c r="U873" s="1"/>
      <c r="V873" s="1"/>
      <c r="Z873" s="18"/>
      <c r="AD873" s="18"/>
      <c r="AH873" s="18"/>
      <c r="AL873" s="18"/>
      <c r="AM873" s="22"/>
      <c r="AN873" s="22"/>
      <c r="AO873" s="22"/>
      <c r="AP873" s="22"/>
      <c r="AQ873" s="22"/>
      <c r="AR873" s="22"/>
      <c r="AS873" s="22"/>
      <c r="AT873" s="22"/>
    </row>
    <row r="874" spans="7:46" ht="13">
      <c r="G874" s="34"/>
      <c r="J874" s="18"/>
      <c r="N874" s="18"/>
      <c r="O874" s="1"/>
      <c r="P874" s="1"/>
      <c r="Q874" s="1"/>
      <c r="R874" s="18"/>
      <c r="S874" s="1"/>
      <c r="T874" s="1"/>
      <c r="U874" s="1"/>
      <c r="V874" s="1"/>
      <c r="Z874" s="18"/>
      <c r="AD874" s="18"/>
      <c r="AH874" s="18"/>
      <c r="AL874" s="18"/>
      <c r="AM874" s="22"/>
      <c r="AN874" s="22"/>
      <c r="AO874" s="22"/>
      <c r="AP874" s="22"/>
      <c r="AQ874" s="22"/>
      <c r="AR874" s="22"/>
      <c r="AS874" s="22"/>
      <c r="AT874" s="22"/>
    </row>
    <row r="875" spans="7:46" ht="13">
      <c r="G875" s="34"/>
      <c r="J875" s="18"/>
      <c r="N875" s="18"/>
      <c r="O875" s="1"/>
      <c r="P875" s="1"/>
      <c r="Q875" s="1"/>
      <c r="R875" s="18"/>
      <c r="S875" s="1"/>
      <c r="T875" s="1"/>
      <c r="U875" s="1"/>
      <c r="V875" s="1"/>
      <c r="Z875" s="18"/>
      <c r="AD875" s="18"/>
      <c r="AH875" s="18"/>
      <c r="AL875" s="18"/>
      <c r="AM875" s="22"/>
      <c r="AN875" s="22"/>
      <c r="AO875" s="22"/>
      <c r="AP875" s="22"/>
      <c r="AQ875" s="22"/>
      <c r="AR875" s="22"/>
      <c r="AS875" s="22"/>
      <c r="AT875" s="22"/>
    </row>
    <row r="876" spans="7:46" ht="13">
      <c r="G876" s="34"/>
      <c r="J876" s="18"/>
      <c r="N876" s="18"/>
      <c r="O876" s="1"/>
      <c r="P876" s="1"/>
      <c r="Q876" s="1"/>
      <c r="R876" s="18"/>
      <c r="S876" s="1"/>
      <c r="T876" s="1"/>
      <c r="U876" s="1"/>
      <c r="V876" s="1"/>
      <c r="Z876" s="18"/>
      <c r="AD876" s="18"/>
      <c r="AH876" s="18"/>
      <c r="AL876" s="18"/>
      <c r="AM876" s="22"/>
      <c r="AN876" s="22"/>
      <c r="AO876" s="22"/>
      <c r="AP876" s="22"/>
      <c r="AQ876" s="22"/>
      <c r="AR876" s="22"/>
      <c r="AS876" s="22"/>
      <c r="AT876" s="22"/>
    </row>
    <row r="877" spans="7:46" ht="13">
      <c r="G877" s="34"/>
      <c r="J877" s="18"/>
      <c r="N877" s="18"/>
      <c r="O877" s="1"/>
      <c r="P877" s="1"/>
      <c r="Q877" s="1"/>
      <c r="R877" s="18"/>
      <c r="S877" s="1"/>
      <c r="T877" s="1"/>
      <c r="U877" s="1"/>
      <c r="V877" s="1"/>
      <c r="Z877" s="18"/>
      <c r="AD877" s="18"/>
      <c r="AH877" s="18"/>
      <c r="AL877" s="18"/>
      <c r="AM877" s="22"/>
      <c r="AN877" s="22"/>
      <c r="AO877" s="22"/>
      <c r="AP877" s="22"/>
      <c r="AQ877" s="22"/>
      <c r="AR877" s="22"/>
      <c r="AS877" s="22"/>
      <c r="AT877" s="22"/>
    </row>
    <row r="878" spans="7:46" ht="13">
      <c r="G878" s="34"/>
      <c r="J878" s="18"/>
      <c r="N878" s="18"/>
      <c r="O878" s="1"/>
      <c r="P878" s="1"/>
      <c r="Q878" s="1"/>
      <c r="R878" s="18"/>
      <c r="S878" s="1"/>
      <c r="T878" s="1"/>
      <c r="U878" s="1"/>
      <c r="V878" s="1"/>
      <c r="Z878" s="18"/>
      <c r="AD878" s="18"/>
      <c r="AH878" s="18"/>
      <c r="AL878" s="18"/>
      <c r="AM878" s="22"/>
      <c r="AN878" s="22"/>
      <c r="AO878" s="22"/>
      <c r="AP878" s="22"/>
      <c r="AQ878" s="22"/>
      <c r="AR878" s="22"/>
      <c r="AS878" s="22"/>
      <c r="AT878" s="22"/>
    </row>
    <row r="879" spans="7:46" ht="13">
      <c r="G879" s="34"/>
      <c r="J879" s="18"/>
      <c r="N879" s="18"/>
      <c r="O879" s="1"/>
      <c r="P879" s="1"/>
      <c r="Q879" s="1"/>
      <c r="R879" s="18"/>
      <c r="S879" s="1"/>
      <c r="T879" s="1"/>
      <c r="U879" s="1"/>
      <c r="V879" s="1"/>
      <c r="Z879" s="18"/>
      <c r="AD879" s="18"/>
      <c r="AH879" s="18"/>
      <c r="AL879" s="18"/>
      <c r="AM879" s="22"/>
      <c r="AN879" s="22"/>
      <c r="AO879" s="22"/>
      <c r="AP879" s="22"/>
      <c r="AQ879" s="22"/>
      <c r="AR879" s="22"/>
      <c r="AS879" s="22"/>
      <c r="AT879" s="22"/>
    </row>
    <row r="880" spans="7:46" ht="13">
      <c r="G880" s="34"/>
      <c r="J880" s="18"/>
      <c r="N880" s="18"/>
      <c r="O880" s="1"/>
      <c r="P880" s="1"/>
      <c r="Q880" s="1"/>
      <c r="R880" s="18"/>
      <c r="S880" s="1"/>
      <c r="T880" s="1"/>
      <c r="U880" s="1"/>
      <c r="V880" s="1"/>
      <c r="Z880" s="18"/>
      <c r="AD880" s="18"/>
      <c r="AH880" s="18"/>
      <c r="AL880" s="18"/>
      <c r="AM880" s="22"/>
      <c r="AN880" s="22"/>
      <c r="AO880" s="22"/>
      <c r="AP880" s="22"/>
      <c r="AQ880" s="22"/>
      <c r="AR880" s="22"/>
      <c r="AS880" s="22"/>
      <c r="AT880" s="22"/>
    </row>
    <row r="881" spans="7:46" ht="13">
      <c r="G881" s="34"/>
      <c r="J881" s="18"/>
      <c r="N881" s="18"/>
      <c r="O881" s="1"/>
      <c r="P881" s="1"/>
      <c r="Q881" s="1"/>
      <c r="R881" s="18"/>
      <c r="S881" s="1"/>
      <c r="T881" s="1"/>
      <c r="U881" s="1"/>
      <c r="V881" s="1"/>
      <c r="Z881" s="18"/>
      <c r="AD881" s="18"/>
      <c r="AH881" s="18"/>
      <c r="AL881" s="18"/>
      <c r="AM881" s="22"/>
      <c r="AN881" s="22"/>
      <c r="AO881" s="22"/>
      <c r="AP881" s="22"/>
      <c r="AQ881" s="22"/>
      <c r="AR881" s="22"/>
      <c r="AS881" s="22"/>
      <c r="AT881" s="22"/>
    </row>
    <row r="882" spans="7:46" ht="13">
      <c r="G882" s="34"/>
      <c r="J882" s="18"/>
      <c r="N882" s="18"/>
      <c r="O882" s="1"/>
      <c r="P882" s="1"/>
      <c r="Q882" s="1"/>
      <c r="R882" s="18"/>
      <c r="S882" s="1"/>
      <c r="T882" s="1"/>
      <c r="U882" s="1"/>
      <c r="V882" s="1"/>
      <c r="Z882" s="18"/>
      <c r="AD882" s="18"/>
      <c r="AH882" s="18"/>
      <c r="AL882" s="18"/>
      <c r="AM882" s="22"/>
      <c r="AN882" s="22"/>
      <c r="AO882" s="22"/>
      <c r="AP882" s="22"/>
      <c r="AQ882" s="22"/>
      <c r="AR882" s="22"/>
      <c r="AS882" s="22"/>
      <c r="AT882" s="22"/>
    </row>
    <row r="883" spans="7:46" ht="13">
      <c r="G883" s="34"/>
      <c r="J883" s="18"/>
      <c r="N883" s="18"/>
      <c r="O883" s="1"/>
      <c r="P883" s="1"/>
      <c r="Q883" s="1"/>
      <c r="R883" s="18"/>
      <c r="S883" s="1"/>
      <c r="T883" s="1"/>
      <c r="U883" s="1"/>
      <c r="V883" s="1"/>
      <c r="Z883" s="18"/>
      <c r="AD883" s="18"/>
      <c r="AH883" s="18"/>
      <c r="AL883" s="18"/>
      <c r="AM883" s="22"/>
      <c r="AN883" s="22"/>
      <c r="AO883" s="22"/>
      <c r="AP883" s="22"/>
      <c r="AQ883" s="22"/>
      <c r="AR883" s="22"/>
      <c r="AS883" s="22"/>
      <c r="AT883" s="22"/>
    </row>
    <row r="884" spans="7:46" ht="13">
      <c r="G884" s="34"/>
      <c r="J884" s="18"/>
      <c r="N884" s="18"/>
      <c r="O884" s="1"/>
      <c r="P884" s="1"/>
      <c r="Q884" s="1"/>
      <c r="R884" s="18"/>
      <c r="S884" s="1"/>
      <c r="T884" s="1"/>
      <c r="U884" s="1"/>
      <c r="V884" s="1"/>
      <c r="Z884" s="18"/>
      <c r="AD884" s="18"/>
      <c r="AH884" s="18"/>
      <c r="AL884" s="18"/>
      <c r="AM884" s="22"/>
      <c r="AN884" s="22"/>
      <c r="AO884" s="22"/>
      <c r="AP884" s="22"/>
      <c r="AQ884" s="22"/>
      <c r="AR884" s="22"/>
      <c r="AS884" s="22"/>
      <c r="AT884" s="22"/>
    </row>
    <row r="885" spans="7:46" ht="13">
      <c r="G885" s="34"/>
      <c r="J885" s="18"/>
      <c r="N885" s="18"/>
      <c r="O885" s="1"/>
      <c r="P885" s="1"/>
      <c r="Q885" s="1"/>
      <c r="R885" s="18"/>
      <c r="S885" s="1"/>
      <c r="T885" s="1"/>
      <c r="U885" s="1"/>
      <c r="V885" s="1"/>
      <c r="Z885" s="18"/>
      <c r="AD885" s="18"/>
      <c r="AH885" s="18"/>
      <c r="AL885" s="18"/>
      <c r="AM885" s="22"/>
      <c r="AN885" s="22"/>
      <c r="AO885" s="22"/>
      <c r="AP885" s="22"/>
      <c r="AQ885" s="22"/>
      <c r="AR885" s="22"/>
      <c r="AS885" s="22"/>
      <c r="AT885" s="22"/>
    </row>
    <row r="886" spans="7:46" ht="13">
      <c r="G886" s="34"/>
      <c r="J886" s="18"/>
      <c r="N886" s="18"/>
      <c r="O886" s="1"/>
      <c r="P886" s="1"/>
      <c r="Q886" s="1"/>
      <c r="R886" s="18"/>
      <c r="S886" s="1"/>
      <c r="T886" s="1"/>
      <c r="U886" s="1"/>
      <c r="V886" s="1"/>
      <c r="Z886" s="18"/>
      <c r="AD886" s="18"/>
      <c r="AH886" s="18"/>
      <c r="AL886" s="18"/>
      <c r="AM886" s="22"/>
      <c r="AN886" s="22"/>
      <c r="AO886" s="22"/>
      <c r="AP886" s="22"/>
      <c r="AQ886" s="22"/>
      <c r="AR886" s="22"/>
      <c r="AS886" s="22"/>
      <c r="AT886" s="22"/>
    </row>
    <row r="887" spans="7:46" ht="13">
      <c r="G887" s="34"/>
      <c r="J887" s="18"/>
      <c r="N887" s="18"/>
      <c r="O887" s="1"/>
      <c r="P887" s="1"/>
      <c r="Q887" s="1"/>
      <c r="R887" s="18"/>
      <c r="S887" s="1"/>
      <c r="T887" s="1"/>
      <c r="U887" s="1"/>
      <c r="V887" s="1"/>
      <c r="Z887" s="18"/>
      <c r="AD887" s="18"/>
      <c r="AH887" s="18"/>
      <c r="AL887" s="18"/>
      <c r="AM887" s="22"/>
      <c r="AN887" s="22"/>
      <c r="AO887" s="22"/>
      <c r="AP887" s="22"/>
      <c r="AQ887" s="22"/>
      <c r="AR887" s="22"/>
      <c r="AS887" s="22"/>
      <c r="AT887" s="22"/>
    </row>
    <row r="888" spans="7:46" ht="13">
      <c r="G888" s="34"/>
      <c r="J888" s="18"/>
      <c r="N888" s="18"/>
      <c r="O888" s="1"/>
      <c r="P888" s="1"/>
      <c r="Q888" s="1"/>
      <c r="R888" s="18"/>
      <c r="S888" s="1"/>
      <c r="T888" s="1"/>
      <c r="U888" s="1"/>
      <c r="V888" s="1"/>
      <c r="Z888" s="18"/>
      <c r="AD888" s="18"/>
      <c r="AH888" s="18"/>
      <c r="AL888" s="18"/>
      <c r="AM888" s="22"/>
      <c r="AN888" s="22"/>
      <c r="AO888" s="22"/>
      <c r="AP888" s="22"/>
      <c r="AQ888" s="22"/>
      <c r="AR888" s="22"/>
      <c r="AS888" s="22"/>
      <c r="AT888" s="22"/>
    </row>
    <row r="889" spans="7:46" ht="13">
      <c r="G889" s="34"/>
      <c r="J889" s="18"/>
      <c r="N889" s="18"/>
      <c r="O889" s="1"/>
      <c r="P889" s="1"/>
      <c r="Q889" s="1"/>
      <c r="R889" s="18"/>
      <c r="S889" s="1"/>
      <c r="T889" s="1"/>
      <c r="U889" s="1"/>
      <c r="V889" s="1"/>
      <c r="Z889" s="18"/>
      <c r="AD889" s="18"/>
      <c r="AH889" s="18"/>
      <c r="AL889" s="18"/>
      <c r="AM889" s="22"/>
      <c r="AN889" s="22"/>
      <c r="AO889" s="22"/>
      <c r="AP889" s="22"/>
      <c r="AQ889" s="22"/>
      <c r="AR889" s="22"/>
      <c r="AS889" s="22"/>
      <c r="AT889" s="22"/>
    </row>
    <row r="890" spans="7:46" ht="13">
      <c r="G890" s="34"/>
      <c r="J890" s="18"/>
      <c r="N890" s="18"/>
      <c r="O890" s="1"/>
      <c r="P890" s="1"/>
      <c r="Q890" s="1"/>
      <c r="R890" s="18"/>
      <c r="S890" s="1"/>
      <c r="T890" s="1"/>
      <c r="U890" s="1"/>
      <c r="V890" s="1"/>
      <c r="Z890" s="18"/>
      <c r="AD890" s="18"/>
      <c r="AH890" s="18"/>
      <c r="AL890" s="18"/>
      <c r="AM890" s="22"/>
      <c r="AN890" s="22"/>
      <c r="AO890" s="22"/>
      <c r="AP890" s="22"/>
      <c r="AQ890" s="22"/>
      <c r="AR890" s="22"/>
      <c r="AS890" s="22"/>
      <c r="AT890" s="22"/>
    </row>
    <row r="891" spans="7:46" ht="13">
      <c r="G891" s="34"/>
      <c r="J891" s="18"/>
      <c r="N891" s="18"/>
      <c r="O891" s="1"/>
      <c r="P891" s="1"/>
      <c r="Q891" s="1"/>
      <c r="R891" s="18"/>
      <c r="S891" s="1"/>
      <c r="T891" s="1"/>
      <c r="U891" s="1"/>
      <c r="V891" s="1"/>
      <c r="Z891" s="18"/>
      <c r="AD891" s="18"/>
      <c r="AH891" s="18"/>
      <c r="AL891" s="18"/>
      <c r="AM891" s="22"/>
      <c r="AN891" s="22"/>
      <c r="AO891" s="22"/>
      <c r="AP891" s="22"/>
      <c r="AQ891" s="22"/>
      <c r="AR891" s="22"/>
      <c r="AS891" s="22"/>
      <c r="AT891" s="22"/>
    </row>
    <row r="892" spans="7:46" ht="13">
      <c r="G892" s="34"/>
      <c r="J892" s="18"/>
      <c r="N892" s="18"/>
      <c r="O892" s="1"/>
      <c r="P892" s="1"/>
      <c r="Q892" s="1"/>
      <c r="R892" s="18"/>
      <c r="S892" s="1"/>
      <c r="T892" s="1"/>
      <c r="U892" s="1"/>
      <c r="V892" s="1"/>
      <c r="Z892" s="18"/>
      <c r="AD892" s="18"/>
      <c r="AH892" s="18"/>
      <c r="AL892" s="18"/>
      <c r="AM892" s="22"/>
      <c r="AN892" s="22"/>
      <c r="AO892" s="22"/>
      <c r="AP892" s="22"/>
      <c r="AQ892" s="22"/>
      <c r="AR892" s="22"/>
      <c r="AS892" s="22"/>
      <c r="AT892" s="22"/>
    </row>
    <row r="893" spans="7:46" ht="13">
      <c r="G893" s="34"/>
      <c r="J893" s="18"/>
      <c r="N893" s="18"/>
      <c r="O893" s="1"/>
      <c r="P893" s="1"/>
      <c r="Q893" s="1"/>
      <c r="R893" s="18"/>
      <c r="S893" s="1"/>
      <c r="T893" s="1"/>
      <c r="U893" s="1"/>
      <c r="V893" s="1"/>
      <c r="Z893" s="18"/>
      <c r="AD893" s="18"/>
      <c r="AH893" s="18"/>
      <c r="AL893" s="18"/>
      <c r="AM893" s="22"/>
      <c r="AN893" s="22"/>
      <c r="AO893" s="22"/>
      <c r="AP893" s="22"/>
      <c r="AQ893" s="22"/>
      <c r="AR893" s="22"/>
      <c r="AS893" s="22"/>
      <c r="AT893" s="22"/>
    </row>
    <row r="894" spans="7:46" ht="13">
      <c r="G894" s="34"/>
      <c r="J894" s="18"/>
      <c r="N894" s="18"/>
      <c r="O894" s="1"/>
      <c r="P894" s="1"/>
      <c r="Q894" s="1"/>
      <c r="R894" s="18"/>
      <c r="S894" s="1"/>
      <c r="T894" s="1"/>
      <c r="U894" s="1"/>
      <c r="V894" s="1"/>
      <c r="Z894" s="18"/>
      <c r="AD894" s="18"/>
      <c r="AH894" s="18"/>
      <c r="AL894" s="18"/>
      <c r="AM894" s="22"/>
      <c r="AN894" s="22"/>
      <c r="AO894" s="22"/>
      <c r="AP894" s="22"/>
      <c r="AQ894" s="22"/>
      <c r="AR894" s="22"/>
      <c r="AS894" s="22"/>
      <c r="AT894" s="22"/>
    </row>
    <row r="895" spans="7:46" ht="13">
      <c r="G895" s="34"/>
      <c r="J895" s="18"/>
      <c r="N895" s="18"/>
      <c r="O895" s="1"/>
      <c r="P895" s="1"/>
      <c r="Q895" s="1"/>
      <c r="R895" s="18"/>
      <c r="S895" s="1"/>
      <c r="T895" s="1"/>
      <c r="U895" s="1"/>
      <c r="V895" s="1"/>
      <c r="Z895" s="18"/>
      <c r="AD895" s="18"/>
      <c r="AH895" s="18"/>
      <c r="AL895" s="18"/>
      <c r="AM895" s="22"/>
      <c r="AN895" s="22"/>
      <c r="AO895" s="22"/>
      <c r="AP895" s="22"/>
      <c r="AQ895" s="22"/>
      <c r="AR895" s="22"/>
      <c r="AS895" s="22"/>
      <c r="AT895" s="22"/>
    </row>
    <row r="896" spans="7:46" ht="13">
      <c r="G896" s="34"/>
      <c r="J896" s="18"/>
      <c r="N896" s="18"/>
      <c r="O896" s="1"/>
      <c r="P896" s="1"/>
      <c r="Q896" s="1"/>
      <c r="R896" s="18"/>
      <c r="S896" s="1"/>
      <c r="T896" s="1"/>
      <c r="U896" s="1"/>
      <c r="V896" s="1"/>
      <c r="Z896" s="18"/>
      <c r="AD896" s="18"/>
      <c r="AH896" s="18"/>
      <c r="AL896" s="18"/>
      <c r="AM896" s="22"/>
      <c r="AN896" s="22"/>
      <c r="AO896" s="22"/>
      <c r="AP896" s="22"/>
      <c r="AQ896" s="22"/>
      <c r="AR896" s="22"/>
      <c r="AS896" s="22"/>
      <c r="AT896" s="22"/>
    </row>
    <row r="897" spans="7:46" ht="13">
      <c r="G897" s="34"/>
      <c r="J897" s="18"/>
      <c r="N897" s="18"/>
      <c r="O897" s="1"/>
      <c r="P897" s="1"/>
      <c r="Q897" s="1"/>
      <c r="R897" s="18"/>
      <c r="S897" s="1"/>
      <c r="T897" s="1"/>
      <c r="U897" s="1"/>
      <c r="V897" s="1"/>
      <c r="Z897" s="18"/>
      <c r="AD897" s="18"/>
      <c r="AH897" s="18"/>
      <c r="AL897" s="18"/>
      <c r="AM897" s="22"/>
      <c r="AN897" s="22"/>
      <c r="AO897" s="22"/>
      <c r="AP897" s="22"/>
      <c r="AQ897" s="22"/>
      <c r="AR897" s="22"/>
      <c r="AS897" s="22"/>
      <c r="AT897" s="22"/>
    </row>
    <row r="898" spans="7:46" ht="13">
      <c r="G898" s="34"/>
      <c r="J898" s="18"/>
      <c r="N898" s="18"/>
      <c r="O898" s="1"/>
      <c r="P898" s="1"/>
      <c r="Q898" s="1"/>
      <c r="R898" s="18"/>
      <c r="S898" s="1"/>
      <c r="T898" s="1"/>
      <c r="U898" s="1"/>
      <c r="V898" s="1"/>
      <c r="Z898" s="18"/>
      <c r="AD898" s="18"/>
      <c r="AH898" s="18"/>
      <c r="AL898" s="18"/>
      <c r="AM898" s="22"/>
      <c r="AN898" s="22"/>
      <c r="AO898" s="22"/>
      <c r="AP898" s="22"/>
      <c r="AQ898" s="22"/>
      <c r="AR898" s="22"/>
      <c r="AS898" s="22"/>
      <c r="AT898" s="22"/>
    </row>
    <row r="899" spans="7:46" ht="13">
      <c r="G899" s="34"/>
      <c r="J899" s="18"/>
      <c r="N899" s="18"/>
      <c r="O899" s="1"/>
      <c r="P899" s="1"/>
      <c r="Q899" s="1"/>
      <c r="R899" s="18"/>
      <c r="S899" s="1"/>
      <c r="T899" s="1"/>
      <c r="U899" s="1"/>
      <c r="V899" s="1"/>
      <c r="Z899" s="18"/>
      <c r="AD899" s="18"/>
      <c r="AH899" s="18"/>
      <c r="AL899" s="18"/>
      <c r="AM899" s="22"/>
      <c r="AN899" s="22"/>
      <c r="AO899" s="22"/>
      <c r="AP899" s="22"/>
      <c r="AQ899" s="22"/>
      <c r="AR899" s="22"/>
      <c r="AS899" s="22"/>
      <c r="AT899" s="22"/>
    </row>
    <row r="900" spans="7:46" ht="13">
      <c r="G900" s="34"/>
      <c r="J900" s="18"/>
      <c r="N900" s="18"/>
      <c r="O900" s="1"/>
      <c r="P900" s="1"/>
      <c r="Q900" s="1"/>
      <c r="R900" s="18"/>
      <c r="S900" s="1"/>
      <c r="T900" s="1"/>
      <c r="U900" s="1"/>
      <c r="V900" s="1"/>
      <c r="Z900" s="18"/>
      <c r="AD900" s="18"/>
      <c r="AH900" s="18"/>
      <c r="AL900" s="18"/>
      <c r="AM900" s="22"/>
      <c r="AN900" s="22"/>
      <c r="AO900" s="22"/>
      <c r="AP900" s="22"/>
      <c r="AQ900" s="22"/>
      <c r="AR900" s="22"/>
      <c r="AS900" s="22"/>
      <c r="AT900" s="22"/>
    </row>
    <row r="901" spans="7:46" ht="13">
      <c r="G901" s="34"/>
      <c r="J901" s="18"/>
      <c r="N901" s="18"/>
      <c r="O901" s="1"/>
      <c r="P901" s="1"/>
      <c r="Q901" s="1"/>
      <c r="R901" s="18"/>
      <c r="S901" s="1"/>
      <c r="T901" s="1"/>
      <c r="U901" s="1"/>
      <c r="V901" s="1"/>
      <c r="Z901" s="18"/>
      <c r="AD901" s="18"/>
      <c r="AH901" s="18"/>
      <c r="AL901" s="18"/>
      <c r="AM901" s="22"/>
      <c r="AN901" s="22"/>
      <c r="AO901" s="22"/>
      <c r="AP901" s="22"/>
      <c r="AQ901" s="22"/>
      <c r="AR901" s="22"/>
      <c r="AS901" s="22"/>
      <c r="AT901" s="22"/>
    </row>
    <row r="902" spans="7:46" ht="13">
      <c r="G902" s="34"/>
      <c r="J902" s="18"/>
      <c r="N902" s="18"/>
      <c r="O902" s="1"/>
      <c r="P902" s="1"/>
      <c r="Q902" s="1"/>
      <c r="R902" s="18"/>
      <c r="S902" s="1"/>
      <c r="T902" s="1"/>
      <c r="U902" s="1"/>
      <c r="V902" s="1"/>
      <c r="Z902" s="18"/>
      <c r="AD902" s="18"/>
      <c r="AH902" s="18"/>
      <c r="AL902" s="18"/>
      <c r="AM902" s="22"/>
      <c r="AN902" s="22"/>
      <c r="AO902" s="22"/>
      <c r="AP902" s="22"/>
      <c r="AQ902" s="22"/>
      <c r="AR902" s="22"/>
      <c r="AS902" s="22"/>
      <c r="AT902" s="22"/>
    </row>
    <row r="903" spans="7:46" ht="13">
      <c r="G903" s="34"/>
      <c r="J903" s="18"/>
      <c r="N903" s="18"/>
      <c r="O903" s="1"/>
      <c r="P903" s="1"/>
      <c r="Q903" s="1"/>
      <c r="R903" s="18"/>
      <c r="S903" s="1"/>
      <c r="T903" s="1"/>
      <c r="U903" s="1"/>
      <c r="V903" s="1"/>
      <c r="Z903" s="18"/>
      <c r="AD903" s="18"/>
      <c r="AH903" s="18"/>
      <c r="AL903" s="18"/>
      <c r="AM903" s="22"/>
      <c r="AN903" s="22"/>
      <c r="AO903" s="22"/>
      <c r="AP903" s="22"/>
      <c r="AQ903" s="22"/>
      <c r="AR903" s="22"/>
      <c r="AS903" s="22"/>
      <c r="AT903" s="22"/>
    </row>
    <row r="904" spans="7:46" ht="13">
      <c r="G904" s="34"/>
      <c r="J904" s="18"/>
      <c r="N904" s="18"/>
      <c r="O904" s="1"/>
      <c r="P904" s="1"/>
      <c r="Q904" s="1"/>
      <c r="R904" s="18"/>
      <c r="S904" s="1"/>
      <c r="T904" s="1"/>
      <c r="U904" s="1"/>
      <c r="V904" s="1"/>
      <c r="Z904" s="18"/>
      <c r="AD904" s="18"/>
      <c r="AH904" s="18"/>
      <c r="AL904" s="18"/>
      <c r="AM904" s="22"/>
      <c r="AN904" s="22"/>
      <c r="AO904" s="22"/>
      <c r="AP904" s="22"/>
      <c r="AQ904" s="22"/>
      <c r="AR904" s="22"/>
      <c r="AS904" s="22"/>
      <c r="AT904" s="22"/>
    </row>
    <row r="905" spans="7:46" ht="13">
      <c r="G905" s="34"/>
      <c r="J905" s="18"/>
      <c r="N905" s="18"/>
      <c r="O905" s="1"/>
      <c r="P905" s="1"/>
      <c r="Q905" s="1"/>
      <c r="R905" s="18"/>
      <c r="S905" s="1"/>
      <c r="T905" s="1"/>
      <c r="U905" s="1"/>
      <c r="V905" s="1"/>
      <c r="Z905" s="18"/>
      <c r="AD905" s="18"/>
      <c r="AH905" s="18"/>
      <c r="AL905" s="18"/>
      <c r="AM905" s="22"/>
      <c r="AN905" s="22"/>
      <c r="AO905" s="22"/>
      <c r="AP905" s="22"/>
      <c r="AQ905" s="22"/>
      <c r="AR905" s="22"/>
      <c r="AS905" s="22"/>
      <c r="AT905" s="22"/>
    </row>
    <row r="906" spans="7:46" ht="13">
      <c r="G906" s="34"/>
      <c r="J906" s="18"/>
      <c r="N906" s="18"/>
      <c r="O906" s="1"/>
      <c r="P906" s="1"/>
      <c r="Q906" s="1"/>
      <c r="R906" s="18"/>
      <c r="S906" s="1"/>
      <c r="T906" s="1"/>
      <c r="U906" s="1"/>
      <c r="V906" s="1"/>
      <c r="Z906" s="18"/>
      <c r="AD906" s="18"/>
      <c r="AH906" s="18"/>
      <c r="AL906" s="18"/>
      <c r="AM906" s="22"/>
      <c r="AN906" s="22"/>
      <c r="AO906" s="22"/>
      <c r="AP906" s="22"/>
      <c r="AQ906" s="22"/>
      <c r="AR906" s="22"/>
      <c r="AS906" s="22"/>
      <c r="AT906" s="22"/>
    </row>
    <row r="907" spans="7:46" ht="13">
      <c r="G907" s="34"/>
      <c r="J907" s="18"/>
      <c r="N907" s="18"/>
      <c r="O907" s="1"/>
      <c r="P907" s="1"/>
      <c r="Q907" s="1"/>
      <c r="R907" s="18"/>
      <c r="S907" s="1"/>
      <c r="T907" s="1"/>
      <c r="U907" s="1"/>
      <c r="V907" s="1"/>
      <c r="Z907" s="18"/>
      <c r="AD907" s="18"/>
      <c r="AH907" s="18"/>
      <c r="AL907" s="18"/>
      <c r="AM907" s="22"/>
      <c r="AN907" s="22"/>
      <c r="AO907" s="22"/>
      <c r="AP907" s="22"/>
      <c r="AQ907" s="22"/>
      <c r="AR907" s="22"/>
      <c r="AS907" s="22"/>
      <c r="AT907" s="22"/>
    </row>
    <row r="908" spans="7:46" ht="13">
      <c r="G908" s="34"/>
      <c r="J908" s="18"/>
      <c r="N908" s="18"/>
      <c r="O908" s="1"/>
      <c r="P908" s="1"/>
      <c r="Q908" s="1"/>
      <c r="R908" s="18"/>
      <c r="S908" s="1"/>
      <c r="T908" s="1"/>
      <c r="U908" s="1"/>
      <c r="V908" s="1"/>
      <c r="Z908" s="18"/>
      <c r="AD908" s="18"/>
      <c r="AH908" s="18"/>
      <c r="AL908" s="18"/>
      <c r="AM908" s="22"/>
      <c r="AN908" s="22"/>
      <c r="AO908" s="22"/>
      <c r="AP908" s="22"/>
      <c r="AQ908" s="22"/>
      <c r="AR908" s="22"/>
      <c r="AS908" s="22"/>
      <c r="AT908" s="22"/>
    </row>
    <row r="909" spans="7:46" ht="13">
      <c r="G909" s="34"/>
      <c r="J909" s="18"/>
      <c r="N909" s="18"/>
      <c r="O909" s="1"/>
      <c r="P909" s="1"/>
      <c r="Q909" s="1"/>
      <c r="R909" s="18"/>
      <c r="S909" s="1"/>
      <c r="T909" s="1"/>
      <c r="U909" s="1"/>
      <c r="V909" s="1"/>
      <c r="Z909" s="18"/>
      <c r="AD909" s="18"/>
      <c r="AH909" s="18"/>
      <c r="AL909" s="18"/>
      <c r="AM909" s="22"/>
      <c r="AN909" s="22"/>
      <c r="AO909" s="22"/>
      <c r="AP909" s="22"/>
      <c r="AQ909" s="22"/>
      <c r="AR909" s="22"/>
      <c r="AS909" s="22"/>
      <c r="AT909" s="22"/>
    </row>
    <row r="910" spans="7:46" ht="13">
      <c r="G910" s="34"/>
      <c r="J910" s="18"/>
      <c r="N910" s="18"/>
      <c r="O910" s="1"/>
      <c r="P910" s="1"/>
      <c r="Q910" s="1"/>
      <c r="R910" s="18"/>
      <c r="S910" s="1"/>
      <c r="T910" s="1"/>
      <c r="U910" s="1"/>
      <c r="V910" s="1"/>
      <c r="Z910" s="18"/>
      <c r="AD910" s="18"/>
      <c r="AH910" s="18"/>
      <c r="AL910" s="18"/>
      <c r="AM910" s="22"/>
      <c r="AN910" s="22"/>
      <c r="AO910" s="22"/>
      <c r="AP910" s="22"/>
      <c r="AQ910" s="22"/>
      <c r="AR910" s="22"/>
      <c r="AS910" s="22"/>
      <c r="AT910" s="22"/>
    </row>
    <row r="911" spans="7:46" ht="13">
      <c r="G911" s="34"/>
      <c r="J911" s="18"/>
      <c r="N911" s="18"/>
      <c r="O911" s="1"/>
      <c r="P911" s="1"/>
      <c r="Q911" s="1"/>
      <c r="R911" s="18"/>
      <c r="S911" s="1"/>
      <c r="T911" s="1"/>
      <c r="U911" s="1"/>
      <c r="V911" s="1"/>
      <c r="Z911" s="18"/>
      <c r="AD911" s="18"/>
      <c r="AH911" s="18"/>
      <c r="AL911" s="18"/>
      <c r="AM911" s="22"/>
      <c r="AN911" s="22"/>
      <c r="AO911" s="22"/>
      <c r="AP911" s="22"/>
      <c r="AQ911" s="22"/>
      <c r="AR911" s="22"/>
      <c r="AS911" s="22"/>
      <c r="AT911" s="22"/>
    </row>
    <row r="912" spans="7:46" ht="13">
      <c r="G912" s="34"/>
      <c r="J912" s="18"/>
      <c r="N912" s="18"/>
      <c r="O912" s="1"/>
      <c r="P912" s="1"/>
      <c r="Q912" s="1"/>
      <c r="R912" s="18"/>
      <c r="S912" s="1"/>
      <c r="T912" s="1"/>
      <c r="U912" s="1"/>
      <c r="V912" s="1"/>
      <c r="Z912" s="18"/>
      <c r="AD912" s="18"/>
      <c r="AH912" s="18"/>
      <c r="AL912" s="18"/>
      <c r="AM912" s="22"/>
      <c r="AN912" s="22"/>
      <c r="AO912" s="22"/>
      <c r="AP912" s="22"/>
      <c r="AQ912" s="22"/>
      <c r="AR912" s="22"/>
      <c r="AS912" s="22"/>
      <c r="AT912" s="22"/>
    </row>
    <row r="913" spans="7:46" ht="13">
      <c r="G913" s="34"/>
      <c r="J913" s="18"/>
      <c r="N913" s="18"/>
      <c r="O913" s="1"/>
      <c r="P913" s="1"/>
      <c r="Q913" s="1"/>
      <c r="R913" s="18"/>
      <c r="S913" s="1"/>
      <c r="T913" s="1"/>
      <c r="U913" s="1"/>
      <c r="V913" s="1"/>
      <c r="Z913" s="18"/>
      <c r="AD913" s="18"/>
      <c r="AH913" s="18"/>
      <c r="AL913" s="18"/>
      <c r="AM913" s="22"/>
      <c r="AN913" s="22"/>
      <c r="AO913" s="22"/>
      <c r="AP913" s="22"/>
      <c r="AQ913" s="22"/>
      <c r="AR913" s="22"/>
      <c r="AS913" s="22"/>
      <c r="AT913" s="22"/>
    </row>
    <row r="914" spans="7:46" ht="13">
      <c r="G914" s="34"/>
      <c r="J914" s="18"/>
      <c r="N914" s="18"/>
      <c r="O914" s="1"/>
      <c r="P914" s="1"/>
      <c r="Q914" s="1"/>
      <c r="R914" s="18"/>
      <c r="S914" s="1"/>
      <c r="T914" s="1"/>
      <c r="U914" s="1"/>
      <c r="V914" s="1"/>
      <c r="Z914" s="18"/>
      <c r="AD914" s="18"/>
      <c r="AH914" s="18"/>
      <c r="AL914" s="18"/>
      <c r="AM914" s="22"/>
      <c r="AN914" s="22"/>
      <c r="AO914" s="22"/>
      <c r="AP914" s="22"/>
      <c r="AQ914" s="22"/>
      <c r="AR914" s="22"/>
      <c r="AS914" s="22"/>
      <c r="AT914" s="22"/>
    </row>
    <row r="915" spans="7:46" ht="13">
      <c r="G915" s="34"/>
      <c r="J915" s="18"/>
      <c r="N915" s="18"/>
      <c r="O915" s="1"/>
      <c r="P915" s="1"/>
      <c r="Q915" s="1"/>
      <c r="R915" s="18"/>
      <c r="S915" s="1"/>
      <c r="T915" s="1"/>
      <c r="U915" s="1"/>
      <c r="V915" s="1"/>
      <c r="Z915" s="18"/>
      <c r="AD915" s="18"/>
      <c r="AH915" s="18"/>
      <c r="AL915" s="18"/>
      <c r="AM915" s="22"/>
      <c r="AN915" s="22"/>
      <c r="AO915" s="22"/>
      <c r="AP915" s="22"/>
      <c r="AQ915" s="22"/>
      <c r="AR915" s="22"/>
      <c r="AS915" s="22"/>
      <c r="AT915" s="22"/>
    </row>
    <row r="916" spans="7:46" ht="13">
      <c r="G916" s="34"/>
      <c r="J916" s="18"/>
      <c r="N916" s="18"/>
      <c r="O916" s="1"/>
      <c r="P916" s="1"/>
      <c r="Q916" s="1"/>
      <c r="R916" s="18"/>
      <c r="S916" s="1"/>
      <c r="T916" s="1"/>
      <c r="U916" s="1"/>
      <c r="V916" s="1"/>
      <c r="Z916" s="18"/>
      <c r="AD916" s="18"/>
      <c r="AH916" s="18"/>
      <c r="AL916" s="18"/>
      <c r="AM916" s="22"/>
      <c r="AN916" s="22"/>
      <c r="AO916" s="22"/>
      <c r="AP916" s="22"/>
      <c r="AQ916" s="22"/>
      <c r="AR916" s="22"/>
      <c r="AS916" s="22"/>
      <c r="AT916" s="22"/>
    </row>
    <row r="917" spans="7:46" ht="13">
      <c r="G917" s="34"/>
      <c r="J917" s="18"/>
      <c r="N917" s="18"/>
      <c r="O917" s="1"/>
      <c r="P917" s="1"/>
      <c r="Q917" s="1"/>
      <c r="R917" s="18"/>
      <c r="S917" s="1"/>
      <c r="T917" s="1"/>
      <c r="U917" s="1"/>
      <c r="V917" s="1"/>
      <c r="Z917" s="18"/>
      <c r="AD917" s="18"/>
      <c r="AH917" s="18"/>
      <c r="AL917" s="18"/>
      <c r="AM917" s="22"/>
      <c r="AN917" s="22"/>
      <c r="AO917" s="22"/>
      <c r="AP917" s="22"/>
      <c r="AQ917" s="22"/>
      <c r="AR917" s="22"/>
      <c r="AS917" s="22"/>
      <c r="AT917" s="22"/>
    </row>
    <row r="918" spans="7:46" ht="13">
      <c r="G918" s="34"/>
      <c r="J918" s="18"/>
      <c r="N918" s="18"/>
      <c r="O918" s="1"/>
      <c r="P918" s="1"/>
      <c r="Q918" s="1"/>
      <c r="R918" s="18"/>
      <c r="S918" s="1"/>
      <c r="T918" s="1"/>
      <c r="U918" s="1"/>
      <c r="V918" s="1"/>
      <c r="Z918" s="18"/>
      <c r="AD918" s="18"/>
      <c r="AH918" s="18"/>
      <c r="AL918" s="18"/>
      <c r="AM918" s="22"/>
      <c r="AN918" s="22"/>
      <c r="AO918" s="22"/>
      <c r="AP918" s="22"/>
      <c r="AQ918" s="22"/>
      <c r="AR918" s="22"/>
      <c r="AS918" s="22"/>
      <c r="AT918" s="22"/>
    </row>
    <row r="919" spans="7:46" ht="13">
      <c r="G919" s="34"/>
      <c r="J919" s="18"/>
      <c r="N919" s="18"/>
      <c r="O919" s="1"/>
      <c r="P919" s="1"/>
      <c r="Q919" s="1"/>
      <c r="R919" s="18"/>
      <c r="S919" s="1"/>
      <c r="T919" s="1"/>
      <c r="U919" s="1"/>
      <c r="V919" s="1"/>
      <c r="Z919" s="18"/>
      <c r="AD919" s="18"/>
      <c r="AH919" s="18"/>
      <c r="AL919" s="18"/>
      <c r="AM919" s="22"/>
      <c r="AN919" s="22"/>
      <c r="AO919" s="22"/>
      <c r="AP919" s="22"/>
      <c r="AQ919" s="22"/>
      <c r="AR919" s="22"/>
      <c r="AS919" s="22"/>
      <c r="AT919" s="22"/>
    </row>
    <row r="920" spans="7:46" ht="13">
      <c r="G920" s="34"/>
      <c r="J920" s="18"/>
      <c r="N920" s="18"/>
      <c r="O920" s="1"/>
      <c r="P920" s="1"/>
      <c r="Q920" s="1"/>
      <c r="R920" s="18"/>
      <c r="S920" s="1"/>
      <c r="T920" s="1"/>
      <c r="U920" s="1"/>
      <c r="V920" s="1"/>
      <c r="Z920" s="18"/>
      <c r="AD920" s="18"/>
      <c r="AH920" s="18"/>
      <c r="AL920" s="18"/>
      <c r="AM920" s="22"/>
      <c r="AN920" s="22"/>
      <c r="AO920" s="22"/>
      <c r="AP920" s="22"/>
      <c r="AQ920" s="22"/>
      <c r="AR920" s="22"/>
      <c r="AS920" s="22"/>
      <c r="AT920" s="22"/>
    </row>
    <row r="921" spans="7:46" ht="13">
      <c r="G921" s="34"/>
      <c r="J921" s="18"/>
      <c r="N921" s="18"/>
      <c r="O921" s="1"/>
      <c r="P921" s="1"/>
      <c r="Q921" s="1"/>
      <c r="R921" s="18"/>
      <c r="S921" s="1"/>
      <c r="T921" s="1"/>
      <c r="U921" s="1"/>
      <c r="V921" s="1"/>
      <c r="Z921" s="18"/>
      <c r="AD921" s="18"/>
      <c r="AH921" s="18"/>
      <c r="AL921" s="18"/>
      <c r="AM921" s="22"/>
      <c r="AN921" s="22"/>
      <c r="AO921" s="22"/>
      <c r="AP921" s="22"/>
      <c r="AQ921" s="22"/>
      <c r="AR921" s="22"/>
      <c r="AS921" s="22"/>
      <c r="AT921" s="22"/>
    </row>
    <row r="922" spans="7:46" ht="13">
      <c r="G922" s="34"/>
      <c r="J922" s="18"/>
      <c r="N922" s="18"/>
      <c r="O922" s="1"/>
      <c r="P922" s="1"/>
      <c r="Q922" s="1"/>
      <c r="R922" s="18"/>
      <c r="S922" s="1"/>
      <c r="T922" s="1"/>
      <c r="U922" s="1"/>
      <c r="V922" s="1"/>
      <c r="Z922" s="18"/>
      <c r="AD922" s="18"/>
      <c r="AH922" s="18"/>
      <c r="AL922" s="18"/>
      <c r="AM922" s="22"/>
      <c r="AN922" s="22"/>
      <c r="AO922" s="22"/>
      <c r="AP922" s="22"/>
      <c r="AQ922" s="22"/>
      <c r="AR922" s="22"/>
      <c r="AS922" s="22"/>
      <c r="AT922" s="22"/>
    </row>
    <row r="923" spans="7:46" ht="13">
      <c r="G923" s="34"/>
      <c r="J923" s="18"/>
      <c r="N923" s="18"/>
      <c r="O923" s="1"/>
      <c r="P923" s="1"/>
      <c r="Q923" s="1"/>
      <c r="R923" s="18"/>
      <c r="S923" s="1"/>
      <c r="T923" s="1"/>
      <c r="U923" s="1"/>
      <c r="V923" s="1"/>
      <c r="Z923" s="18"/>
      <c r="AD923" s="18"/>
      <c r="AH923" s="18"/>
      <c r="AL923" s="18"/>
      <c r="AM923" s="22"/>
      <c r="AN923" s="22"/>
      <c r="AO923" s="22"/>
      <c r="AP923" s="22"/>
      <c r="AQ923" s="22"/>
      <c r="AR923" s="22"/>
      <c r="AS923" s="22"/>
      <c r="AT923" s="22"/>
    </row>
    <row r="924" spans="7:46" ht="13">
      <c r="G924" s="34"/>
      <c r="J924" s="18"/>
      <c r="N924" s="18"/>
      <c r="O924" s="1"/>
      <c r="P924" s="1"/>
      <c r="Q924" s="1"/>
      <c r="R924" s="18"/>
      <c r="S924" s="1"/>
      <c r="T924" s="1"/>
      <c r="U924" s="1"/>
      <c r="V924" s="1"/>
      <c r="Z924" s="18"/>
      <c r="AD924" s="18"/>
      <c r="AH924" s="18"/>
      <c r="AL924" s="18"/>
      <c r="AM924" s="22"/>
      <c r="AN924" s="22"/>
      <c r="AO924" s="22"/>
      <c r="AP924" s="22"/>
      <c r="AQ924" s="22"/>
      <c r="AR924" s="22"/>
      <c r="AS924" s="22"/>
      <c r="AT924" s="22"/>
    </row>
    <row r="925" spans="7:46" ht="13">
      <c r="G925" s="34"/>
      <c r="J925" s="18"/>
      <c r="N925" s="18"/>
      <c r="O925" s="1"/>
      <c r="P925" s="1"/>
      <c r="Q925" s="1"/>
      <c r="R925" s="18"/>
      <c r="S925" s="1"/>
      <c r="T925" s="1"/>
      <c r="U925" s="1"/>
      <c r="V925" s="1"/>
      <c r="Z925" s="18"/>
      <c r="AD925" s="18"/>
      <c r="AH925" s="18"/>
      <c r="AL925" s="18"/>
      <c r="AM925" s="22"/>
      <c r="AN925" s="22"/>
      <c r="AO925" s="22"/>
      <c r="AP925" s="22"/>
      <c r="AQ925" s="22"/>
      <c r="AR925" s="22"/>
      <c r="AS925" s="22"/>
      <c r="AT925" s="22"/>
    </row>
    <row r="926" spans="7:46" ht="13">
      <c r="G926" s="34"/>
      <c r="J926" s="18"/>
      <c r="N926" s="18"/>
      <c r="O926" s="1"/>
      <c r="P926" s="1"/>
      <c r="Q926" s="1"/>
      <c r="R926" s="18"/>
      <c r="S926" s="1"/>
      <c r="T926" s="1"/>
      <c r="U926" s="1"/>
      <c r="V926" s="1"/>
      <c r="Z926" s="18"/>
      <c r="AD926" s="18"/>
      <c r="AH926" s="18"/>
      <c r="AL926" s="18"/>
      <c r="AM926" s="22"/>
      <c r="AN926" s="22"/>
      <c r="AO926" s="22"/>
      <c r="AP926" s="22"/>
      <c r="AQ926" s="22"/>
      <c r="AR926" s="22"/>
      <c r="AS926" s="22"/>
      <c r="AT926" s="22"/>
    </row>
    <row r="927" spans="7:46" ht="13">
      <c r="G927" s="34"/>
      <c r="J927" s="18"/>
      <c r="N927" s="18"/>
      <c r="O927" s="1"/>
      <c r="P927" s="1"/>
      <c r="Q927" s="1"/>
      <c r="R927" s="18"/>
      <c r="S927" s="1"/>
      <c r="T927" s="1"/>
      <c r="U927" s="1"/>
      <c r="V927" s="1"/>
      <c r="Z927" s="18"/>
      <c r="AD927" s="18"/>
      <c r="AH927" s="18"/>
      <c r="AL927" s="18"/>
      <c r="AM927" s="22"/>
      <c r="AN927" s="22"/>
      <c r="AO927" s="22"/>
      <c r="AP927" s="22"/>
      <c r="AQ927" s="22"/>
      <c r="AR927" s="22"/>
      <c r="AS927" s="22"/>
      <c r="AT927" s="22"/>
    </row>
    <row r="928" spans="7:46" ht="13">
      <c r="G928" s="34"/>
      <c r="J928" s="18"/>
      <c r="N928" s="18"/>
      <c r="O928" s="1"/>
      <c r="P928" s="1"/>
      <c r="Q928" s="1"/>
      <c r="R928" s="18"/>
      <c r="S928" s="1"/>
      <c r="T928" s="1"/>
      <c r="U928" s="1"/>
      <c r="V928" s="1"/>
      <c r="Z928" s="18"/>
      <c r="AD928" s="18"/>
      <c r="AH928" s="18"/>
      <c r="AL928" s="18"/>
      <c r="AM928" s="22"/>
      <c r="AN928" s="22"/>
      <c r="AO928" s="22"/>
      <c r="AP928" s="22"/>
      <c r="AQ928" s="22"/>
      <c r="AR928" s="22"/>
      <c r="AS928" s="22"/>
      <c r="AT928" s="22"/>
    </row>
    <row r="929" spans="7:46" ht="13">
      <c r="G929" s="34"/>
      <c r="J929" s="18"/>
      <c r="N929" s="18"/>
      <c r="O929" s="1"/>
      <c r="P929" s="1"/>
      <c r="Q929" s="1"/>
      <c r="R929" s="18"/>
      <c r="S929" s="1"/>
      <c r="T929" s="1"/>
      <c r="U929" s="1"/>
      <c r="V929" s="1"/>
      <c r="Z929" s="18"/>
      <c r="AD929" s="18"/>
      <c r="AH929" s="18"/>
      <c r="AL929" s="18"/>
      <c r="AM929" s="22"/>
      <c r="AN929" s="22"/>
      <c r="AO929" s="22"/>
      <c r="AP929" s="22"/>
      <c r="AQ929" s="22"/>
      <c r="AR929" s="22"/>
      <c r="AS929" s="22"/>
      <c r="AT929" s="22"/>
    </row>
    <row r="930" spans="7:46" ht="13">
      <c r="G930" s="34"/>
      <c r="J930" s="18"/>
      <c r="N930" s="18"/>
      <c r="O930" s="1"/>
      <c r="P930" s="1"/>
      <c r="Q930" s="1"/>
      <c r="R930" s="18"/>
      <c r="S930" s="1"/>
      <c r="T930" s="1"/>
      <c r="U930" s="1"/>
      <c r="V930" s="1"/>
      <c r="Z930" s="18"/>
      <c r="AD930" s="18"/>
      <c r="AH930" s="18"/>
      <c r="AL930" s="18"/>
      <c r="AM930" s="22"/>
      <c r="AN930" s="22"/>
      <c r="AO930" s="22"/>
      <c r="AP930" s="22"/>
      <c r="AQ930" s="22"/>
      <c r="AR930" s="22"/>
      <c r="AS930" s="22"/>
      <c r="AT930" s="22"/>
    </row>
    <row r="931" spans="7:46" ht="13">
      <c r="G931" s="34"/>
      <c r="J931" s="18"/>
      <c r="N931" s="18"/>
      <c r="O931" s="1"/>
      <c r="P931" s="1"/>
      <c r="Q931" s="1"/>
      <c r="R931" s="18"/>
      <c r="S931" s="1"/>
      <c r="T931" s="1"/>
      <c r="U931" s="1"/>
      <c r="V931" s="1"/>
      <c r="Z931" s="18"/>
      <c r="AD931" s="18"/>
      <c r="AH931" s="18"/>
      <c r="AL931" s="18"/>
      <c r="AM931" s="22"/>
      <c r="AN931" s="22"/>
      <c r="AO931" s="22"/>
      <c r="AP931" s="22"/>
      <c r="AQ931" s="22"/>
      <c r="AR931" s="22"/>
      <c r="AS931" s="22"/>
      <c r="AT931" s="22"/>
    </row>
    <row r="932" spans="7:46" ht="13">
      <c r="G932" s="34"/>
      <c r="J932" s="18"/>
      <c r="N932" s="18"/>
      <c r="O932" s="1"/>
      <c r="P932" s="1"/>
      <c r="Q932" s="1"/>
      <c r="R932" s="18"/>
      <c r="S932" s="1"/>
      <c r="T932" s="1"/>
      <c r="U932" s="1"/>
      <c r="V932" s="1"/>
      <c r="Z932" s="18"/>
      <c r="AD932" s="18"/>
      <c r="AH932" s="18"/>
      <c r="AL932" s="18"/>
      <c r="AM932" s="22"/>
      <c r="AN932" s="22"/>
      <c r="AO932" s="22"/>
      <c r="AP932" s="22"/>
      <c r="AQ932" s="22"/>
      <c r="AR932" s="22"/>
      <c r="AS932" s="22"/>
      <c r="AT932" s="22"/>
    </row>
    <row r="933" spans="7:46" ht="13">
      <c r="G933" s="34"/>
      <c r="J933" s="18"/>
      <c r="N933" s="18"/>
      <c r="O933" s="1"/>
      <c r="P933" s="1"/>
      <c r="Q933" s="1"/>
      <c r="R933" s="18"/>
      <c r="S933" s="1"/>
      <c r="T933" s="1"/>
      <c r="U933" s="1"/>
      <c r="V933" s="1"/>
      <c r="Z933" s="18"/>
      <c r="AD933" s="18"/>
      <c r="AH933" s="18"/>
      <c r="AL933" s="18"/>
      <c r="AM933" s="22"/>
      <c r="AN933" s="22"/>
      <c r="AO933" s="22"/>
      <c r="AP933" s="22"/>
      <c r="AQ933" s="22"/>
      <c r="AR933" s="22"/>
      <c r="AS933" s="22"/>
      <c r="AT933" s="22"/>
    </row>
    <row r="934" spans="7:46" ht="13">
      <c r="G934" s="34"/>
      <c r="J934" s="18"/>
      <c r="N934" s="18"/>
      <c r="O934" s="1"/>
      <c r="P934" s="1"/>
      <c r="Q934" s="1"/>
      <c r="R934" s="18"/>
      <c r="S934" s="1"/>
      <c r="T934" s="1"/>
      <c r="U934" s="1"/>
      <c r="V934" s="1"/>
      <c r="Z934" s="18"/>
      <c r="AD934" s="18"/>
      <c r="AH934" s="18"/>
      <c r="AL934" s="18"/>
      <c r="AM934" s="22"/>
      <c r="AN934" s="22"/>
      <c r="AO934" s="22"/>
      <c r="AP934" s="22"/>
      <c r="AQ934" s="22"/>
      <c r="AR934" s="22"/>
      <c r="AS934" s="22"/>
      <c r="AT934" s="22"/>
    </row>
    <row r="935" spans="7:46" ht="13">
      <c r="G935" s="34"/>
      <c r="J935" s="18"/>
      <c r="N935" s="18"/>
      <c r="O935" s="1"/>
      <c r="P935" s="1"/>
      <c r="Q935" s="1"/>
      <c r="R935" s="18"/>
      <c r="S935" s="1"/>
      <c r="T935" s="1"/>
      <c r="U935" s="1"/>
      <c r="V935" s="1"/>
      <c r="Z935" s="18"/>
      <c r="AD935" s="18"/>
      <c r="AH935" s="18"/>
      <c r="AL935" s="18"/>
      <c r="AM935" s="22"/>
      <c r="AN935" s="22"/>
      <c r="AO935" s="22"/>
      <c r="AP935" s="22"/>
      <c r="AQ935" s="22"/>
      <c r="AR935" s="22"/>
      <c r="AS935" s="22"/>
      <c r="AT935" s="22"/>
    </row>
    <row r="936" spans="7:46" ht="13">
      <c r="G936" s="34"/>
      <c r="J936" s="18"/>
      <c r="N936" s="18"/>
      <c r="O936" s="1"/>
      <c r="P936" s="1"/>
      <c r="Q936" s="1"/>
      <c r="R936" s="18"/>
      <c r="S936" s="1"/>
      <c r="T936" s="1"/>
      <c r="U936" s="1"/>
      <c r="V936" s="1"/>
      <c r="Z936" s="18"/>
      <c r="AD936" s="18"/>
      <c r="AH936" s="18"/>
      <c r="AL936" s="18"/>
      <c r="AM936" s="22"/>
      <c r="AN936" s="22"/>
      <c r="AO936" s="22"/>
      <c r="AP936" s="22"/>
      <c r="AQ936" s="22"/>
      <c r="AR936" s="22"/>
      <c r="AS936" s="22"/>
      <c r="AT936" s="22"/>
    </row>
    <row r="937" spans="7:46" ht="13">
      <c r="G937" s="34"/>
      <c r="J937" s="18"/>
      <c r="N937" s="18"/>
      <c r="O937" s="1"/>
      <c r="P937" s="1"/>
      <c r="Q937" s="1"/>
      <c r="R937" s="18"/>
      <c r="S937" s="1"/>
      <c r="T937" s="1"/>
      <c r="U937" s="1"/>
      <c r="V937" s="1"/>
      <c r="Z937" s="18"/>
      <c r="AD937" s="18"/>
      <c r="AH937" s="18"/>
      <c r="AL937" s="18"/>
      <c r="AM937" s="22"/>
      <c r="AN937" s="22"/>
      <c r="AO937" s="22"/>
      <c r="AP937" s="22"/>
      <c r="AQ937" s="22"/>
      <c r="AR937" s="22"/>
      <c r="AS937" s="22"/>
      <c r="AT937" s="22"/>
    </row>
    <row r="938" spans="7:46" ht="13">
      <c r="G938" s="34"/>
      <c r="J938" s="18"/>
      <c r="N938" s="18"/>
      <c r="O938" s="1"/>
      <c r="P938" s="1"/>
      <c r="Q938" s="1"/>
      <c r="R938" s="18"/>
      <c r="S938" s="1"/>
      <c r="T938" s="1"/>
      <c r="U938" s="1"/>
      <c r="V938" s="1"/>
      <c r="Z938" s="18"/>
      <c r="AD938" s="18"/>
      <c r="AH938" s="18"/>
      <c r="AL938" s="18"/>
      <c r="AM938" s="22"/>
      <c r="AN938" s="22"/>
      <c r="AO938" s="22"/>
      <c r="AP938" s="22"/>
      <c r="AQ938" s="22"/>
      <c r="AR938" s="22"/>
      <c r="AS938" s="22"/>
      <c r="AT938" s="22"/>
    </row>
    <row r="939" spans="7:46" ht="13">
      <c r="G939" s="34"/>
      <c r="J939" s="18"/>
      <c r="N939" s="18"/>
      <c r="O939" s="1"/>
      <c r="P939" s="1"/>
      <c r="Q939" s="1"/>
      <c r="R939" s="18"/>
      <c r="S939" s="1"/>
      <c r="T939" s="1"/>
      <c r="U939" s="1"/>
      <c r="V939" s="1"/>
      <c r="Z939" s="18"/>
      <c r="AD939" s="18"/>
      <c r="AH939" s="18"/>
      <c r="AL939" s="18"/>
      <c r="AM939" s="22"/>
      <c r="AN939" s="22"/>
      <c r="AO939" s="22"/>
      <c r="AP939" s="22"/>
      <c r="AQ939" s="22"/>
      <c r="AR939" s="22"/>
      <c r="AS939" s="22"/>
      <c r="AT939" s="22"/>
    </row>
    <row r="940" spans="7:46" ht="13">
      <c r="G940" s="34"/>
      <c r="J940" s="18"/>
      <c r="N940" s="18"/>
      <c r="O940" s="1"/>
      <c r="P940" s="1"/>
      <c r="Q940" s="1"/>
      <c r="R940" s="18"/>
      <c r="S940" s="1"/>
      <c r="T940" s="1"/>
      <c r="U940" s="1"/>
      <c r="V940" s="1"/>
      <c r="Z940" s="18"/>
      <c r="AD940" s="18"/>
      <c r="AH940" s="18"/>
      <c r="AL940" s="18"/>
      <c r="AM940" s="22"/>
      <c r="AN940" s="22"/>
      <c r="AO940" s="22"/>
      <c r="AP940" s="22"/>
      <c r="AQ940" s="22"/>
      <c r="AR940" s="22"/>
      <c r="AS940" s="22"/>
      <c r="AT940" s="22"/>
    </row>
    <row r="941" spans="7:46" ht="13">
      <c r="G941" s="34"/>
      <c r="J941" s="18"/>
      <c r="N941" s="18"/>
      <c r="O941" s="1"/>
      <c r="P941" s="1"/>
      <c r="Q941" s="1"/>
      <c r="R941" s="18"/>
      <c r="S941" s="1"/>
      <c r="T941" s="1"/>
      <c r="U941" s="1"/>
      <c r="V941" s="1"/>
      <c r="Z941" s="18"/>
      <c r="AD941" s="18"/>
      <c r="AH941" s="18"/>
      <c r="AL941" s="18"/>
      <c r="AM941" s="22"/>
      <c r="AN941" s="22"/>
      <c r="AO941" s="22"/>
      <c r="AP941" s="22"/>
      <c r="AQ941" s="22"/>
      <c r="AR941" s="22"/>
      <c r="AS941" s="22"/>
      <c r="AT941" s="22"/>
    </row>
    <row r="942" spans="7:46" ht="13">
      <c r="G942" s="34"/>
      <c r="J942" s="18"/>
      <c r="N942" s="18"/>
      <c r="O942" s="1"/>
      <c r="P942" s="1"/>
      <c r="Q942" s="1"/>
      <c r="R942" s="18"/>
      <c r="S942" s="1"/>
      <c r="T942" s="1"/>
      <c r="U942" s="1"/>
      <c r="V942" s="1"/>
      <c r="Z942" s="18"/>
      <c r="AD942" s="18"/>
      <c r="AH942" s="18"/>
      <c r="AL942" s="18"/>
      <c r="AM942" s="22"/>
      <c r="AN942" s="22"/>
      <c r="AO942" s="22"/>
      <c r="AP942" s="22"/>
      <c r="AQ942" s="22"/>
      <c r="AR942" s="22"/>
      <c r="AS942" s="22"/>
      <c r="AT942" s="22"/>
    </row>
    <row r="943" spans="7:46" ht="13">
      <c r="G943" s="34"/>
      <c r="J943" s="18"/>
      <c r="N943" s="18"/>
      <c r="O943" s="1"/>
      <c r="P943" s="1"/>
      <c r="Q943" s="1"/>
      <c r="R943" s="18"/>
      <c r="S943" s="1"/>
      <c r="T943" s="1"/>
      <c r="U943" s="1"/>
      <c r="V943" s="1"/>
      <c r="Z943" s="18"/>
      <c r="AD943" s="18"/>
      <c r="AH943" s="18"/>
      <c r="AL943" s="18"/>
      <c r="AM943" s="22"/>
      <c r="AN943" s="22"/>
      <c r="AO943" s="22"/>
      <c r="AP943" s="22"/>
      <c r="AQ943" s="22"/>
      <c r="AR943" s="22"/>
      <c r="AS943" s="22"/>
      <c r="AT943" s="22"/>
    </row>
    <row r="944" spans="7:46" ht="13">
      <c r="G944" s="34"/>
      <c r="J944" s="18"/>
      <c r="N944" s="18"/>
      <c r="O944" s="1"/>
      <c r="P944" s="1"/>
      <c r="Q944" s="1"/>
      <c r="R944" s="18"/>
      <c r="S944" s="1"/>
      <c r="T944" s="1"/>
      <c r="U944" s="1"/>
      <c r="V944" s="1"/>
      <c r="Z944" s="18"/>
      <c r="AD944" s="18"/>
      <c r="AH944" s="18"/>
      <c r="AL944" s="18"/>
      <c r="AM944" s="22"/>
      <c r="AN944" s="22"/>
      <c r="AO944" s="22"/>
      <c r="AP944" s="22"/>
      <c r="AQ944" s="22"/>
      <c r="AR944" s="22"/>
      <c r="AS944" s="22"/>
      <c r="AT944" s="22"/>
    </row>
    <row r="945" spans="7:46" ht="13">
      <c r="G945" s="34"/>
      <c r="J945" s="18"/>
      <c r="N945" s="18"/>
      <c r="O945" s="1"/>
      <c r="P945" s="1"/>
      <c r="Q945" s="1"/>
      <c r="R945" s="18"/>
      <c r="S945" s="1"/>
      <c r="T945" s="1"/>
      <c r="U945" s="1"/>
      <c r="V945" s="1"/>
      <c r="Z945" s="18"/>
      <c r="AD945" s="18"/>
      <c r="AH945" s="18"/>
      <c r="AL945" s="18"/>
      <c r="AM945" s="22"/>
      <c r="AN945" s="22"/>
      <c r="AO945" s="22"/>
      <c r="AP945" s="22"/>
      <c r="AQ945" s="22"/>
      <c r="AR945" s="22"/>
      <c r="AS945" s="22"/>
      <c r="AT945" s="22"/>
    </row>
    <row r="946" spans="7:46" ht="13">
      <c r="G946" s="34"/>
      <c r="J946" s="18"/>
      <c r="N946" s="18"/>
      <c r="O946" s="1"/>
      <c r="P946" s="1"/>
      <c r="Q946" s="1"/>
      <c r="R946" s="18"/>
      <c r="S946" s="1"/>
      <c r="T946" s="1"/>
      <c r="U946" s="1"/>
      <c r="V946" s="1"/>
      <c r="Z946" s="18"/>
      <c r="AD946" s="18"/>
      <c r="AH946" s="18"/>
      <c r="AL946" s="18"/>
      <c r="AM946" s="22"/>
      <c r="AN946" s="22"/>
      <c r="AO946" s="22"/>
      <c r="AP946" s="22"/>
      <c r="AQ946" s="22"/>
      <c r="AR946" s="22"/>
      <c r="AS946" s="22"/>
      <c r="AT946" s="22"/>
    </row>
    <row r="947" spans="7:46" ht="13">
      <c r="G947" s="34"/>
      <c r="J947" s="18"/>
      <c r="N947" s="18"/>
      <c r="O947" s="1"/>
      <c r="P947" s="1"/>
      <c r="Q947" s="1"/>
      <c r="R947" s="18"/>
      <c r="S947" s="1"/>
      <c r="T947" s="1"/>
      <c r="U947" s="1"/>
      <c r="V947" s="1"/>
      <c r="Z947" s="18"/>
      <c r="AD947" s="18"/>
      <c r="AH947" s="18"/>
      <c r="AL947" s="18"/>
      <c r="AM947" s="22"/>
      <c r="AN947" s="22"/>
      <c r="AO947" s="22"/>
      <c r="AP947" s="22"/>
      <c r="AQ947" s="22"/>
      <c r="AR947" s="22"/>
      <c r="AS947" s="22"/>
      <c r="AT947" s="22"/>
    </row>
    <row r="948" spans="7:46" ht="13">
      <c r="G948" s="34"/>
      <c r="J948" s="18"/>
      <c r="N948" s="18"/>
      <c r="O948" s="1"/>
      <c r="P948" s="1"/>
      <c r="Q948" s="1"/>
      <c r="R948" s="18"/>
      <c r="S948" s="1"/>
      <c r="T948" s="1"/>
      <c r="U948" s="1"/>
      <c r="V948" s="1"/>
      <c r="Z948" s="18"/>
      <c r="AD948" s="18"/>
      <c r="AH948" s="18"/>
      <c r="AL948" s="18"/>
      <c r="AM948" s="22"/>
      <c r="AN948" s="22"/>
      <c r="AO948" s="22"/>
      <c r="AP948" s="22"/>
      <c r="AQ948" s="22"/>
      <c r="AR948" s="22"/>
      <c r="AS948" s="22"/>
      <c r="AT948" s="22"/>
    </row>
    <row r="949" spans="7:46" ht="13">
      <c r="G949" s="34"/>
      <c r="J949" s="18"/>
      <c r="N949" s="18"/>
      <c r="O949" s="1"/>
      <c r="P949" s="1"/>
      <c r="Q949" s="1"/>
      <c r="R949" s="18"/>
      <c r="S949" s="1"/>
      <c r="T949" s="1"/>
      <c r="U949" s="1"/>
      <c r="V949" s="1"/>
      <c r="Z949" s="18"/>
      <c r="AD949" s="18"/>
      <c r="AH949" s="18"/>
      <c r="AL949" s="18"/>
      <c r="AM949" s="22"/>
      <c r="AN949" s="22"/>
      <c r="AO949" s="22"/>
      <c r="AP949" s="22"/>
      <c r="AQ949" s="22"/>
      <c r="AR949" s="22"/>
      <c r="AS949" s="22"/>
      <c r="AT949" s="22"/>
    </row>
    <row r="950" spans="7:46" ht="13">
      <c r="G950" s="34"/>
      <c r="J950" s="18"/>
      <c r="N950" s="18"/>
      <c r="O950" s="1"/>
      <c r="P950" s="1"/>
      <c r="Q950" s="1"/>
      <c r="R950" s="18"/>
      <c r="S950" s="1"/>
      <c r="T950" s="1"/>
      <c r="U950" s="1"/>
      <c r="V950" s="1"/>
      <c r="Z950" s="18"/>
      <c r="AD950" s="18"/>
      <c r="AH950" s="18"/>
      <c r="AL950" s="18"/>
      <c r="AM950" s="22"/>
      <c r="AN950" s="22"/>
      <c r="AO950" s="22"/>
      <c r="AP950" s="22"/>
      <c r="AQ950" s="22"/>
      <c r="AR950" s="22"/>
      <c r="AS950" s="22"/>
      <c r="AT950" s="22"/>
    </row>
    <row r="951" spans="7:46" ht="13">
      <c r="G951" s="34"/>
      <c r="J951" s="18"/>
      <c r="N951" s="18"/>
      <c r="O951" s="1"/>
      <c r="P951" s="1"/>
      <c r="Q951" s="1"/>
      <c r="R951" s="18"/>
      <c r="S951" s="1"/>
      <c r="T951" s="1"/>
      <c r="U951" s="1"/>
      <c r="V951" s="1"/>
      <c r="Z951" s="18"/>
      <c r="AD951" s="18"/>
      <c r="AH951" s="18"/>
      <c r="AL951" s="18"/>
      <c r="AM951" s="22"/>
      <c r="AN951" s="22"/>
      <c r="AO951" s="22"/>
      <c r="AP951" s="22"/>
      <c r="AQ951" s="22"/>
      <c r="AR951" s="22"/>
      <c r="AS951" s="22"/>
      <c r="AT951" s="22"/>
    </row>
    <row r="952" spans="7:46" ht="13">
      <c r="G952" s="34"/>
      <c r="J952" s="18"/>
      <c r="N952" s="18"/>
      <c r="O952" s="1"/>
      <c r="P952" s="1"/>
      <c r="Q952" s="1"/>
      <c r="R952" s="18"/>
      <c r="S952" s="1"/>
      <c r="T952" s="1"/>
      <c r="U952" s="1"/>
      <c r="V952" s="1"/>
      <c r="Z952" s="18"/>
      <c r="AD952" s="18"/>
      <c r="AH952" s="18"/>
      <c r="AL952" s="18"/>
      <c r="AM952" s="22"/>
      <c r="AN952" s="22"/>
      <c r="AO952" s="22"/>
      <c r="AP952" s="22"/>
      <c r="AQ952" s="22"/>
      <c r="AR952" s="22"/>
      <c r="AS952" s="22"/>
      <c r="AT952" s="22"/>
    </row>
    <row r="953" spans="7:46" ht="13">
      <c r="G953" s="34"/>
      <c r="J953" s="18"/>
      <c r="N953" s="18"/>
      <c r="O953" s="1"/>
      <c r="P953" s="1"/>
      <c r="Q953" s="1"/>
      <c r="R953" s="18"/>
      <c r="S953" s="1"/>
      <c r="T953" s="1"/>
      <c r="U953" s="1"/>
      <c r="V953" s="1"/>
      <c r="Z953" s="18"/>
      <c r="AD953" s="18"/>
      <c r="AH953" s="18"/>
      <c r="AL953" s="18"/>
      <c r="AM953" s="22"/>
      <c r="AN953" s="22"/>
      <c r="AO953" s="22"/>
      <c r="AP953" s="22"/>
      <c r="AQ953" s="22"/>
      <c r="AR953" s="22"/>
      <c r="AS953" s="22"/>
      <c r="AT953" s="22"/>
    </row>
    <row r="954" spans="7:46" ht="13">
      <c r="G954" s="34"/>
      <c r="J954" s="18"/>
      <c r="N954" s="18"/>
      <c r="O954" s="1"/>
      <c r="P954" s="1"/>
      <c r="Q954" s="1"/>
      <c r="R954" s="18"/>
      <c r="S954" s="1"/>
      <c r="T954" s="1"/>
      <c r="U954" s="1"/>
      <c r="V954" s="1"/>
      <c r="Z954" s="18"/>
      <c r="AD954" s="18"/>
      <c r="AH954" s="18"/>
      <c r="AL954" s="18"/>
      <c r="AM954" s="22"/>
      <c r="AN954" s="22"/>
      <c r="AO954" s="22"/>
      <c r="AP954" s="22"/>
      <c r="AQ954" s="22"/>
      <c r="AR954" s="22"/>
      <c r="AS954" s="22"/>
      <c r="AT954" s="22"/>
    </row>
    <row r="955" spans="7:46" ht="13">
      <c r="G955" s="34"/>
      <c r="J955" s="18"/>
      <c r="N955" s="18"/>
      <c r="O955" s="1"/>
      <c r="P955" s="1"/>
      <c r="Q955" s="1"/>
      <c r="R955" s="18"/>
      <c r="S955" s="1"/>
      <c r="T955" s="1"/>
      <c r="U955" s="1"/>
      <c r="V955" s="1"/>
      <c r="Z955" s="18"/>
      <c r="AD955" s="18"/>
      <c r="AH955" s="18"/>
      <c r="AL955" s="18"/>
      <c r="AM955" s="22"/>
      <c r="AN955" s="22"/>
      <c r="AO955" s="22"/>
      <c r="AP955" s="22"/>
      <c r="AQ955" s="22"/>
      <c r="AR955" s="22"/>
      <c r="AS955" s="22"/>
      <c r="AT955" s="22"/>
    </row>
    <row r="956" spans="7:46" ht="13">
      <c r="G956" s="34"/>
      <c r="J956" s="18"/>
      <c r="N956" s="18"/>
      <c r="O956" s="1"/>
      <c r="P956" s="1"/>
      <c r="Q956" s="1"/>
      <c r="R956" s="18"/>
      <c r="S956" s="1"/>
      <c r="T956" s="1"/>
      <c r="U956" s="1"/>
      <c r="V956" s="1"/>
      <c r="Z956" s="18"/>
      <c r="AD956" s="18"/>
      <c r="AH956" s="18"/>
      <c r="AL956" s="18"/>
      <c r="AM956" s="22"/>
      <c r="AN956" s="22"/>
      <c r="AO956" s="22"/>
      <c r="AP956" s="22"/>
      <c r="AQ956" s="22"/>
      <c r="AR956" s="22"/>
      <c r="AS956" s="22"/>
      <c r="AT956" s="22"/>
    </row>
    <row r="957" spans="7:46" ht="13">
      <c r="G957" s="34"/>
      <c r="J957" s="18"/>
      <c r="N957" s="18"/>
      <c r="O957" s="1"/>
      <c r="P957" s="1"/>
      <c r="Q957" s="1"/>
      <c r="R957" s="18"/>
      <c r="S957" s="1"/>
      <c r="T957" s="1"/>
      <c r="U957" s="1"/>
      <c r="V957" s="1"/>
      <c r="Z957" s="18"/>
      <c r="AD957" s="18"/>
      <c r="AH957" s="18"/>
      <c r="AL957" s="18"/>
      <c r="AM957" s="22"/>
      <c r="AN957" s="22"/>
      <c r="AO957" s="22"/>
      <c r="AP957" s="22"/>
      <c r="AQ957" s="22"/>
      <c r="AR957" s="22"/>
      <c r="AS957" s="22"/>
      <c r="AT957" s="22"/>
    </row>
    <row r="958" spans="7:46" ht="13">
      <c r="G958" s="34"/>
      <c r="J958" s="18"/>
      <c r="N958" s="18"/>
      <c r="O958" s="1"/>
      <c r="P958" s="1"/>
      <c r="Q958" s="1"/>
      <c r="R958" s="18"/>
      <c r="S958" s="1"/>
      <c r="T958" s="1"/>
      <c r="U958" s="1"/>
      <c r="V958" s="1"/>
      <c r="Z958" s="18"/>
      <c r="AD958" s="18"/>
      <c r="AH958" s="18"/>
      <c r="AL958" s="18"/>
      <c r="AM958" s="22"/>
      <c r="AN958" s="22"/>
      <c r="AO958" s="22"/>
      <c r="AP958" s="22"/>
      <c r="AQ958" s="22"/>
      <c r="AR958" s="22"/>
      <c r="AS958" s="22"/>
      <c r="AT958" s="22"/>
    </row>
    <row r="959" spans="7:46" ht="13">
      <c r="G959" s="34"/>
      <c r="J959" s="18"/>
      <c r="N959" s="18"/>
      <c r="O959" s="1"/>
      <c r="P959" s="1"/>
      <c r="Q959" s="1"/>
      <c r="R959" s="18"/>
      <c r="S959" s="1"/>
      <c r="T959" s="1"/>
      <c r="U959" s="1"/>
      <c r="V959" s="1"/>
      <c r="Z959" s="18"/>
      <c r="AD959" s="18"/>
      <c r="AH959" s="18"/>
      <c r="AL959" s="18"/>
      <c r="AM959" s="22"/>
      <c r="AN959" s="22"/>
      <c r="AO959" s="22"/>
      <c r="AP959" s="22"/>
      <c r="AQ959" s="22"/>
      <c r="AR959" s="22"/>
      <c r="AS959" s="22"/>
      <c r="AT959" s="22"/>
    </row>
    <row r="960" spans="7:46" ht="13">
      <c r="G960" s="34"/>
      <c r="J960" s="18"/>
      <c r="N960" s="18"/>
      <c r="O960" s="1"/>
      <c r="P960" s="1"/>
      <c r="Q960" s="1"/>
      <c r="R960" s="18"/>
      <c r="S960" s="1"/>
      <c r="T960" s="1"/>
      <c r="U960" s="1"/>
      <c r="V960" s="1"/>
      <c r="Z960" s="18"/>
      <c r="AD960" s="18"/>
      <c r="AH960" s="18"/>
      <c r="AL960" s="18"/>
      <c r="AM960" s="22"/>
      <c r="AN960" s="22"/>
      <c r="AO960" s="22"/>
      <c r="AP960" s="22"/>
      <c r="AQ960" s="22"/>
      <c r="AR960" s="22"/>
      <c r="AS960" s="22"/>
      <c r="AT960" s="22"/>
    </row>
    <row r="961" spans="7:46" ht="13">
      <c r="G961" s="34"/>
      <c r="J961" s="18"/>
      <c r="N961" s="18"/>
      <c r="O961" s="1"/>
      <c r="P961" s="1"/>
      <c r="Q961" s="1"/>
      <c r="R961" s="18"/>
      <c r="S961" s="1"/>
      <c r="T961" s="1"/>
      <c r="U961" s="1"/>
      <c r="V961" s="1"/>
      <c r="Z961" s="18"/>
      <c r="AD961" s="18"/>
      <c r="AH961" s="18"/>
      <c r="AL961" s="18"/>
      <c r="AM961" s="22"/>
      <c r="AN961" s="22"/>
      <c r="AO961" s="22"/>
      <c r="AP961" s="22"/>
      <c r="AQ961" s="22"/>
      <c r="AR961" s="22"/>
      <c r="AS961" s="22"/>
      <c r="AT961" s="22"/>
    </row>
    <row r="962" spans="7:46" ht="13">
      <c r="G962" s="34"/>
      <c r="J962" s="18"/>
      <c r="N962" s="18"/>
      <c r="O962" s="1"/>
      <c r="P962" s="1"/>
      <c r="Q962" s="1"/>
      <c r="R962" s="18"/>
      <c r="S962" s="1"/>
      <c r="T962" s="1"/>
      <c r="U962" s="1"/>
      <c r="V962" s="1"/>
      <c r="Z962" s="18"/>
      <c r="AD962" s="18"/>
      <c r="AH962" s="18"/>
      <c r="AL962" s="18"/>
      <c r="AM962" s="22"/>
      <c r="AN962" s="22"/>
      <c r="AO962" s="22"/>
      <c r="AP962" s="22"/>
      <c r="AQ962" s="22"/>
      <c r="AR962" s="22"/>
      <c r="AS962" s="22"/>
      <c r="AT962" s="22"/>
    </row>
    <row r="963" spans="7:46" ht="13">
      <c r="G963" s="34"/>
      <c r="J963" s="18"/>
      <c r="N963" s="18"/>
      <c r="O963" s="1"/>
      <c r="P963" s="1"/>
      <c r="Q963" s="1"/>
      <c r="R963" s="18"/>
      <c r="S963" s="1"/>
      <c r="T963" s="1"/>
      <c r="U963" s="1"/>
      <c r="V963" s="1"/>
      <c r="Z963" s="18"/>
      <c r="AD963" s="18"/>
      <c r="AH963" s="18"/>
      <c r="AL963" s="18"/>
      <c r="AM963" s="22"/>
      <c r="AN963" s="22"/>
      <c r="AO963" s="22"/>
      <c r="AP963" s="22"/>
      <c r="AQ963" s="22"/>
      <c r="AR963" s="22"/>
      <c r="AS963" s="22"/>
      <c r="AT963" s="22"/>
    </row>
    <row r="964" spans="7:46" ht="13">
      <c r="G964" s="34"/>
      <c r="J964" s="18"/>
      <c r="N964" s="18"/>
      <c r="O964" s="1"/>
      <c r="P964" s="1"/>
      <c r="Q964" s="1"/>
      <c r="R964" s="18"/>
      <c r="S964" s="1"/>
      <c r="T964" s="1"/>
      <c r="U964" s="1"/>
      <c r="V964" s="1"/>
      <c r="Z964" s="18"/>
      <c r="AD964" s="18"/>
      <c r="AH964" s="18"/>
      <c r="AL964" s="18"/>
      <c r="AM964" s="22"/>
      <c r="AN964" s="22"/>
      <c r="AO964" s="22"/>
      <c r="AP964" s="22"/>
      <c r="AQ964" s="22"/>
      <c r="AR964" s="22"/>
      <c r="AS964" s="22"/>
      <c r="AT964" s="22"/>
    </row>
    <row r="965" spans="7:46" ht="13">
      <c r="G965" s="34"/>
      <c r="J965" s="18"/>
      <c r="N965" s="18"/>
      <c r="O965" s="1"/>
      <c r="P965" s="1"/>
      <c r="Q965" s="1"/>
      <c r="R965" s="18"/>
      <c r="S965" s="1"/>
      <c r="T965" s="1"/>
      <c r="U965" s="1"/>
      <c r="V965" s="1"/>
      <c r="Z965" s="18"/>
      <c r="AD965" s="18"/>
      <c r="AH965" s="18"/>
      <c r="AL965" s="18"/>
      <c r="AM965" s="22"/>
      <c r="AN965" s="22"/>
      <c r="AO965" s="22"/>
      <c r="AP965" s="22"/>
      <c r="AQ965" s="22"/>
      <c r="AR965" s="22"/>
      <c r="AS965" s="22"/>
      <c r="AT965" s="22"/>
    </row>
    <row r="966" spans="7:46" ht="13">
      <c r="G966" s="34"/>
      <c r="J966" s="18"/>
      <c r="N966" s="18"/>
      <c r="O966" s="1"/>
      <c r="P966" s="1"/>
      <c r="Q966" s="1"/>
      <c r="R966" s="18"/>
      <c r="S966" s="1"/>
      <c r="T966" s="1"/>
      <c r="U966" s="1"/>
      <c r="V966" s="1"/>
      <c r="Z966" s="18"/>
      <c r="AD966" s="18"/>
      <c r="AH966" s="18"/>
      <c r="AL966" s="18"/>
      <c r="AM966" s="22"/>
      <c r="AN966" s="22"/>
      <c r="AO966" s="22"/>
      <c r="AP966" s="22"/>
      <c r="AQ966" s="22"/>
      <c r="AR966" s="22"/>
      <c r="AS966" s="22"/>
      <c r="AT966" s="22"/>
    </row>
    <row r="967" spans="7:46" ht="13">
      <c r="G967" s="34"/>
      <c r="J967" s="18"/>
      <c r="N967" s="18"/>
      <c r="O967" s="1"/>
      <c r="P967" s="1"/>
      <c r="Q967" s="1"/>
      <c r="R967" s="18"/>
      <c r="S967" s="1"/>
      <c r="T967" s="1"/>
      <c r="U967" s="1"/>
      <c r="V967" s="1"/>
      <c r="Z967" s="18"/>
      <c r="AD967" s="18"/>
      <c r="AH967" s="18"/>
      <c r="AL967" s="18"/>
      <c r="AM967" s="22"/>
      <c r="AN967" s="22"/>
      <c r="AO967" s="22"/>
      <c r="AP967" s="22"/>
      <c r="AQ967" s="22"/>
      <c r="AR967" s="22"/>
      <c r="AS967" s="22"/>
      <c r="AT967" s="22"/>
    </row>
    <row r="968" spans="7:46" ht="13">
      <c r="G968" s="34"/>
      <c r="J968" s="18"/>
      <c r="N968" s="18"/>
      <c r="O968" s="1"/>
      <c r="P968" s="1"/>
      <c r="Q968" s="1"/>
      <c r="R968" s="18"/>
      <c r="S968" s="1"/>
      <c r="T968" s="1"/>
      <c r="U968" s="1"/>
      <c r="V968" s="1"/>
      <c r="Z968" s="18"/>
      <c r="AD968" s="18"/>
      <c r="AH968" s="18"/>
      <c r="AL968" s="18"/>
      <c r="AM968" s="22"/>
      <c r="AN968" s="22"/>
      <c r="AO968" s="22"/>
      <c r="AP968" s="22"/>
      <c r="AQ968" s="22"/>
      <c r="AR968" s="22"/>
      <c r="AS968" s="22"/>
      <c r="AT968" s="22"/>
    </row>
    <row r="969" spans="7:46" ht="13">
      <c r="G969" s="34"/>
      <c r="J969" s="18"/>
      <c r="N969" s="18"/>
      <c r="O969" s="1"/>
      <c r="P969" s="1"/>
      <c r="Q969" s="1"/>
      <c r="R969" s="18"/>
      <c r="S969" s="1"/>
      <c r="T969" s="1"/>
      <c r="U969" s="1"/>
      <c r="V969" s="1"/>
      <c r="Z969" s="18"/>
      <c r="AD969" s="18"/>
      <c r="AH969" s="18"/>
      <c r="AL969" s="18"/>
      <c r="AM969" s="22"/>
      <c r="AN969" s="22"/>
      <c r="AO969" s="22"/>
      <c r="AP969" s="22"/>
      <c r="AQ969" s="22"/>
      <c r="AR969" s="22"/>
      <c r="AS969" s="22"/>
      <c r="AT969" s="22"/>
    </row>
    <row r="970" spans="7:46" ht="13">
      <c r="G970" s="34"/>
      <c r="J970" s="18"/>
      <c r="N970" s="18"/>
      <c r="O970" s="1"/>
      <c r="P970" s="1"/>
      <c r="Q970" s="1"/>
      <c r="R970" s="18"/>
      <c r="S970" s="1"/>
      <c r="T970" s="1"/>
      <c r="U970" s="1"/>
      <c r="V970" s="1"/>
      <c r="Z970" s="18"/>
      <c r="AD970" s="18"/>
      <c r="AH970" s="18"/>
      <c r="AL970" s="18"/>
      <c r="AM970" s="22"/>
      <c r="AN970" s="22"/>
      <c r="AO970" s="22"/>
      <c r="AP970" s="22"/>
      <c r="AQ970" s="22"/>
      <c r="AR970" s="22"/>
      <c r="AS970" s="22"/>
      <c r="AT970" s="22"/>
    </row>
    <row r="971" spans="7:46" ht="13">
      <c r="G971" s="34"/>
      <c r="J971" s="18"/>
      <c r="N971" s="18"/>
      <c r="O971" s="1"/>
      <c r="P971" s="1"/>
      <c r="Q971" s="1"/>
      <c r="R971" s="18"/>
      <c r="S971" s="1"/>
      <c r="T971" s="1"/>
      <c r="U971" s="1"/>
      <c r="V971" s="1"/>
      <c r="Z971" s="18"/>
      <c r="AD971" s="18"/>
      <c r="AH971" s="18"/>
      <c r="AL971" s="18"/>
      <c r="AM971" s="22"/>
      <c r="AN971" s="22"/>
      <c r="AO971" s="22"/>
      <c r="AP971" s="22"/>
      <c r="AQ971" s="22"/>
      <c r="AR971" s="22"/>
      <c r="AS971" s="22"/>
      <c r="AT971" s="22"/>
    </row>
    <row r="972" spans="7:46" ht="13">
      <c r="G972" s="34"/>
      <c r="J972" s="18"/>
      <c r="N972" s="18"/>
      <c r="O972" s="1"/>
      <c r="P972" s="1"/>
      <c r="Q972" s="1"/>
      <c r="R972" s="18"/>
      <c r="S972" s="1"/>
      <c r="T972" s="1"/>
      <c r="U972" s="1"/>
      <c r="V972" s="1"/>
      <c r="Z972" s="18"/>
      <c r="AD972" s="18"/>
      <c r="AH972" s="18"/>
      <c r="AL972" s="18"/>
      <c r="AM972" s="22"/>
      <c r="AN972" s="22"/>
      <c r="AO972" s="22"/>
      <c r="AP972" s="22"/>
      <c r="AQ972" s="22"/>
      <c r="AR972" s="22"/>
      <c r="AS972" s="22"/>
      <c r="AT972" s="22"/>
    </row>
    <row r="973" spans="7:46" ht="13">
      <c r="G973" s="34"/>
      <c r="J973" s="18"/>
      <c r="N973" s="18"/>
      <c r="O973" s="1"/>
      <c r="P973" s="1"/>
      <c r="Q973" s="1"/>
      <c r="R973" s="18"/>
      <c r="S973" s="1"/>
      <c r="T973" s="1"/>
      <c r="U973" s="1"/>
      <c r="V973" s="1"/>
      <c r="Z973" s="18"/>
      <c r="AD973" s="18"/>
      <c r="AH973" s="18"/>
      <c r="AL973" s="18"/>
      <c r="AM973" s="22"/>
      <c r="AN973" s="22"/>
      <c r="AO973" s="22"/>
      <c r="AP973" s="22"/>
      <c r="AQ973" s="22"/>
      <c r="AR973" s="22"/>
      <c r="AS973" s="22"/>
      <c r="AT973" s="22"/>
    </row>
    <row r="974" spans="7:46" ht="13">
      <c r="G974" s="34"/>
      <c r="J974" s="18"/>
      <c r="N974" s="18"/>
      <c r="O974" s="1"/>
      <c r="P974" s="1"/>
      <c r="Q974" s="1"/>
      <c r="R974" s="18"/>
      <c r="S974" s="1"/>
      <c r="T974" s="1"/>
      <c r="U974" s="1"/>
      <c r="V974" s="1"/>
      <c r="Z974" s="18"/>
      <c r="AD974" s="18"/>
      <c r="AH974" s="18"/>
      <c r="AL974" s="18"/>
      <c r="AM974" s="22"/>
      <c r="AN974" s="22"/>
      <c r="AO974" s="22"/>
      <c r="AP974" s="22"/>
      <c r="AQ974" s="22"/>
      <c r="AR974" s="22"/>
      <c r="AS974" s="22"/>
      <c r="AT974" s="22"/>
    </row>
    <row r="975" spans="7:46" ht="13">
      <c r="G975" s="34"/>
      <c r="J975" s="18"/>
      <c r="N975" s="18"/>
      <c r="O975" s="1"/>
      <c r="P975" s="1"/>
      <c r="Q975" s="1"/>
      <c r="R975" s="18"/>
      <c r="S975" s="1"/>
      <c r="T975" s="1"/>
      <c r="U975" s="1"/>
      <c r="V975" s="1"/>
      <c r="Z975" s="18"/>
      <c r="AD975" s="18"/>
      <c r="AH975" s="18"/>
      <c r="AL975" s="18"/>
      <c r="AM975" s="22"/>
      <c r="AN975" s="22"/>
      <c r="AO975" s="22"/>
      <c r="AP975" s="22"/>
      <c r="AQ975" s="22"/>
      <c r="AR975" s="22"/>
      <c r="AS975" s="22"/>
      <c r="AT975" s="22"/>
    </row>
    <row r="976" spans="7:46" ht="13">
      <c r="G976" s="34"/>
      <c r="J976" s="18"/>
      <c r="N976" s="18"/>
      <c r="O976" s="1"/>
      <c r="P976" s="1"/>
      <c r="Q976" s="1"/>
      <c r="R976" s="18"/>
      <c r="S976" s="1"/>
      <c r="T976" s="1"/>
      <c r="U976" s="1"/>
      <c r="V976" s="1"/>
      <c r="Z976" s="18"/>
      <c r="AD976" s="18"/>
      <c r="AH976" s="18"/>
      <c r="AL976" s="18"/>
      <c r="AM976" s="22"/>
      <c r="AN976" s="22"/>
      <c r="AO976" s="22"/>
      <c r="AP976" s="22"/>
      <c r="AQ976" s="22"/>
      <c r="AR976" s="22"/>
      <c r="AS976" s="22"/>
      <c r="AT976" s="22"/>
    </row>
    <row r="977" spans="7:46" ht="13">
      <c r="G977" s="34"/>
      <c r="J977" s="18"/>
      <c r="N977" s="18"/>
      <c r="O977" s="1"/>
      <c r="P977" s="1"/>
      <c r="Q977" s="1"/>
      <c r="R977" s="18"/>
      <c r="S977" s="1"/>
      <c r="T977" s="1"/>
      <c r="U977" s="1"/>
      <c r="V977" s="1"/>
      <c r="Z977" s="18"/>
      <c r="AD977" s="18"/>
      <c r="AH977" s="18"/>
      <c r="AL977" s="18"/>
      <c r="AM977" s="22"/>
      <c r="AN977" s="22"/>
      <c r="AO977" s="22"/>
      <c r="AP977" s="22"/>
      <c r="AQ977" s="22"/>
      <c r="AR977" s="22"/>
      <c r="AS977" s="22"/>
      <c r="AT977" s="22"/>
    </row>
    <row r="978" spans="7:46" ht="13">
      <c r="G978" s="34"/>
      <c r="J978" s="18"/>
      <c r="N978" s="18"/>
      <c r="O978" s="1"/>
      <c r="P978" s="1"/>
      <c r="Q978" s="1"/>
      <c r="R978" s="18"/>
      <c r="S978" s="1"/>
      <c r="T978" s="1"/>
      <c r="U978" s="1"/>
      <c r="V978" s="1"/>
      <c r="Z978" s="18"/>
      <c r="AD978" s="18"/>
      <c r="AH978" s="18"/>
      <c r="AL978" s="18"/>
      <c r="AM978" s="22"/>
      <c r="AN978" s="22"/>
      <c r="AO978" s="22"/>
      <c r="AP978" s="22"/>
      <c r="AQ978" s="22"/>
      <c r="AR978" s="22"/>
      <c r="AS978" s="22"/>
      <c r="AT978" s="22"/>
    </row>
    <row r="979" spans="7:46" ht="13">
      <c r="G979" s="34"/>
      <c r="J979" s="18"/>
      <c r="N979" s="18"/>
      <c r="O979" s="1"/>
      <c r="P979" s="1"/>
      <c r="Q979" s="1"/>
      <c r="R979" s="18"/>
      <c r="S979" s="1"/>
      <c r="T979" s="1"/>
      <c r="U979" s="1"/>
      <c r="V979" s="1"/>
      <c r="Z979" s="18"/>
      <c r="AD979" s="18"/>
      <c r="AH979" s="18"/>
      <c r="AL979" s="18"/>
      <c r="AM979" s="22"/>
      <c r="AN979" s="22"/>
      <c r="AO979" s="22"/>
      <c r="AP979" s="22"/>
      <c r="AQ979" s="22"/>
      <c r="AR979" s="22"/>
      <c r="AS979" s="22"/>
      <c r="AT979" s="22"/>
    </row>
    <row r="980" spans="7:46" ht="13">
      <c r="G980" s="34"/>
      <c r="J980" s="18"/>
      <c r="N980" s="18"/>
      <c r="O980" s="1"/>
      <c r="P980" s="1"/>
      <c r="Q980" s="1"/>
      <c r="R980" s="18"/>
      <c r="S980" s="1"/>
      <c r="T980" s="1"/>
      <c r="U980" s="1"/>
      <c r="V980" s="1"/>
      <c r="Z980" s="18"/>
      <c r="AD980" s="18"/>
      <c r="AH980" s="18"/>
      <c r="AL980" s="18"/>
      <c r="AM980" s="22"/>
      <c r="AN980" s="22"/>
      <c r="AO980" s="22"/>
      <c r="AP980" s="22"/>
      <c r="AQ980" s="22"/>
      <c r="AR980" s="22"/>
      <c r="AS980" s="22"/>
      <c r="AT980" s="22"/>
    </row>
    <row r="981" spans="7:46" ht="13">
      <c r="G981" s="34"/>
      <c r="J981" s="18"/>
      <c r="N981" s="18"/>
      <c r="O981" s="1"/>
      <c r="P981" s="1"/>
      <c r="Q981" s="1"/>
      <c r="R981" s="18"/>
      <c r="S981" s="1"/>
      <c r="T981" s="1"/>
      <c r="U981" s="1"/>
      <c r="V981" s="1"/>
      <c r="Z981" s="18"/>
      <c r="AD981" s="18"/>
      <c r="AH981" s="18"/>
      <c r="AL981" s="18"/>
      <c r="AM981" s="22"/>
      <c r="AN981" s="22"/>
      <c r="AO981" s="22"/>
      <c r="AP981" s="22"/>
      <c r="AQ981" s="22"/>
      <c r="AR981" s="22"/>
      <c r="AS981" s="22"/>
      <c r="AT981" s="22"/>
    </row>
    <row r="982" spans="7:46" ht="13">
      <c r="G982" s="34"/>
      <c r="J982" s="18"/>
      <c r="N982" s="18"/>
      <c r="O982" s="1"/>
      <c r="P982" s="1"/>
      <c r="Q982" s="1"/>
      <c r="R982" s="18"/>
      <c r="S982" s="1"/>
      <c r="T982" s="1"/>
      <c r="U982" s="1"/>
      <c r="V982" s="1"/>
      <c r="Z982" s="18"/>
      <c r="AD982" s="18"/>
      <c r="AH982" s="18"/>
      <c r="AL982" s="18"/>
      <c r="AM982" s="22"/>
      <c r="AN982" s="22"/>
      <c r="AO982" s="22"/>
      <c r="AP982" s="22"/>
      <c r="AQ982" s="22"/>
      <c r="AR982" s="22"/>
      <c r="AS982" s="22"/>
      <c r="AT982" s="22"/>
    </row>
    <row r="983" spans="7:46" ht="13">
      <c r="G983" s="34"/>
      <c r="J983" s="18"/>
      <c r="N983" s="18"/>
      <c r="O983" s="1"/>
      <c r="P983" s="1"/>
      <c r="Q983" s="1"/>
      <c r="R983" s="18"/>
      <c r="S983" s="1"/>
      <c r="T983" s="1"/>
      <c r="U983" s="1"/>
      <c r="V983" s="1"/>
      <c r="Z983" s="18"/>
      <c r="AD983" s="18"/>
      <c r="AH983" s="18"/>
      <c r="AL983" s="18"/>
      <c r="AM983" s="22"/>
      <c r="AN983" s="22"/>
      <c r="AO983" s="22"/>
      <c r="AP983" s="22"/>
      <c r="AQ983" s="22"/>
      <c r="AR983" s="22"/>
      <c r="AS983" s="22"/>
      <c r="AT983" s="22"/>
    </row>
    <row r="984" spans="7:46" ht="13">
      <c r="G984" s="34"/>
      <c r="J984" s="18"/>
      <c r="N984" s="18"/>
      <c r="O984" s="1"/>
      <c r="P984" s="1"/>
      <c r="Q984" s="1"/>
      <c r="R984" s="18"/>
      <c r="S984" s="1"/>
      <c r="T984" s="1"/>
      <c r="U984" s="1"/>
      <c r="V984" s="1"/>
      <c r="Z984" s="18"/>
      <c r="AD984" s="18"/>
      <c r="AH984" s="18"/>
      <c r="AL984" s="18"/>
      <c r="AM984" s="22"/>
      <c r="AN984" s="22"/>
      <c r="AO984" s="22"/>
      <c r="AP984" s="22"/>
      <c r="AQ984" s="22"/>
      <c r="AR984" s="22"/>
      <c r="AS984" s="22"/>
      <c r="AT984" s="22"/>
    </row>
    <row r="985" spans="7:46" ht="13">
      <c r="G985" s="34"/>
      <c r="J985" s="18"/>
      <c r="N985" s="18"/>
      <c r="O985" s="1"/>
      <c r="P985" s="1"/>
      <c r="Q985" s="1"/>
      <c r="R985" s="18"/>
      <c r="S985" s="1"/>
      <c r="T985" s="1"/>
      <c r="U985" s="1"/>
      <c r="V985" s="1"/>
      <c r="Z985" s="18"/>
      <c r="AD985" s="18"/>
      <c r="AH985" s="18"/>
      <c r="AL985" s="18"/>
      <c r="AM985" s="22"/>
      <c r="AN985" s="22"/>
      <c r="AO985" s="22"/>
      <c r="AP985" s="22"/>
      <c r="AQ985" s="22"/>
      <c r="AR985" s="22"/>
      <c r="AS985" s="22"/>
      <c r="AT985" s="22"/>
    </row>
    <row r="986" spans="7:46" ht="13">
      <c r="G986" s="34"/>
      <c r="J986" s="18"/>
      <c r="N986" s="18"/>
      <c r="O986" s="1"/>
      <c r="P986" s="1"/>
      <c r="Q986" s="1"/>
      <c r="R986" s="18"/>
      <c r="S986" s="1"/>
      <c r="T986" s="1"/>
      <c r="U986" s="1"/>
      <c r="V986" s="1"/>
      <c r="Z986" s="18"/>
      <c r="AD986" s="18"/>
      <c r="AH986" s="18"/>
      <c r="AL986" s="18"/>
      <c r="AM986" s="22"/>
      <c r="AN986" s="22"/>
      <c r="AO986" s="22"/>
      <c r="AP986" s="22"/>
      <c r="AQ986" s="22"/>
      <c r="AR986" s="22"/>
      <c r="AS986" s="22"/>
      <c r="AT986" s="22"/>
    </row>
    <row r="987" spans="7:46" ht="13">
      <c r="G987" s="34"/>
      <c r="J987" s="18"/>
      <c r="N987" s="18"/>
      <c r="O987" s="1"/>
      <c r="P987" s="1"/>
      <c r="Q987" s="1"/>
      <c r="R987" s="18"/>
      <c r="S987" s="1"/>
      <c r="T987" s="1"/>
      <c r="U987" s="1"/>
      <c r="V987" s="1"/>
      <c r="Z987" s="18"/>
      <c r="AD987" s="18"/>
      <c r="AH987" s="18"/>
      <c r="AL987" s="18"/>
      <c r="AM987" s="22"/>
      <c r="AN987" s="22"/>
      <c r="AO987" s="22"/>
      <c r="AP987" s="22"/>
      <c r="AQ987" s="22"/>
      <c r="AR987" s="22"/>
      <c r="AS987" s="22"/>
      <c r="AT987" s="22"/>
    </row>
    <row r="988" spans="7:46" ht="13">
      <c r="G988" s="34"/>
      <c r="J988" s="18"/>
      <c r="N988" s="18"/>
      <c r="O988" s="1"/>
      <c r="P988" s="1"/>
      <c r="Q988" s="1"/>
      <c r="R988" s="18"/>
      <c r="S988" s="1"/>
      <c r="T988" s="1"/>
      <c r="U988" s="1"/>
      <c r="V988" s="1"/>
      <c r="Z988" s="18"/>
      <c r="AD988" s="18"/>
      <c r="AH988" s="18"/>
      <c r="AL988" s="18"/>
      <c r="AM988" s="22"/>
      <c r="AN988" s="22"/>
      <c r="AO988" s="22"/>
      <c r="AP988" s="22"/>
      <c r="AQ988" s="22"/>
      <c r="AR988" s="22"/>
      <c r="AS988" s="22"/>
      <c r="AT988" s="22"/>
    </row>
    <row r="989" spans="7:46" ht="13">
      <c r="G989" s="34"/>
      <c r="J989" s="18"/>
      <c r="N989" s="18"/>
      <c r="O989" s="1"/>
      <c r="P989" s="1"/>
      <c r="Q989" s="1"/>
      <c r="R989" s="18"/>
      <c r="S989" s="1"/>
      <c r="T989" s="1"/>
      <c r="U989" s="1"/>
      <c r="V989" s="1"/>
      <c r="Z989" s="18"/>
      <c r="AD989" s="18"/>
      <c r="AH989" s="18"/>
      <c r="AL989" s="18"/>
      <c r="AM989" s="22"/>
      <c r="AN989" s="22"/>
      <c r="AO989" s="22"/>
      <c r="AP989" s="22"/>
      <c r="AQ989" s="22"/>
      <c r="AR989" s="22"/>
      <c r="AS989" s="22"/>
      <c r="AT989" s="22"/>
    </row>
    <row r="990" spans="7:46" ht="13">
      <c r="G990" s="34"/>
      <c r="J990" s="18"/>
      <c r="N990" s="18"/>
      <c r="O990" s="1"/>
      <c r="P990" s="1"/>
      <c r="Q990" s="1"/>
      <c r="R990" s="18"/>
      <c r="S990" s="1"/>
      <c r="T990" s="1"/>
      <c r="U990" s="1"/>
      <c r="V990" s="1"/>
      <c r="Z990" s="18"/>
      <c r="AD990" s="18"/>
      <c r="AH990" s="18"/>
      <c r="AL990" s="18"/>
      <c r="AM990" s="22"/>
      <c r="AN990" s="22"/>
      <c r="AO990" s="22"/>
      <c r="AP990" s="22"/>
      <c r="AQ990" s="22"/>
      <c r="AR990" s="22"/>
      <c r="AS990" s="22"/>
      <c r="AT990" s="22"/>
    </row>
    <row r="991" spans="7:46" ht="13">
      <c r="G991" s="34"/>
      <c r="J991" s="18"/>
      <c r="N991" s="18"/>
      <c r="O991" s="1"/>
      <c r="P991" s="1"/>
      <c r="Q991" s="1"/>
      <c r="R991" s="18"/>
      <c r="S991" s="1"/>
      <c r="T991" s="1"/>
      <c r="U991" s="1"/>
      <c r="V991" s="1"/>
      <c r="Z991" s="18"/>
      <c r="AD991" s="18"/>
      <c r="AH991" s="18"/>
      <c r="AL991" s="18"/>
      <c r="AM991" s="22"/>
      <c r="AN991" s="22"/>
      <c r="AO991" s="22"/>
      <c r="AP991" s="22"/>
      <c r="AQ991" s="22"/>
      <c r="AR991" s="22"/>
      <c r="AS991" s="22"/>
      <c r="AT991" s="22"/>
    </row>
    <row r="992" spans="7:46" ht="13">
      <c r="G992" s="34"/>
      <c r="J992" s="18"/>
      <c r="N992" s="18"/>
      <c r="O992" s="1"/>
      <c r="P992" s="1"/>
      <c r="Q992" s="1"/>
      <c r="R992" s="18"/>
      <c r="S992" s="1"/>
      <c r="T992" s="1"/>
      <c r="U992" s="1"/>
      <c r="V992" s="1"/>
      <c r="Z992" s="18"/>
      <c r="AD992" s="18"/>
      <c r="AH992" s="18"/>
      <c r="AL992" s="18"/>
      <c r="AM992" s="22"/>
      <c r="AN992" s="22"/>
      <c r="AO992" s="22"/>
      <c r="AP992" s="22"/>
      <c r="AQ992" s="22"/>
      <c r="AR992" s="22"/>
      <c r="AS992" s="22"/>
      <c r="AT992" s="22"/>
    </row>
    <row r="993" spans="7:46" ht="13">
      <c r="G993" s="34"/>
      <c r="J993" s="18"/>
      <c r="N993" s="18"/>
      <c r="O993" s="1"/>
      <c r="P993" s="1"/>
      <c r="Q993" s="1"/>
      <c r="R993" s="18"/>
      <c r="S993" s="1"/>
      <c r="T993" s="1"/>
      <c r="U993" s="1"/>
      <c r="V993" s="1"/>
      <c r="Z993" s="18"/>
      <c r="AD993" s="18"/>
      <c r="AH993" s="18"/>
      <c r="AL993" s="18"/>
      <c r="AM993" s="22"/>
      <c r="AN993" s="22"/>
      <c r="AO993" s="22"/>
      <c r="AP993" s="22"/>
      <c r="AQ993" s="22"/>
      <c r="AR993" s="22"/>
      <c r="AS993" s="22"/>
      <c r="AT993" s="22"/>
    </row>
    <row r="994" spans="7:46" ht="13">
      <c r="G994" s="34"/>
      <c r="J994" s="18"/>
      <c r="N994" s="18"/>
      <c r="O994" s="1"/>
      <c r="P994" s="1"/>
      <c r="Q994" s="1"/>
      <c r="R994" s="18"/>
      <c r="S994" s="1"/>
      <c r="T994" s="1"/>
      <c r="U994" s="1"/>
      <c r="V994" s="1"/>
      <c r="Z994" s="18"/>
      <c r="AD994" s="18"/>
      <c r="AH994" s="18"/>
      <c r="AL994" s="18"/>
      <c r="AM994" s="22"/>
      <c r="AN994" s="22"/>
      <c r="AO994" s="22"/>
      <c r="AP994" s="22"/>
      <c r="AQ994" s="22"/>
      <c r="AR994" s="22"/>
      <c r="AS994" s="22"/>
      <c r="AT994" s="22"/>
    </row>
    <row r="995" spans="7:46" ht="13">
      <c r="G995" s="34"/>
      <c r="J995" s="18"/>
      <c r="N995" s="18"/>
      <c r="O995" s="1"/>
      <c r="P995" s="1"/>
      <c r="Q995" s="1"/>
      <c r="R995" s="18"/>
      <c r="S995" s="1"/>
      <c r="T995" s="1"/>
      <c r="U995" s="1"/>
      <c r="V995" s="1"/>
      <c r="Z995" s="18"/>
      <c r="AD995" s="18"/>
      <c r="AH995" s="18"/>
      <c r="AL995" s="18"/>
      <c r="AM995" s="22"/>
      <c r="AN995" s="22"/>
      <c r="AO995" s="22"/>
      <c r="AP995" s="22"/>
      <c r="AQ995" s="22"/>
      <c r="AR995" s="22"/>
      <c r="AS995" s="22"/>
      <c r="AT995" s="22"/>
    </row>
    <row r="996" spans="7:46" ht="13">
      <c r="G996" s="34"/>
      <c r="J996" s="18"/>
      <c r="N996" s="18"/>
      <c r="O996" s="1"/>
      <c r="P996" s="1"/>
      <c r="Q996" s="1"/>
      <c r="R996" s="18"/>
      <c r="S996" s="1"/>
      <c r="T996" s="1"/>
      <c r="U996" s="1"/>
      <c r="V996" s="1"/>
      <c r="Z996" s="18"/>
      <c r="AD996" s="18"/>
      <c r="AH996" s="18"/>
      <c r="AL996" s="18"/>
      <c r="AM996" s="22"/>
      <c r="AN996" s="22"/>
      <c r="AO996" s="22"/>
      <c r="AP996" s="22"/>
      <c r="AQ996" s="22"/>
      <c r="AR996" s="22"/>
      <c r="AS996" s="22"/>
      <c r="AT996" s="22"/>
    </row>
    <row r="997" spans="7:46" ht="13">
      <c r="G997" s="34"/>
      <c r="J997" s="18"/>
      <c r="N997" s="18"/>
      <c r="O997" s="1"/>
      <c r="P997" s="1"/>
      <c r="Q997" s="1"/>
      <c r="R997" s="18"/>
      <c r="S997" s="1"/>
      <c r="T997" s="1"/>
      <c r="U997" s="1"/>
      <c r="V997" s="1"/>
      <c r="Z997" s="18"/>
      <c r="AD997" s="18"/>
      <c r="AH997" s="18"/>
      <c r="AL997" s="18"/>
      <c r="AM997" s="22"/>
      <c r="AN997" s="22"/>
      <c r="AO997" s="22"/>
      <c r="AP997" s="22"/>
      <c r="AQ997" s="22"/>
      <c r="AR997" s="22"/>
      <c r="AS997" s="22"/>
      <c r="AT997" s="22"/>
    </row>
    <row r="998" spans="7:46" ht="13">
      <c r="G998" s="34"/>
      <c r="J998" s="18"/>
      <c r="N998" s="18"/>
      <c r="O998" s="1"/>
      <c r="P998" s="1"/>
      <c r="Q998" s="1"/>
      <c r="R998" s="18"/>
      <c r="S998" s="1"/>
      <c r="T998" s="1"/>
      <c r="U998" s="1"/>
      <c r="V998" s="1"/>
      <c r="Z998" s="18"/>
      <c r="AD998" s="18"/>
      <c r="AH998" s="18"/>
      <c r="AL998" s="18"/>
      <c r="AM998" s="22"/>
      <c r="AN998" s="22"/>
      <c r="AO998" s="22"/>
      <c r="AP998" s="22"/>
      <c r="AQ998" s="22"/>
      <c r="AR998" s="22"/>
      <c r="AS998" s="22"/>
      <c r="AT998" s="22"/>
    </row>
    <row r="999" spans="7:46" ht="13">
      <c r="G999" s="34"/>
      <c r="J999" s="18"/>
      <c r="N999" s="18"/>
      <c r="O999" s="1"/>
      <c r="P999" s="1"/>
      <c r="Q999" s="1"/>
      <c r="R999" s="18"/>
      <c r="S999" s="1"/>
      <c r="T999" s="1"/>
      <c r="U999" s="1"/>
      <c r="V999" s="1"/>
      <c r="Z999" s="18"/>
      <c r="AD999" s="18"/>
      <c r="AH999" s="18"/>
      <c r="AL999" s="18"/>
      <c r="AM999" s="22"/>
      <c r="AN999" s="22"/>
      <c r="AO999" s="22"/>
      <c r="AP999" s="22"/>
      <c r="AQ999" s="22"/>
      <c r="AR999" s="22"/>
      <c r="AS999" s="22"/>
      <c r="AT999" s="22"/>
    </row>
    <row r="1000" spans="7:46" ht="13">
      <c r="G1000" s="34"/>
      <c r="J1000" s="18"/>
      <c r="N1000" s="18"/>
      <c r="O1000" s="1"/>
      <c r="P1000" s="1"/>
      <c r="Q1000" s="1"/>
      <c r="R1000" s="18"/>
      <c r="S1000" s="1"/>
      <c r="T1000" s="1"/>
      <c r="U1000" s="1"/>
      <c r="V1000" s="1"/>
      <c r="Z1000" s="18"/>
      <c r="AD1000" s="18"/>
      <c r="AH1000" s="18"/>
      <c r="AL1000" s="18"/>
      <c r="AM1000" s="22"/>
      <c r="AN1000" s="22"/>
      <c r="AO1000" s="22"/>
      <c r="AP1000" s="22"/>
      <c r="AQ1000" s="22"/>
      <c r="AR1000" s="22"/>
      <c r="AS1000" s="22"/>
      <c r="AT1000" s="22"/>
    </row>
  </sheetData>
  <mergeCells count="6">
    <mergeCell ref="AU2:BB2"/>
    <mergeCell ref="G2:N2"/>
    <mergeCell ref="O2:V2"/>
    <mergeCell ref="W2:AD2"/>
    <mergeCell ref="AE2:AL2"/>
    <mergeCell ref="AM2:AT2"/>
  </mergeCells>
  <pageMargins left="0.69930555555555596" right="0.69930555555555596" top="0.75" bottom="0.75" header="0.3" footer="0.3"/>
  <ignoredErrors>
    <ignoredError sqref="AF104" emptyCellReferenc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2301"/>
  <sheetViews>
    <sheetView tabSelected="1" topLeftCell="A45" zoomScale="150" zoomScaleNormal="150" workbookViewId="0">
      <selection activeCell="M2" sqref="M2"/>
    </sheetView>
  </sheetViews>
  <sheetFormatPr baseColWidth="10" defaultColWidth="10.83203125" defaultRowHeight="13"/>
  <cols>
    <col min="1" max="1" width="32.6640625" customWidth="1"/>
    <col min="2" max="2" width="17.1640625" customWidth="1"/>
    <col min="3" max="3" width="16.83203125" customWidth="1"/>
    <col min="7" max="7" width="8.83203125" customWidth="1"/>
    <col min="8" max="8" width="10.6640625" customWidth="1"/>
    <col min="9" max="9" width="8.5" customWidth="1"/>
  </cols>
  <sheetData>
    <row r="1" spans="1:17">
      <c r="A1" s="48" t="s">
        <v>5</v>
      </c>
      <c r="B1" s="48" t="s">
        <v>161</v>
      </c>
      <c r="C1" s="48" t="s">
        <v>162</v>
      </c>
      <c r="D1" s="48" t="s">
        <v>157</v>
      </c>
      <c r="E1" s="48" t="s">
        <v>158</v>
      </c>
      <c r="F1" s="48" t="s">
        <v>159</v>
      </c>
      <c r="G1" s="48" t="s">
        <v>164</v>
      </c>
      <c r="H1" s="48" t="s">
        <v>165</v>
      </c>
      <c r="I1" s="48" t="s">
        <v>166</v>
      </c>
      <c r="J1" s="48" t="s">
        <v>170</v>
      </c>
      <c r="K1" s="48" t="s">
        <v>171</v>
      </c>
      <c r="L1" s="48" t="s">
        <v>172</v>
      </c>
      <c r="M1" s="48" t="s">
        <v>178</v>
      </c>
      <c r="N1" s="49" t="s">
        <v>256</v>
      </c>
      <c r="O1" s="49" t="s">
        <v>257</v>
      </c>
      <c r="P1" s="49" t="s">
        <v>254</v>
      </c>
      <c r="Q1" s="49" t="s">
        <v>255</v>
      </c>
    </row>
    <row r="2" spans="1:17">
      <c r="A2" t="s">
        <v>16</v>
      </c>
      <c r="B2" t="s">
        <v>17</v>
      </c>
      <c r="C2">
        <v>8</v>
      </c>
      <c r="D2">
        <v>2021</v>
      </c>
      <c r="E2" s="49" t="s">
        <v>0</v>
      </c>
      <c r="F2" s="49" t="s">
        <v>160</v>
      </c>
      <c r="G2">
        <f>'Baseline (June to Sep)'!G4+'Baseline (June to Sep)'!H4</f>
        <v>40</v>
      </c>
      <c r="H2">
        <f>'Baseline (June to Sep)'!I4</f>
        <v>20</v>
      </c>
      <c r="I2">
        <v>0</v>
      </c>
      <c r="J2">
        <f>G2*Parameters!$B$2*Parameters!$B$5</f>
        <v>85.163999999999987</v>
      </c>
      <c r="K2">
        <f>H2*Parameters!$B$3*Parameters!$B$6</f>
        <v>125.416</v>
      </c>
      <c r="L2">
        <f>I2*Parameters!$B$4*Parameters!$B$7</f>
        <v>0</v>
      </c>
      <c r="M2">
        <f>SUM(J2:L2)</f>
        <v>210.57999999999998</v>
      </c>
      <c r="N2">
        <v>0</v>
      </c>
      <c r="O2">
        <v>4000</v>
      </c>
      <c r="P2">
        <v>6000</v>
      </c>
      <c r="Q2">
        <v>0</v>
      </c>
    </row>
    <row r="3" spans="1:17">
      <c r="A3" t="s">
        <v>18</v>
      </c>
      <c r="B3" t="s">
        <v>19</v>
      </c>
      <c r="C3">
        <v>7</v>
      </c>
      <c r="D3">
        <v>2021</v>
      </c>
      <c r="E3" s="49" t="s">
        <v>0</v>
      </c>
      <c r="F3" s="49" t="s">
        <v>160</v>
      </c>
      <c r="G3">
        <f>'Baseline (June to Sep)'!G5+'Baseline (June to Sep)'!H5</f>
        <v>20</v>
      </c>
      <c r="H3">
        <f>'Baseline (June to Sep)'!I5</f>
        <v>40</v>
      </c>
      <c r="I3">
        <v>0</v>
      </c>
      <c r="J3">
        <f>G3*Parameters!$B$2*Parameters!$B$5</f>
        <v>42.581999999999994</v>
      </c>
      <c r="K3">
        <f>H3*Parameters!$B$3*Parameters!$B$6</f>
        <v>250.83199999999999</v>
      </c>
      <c r="L3">
        <f>I3*Parameters!$B$4*Parameters!$B$7</f>
        <v>0</v>
      </c>
      <c r="M3">
        <f t="shared" ref="M3:M66" si="0">SUM(J3:L3)</f>
        <v>293.41399999999999</v>
      </c>
      <c r="N3">
        <v>0</v>
      </c>
      <c r="O3">
        <v>2000</v>
      </c>
      <c r="P3">
        <v>12000</v>
      </c>
      <c r="Q3">
        <v>0</v>
      </c>
    </row>
    <row r="4" spans="1:17">
      <c r="A4" t="s">
        <v>20</v>
      </c>
      <c r="B4" t="s">
        <v>21</v>
      </c>
      <c r="C4">
        <v>10</v>
      </c>
      <c r="D4">
        <v>2021</v>
      </c>
      <c r="E4" s="49" t="s">
        <v>0</v>
      </c>
      <c r="F4" s="49" t="s">
        <v>160</v>
      </c>
      <c r="G4">
        <f>'Baseline (June to Sep)'!G6+'Baseline (June to Sep)'!H6</f>
        <v>60</v>
      </c>
      <c r="H4">
        <f>'Baseline (June to Sep)'!I6</f>
        <v>30</v>
      </c>
      <c r="I4">
        <v>0</v>
      </c>
      <c r="J4">
        <f>G4*Parameters!$B$2*Parameters!$B$5</f>
        <v>127.74599999999998</v>
      </c>
      <c r="K4">
        <f>H4*Parameters!$B$3*Parameters!$B$6</f>
        <v>188.124</v>
      </c>
      <c r="L4">
        <f>I4*Parameters!$B$4*Parameters!$B$7</f>
        <v>0</v>
      </c>
      <c r="M4">
        <f t="shared" si="0"/>
        <v>315.87</v>
      </c>
      <c r="N4">
        <v>0</v>
      </c>
      <c r="O4">
        <v>6000</v>
      </c>
      <c r="P4">
        <v>9000</v>
      </c>
      <c r="Q4">
        <v>0</v>
      </c>
    </row>
    <row r="5" spans="1:17">
      <c r="A5" t="s">
        <v>22</v>
      </c>
      <c r="B5" t="s">
        <v>19</v>
      </c>
      <c r="C5">
        <v>7</v>
      </c>
      <c r="D5">
        <v>2021</v>
      </c>
      <c r="E5" s="49" t="s">
        <v>0</v>
      </c>
      <c r="F5" s="49" t="s">
        <v>160</v>
      </c>
      <c r="G5">
        <f>'Baseline (June to Sep)'!G7+'Baseline (June to Sep)'!H7</f>
        <v>20</v>
      </c>
      <c r="H5">
        <f>'Baseline (June to Sep)'!I7</f>
        <v>0</v>
      </c>
      <c r="I5">
        <v>0</v>
      </c>
      <c r="J5">
        <f>G5*Parameters!$B$2*Parameters!$B$5</f>
        <v>42.581999999999994</v>
      </c>
      <c r="K5">
        <f>H5*Parameters!$B$3*Parameters!$B$6</f>
        <v>0</v>
      </c>
      <c r="L5">
        <f>I5*Parameters!$B$4*Parameters!$B$7</f>
        <v>0</v>
      </c>
      <c r="M5">
        <f t="shared" si="0"/>
        <v>42.581999999999994</v>
      </c>
      <c r="N5">
        <v>0</v>
      </c>
      <c r="O5">
        <v>2000</v>
      </c>
      <c r="P5">
        <v>0</v>
      </c>
      <c r="Q5">
        <v>0</v>
      </c>
    </row>
    <row r="6" spans="1:17">
      <c r="A6" t="s">
        <v>23</v>
      </c>
      <c r="B6" t="s">
        <v>24</v>
      </c>
      <c r="C6">
        <v>4</v>
      </c>
      <c r="D6">
        <v>2021</v>
      </c>
      <c r="E6" s="49" t="s">
        <v>0</v>
      </c>
      <c r="F6" s="49" t="s">
        <v>160</v>
      </c>
      <c r="G6">
        <f>'Baseline (June to Sep)'!G8+'Baseline (June to Sep)'!H8</f>
        <v>40</v>
      </c>
      <c r="H6">
        <f>'Baseline (June to Sep)'!I8</f>
        <v>0</v>
      </c>
      <c r="I6">
        <v>0</v>
      </c>
      <c r="J6">
        <f>G6*Parameters!$B$2*Parameters!$B$5</f>
        <v>85.163999999999987</v>
      </c>
      <c r="K6">
        <f>H6*Parameters!$B$3*Parameters!$B$6</f>
        <v>0</v>
      </c>
      <c r="L6">
        <f>I6*Parameters!$B$4*Parameters!$B$7</f>
        <v>0</v>
      </c>
      <c r="M6">
        <f t="shared" si="0"/>
        <v>85.163999999999987</v>
      </c>
      <c r="N6">
        <v>0</v>
      </c>
      <c r="O6">
        <v>4000</v>
      </c>
      <c r="P6">
        <v>0</v>
      </c>
      <c r="Q6">
        <v>0</v>
      </c>
    </row>
    <row r="7" spans="1:17">
      <c r="A7" t="s">
        <v>25</v>
      </c>
      <c r="B7" t="s">
        <v>26</v>
      </c>
      <c r="C7">
        <v>3</v>
      </c>
      <c r="D7">
        <v>2021</v>
      </c>
      <c r="E7" s="49" t="s">
        <v>0</v>
      </c>
      <c r="F7" s="49" t="s">
        <v>160</v>
      </c>
      <c r="G7">
        <f>'Baseline (June to Sep)'!G9+'Baseline (June to Sep)'!H9</f>
        <v>20</v>
      </c>
      <c r="H7">
        <f>'Baseline (June to Sep)'!I9</f>
        <v>20</v>
      </c>
      <c r="I7">
        <v>0</v>
      </c>
      <c r="J7">
        <f>G7*Parameters!$B$2*Parameters!$B$5</f>
        <v>42.581999999999994</v>
      </c>
      <c r="K7">
        <f>H7*Parameters!$B$3*Parameters!$B$6</f>
        <v>125.416</v>
      </c>
      <c r="L7">
        <f>I7*Parameters!$B$4*Parameters!$B$7</f>
        <v>0</v>
      </c>
      <c r="M7">
        <f t="shared" si="0"/>
        <v>167.99799999999999</v>
      </c>
      <c r="N7">
        <v>0</v>
      </c>
      <c r="O7">
        <v>2000</v>
      </c>
      <c r="P7">
        <v>6000</v>
      </c>
      <c r="Q7">
        <v>0</v>
      </c>
    </row>
    <row r="8" spans="1:17">
      <c r="A8" t="s">
        <v>27</v>
      </c>
      <c r="B8" t="s">
        <v>21</v>
      </c>
      <c r="C8">
        <v>6</v>
      </c>
      <c r="D8">
        <v>2021</v>
      </c>
      <c r="E8" s="49" t="s">
        <v>0</v>
      </c>
      <c r="F8" s="49" t="s">
        <v>160</v>
      </c>
      <c r="G8">
        <f>'Baseline (June to Sep)'!G10+'Baseline (June to Sep)'!H10</f>
        <v>60</v>
      </c>
      <c r="H8">
        <f>'Baseline (June to Sep)'!I10</f>
        <v>40</v>
      </c>
      <c r="I8">
        <v>0</v>
      </c>
      <c r="J8">
        <f>G8*Parameters!$B$2*Parameters!$B$5</f>
        <v>127.74599999999998</v>
      </c>
      <c r="K8">
        <f>H8*Parameters!$B$3*Parameters!$B$6</f>
        <v>250.83199999999999</v>
      </c>
      <c r="L8">
        <f>I8*Parameters!$B$4*Parameters!$B$7</f>
        <v>0</v>
      </c>
      <c r="M8">
        <f t="shared" si="0"/>
        <v>378.57799999999997</v>
      </c>
      <c r="N8">
        <v>0</v>
      </c>
      <c r="O8">
        <v>6000</v>
      </c>
      <c r="P8">
        <v>12000</v>
      </c>
      <c r="Q8">
        <v>0</v>
      </c>
    </row>
    <row r="9" spans="1:17">
      <c r="A9" t="s">
        <v>28</v>
      </c>
      <c r="B9" t="s">
        <v>19</v>
      </c>
      <c r="C9">
        <v>9</v>
      </c>
      <c r="D9">
        <v>2021</v>
      </c>
      <c r="E9" s="49" t="s">
        <v>0</v>
      </c>
      <c r="F9" s="49" t="s">
        <v>160</v>
      </c>
      <c r="G9">
        <f>'Baseline (June to Sep)'!G11+'Baseline (June to Sep)'!H11</f>
        <v>40</v>
      </c>
      <c r="H9">
        <f>'Baseline (June to Sep)'!I11</f>
        <v>40</v>
      </c>
      <c r="I9">
        <v>0</v>
      </c>
      <c r="J9">
        <f>G9*Parameters!$B$2*Parameters!$B$5</f>
        <v>85.163999999999987</v>
      </c>
      <c r="K9">
        <f>H9*Parameters!$B$3*Parameters!$B$6</f>
        <v>250.83199999999999</v>
      </c>
      <c r="L9">
        <f>I9*Parameters!$B$4*Parameters!$B$7</f>
        <v>0</v>
      </c>
      <c r="M9">
        <f t="shared" si="0"/>
        <v>335.99599999999998</v>
      </c>
      <c r="N9">
        <v>0</v>
      </c>
      <c r="O9">
        <v>4000</v>
      </c>
      <c r="P9">
        <v>12000</v>
      </c>
      <c r="Q9">
        <v>0</v>
      </c>
    </row>
    <row r="10" spans="1:17">
      <c r="A10" t="s">
        <v>29</v>
      </c>
      <c r="B10" t="s">
        <v>24</v>
      </c>
      <c r="C10">
        <v>4</v>
      </c>
      <c r="D10">
        <v>2021</v>
      </c>
      <c r="E10" s="49" t="s">
        <v>0</v>
      </c>
      <c r="F10" s="49" t="s">
        <v>160</v>
      </c>
      <c r="G10">
        <f>'Baseline (June to Sep)'!G12+'Baseline (June to Sep)'!H12</f>
        <v>0</v>
      </c>
      <c r="H10">
        <f>'Baseline (June to Sep)'!I12</f>
        <v>60</v>
      </c>
      <c r="I10">
        <v>0</v>
      </c>
      <c r="J10">
        <f>G10*Parameters!$B$2*Parameters!$B$5</f>
        <v>0</v>
      </c>
      <c r="K10">
        <f>H10*Parameters!$B$3*Parameters!$B$6</f>
        <v>376.24799999999999</v>
      </c>
      <c r="L10">
        <f>I10*Parameters!$B$4*Parameters!$B$7</f>
        <v>0</v>
      </c>
      <c r="M10">
        <f t="shared" si="0"/>
        <v>376.24799999999999</v>
      </c>
      <c r="N10">
        <v>0</v>
      </c>
      <c r="O10">
        <v>0</v>
      </c>
      <c r="P10">
        <v>18000</v>
      </c>
      <c r="Q10">
        <v>0</v>
      </c>
    </row>
    <row r="11" spans="1:17">
      <c r="A11" t="s">
        <v>30</v>
      </c>
      <c r="B11" t="s">
        <v>21</v>
      </c>
      <c r="C11">
        <v>6</v>
      </c>
      <c r="D11">
        <v>2021</v>
      </c>
      <c r="E11" s="49" t="s">
        <v>0</v>
      </c>
      <c r="F11" s="49" t="s">
        <v>160</v>
      </c>
      <c r="G11">
        <f>'Baseline (June to Sep)'!G13+'Baseline (June to Sep)'!H13</f>
        <v>20</v>
      </c>
      <c r="H11">
        <f>'Baseline (June to Sep)'!I13</f>
        <v>50</v>
      </c>
      <c r="I11">
        <v>0</v>
      </c>
      <c r="J11">
        <f>G11*Parameters!$B$2*Parameters!$B$5</f>
        <v>42.581999999999994</v>
      </c>
      <c r="K11">
        <f>H11*Parameters!$B$3*Parameters!$B$6</f>
        <v>313.54000000000002</v>
      </c>
      <c r="L11">
        <f>I11*Parameters!$B$4*Parameters!$B$7</f>
        <v>0</v>
      </c>
      <c r="M11">
        <f t="shared" si="0"/>
        <v>356.12200000000001</v>
      </c>
      <c r="N11">
        <v>0</v>
      </c>
      <c r="O11">
        <v>2000</v>
      </c>
      <c r="P11">
        <v>15000</v>
      </c>
      <c r="Q11">
        <v>0</v>
      </c>
    </row>
    <row r="12" spans="1:17">
      <c r="A12" t="s">
        <v>31</v>
      </c>
      <c r="B12" t="s">
        <v>32</v>
      </c>
      <c r="C12">
        <v>4</v>
      </c>
      <c r="D12">
        <v>2021</v>
      </c>
      <c r="E12" s="49" t="s">
        <v>0</v>
      </c>
      <c r="F12" s="49" t="s">
        <v>160</v>
      </c>
      <c r="G12">
        <f>'Baseline (June to Sep)'!G14+'Baseline (June to Sep)'!H14</f>
        <v>80</v>
      </c>
      <c r="H12">
        <f>'Baseline (June to Sep)'!I14</f>
        <v>0</v>
      </c>
      <c r="I12">
        <v>0</v>
      </c>
      <c r="J12">
        <f>G12*Parameters!$B$2*Parameters!$B$5</f>
        <v>170.32799999999997</v>
      </c>
      <c r="K12">
        <f>H12*Parameters!$B$3*Parameters!$B$6</f>
        <v>0</v>
      </c>
      <c r="L12">
        <f>I12*Parameters!$B$4*Parameters!$B$7</f>
        <v>0</v>
      </c>
      <c r="M12">
        <f t="shared" si="0"/>
        <v>170.32799999999997</v>
      </c>
      <c r="N12">
        <v>0</v>
      </c>
      <c r="O12">
        <v>8000</v>
      </c>
      <c r="P12">
        <v>0</v>
      </c>
      <c r="Q12">
        <v>0</v>
      </c>
    </row>
    <row r="13" spans="1:17">
      <c r="A13" t="s">
        <v>33</v>
      </c>
      <c r="B13" t="s">
        <v>32</v>
      </c>
      <c r="C13">
        <v>6</v>
      </c>
      <c r="D13">
        <v>2021</v>
      </c>
      <c r="E13" s="49" t="s">
        <v>0</v>
      </c>
      <c r="F13" s="49" t="s">
        <v>160</v>
      </c>
      <c r="G13">
        <f>'Baseline (June to Sep)'!G15+'Baseline (June to Sep)'!H15</f>
        <v>20</v>
      </c>
      <c r="H13">
        <f>'Baseline (June to Sep)'!I15</f>
        <v>40</v>
      </c>
      <c r="I13">
        <v>0</v>
      </c>
      <c r="J13">
        <f>G13*Parameters!$B$2*Parameters!$B$5</f>
        <v>42.581999999999994</v>
      </c>
      <c r="K13">
        <f>H13*Parameters!$B$3*Parameters!$B$6</f>
        <v>250.83199999999999</v>
      </c>
      <c r="L13">
        <f>I13*Parameters!$B$4*Parameters!$B$7</f>
        <v>0</v>
      </c>
      <c r="M13">
        <f t="shared" si="0"/>
        <v>293.41399999999999</v>
      </c>
      <c r="N13">
        <v>0</v>
      </c>
      <c r="O13">
        <v>2000</v>
      </c>
      <c r="P13">
        <v>12000</v>
      </c>
      <c r="Q13">
        <v>0</v>
      </c>
    </row>
    <row r="14" spans="1:17">
      <c r="A14" t="s">
        <v>34</v>
      </c>
      <c r="B14" t="s">
        <v>21</v>
      </c>
      <c r="C14">
        <v>9</v>
      </c>
      <c r="D14">
        <v>2021</v>
      </c>
      <c r="E14" s="49" t="s">
        <v>0</v>
      </c>
      <c r="F14" s="49" t="s">
        <v>160</v>
      </c>
      <c r="G14">
        <f>'Baseline (June to Sep)'!G16+'Baseline (June to Sep)'!H16</f>
        <v>40</v>
      </c>
      <c r="H14">
        <f>'Baseline (June to Sep)'!I16</f>
        <v>0</v>
      </c>
      <c r="I14">
        <v>0</v>
      </c>
      <c r="J14">
        <f>G14*Parameters!$B$2*Parameters!$B$5</f>
        <v>85.163999999999987</v>
      </c>
      <c r="K14">
        <f>H14*Parameters!$B$3*Parameters!$B$6</f>
        <v>0</v>
      </c>
      <c r="L14">
        <f>I14*Parameters!$B$4*Parameters!$B$7</f>
        <v>0</v>
      </c>
      <c r="M14">
        <f t="shared" si="0"/>
        <v>85.163999999999987</v>
      </c>
      <c r="N14">
        <v>0</v>
      </c>
      <c r="O14">
        <v>4000</v>
      </c>
      <c r="P14">
        <v>0</v>
      </c>
      <c r="Q14">
        <v>0</v>
      </c>
    </row>
    <row r="15" spans="1:17">
      <c r="A15" t="s">
        <v>35</v>
      </c>
      <c r="B15" t="s">
        <v>21</v>
      </c>
      <c r="C15">
        <v>6</v>
      </c>
      <c r="D15">
        <v>2021</v>
      </c>
      <c r="E15" s="49" t="s">
        <v>0</v>
      </c>
      <c r="F15" s="49" t="s">
        <v>160</v>
      </c>
      <c r="G15">
        <f>'Baseline (June to Sep)'!G17+'Baseline (June to Sep)'!H17</f>
        <v>0</v>
      </c>
      <c r="H15">
        <f>'Baseline (June to Sep)'!I17</f>
        <v>40</v>
      </c>
      <c r="I15">
        <v>0</v>
      </c>
      <c r="J15">
        <f>G15*Parameters!$B$2*Parameters!$B$5</f>
        <v>0</v>
      </c>
      <c r="K15">
        <f>H15*Parameters!$B$3*Parameters!$B$6</f>
        <v>250.83199999999999</v>
      </c>
      <c r="L15">
        <f>I15*Parameters!$B$4*Parameters!$B$7</f>
        <v>0</v>
      </c>
      <c r="M15">
        <f t="shared" si="0"/>
        <v>250.83199999999999</v>
      </c>
      <c r="N15">
        <v>0</v>
      </c>
      <c r="O15">
        <v>0</v>
      </c>
      <c r="P15">
        <v>12000</v>
      </c>
      <c r="Q15">
        <v>0</v>
      </c>
    </row>
    <row r="16" spans="1:17">
      <c r="A16" t="s">
        <v>36</v>
      </c>
      <c r="B16" t="s">
        <v>21</v>
      </c>
      <c r="C16">
        <v>12</v>
      </c>
      <c r="D16">
        <v>2021</v>
      </c>
      <c r="E16" s="49" t="s">
        <v>0</v>
      </c>
      <c r="F16" s="49" t="s">
        <v>160</v>
      </c>
      <c r="G16">
        <f>'Baseline (June to Sep)'!G18+'Baseline (June to Sep)'!H18</f>
        <v>10</v>
      </c>
      <c r="H16">
        <f>'Baseline (June to Sep)'!I18</f>
        <v>40</v>
      </c>
      <c r="I16">
        <v>0</v>
      </c>
      <c r="J16">
        <f>G16*Parameters!$B$2*Parameters!$B$5</f>
        <v>21.290999999999997</v>
      </c>
      <c r="K16">
        <f>H16*Parameters!$B$3*Parameters!$B$6</f>
        <v>250.83199999999999</v>
      </c>
      <c r="L16">
        <f>I16*Parameters!$B$4*Parameters!$B$7</f>
        <v>0</v>
      </c>
      <c r="M16">
        <f t="shared" si="0"/>
        <v>272.12299999999999</v>
      </c>
      <c r="N16">
        <v>0</v>
      </c>
      <c r="O16">
        <v>1000</v>
      </c>
      <c r="P16">
        <v>12000</v>
      </c>
      <c r="Q16">
        <v>0</v>
      </c>
    </row>
    <row r="17" spans="1:17">
      <c r="A17" t="s">
        <v>37</v>
      </c>
      <c r="B17" t="s">
        <v>38</v>
      </c>
      <c r="C17">
        <v>7</v>
      </c>
      <c r="D17">
        <v>2021</v>
      </c>
      <c r="E17" s="49" t="s">
        <v>0</v>
      </c>
      <c r="F17" s="49" t="s">
        <v>160</v>
      </c>
      <c r="G17">
        <f>'Baseline (June to Sep)'!G19+'Baseline (June to Sep)'!H19</f>
        <v>40</v>
      </c>
      <c r="H17">
        <f>'Baseline (June to Sep)'!I19</f>
        <v>40</v>
      </c>
      <c r="I17">
        <v>0</v>
      </c>
      <c r="J17">
        <f>G17*Parameters!$B$2*Parameters!$B$5</f>
        <v>85.163999999999987</v>
      </c>
      <c r="K17">
        <f>H17*Parameters!$B$3*Parameters!$B$6</f>
        <v>250.83199999999999</v>
      </c>
      <c r="L17">
        <f>I17*Parameters!$B$4*Parameters!$B$7</f>
        <v>0</v>
      </c>
      <c r="M17">
        <f t="shared" si="0"/>
        <v>335.99599999999998</v>
      </c>
      <c r="N17">
        <v>0</v>
      </c>
      <c r="O17">
        <v>4000</v>
      </c>
      <c r="P17">
        <v>12000</v>
      </c>
      <c r="Q17">
        <v>0</v>
      </c>
    </row>
    <row r="18" spans="1:17">
      <c r="A18" t="s">
        <v>39</v>
      </c>
      <c r="B18" t="s">
        <v>40</v>
      </c>
      <c r="C18">
        <v>6</v>
      </c>
      <c r="D18">
        <v>2021</v>
      </c>
      <c r="E18" s="49" t="s">
        <v>0</v>
      </c>
      <c r="F18" s="49" t="s">
        <v>160</v>
      </c>
      <c r="G18">
        <f>'Baseline (June to Sep)'!G20+'Baseline (June to Sep)'!H20</f>
        <v>20</v>
      </c>
      <c r="H18">
        <f>'Baseline (June to Sep)'!I20</f>
        <v>40</v>
      </c>
      <c r="I18">
        <v>0</v>
      </c>
      <c r="J18">
        <f>G18*Parameters!$B$2*Parameters!$B$5</f>
        <v>42.581999999999994</v>
      </c>
      <c r="K18">
        <f>H18*Parameters!$B$3*Parameters!$B$6</f>
        <v>250.83199999999999</v>
      </c>
      <c r="L18">
        <f>I18*Parameters!$B$4*Parameters!$B$7</f>
        <v>0</v>
      </c>
      <c r="M18">
        <f t="shared" si="0"/>
        <v>293.41399999999999</v>
      </c>
      <c r="N18">
        <v>0</v>
      </c>
      <c r="O18">
        <v>2000</v>
      </c>
      <c r="P18">
        <v>12000</v>
      </c>
      <c r="Q18">
        <v>0</v>
      </c>
    </row>
    <row r="19" spans="1:17">
      <c r="A19" t="s">
        <v>41</v>
      </c>
      <c r="B19" t="s">
        <v>26</v>
      </c>
      <c r="C19">
        <v>5</v>
      </c>
      <c r="D19">
        <v>2021</v>
      </c>
      <c r="E19" s="49" t="s">
        <v>0</v>
      </c>
      <c r="F19" s="49" t="s">
        <v>160</v>
      </c>
      <c r="G19">
        <f>'Baseline (June to Sep)'!G21+'Baseline (June to Sep)'!H21</f>
        <v>60</v>
      </c>
      <c r="H19">
        <f>'Baseline (June to Sep)'!I21</f>
        <v>0</v>
      </c>
      <c r="I19">
        <v>0</v>
      </c>
      <c r="J19">
        <f>G19*Parameters!$B$2*Parameters!$B$5</f>
        <v>127.74599999999998</v>
      </c>
      <c r="K19">
        <f>H19*Parameters!$B$3*Parameters!$B$6</f>
        <v>0</v>
      </c>
      <c r="L19">
        <f>I19*Parameters!$B$4*Parameters!$B$7</f>
        <v>0</v>
      </c>
      <c r="M19">
        <f t="shared" si="0"/>
        <v>127.74599999999998</v>
      </c>
      <c r="N19">
        <v>0</v>
      </c>
      <c r="O19">
        <v>6000</v>
      </c>
      <c r="P19">
        <v>0</v>
      </c>
      <c r="Q19">
        <v>0</v>
      </c>
    </row>
    <row r="20" spans="1:17">
      <c r="A20" t="s">
        <v>42</v>
      </c>
      <c r="B20" t="s">
        <v>24</v>
      </c>
      <c r="C20">
        <v>5</v>
      </c>
      <c r="D20">
        <v>2021</v>
      </c>
      <c r="E20" s="49" t="s">
        <v>0</v>
      </c>
      <c r="F20" s="49" t="s">
        <v>160</v>
      </c>
      <c r="G20">
        <f>'Baseline (June to Sep)'!G22+'Baseline (June to Sep)'!H22</f>
        <v>40</v>
      </c>
      <c r="H20">
        <f>'Baseline (June to Sep)'!I22</f>
        <v>0</v>
      </c>
      <c r="I20">
        <v>0</v>
      </c>
      <c r="J20">
        <f>G20*Parameters!$B$2*Parameters!$B$5</f>
        <v>85.163999999999987</v>
      </c>
      <c r="K20">
        <f>H20*Parameters!$B$3*Parameters!$B$6</f>
        <v>0</v>
      </c>
      <c r="L20">
        <f>I20*Parameters!$B$4*Parameters!$B$7</f>
        <v>0</v>
      </c>
      <c r="M20">
        <f t="shared" si="0"/>
        <v>85.163999999999987</v>
      </c>
      <c r="N20">
        <v>0</v>
      </c>
      <c r="O20">
        <v>4000</v>
      </c>
      <c r="P20">
        <v>0</v>
      </c>
      <c r="Q20">
        <v>0</v>
      </c>
    </row>
    <row r="21" spans="1:17">
      <c r="A21" t="s">
        <v>43</v>
      </c>
      <c r="B21" t="s">
        <v>19</v>
      </c>
      <c r="C21">
        <v>8</v>
      </c>
      <c r="D21">
        <v>2021</v>
      </c>
      <c r="E21" s="49" t="s">
        <v>0</v>
      </c>
      <c r="F21" s="49" t="s">
        <v>160</v>
      </c>
      <c r="G21">
        <f>'Baseline (June to Sep)'!G23+'Baseline (June to Sep)'!H23</f>
        <v>40</v>
      </c>
      <c r="H21">
        <f>'Baseline (June to Sep)'!I23</f>
        <v>10</v>
      </c>
      <c r="I21">
        <v>0</v>
      </c>
      <c r="J21">
        <f>G21*Parameters!$B$2*Parameters!$B$5</f>
        <v>85.163999999999987</v>
      </c>
      <c r="K21">
        <f>H21*Parameters!$B$3*Parameters!$B$6</f>
        <v>62.707999999999998</v>
      </c>
      <c r="L21">
        <f>I21*Parameters!$B$4*Parameters!$B$7</f>
        <v>0</v>
      </c>
      <c r="M21">
        <f t="shared" si="0"/>
        <v>147.87199999999999</v>
      </c>
      <c r="N21">
        <v>0</v>
      </c>
      <c r="O21">
        <v>4000</v>
      </c>
      <c r="P21">
        <v>3000</v>
      </c>
      <c r="Q21">
        <v>0</v>
      </c>
    </row>
    <row r="22" spans="1:17">
      <c r="A22" t="s">
        <v>44</v>
      </c>
      <c r="B22" t="s">
        <v>40</v>
      </c>
      <c r="C22">
        <v>10</v>
      </c>
      <c r="D22">
        <v>2021</v>
      </c>
      <c r="E22" s="49" t="s">
        <v>0</v>
      </c>
      <c r="F22" s="49" t="s">
        <v>160</v>
      </c>
      <c r="G22">
        <f>'Baseline (June to Sep)'!G24+'Baseline (June to Sep)'!H24</f>
        <v>40</v>
      </c>
      <c r="H22">
        <f>'Baseline (June to Sep)'!I24</f>
        <v>40</v>
      </c>
      <c r="I22">
        <v>0</v>
      </c>
      <c r="J22">
        <f>G22*Parameters!$B$2*Parameters!$B$5</f>
        <v>85.163999999999987</v>
      </c>
      <c r="K22">
        <f>H22*Parameters!$B$3*Parameters!$B$6</f>
        <v>250.83199999999999</v>
      </c>
      <c r="L22">
        <f>I22*Parameters!$B$4*Parameters!$B$7</f>
        <v>0</v>
      </c>
      <c r="M22">
        <f t="shared" si="0"/>
        <v>335.99599999999998</v>
      </c>
      <c r="N22">
        <v>0</v>
      </c>
      <c r="O22">
        <v>4000</v>
      </c>
      <c r="P22">
        <v>12000</v>
      </c>
      <c r="Q22">
        <v>0</v>
      </c>
    </row>
    <row r="23" spans="1:17">
      <c r="A23" t="s">
        <v>45</v>
      </c>
      <c r="B23" t="s">
        <v>24</v>
      </c>
      <c r="C23">
        <v>8</v>
      </c>
      <c r="D23">
        <v>2021</v>
      </c>
      <c r="E23" s="49" t="s">
        <v>0</v>
      </c>
      <c r="F23" s="49" t="s">
        <v>160</v>
      </c>
      <c r="G23">
        <f>'Baseline (June to Sep)'!G25+'Baseline (June to Sep)'!H25</f>
        <v>20</v>
      </c>
      <c r="H23">
        <f>'Baseline (June to Sep)'!I25</f>
        <v>30</v>
      </c>
      <c r="I23">
        <v>0</v>
      </c>
      <c r="J23">
        <f>G23*Parameters!$B$2*Parameters!$B$5</f>
        <v>42.581999999999994</v>
      </c>
      <c r="K23">
        <f>H23*Parameters!$B$3*Parameters!$B$6</f>
        <v>188.124</v>
      </c>
      <c r="L23">
        <f>I23*Parameters!$B$4*Parameters!$B$7</f>
        <v>0</v>
      </c>
      <c r="M23">
        <f t="shared" si="0"/>
        <v>230.70599999999999</v>
      </c>
      <c r="N23">
        <v>0</v>
      </c>
      <c r="O23">
        <v>2000</v>
      </c>
      <c r="P23">
        <v>9000</v>
      </c>
      <c r="Q23">
        <v>0</v>
      </c>
    </row>
    <row r="24" spans="1:17">
      <c r="A24" t="s">
        <v>46</v>
      </c>
      <c r="B24" t="s">
        <v>24</v>
      </c>
      <c r="C24">
        <v>4</v>
      </c>
      <c r="D24">
        <v>2021</v>
      </c>
      <c r="E24" s="49" t="s">
        <v>0</v>
      </c>
      <c r="F24" s="49" t="s">
        <v>160</v>
      </c>
      <c r="G24">
        <f>'Baseline (June to Sep)'!G26+'Baseline (June to Sep)'!H26</f>
        <v>40</v>
      </c>
      <c r="H24">
        <f>'Baseline (June to Sep)'!I26</f>
        <v>0</v>
      </c>
      <c r="I24">
        <v>0</v>
      </c>
      <c r="J24">
        <f>G24*Parameters!$B$2*Parameters!$B$5</f>
        <v>85.163999999999987</v>
      </c>
      <c r="K24">
        <f>H24*Parameters!$B$3*Parameters!$B$6</f>
        <v>0</v>
      </c>
      <c r="L24">
        <f>I24*Parameters!$B$4*Parameters!$B$7</f>
        <v>0</v>
      </c>
      <c r="M24">
        <f t="shared" si="0"/>
        <v>85.163999999999987</v>
      </c>
      <c r="N24">
        <v>0</v>
      </c>
      <c r="O24">
        <v>4000</v>
      </c>
      <c r="P24">
        <v>0</v>
      </c>
      <c r="Q24">
        <v>0</v>
      </c>
    </row>
    <row r="25" spans="1:17">
      <c r="A25" t="s">
        <v>47</v>
      </c>
      <c r="B25" t="s">
        <v>19</v>
      </c>
      <c r="C25">
        <v>6</v>
      </c>
      <c r="D25">
        <v>2021</v>
      </c>
      <c r="E25" s="49" t="s">
        <v>0</v>
      </c>
      <c r="F25" s="49" t="s">
        <v>160</v>
      </c>
      <c r="G25">
        <f>'Baseline (June to Sep)'!G27+'Baseline (June to Sep)'!H27</f>
        <v>0</v>
      </c>
      <c r="H25">
        <f>'Baseline (June to Sep)'!I27</f>
        <v>40</v>
      </c>
      <c r="I25">
        <v>0</v>
      </c>
      <c r="J25">
        <f>G25*Parameters!$B$2*Parameters!$B$5</f>
        <v>0</v>
      </c>
      <c r="K25">
        <f>H25*Parameters!$B$3*Parameters!$B$6</f>
        <v>250.83199999999999</v>
      </c>
      <c r="L25">
        <f>I25*Parameters!$B$4*Parameters!$B$7</f>
        <v>0</v>
      </c>
      <c r="M25">
        <f t="shared" si="0"/>
        <v>250.83199999999999</v>
      </c>
      <c r="N25">
        <v>0</v>
      </c>
      <c r="O25">
        <v>0</v>
      </c>
      <c r="P25">
        <v>12000</v>
      </c>
      <c r="Q25">
        <v>0</v>
      </c>
    </row>
    <row r="26" spans="1:17">
      <c r="A26" t="s">
        <v>48</v>
      </c>
      <c r="B26" t="s">
        <v>24</v>
      </c>
      <c r="C26">
        <v>4</v>
      </c>
      <c r="D26">
        <v>2021</v>
      </c>
      <c r="E26" s="49" t="s">
        <v>0</v>
      </c>
      <c r="F26" s="49" t="s">
        <v>160</v>
      </c>
      <c r="G26">
        <f>'Baseline (June to Sep)'!G28+'Baseline (June to Sep)'!H28</f>
        <v>80</v>
      </c>
      <c r="H26">
        <f>'Baseline (June to Sep)'!I28</f>
        <v>0</v>
      </c>
      <c r="I26">
        <v>0</v>
      </c>
      <c r="J26">
        <f>G26*Parameters!$B$2*Parameters!$B$5</f>
        <v>170.32799999999997</v>
      </c>
      <c r="K26">
        <f>H26*Parameters!$B$3*Parameters!$B$6</f>
        <v>0</v>
      </c>
      <c r="L26">
        <f>I26*Parameters!$B$4*Parameters!$B$7</f>
        <v>0</v>
      </c>
      <c r="M26">
        <f t="shared" si="0"/>
        <v>170.32799999999997</v>
      </c>
      <c r="N26">
        <v>0</v>
      </c>
      <c r="O26">
        <v>8000</v>
      </c>
      <c r="P26">
        <v>0</v>
      </c>
      <c r="Q26">
        <v>0</v>
      </c>
    </row>
    <row r="27" spans="1:17">
      <c r="A27" t="s">
        <v>49</v>
      </c>
      <c r="B27" t="s">
        <v>38</v>
      </c>
      <c r="C27">
        <v>2</v>
      </c>
      <c r="D27">
        <v>2021</v>
      </c>
      <c r="E27" s="49" t="s">
        <v>0</v>
      </c>
      <c r="F27" s="49" t="s">
        <v>160</v>
      </c>
      <c r="G27">
        <f>'Baseline (June to Sep)'!G29+'Baseline (June to Sep)'!H29</f>
        <v>60</v>
      </c>
      <c r="H27">
        <f>'Baseline (June to Sep)'!I29</f>
        <v>0</v>
      </c>
      <c r="I27">
        <v>0</v>
      </c>
      <c r="J27">
        <f>G27*Parameters!$B$2*Parameters!$B$5</f>
        <v>127.74599999999998</v>
      </c>
      <c r="K27">
        <f>H27*Parameters!$B$3*Parameters!$B$6</f>
        <v>0</v>
      </c>
      <c r="L27">
        <f>I27*Parameters!$B$4*Parameters!$B$7</f>
        <v>0</v>
      </c>
      <c r="M27">
        <f t="shared" si="0"/>
        <v>127.74599999999998</v>
      </c>
      <c r="N27">
        <v>0</v>
      </c>
      <c r="O27">
        <v>6000</v>
      </c>
      <c r="P27">
        <v>0</v>
      </c>
      <c r="Q27">
        <v>0</v>
      </c>
    </row>
    <row r="28" spans="1:17">
      <c r="A28" t="s">
        <v>50</v>
      </c>
      <c r="B28" t="s">
        <v>19</v>
      </c>
      <c r="C28">
        <v>8</v>
      </c>
      <c r="D28">
        <v>2021</v>
      </c>
      <c r="E28" s="49" t="s">
        <v>0</v>
      </c>
      <c r="F28" s="49" t="s">
        <v>160</v>
      </c>
      <c r="G28">
        <f>'Baseline (June to Sep)'!G30+'Baseline (June to Sep)'!H30</f>
        <v>20</v>
      </c>
      <c r="H28">
        <f>'Baseline (June to Sep)'!I30</f>
        <v>20</v>
      </c>
      <c r="I28">
        <v>0</v>
      </c>
      <c r="J28">
        <f>G28*Parameters!$B$2*Parameters!$B$5</f>
        <v>42.581999999999994</v>
      </c>
      <c r="K28">
        <f>H28*Parameters!$B$3*Parameters!$B$6</f>
        <v>125.416</v>
      </c>
      <c r="L28">
        <f>I28*Parameters!$B$4*Parameters!$B$7</f>
        <v>0</v>
      </c>
      <c r="M28">
        <f t="shared" si="0"/>
        <v>167.99799999999999</v>
      </c>
      <c r="N28">
        <v>0</v>
      </c>
      <c r="O28">
        <v>2000</v>
      </c>
      <c r="P28">
        <v>6000</v>
      </c>
      <c r="Q28">
        <v>0</v>
      </c>
    </row>
    <row r="29" spans="1:17">
      <c r="A29" t="s">
        <v>51</v>
      </c>
      <c r="B29" t="s">
        <v>19</v>
      </c>
      <c r="C29">
        <v>6</v>
      </c>
      <c r="D29">
        <v>2021</v>
      </c>
      <c r="E29" s="49" t="s">
        <v>0</v>
      </c>
      <c r="F29" s="49" t="s">
        <v>160</v>
      </c>
      <c r="G29">
        <f>'Baseline (June to Sep)'!G31+'Baseline (June to Sep)'!H31</f>
        <v>20</v>
      </c>
      <c r="H29">
        <f>'Baseline (June to Sep)'!I31</f>
        <v>40</v>
      </c>
      <c r="I29">
        <v>0</v>
      </c>
      <c r="J29">
        <f>G29*Parameters!$B$2*Parameters!$B$5</f>
        <v>42.581999999999994</v>
      </c>
      <c r="K29">
        <f>H29*Parameters!$B$3*Parameters!$B$6</f>
        <v>250.83199999999999</v>
      </c>
      <c r="L29">
        <f>I29*Parameters!$B$4*Parameters!$B$7</f>
        <v>0</v>
      </c>
      <c r="M29">
        <f t="shared" si="0"/>
        <v>293.41399999999999</v>
      </c>
      <c r="N29">
        <v>0</v>
      </c>
      <c r="O29">
        <v>2000</v>
      </c>
      <c r="P29">
        <v>12000</v>
      </c>
      <c r="Q29">
        <v>0</v>
      </c>
    </row>
    <row r="30" spans="1:17">
      <c r="A30" t="s">
        <v>52</v>
      </c>
      <c r="B30" t="s">
        <v>38</v>
      </c>
      <c r="C30">
        <v>12</v>
      </c>
      <c r="D30">
        <v>2021</v>
      </c>
      <c r="E30" s="49" t="s">
        <v>0</v>
      </c>
      <c r="F30" s="49" t="s">
        <v>160</v>
      </c>
      <c r="G30">
        <f>'Baseline (June to Sep)'!G32+'Baseline (June to Sep)'!H32</f>
        <v>40</v>
      </c>
      <c r="H30">
        <f>'Baseline (June to Sep)'!I32</f>
        <v>40</v>
      </c>
      <c r="I30">
        <v>0</v>
      </c>
      <c r="J30">
        <f>G30*Parameters!$B$2*Parameters!$B$5</f>
        <v>85.163999999999987</v>
      </c>
      <c r="K30">
        <f>H30*Parameters!$B$3*Parameters!$B$6</f>
        <v>250.83199999999999</v>
      </c>
      <c r="L30">
        <f>I30*Parameters!$B$4*Parameters!$B$7</f>
        <v>0</v>
      </c>
      <c r="M30">
        <f t="shared" si="0"/>
        <v>335.99599999999998</v>
      </c>
      <c r="N30">
        <v>0</v>
      </c>
      <c r="O30">
        <v>4000</v>
      </c>
      <c r="P30">
        <v>12000</v>
      </c>
      <c r="Q30">
        <v>0</v>
      </c>
    </row>
    <row r="31" spans="1:17">
      <c r="A31" t="s">
        <v>53</v>
      </c>
      <c r="B31" t="s">
        <v>40</v>
      </c>
      <c r="C31">
        <v>8</v>
      </c>
      <c r="D31">
        <v>2021</v>
      </c>
      <c r="E31" s="49" t="s">
        <v>0</v>
      </c>
      <c r="F31" s="49" t="s">
        <v>160</v>
      </c>
      <c r="G31">
        <f>'Baseline (June to Sep)'!G33+'Baseline (June to Sep)'!H33</f>
        <v>80</v>
      </c>
      <c r="H31">
        <f>'Baseline (June to Sep)'!I33</f>
        <v>0</v>
      </c>
      <c r="I31">
        <v>0</v>
      </c>
      <c r="J31">
        <f>G31*Parameters!$B$2*Parameters!$B$5</f>
        <v>170.32799999999997</v>
      </c>
      <c r="K31">
        <f>H31*Parameters!$B$3*Parameters!$B$6</f>
        <v>0</v>
      </c>
      <c r="L31">
        <f>I31*Parameters!$B$4*Parameters!$B$7</f>
        <v>0</v>
      </c>
      <c r="M31">
        <f t="shared" si="0"/>
        <v>170.32799999999997</v>
      </c>
      <c r="N31">
        <v>0</v>
      </c>
      <c r="O31">
        <v>8000</v>
      </c>
      <c r="P31">
        <v>0</v>
      </c>
      <c r="Q31">
        <v>0</v>
      </c>
    </row>
    <row r="32" spans="1:17">
      <c r="A32" t="s">
        <v>54</v>
      </c>
      <c r="B32" t="s">
        <v>40</v>
      </c>
      <c r="C32">
        <v>6</v>
      </c>
      <c r="D32">
        <v>2021</v>
      </c>
      <c r="E32" s="49" t="s">
        <v>0</v>
      </c>
      <c r="F32" s="49" t="s">
        <v>160</v>
      </c>
      <c r="G32">
        <f>'Baseline (June to Sep)'!G34+'Baseline (June to Sep)'!H34</f>
        <v>40</v>
      </c>
      <c r="H32">
        <f>'Baseline (June to Sep)'!I34</f>
        <v>0</v>
      </c>
      <c r="I32">
        <v>0</v>
      </c>
      <c r="J32">
        <f>G32*Parameters!$B$2*Parameters!$B$5</f>
        <v>85.163999999999987</v>
      </c>
      <c r="K32">
        <f>H32*Parameters!$B$3*Parameters!$B$6</f>
        <v>0</v>
      </c>
      <c r="L32">
        <f>I32*Parameters!$B$4*Parameters!$B$7</f>
        <v>0</v>
      </c>
      <c r="M32">
        <f t="shared" si="0"/>
        <v>85.163999999999987</v>
      </c>
      <c r="N32">
        <v>0</v>
      </c>
      <c r="O32">
        <v>4000</v>
      </c>
      <c r="P32">
        <v>0</v>
      </c>
      <c r="Q32">
        <v>0</v>
      </c>
    </row>
    <row r="33" spans="1:17">
      <c r="A33" t="s">
        <v>55</v>
      </c>
      <c r="B33" t="s">
        <v>56</v>
      </c>
      <c r="C33">
        <v>4</v>
      </c>
      <c r="D33">
        <v>2021</v>
      </c>
      <c r="E33" s="49" t="s">
        <v>0</v>
      </c>
      <c r="F33" s="49" t="s">
        <v>160</v>
      </c>
      <c r="G33">
        <f>'Baseline (June to Sep)'!G35+'Baseline (June to Sep)'!H35</f>
        <v>0</v>
      </c>
      <c r="H33">
        <f>'Baseline (June to Sep)'!I35</f>
        <v>20</v>
      </c>
      <c r="I33">
        <v>0</v>
      </c>
      <c r="J33">
        <f>G33*Parameters!$B$2*Parameters!$B$5</f>
        <v>0</v>
      </c>
      <c r="K33">
        <f>H33*Parameters!$B$3*Parameters!$B$6</f>
        <v>125.416</v>
      </c>
      <c r="L33">
        <f>I33*Parameters!$B$4*Parameters!$B$7</f>
        <v>0</v>
      </c>
      <c r="M33">
        <f t="shared" si="0"/>
        <v>125.416</v>
      </c>
      <c r="N33">
        <v>0</v>
      </c>
      <c r="O33">
        <v>0</v>
      </c>
      <c r="P33">
        <v>6000</v>
      </c>
      <c r="Q33">
        <v>0</v>
      </c>
    </row>
    <row r="34" spans="1:17">
      <c r="A34" t="s">
        <v>57</v>
      </c>
      <c r="B34" t="s">
        <v>40</v>
      </c>
      <c r="C34">
        <v>4</v>
      </c>
      <c r="D34">
        <v>2021</v>
      </c>
      <c r="E34" s="49" t="s">
        <v>0</v>
      </c>
      <c r="F34" s="49" t="s">
        <v>160</v>
      </c>
      <c r="G34">
        <f>'Baseline (June to Sep)'!G36+'Baseline (June to Sep)'!H36</f>
        <v>40</v>
      </c>
      <c r="H34">
        <f>'Baseline (June to Sep)'!I36</f>
        <v>0</v>
      </c>
      <c r="I34">
        <v>0</v>
      </c>
      <c r="J34">
        <f>G34*Parameters!$B$2*Parameters!$B$5</f>
        <v>85.163999999999987</v>
      </c>
      <c r="K34">
        <f>H34*Parameters!$B$3*Parameters!$B$6</f>
        <v>0</v>
      </c>
      <c r="L34">
        <f>I34*Parameters!$B$4*Parameters!$B$7</f>
        <v>0</v>
      </c>
      <c r="M34">
        <f t="shared" si="0"/>
        <v>85.163999999999987</v>
      </c>
      <c r="N34">
        <v>0</v>
      </c>
      <c r="O34">
        <v>4000</v>
      </c>
      <c r="P34">
        <v>0</v>
      </c>
      <c r="Q34">
        <v>0</v>
      </c>
    </row>
    <row r="35" spans="1:17">
      <c r="A35" t="s">
        <v>58</v>
      </c>
      <c r="B35" t="s">
        <v>26</v>
      </c>
      <c r="C35">
        <v>6</v>
      </c>
      <c r="D35">
        <v>2021</v>
      </c>
      <c r="E35" s="49" t="s">
        <v>0</v>
      </c>
      <c r="F35" s="49" t="s">
        <v>160</v>
      </c>
      <c r="G35">
        <f>'Baseline (June to Sep)'!G37+'Baseline (June to Sep)'!H37</f>
        <v>40</v>
      </c>
      <c r="H35">
        <f>'Baseline (June to Sep)'!I37</f>
        <v>0</v>
      </c>
      <c r="I35">
        <v>0</v>
      </c>
      <c r="J35">
        <f>G35*Parameters!$B$2*Parameters!$B$5</f>
        <v>85.163999999999987</v>
      </c>
      <c r="K35">
        <f>H35*Parameters!$B$3*Parameters!$B$6</f>
        <v>0</v>
      </c>
      <c r="L35">
        <f>I35*Parameters!$B$4*Parameters!$B$7</f>
        <v>0</v>
      </c>
      <c r="M35">
        <f t="shared" si="0"/>
        <v>85.163999999999987</v>
      </c>
      <c r="N35">
        <v>0</v>
      </c>
      <c r="O35">
        <v>4000</v>
      </c>
      <c r="P35">
        <v>0</v>
      </c>
      <c r="Q35">
        <v>0</v>
      </c>
    </row>
    <row r="36" spans="1:17">
      <c r="A36" t="s">
        <v>59</v>
      </c>
      <c r="B36" t="s">
        <v>26</v>
      </c>
      <c r="C36">
        <v>7</v>
      </c>
      <c r="D36">
        <v>2021</v>
      </c>
      <c r="E36" s="49" t="s">
        <v>0</v>
      </c>
      <c r="F36" s="49" t="s">
        <v>160</v>
      </c>
      <c r="G36">
        <f>'Baseline (June to Sep)'!G38+'Baseline (June to Sep)'!H38</f>
        <v>40</v>
      </c>
      <c r="H36">
        <f>'Baseline (June to Sep)'!I38</f>
        <v>0</v>
      </c>
      <c r="I36">
        <v>0</v>
      </c>
      <c r="J36">
        <f>G36*Parameters!$B$2*Parameters!$B$5</f>
        <v>85.163999999999987</v>
      </c>
      <c r="K36">
        <f>H36*Parameters!$B$3*Parameters!$B$6</f>
        <v>0</v>
      </c>
      <c r="L36">
        <f>I36*Parameters!$B$4*Parameters!$B$7</f>
        <v>0</v>
      </c>
      <c r="M36">
        <f t="shared" si="0"/>
        <v>85.163999999999987</v>
      </c>
      <c r="N36">
        <v>0</v>
      </c>
      <c r="O36">
        <v>4000</v>
      </c>
      <c r="P36">
        <v>0</v>
      </c>
      <c r="Q36">
        <v>0</v>
      </c>
    </row>
    <row r="37" spans="1:17">
      <c r="A37" t="s">
        <v>60</v>
      </c>
      <c r="B37" t="s">
        <v>26</v>
      </c>
      <c r="C37">
        <v>8</v>
      </c>
      <c r="D37">
        <v>2021</v>
      </c>
      <c r="E37" s="49" t="s">
        <v>0</v>
      </c>
      <c r="F37" s="49" t="s">
        <v>160</v>
      </c>
      <c r="G37">
        <f>'Baseline (June to Sep)'!G39+'Baseline (June to Sep)'!H39</f>
        <v>10</v>
      </c>
      <c r="H37">
        <f>'Baseline (June to Sep)'!I39</f>
        <v>40</v>
      </c>
      <c r="I37">
        <v>0</v>
      </c>
      <c r="J37">
        <f>G37*Parameters!$B$2*Parameters!$B$5</f>
        <v>21.290999999999997</v>
      </c>
      <c r="K37">
        <f>H37*Parameters!$B$3*Parameters!$B$6</f>
        <v>250.83199999999999</v>
      </c>
      <c r="L37">
        <f>I37*Parameters!$B$4*Parameters!$B$7</f>
        <v>0</v>
      </c>
      <c r="M37">
        <f t="shared" si="0"/>
        <v>272.12299999999999</v>
      </c>
      <c r="N37">
        <v>0</v>
      </c>
      <c r="O37">
        <v>1000</v>
      </c>
      <c r="P37">
        <v>12000</v>
      </c>
      <c r="Q37">
        <v>0</v>
      </c>
    </row>
    <row r="38" spans="1:17">
      <c r="A38" t="s">
        <v>61</v>
      </c>
      <c r="B38" t="s">
        <v>56</v>
      </c>
      <c r="C38">
        <v>5</v>
      </c>
      <c r="D38">
        <v>2021</v>
      </c>
      <c r="E38" s="49" t="s">
        <v>0</v>
      </c>
      <c r="F38" s="49" t="s">
        <v>160</v>
      </c>
      <c r="G38">
        <f>'Baseline (June to Sep)'!G40+'Baseline (June to Sep)'!H40</f>
        <v>20</v>
      </c>
      <c r="H38">
        <f>'Baseline (June to Sep)'!I40</f>
        <v>10</v>
      </c>
      <c r="I38">
        <v>0</v>
      </c>
      <c r="J38">
        <f>G38*Parameters!$B$2*Parameters!$B$5</f>
        <v>42.581999999999994</v>
      </c>
      <c r="K38">
        <f>H38*Parameters!$B$3*Parameters!$B$6</f>
        <v>62.707999999999998</v>
      </c>
      <c r="L38">
        <f>I38*Parameters!$B$4*Parameters!$B$7</f>
        <v>0</v>
      </c>
      <c r="M38">
        <f t="shared" si="0"/>
        <v>105.28999999999999</v>
      </c>
      <c r="N38">
        <v>0</v>
      </c>
      <c r="O38">
        <v>2000</v>
      </c>
      <c r="P38">
        <v>3000</v>
      </c>
      <c r="Q38">
        <v>0</v>
      </c>
    </row>
    <row r="39" spans="1:17">
      <c r="A39" t="s">
        <v>62</v>
      </c>
      <c r="B39" t="s">
        <v>21</v>
      </c>
      <c r="C39">
        <v>6</v>
      </c>
      <c r="D39">
        <v>2021</v>
      </c>
      <c r="E39" s="49" t="s">
        <v>0</v>
      </c>
      <c r="F39" s="49" t="s">
        <v>160</v>
      </c>
      <c r="G39">
        <f>'Baseline (June to Sep)'!G41+'Baseline (June to Sep)'!H41</f>
        <v>80</v>
      </c>
      <c r="H39">
        <f>'Baseline (June to Sep)'!I41</f>
        <v>0</v>
      </c>
      <c r="I39">
        <v>0</v>
      </c>
      <c r="J39">
        <f>G39*Parameters!$B$2*Parameters!$B$5</f>
        <v>170.32799999999997</v>
      </c>
      <c r="K39">
        <f>H39*Parameters!$B$3*Parameters!$B$6</f>
        <v>0</v>
      </c>
      <c r="L39">
        <f>I39*Parameters!$B$4*Parameters!$B$7</f>
        <v>0</v>
      </c>
      <c r="M39">
        <f t="shared" si="0"/>
        <v>170.32799999999997</v>
      </c>
      <c r="N39">
        <v>0</v>
      </c>
      <c r="O39">
        <v>8000</v>
      </c>
      <c r="P39">
        <v>0</v>
      </c>
      <c r="Q39">
        <v>0</v>
      </c>
    </row>
    <row r="40" spans="1:17">
      <c r="A40" t="s">
        <v>63</v>
      </c>
      <c r="B40" t="s">
        <v>21</v>
      </c>
      <c r="C40">
        <v>9</v>
      </c>
      <c r="D40">
        <v>2021</v>
      </c>
      <c r="E40" s="49" t="s">
        <v>0</v>
      </c>
      <c r="F40" s="49" t="s">
        <v>160</v>
      </c>
      <c r="G40">
        <f>'Baseline (June to Sep)'!G42+'Baseline (June to Sep)'!H42</f>
        <v>40</v>
      </c>
      <c r="H40">
        <f>'Baseline (June to Sep)'!I42</f>
        <v>40</v>
      </c>
      <c r="I40">
        <v>0</v>
      </c>
      <c r="J40">
        <f>G40*Parameters!$B$2*Parameters!$B$5</f>
        <v>85.163999999999987</v>
      </c>
      <c r="K40">
        <f>H40*Parameters!$B$3*Parameters!$B$6</f>
        <v>250.83199999999999</v>
      </c>
      <c r="L40">
        <f>I40*Parameters!$B$4*Parameters!$B$7</f>
        <v>0</v>
      </c>
      <c r="M40">
        <f t="shared" si="0"/>
        <v>335.99599999999998</v>
      </c>
      <c r="N40">
        <v>0</v>
      </c>
      <c r="O40">
        <v>4000</v>
      </c>
      <c r="P40">
        <v>12000</v>
      </c>
      <c r="Q40">
        <v>0</v>
      </c>
    </row>
    <row r="41" spans="1:17">
      <c r="A41" t="s">
        <v>64</v>
      </c>
      <c r="B41" t="s">
        <v>65</v>
      </c>
      <c r="C41">
        <v>3</v>
      </c>
      <c r="D41">
        <v>2021</v>
      </c>
      <c r="E41" s="49" t="s">
        <v>0</v>
      </c>
      <c r="F41" s="49" t="s">
        <v>160</v>
      </c>
      <c r="G41">
        <f>'Baseline (June to Sep)'!G43+'Baseline (June to Sep)'!H43</f>
        <v>0</v>
      </c>
      <c r="H41">
        <f>'Baseline (June to Sep)'!I43</f>
        <v>20</v>
      </c>
      <c r="I41">
        <v>0</v>
      </c>
      <c r="J41">
        <f>G41*Parameters!$B$2*Parameters!$B$5</f>
        <v>0</v>
      </c>
      <c r="K41">
        <f>H41*Parameters!$B$3*Parameters!$B$6</f>
        <v>125.416</v>
      </c>
      <c r="L41">
        <f>I41*Parameters!$B$4*Parameters!$B$7</f>
        <v>0</v>
      </c>
      <c r="M41">
        <f t="shared" si="0"/>
        <v>125.416</v>
      </c>
      <c r="N41">
        <v>0</v>
      </c>
      <c r="O41">
        <v>0</v>
      </c>
      <c r="P41">
        <v>6000</v>
      </c>
      <c r="Q41">
        <v>0</v>
      </c>
    </row>
    <row r="42" spans="1:17">
      <c r="A42" t="s">
        <v>66</v>
      </c>
      <c r="B42" t="s">
        <v>24</v>
      </c>
      <c r="C42">
        <v>4</v>
      </c>
      <c r="D42">
        <v>2021</v>
      </c>
      <c r="E42" s="49" t="s">
        <v>0</v>
      </c>
      <c r="F42" s="49" t="s">
        <v>160</v>
      </c>
      <c r="G42">
        <f>'Baseline (June to Sep)'!G44+'Baseline (June to Sep)'!H44</f>
        <v>40</v>
      </c>
      <c r="H42">
        <f>'Baseline (June to Sep)'!I44</f>
        <v>0</v>
      </c>
      <c r="I42">
        <v>0</v>
      </c>
      <c r="J42">
        <f>G42*Parameters!$B$2*Parameters!$B$5</f>
        <v>85.163999999999987</v>
      </c>
      <c r="K42">
        <f>H42*Parameters!$B$3*Parameters!$B$6</f>
        <v>0</v>
      </c>
      <c r="L42">
        <f>I42*Parameters!$B$4*Parameters!$B$7</f>
        <v>0</v>
      </c>
      <c r="M42">
        <f t="shared" si="0"/>
        <v>85.163999999999987</v>
      </c>
      <c r="N42">
        <v>0</v>
      </c>
      <c r="O42">
        <v>4000</v>
      </c>
      <c r="P42">
        <v>0</v>
      </c>
      <c r="Q42">
        <v>0</v>
      </c>
    </row>
    <row r="43" spans="1:17">
      <c r="A43" t="s">
        <v>67</v>
      </c>
      <c r="B43" t="s">
        <v>56</v>
      </c>
      <c r="C43">
        <v>6</v>
      </c>
      <c r="D43">
        <v>2021</v>
      </c>
      <c r="E43" s="49" t="s">
        <v>0</v>
      </c>
      <c r="F43" s="49" t="s">
        <v>160</v>
      </c>
      <c r="G43">
        <f>'Baseline (June to Sep)'!G45+'Baseline (June to Sep)'!H45</f>
        <v>60</v>
      </c>
      <c r="H43">
        <f>'Baseline (June to Sep)'!I45</f>
        <v>0</v>
      </c>
      <c r="I43">
        <v>0</v>
      </c>
      <c r="J43">
        <f>G43*Parameters!$B$2*Parameters!$B$5</f>
        <v>127.74599999999998</v>
      </c>
      <c r="K43">
        <f>H43*Parameters!$B$3*Parameters!$B$6</f>
        <v>0</v>
      </c>
      <c r="L43">
        <f>I43*Parameters!$B$4*Parameters!$B$7</f>
        <v>0</v>
      </c>
      <c r="M43">
        <f t="shared" si="0"/>
        <v>127.74599999999998</v>
      </c>
      <c r="N43">
        <v>0</v>
      </c>
      <c r="O43">
        <v>6000</v>
      </c>
      <c r="P43">
        <v>0</v>
      </c>
      <c r="Q43">
        <v>0</v>
      </c>
    </row>
    <row r="44" spans="1:17">
      <c r="A44" t="s">
        <v>68</v>
      </c>
      <c r="B44" t="s">
        <v>21</v>
      </c>
      <c r="C44">
        <v>4</v>
      </c>
      <c r="D44">
        <v>2021</v>
      </c>
      <c r="E44" s="49" t="s">
        <v>0</v>
      </c>
      <c r="F44" s="49" t="s">
        <v>160</v>
      </c>
      <c r="G44">
        <f>'Baseline (June to Sep)'!G46+'Baseline (June to Sep)'!H46</f>
        <v>40</v>
      </c>
      <c r="H44">
        <f>'Baseline (June to Sep)'!I46</f>
        <v>0</v>
      </c>
      <c r="I44">
        <v>0</v>
      </c>
      <c r="J44">
        <f>G44*Parameters!$B$2*Parameters!$B$5</f>
        <v>85.163999999999987</v>
      </c>
      <c r="K44">
        <f>H44*Parameters!$B$3*Parameters!$B$6</f>
        <v>0</v>
      </c>
      <c r="L44">
        <f>I44*Parameters!$B$4*Parameters!$B$7</f>
        <v>0</v>
      </c>
      <c r="M44">
        <f t="shared" si="0"/>
        <v>85.163999999999987</v>
      </c>
      <c r="N44">
        <v>0</v>
      </c>
      <c r="O44">
        <v>4000</v>
      </c>
      <c r="P44">
        <v>0</v>
      </c>
      <c r="Q44">
        <v>0</v>
      </c>
    </row>
    <row r="45" spans="1:17">
      <c r="A45" t="s">
        <v>69</v>
      </c>
      <c r="B45" t="s">
        <v>24</v>
      </c>
      <c r="C45">
        <v>6</v>
      </c>
      <c r="D45">
        <v>2021</v>
      </c>
      <c r="E45" s="49" t="s">
        <v>0</v>
      </c>
      <c r="F45" s="49" t="s">
        <v>160</v>
      </c>
      <c r="G45">
        <f>'Baseline (June to Sep)'!G47+'Baseline (June to Sep)'!H47</f>
        <v>30</v>
      </c>
      <c r="H45">
        <f>'Baseline (June to Sep)'!I47</f>
        <v>5</v>
      </c>
      <c r="I45">
        <v>0</v>
      </c>
      <c r="J45">
        <f>G45*Parameters!$B$2*Parameters!$B$5</f>
        <v>63.87299999999999</v>
      </c>
      <c r="K45">
        <f>H45*Parameters!$B$3*Parameters!$B$6</f>
        <v>31.353999999999999</v>
      </c>
      <c r="L45">
        <f>I45*Parameters!$B$4*Parameters!$B$7</f>
        <v>0</v>
      </c>
      <c r="M45">
        <f t="shared" si="0"/>
        <v>95.22699999999999</v>
      </c>
      <c r="N45">
        <v>0</v>
      </c>
      <c r="O45">
        <v>3000</v>
      </c>
      <c r="P45">
        <v>1500</v>
      </c>
      <c r="Q45">
        <v>0</v>
      </c>
    </row>
    <row r="46" spans="1:17">
      <c r="A46" t="s">
        <v>70</v>
      </c>
      <c r="B46" t="s">
        <v>26</v>
      </c>
      <c r="C46">
        <v>6</v>
      </c>
      <c r="D46">
        <v>2021</v>
      </c>
      <c r="E46" s="49" t="s">
        <v>0</v>
      </c>
      <c r="F46" s="49" t="s">
        <v>160</v>
      </c>
      <c r="G46">
        <f>'Baseline (June to Sep)'!G48+'Baseline (June to Sep)'!H48</f>
        <v>40</v>
      </c>
      <c r="H46">
        <f>'Baseline (June to Sep)'!I48</f>
        <v>0</v>
      </c>
      <c r="I46">
        <v>0</v>
      </c>
      <c r="J46">
        <f>G46*Parameters!$B$2*Parameters!$B$5</f>
        <v>85.163999999999987</v>
      </c>
      <c r="K46">
        <f>H46*Parameters!$B$3*Parameters!$B$6</f>
        <v>0</v>
      </c>
      <c r="L46">
        <f>I46*Parameters!$B$4*Parameters!$B$7</f>
        <v>0</v>
      </c>
      <c r="M46">
        <f t="shared" si="0"/>
        <v>85.163999999999987</v>
      </c>
      <c r="N46">
        <v>0</v>
      </c>
      <c r="O46">
        <v>4000</v>
      </c>
      <c r="P46">
        <v>0</v>
      </c>
      <c r="Q46">
        <v>0</v>
      </c>
    </row>
    <row r="47" spans="1:17">
      <c r="A47" t="s">
        <v>71</v>
      </c>
      <c r="B47" t="s">
        <v>26</v>
      </c>
      <c r="C47">
        <v>5</v>
      </c>
      <c r="D47">
        <v>2021</v>
      </c>
      <c r="E47" s="49" t="s">
        <v>0</v>
      </c>
      <c r="F47" s="49" t="s">
        <v>160</v>
      </c>
      <c r="G47">
        <f>'Baseline (June to Sep)'!G49+'Baseline (June to Sep)'!H49</f>
        <v>40</v>
      </c>
      <c r="H47">
        <f>'Baseline (June to Sep)'!I49</f>
        <v>0</v>
      </c>
      <c r="I47">
        <v>0</v>
      </c>
      <c r="J47">
        <f>G47*Parameters!$B$2*Parameters!$B$5</f>
        <v>85.163999999999987</v>
      </c>
      <c r="K47">
        <f>H47*Parameters!$B$3*Parameters!$B$6</f>
        <v>0</v>
      </c>
      <c r="L47">
        <f>I47*Parameters!$B$4*Parameters!$B$7</f>
        <v>0</v>
      </c>
      <c r="M47">
        <f t="shared" si="0"/>
        <v>85.163999999999987</v>
      </c>
      <c r="N47">
        <v>0</v>
      </c>
      <c r="O47">
        <v>4000</v>
      </c>
      <c r="P47">
        <v>0</v>
      </c>
      <c r="Q47">
        <v>0</v>
      </c>
    </row>
    <row r="48" spans="1:17">
      <c r="A48" t="s">
        <v>72</v>
      </c>
      <c r="B48" t="s">
        <v>26</v>
      </c>
      <c r="C48">
        <v>8</v>
      </c>
      <c r="D48">
        <v>2021</v>
      </c>
      <c r="E48" s="49" t="s">
        <v>0</v>
      </c>
      <c r="F48" s="49" t="s">
        <v>160</v>
      </c>
      <c r="G48">
        <f>'Baseline (June to Sep)'!G50+'Baseline (June to Sep)'!H50</f>
        <v>80</v>
      </c>
      <c r="H48">
        <f>'Baseline (June to Sep)'!I50</f>
        <v>0</v>
      </c>
      <c r="I48">
        <v>0</v>
      </c>
      <c r="J48">
        <f>G48*Parameters!$B$2*Parameters!$B$5</f>
        <v>170.32799999999997</v>
      </c>
      <c r="K48">
        <f>H48*Parameters!$B$3*Parameters!$B$6</f>
        <v>0</v>
      </c>
      <c r="L48">
        <f>I48*Parameters!$B$4*Parameters!$B$7</f>
        <v>0</v>
      </c>
      <c r="M48">
        <f t="shared" si="0"/>
        <v>170.32799999999997</v>
      </c>
      <c r="N48">
        <v>0</v>
      </c>
      <c r="O48">
        <v>8000</v>
      </c>
      <c r="P48">
        <v>0</v>
      </c>
      <c r="Q48">
        <v>0</v>
      </c>
    </row>
    <row r="49" spans="1:17">
      <c r="A49" t="s">
        <v>73</v>
      </c>
      <c r="B49" t="s">
        <v>17</v>
      </c>
      <c r="C49">
        <v>4</v>
      </c>
      <c r="D49">
        <v>2021</v>
      </c>
      <c r="E49" s="49" t="s">
        <v>0</v>
      </c>
      <c r="F49" s="49" t="s">
        <v>160</v>
      </c>
      <c r="G49">
        <f>'Baseline (June to Sep)'!G51+'Baseline (June to Sep)'!H51</f>
        <v>20</v>
      </c>
      <c r="H49">
        <f>'Baseline (June to Sep)'!I51</f>
        <v>5</v>
      </c>
      <c r="I49">
        <v>0</v>
      </c>
      <c r="J49">
        <f>G49*Parameters!$B$2*Parameters!$B$5</f>
        <v>42.581999999999994</v>
      </c>
      <c r="K49">
        <f>H49*Parameters!$B$3*Parameters!$B$6</f>
        <v>31.353999999999999</v>
      </c>
      <c r="L49">
        <f>I49*Parameters!$B$4*Parameters!$B$7</f>
        <v>0</v>
      </c>
      <c r="M49">
        <f t="shared" si="0"/>
        <v>73.935999999999993</v>
      </c>
      <c r="N49">
        <v>0</v>
      </c>
      <c r="O49">
        <v>2000</v>
      </c>
      <c r="P49">
        <v>1500</v>
      </c>
      <c r="Q49">
        <v>0</v>
      </c>
    </row>
    <row r="50" spans="1:17">
      <c r="A50" t="s">
        <v>74</v>
      </c>
      <c r="B50" t="s">
        <v>65</v>
      </c>
      <c r="C50">
        <v>8</v>
      </c>
      <c r="D50">
        <v>2021</v>
      </c>
      <c r="E50" s="49" t="s">
        <v>0</v>
      </c>
      <c r="F50" s="49" t="s">
        <v>160</v>
      </c>
      <c r="G50">
        <f>'Baseline (June to Sep)'!G52+'Baseline (June to Sep)'!H52</f>
        <v>0</v>
      </c>
      <c r="H50">
        <f>'Baseline (June to Sep)'!I52</f>
        <v>20</v>
      </c>
      <c r="I50">
        <v>0</v>
      </c>
      <c r="J50">
        <f>G50*Parameters!$B$2*Parameters!$B$5</f>
        <v>0</v>
      </c>
      <c r="K50">
        <f>H50*Parameters!$B$3*Parameters!$B$6</f>
        <v>125.416</v>
      </c>
      <c r="L50">
        <f>I50*Parameters!$B$4*Parameters!$B$7</f>
        <v>0</v>
      </c>
      <c r="M50">
        <f t="shared" si="0"/>
        <v>125.416</v>
      </c>
      <c r="N50">
        <v>0</v>
      </c>
      <c r="O50">
        <v>0</v>
      </c>
      <c r="P50">
        <v>6000</v>
      </c>
      <c r="Q50">
        <v>0</v>
      </c>
    </row>
    <row r="51" spans="1:17">
      <c r="A51" t="s">
        <v>75</v>
      </c>
      <c r="B51" t="s">
        <v>24</v>
      </c>
      <c r="C51">
        <v>4</v>
      </c>
      <c r="D51">
        <v>2021</v>
      </c>
      <c r="E51" s="49" t="s">
        <v>0</v>
      </c>
      <c r="F51" s="49" t="s">
        <v>160</v>
      </c>
      <c r="G51">
        <f>'Baseline (June to Sep)'!G53+'Baseline (June to Sep)'!H53</f>
        <v>40</v>
      </c>
      <c r="H51">
        <f>'Baseline (June to Sep)'!I53</f>
        <v>0</v>
      </c>
      <c r="I51">
        <v>0</v>
      </c>
      <c r="J51">
        <f>G51*Parameters!$B$2*Parameters!$B$5</f>
        <v>85.163999999999987</v>
      </c>
      <c r="K51">
        <f>H51*Parameters!$B$3*Parameters!$B$6</f>
        <v>0</v>
      </c>
      <c r="L51">
        <f>I51*Parameters!$B$4*Parameters!$B$7</f>
        <v>0</v>
      </c>
      <c r="M51">
        <f t="shared" si="0"/>
        <v>85.163999999999987</v>
      </c>
      <c r="N51">
        <v>0</v>
      </c>
      <c r="O51">
        <v>4000</v>
      </c>
      <c r="P51">
        <v>0</v>
      </c>
      <c r="Q51">
        <v>0</v>
      </c>
    </row>
    <row r="52" spans="1:17">
      <c r="A52" t="s">
        <v>76</v>
      </c>
      <c r="B52" t="s">
        <v>56</v>
      </c>
      <c r="C52">
        <v>4</v>
      </c>
      <c r="D52">
        <v>2021</v>
      </c>
      <c r="E52" s="49" t="s">
        <v>0</v>
      </c>
      <c r="F52" s="49" t="s">
        <v>160</v>
      </c>
      <c r="G52">
        <f>'Baseline (June to Sep)'!G54+'Baseline (June to Sep)'!H54</f>
        <v>40</v>
      </c>
      <c r="H52">
        <f>'Baseline (June to Sep)'!I54</f>
        <v>0</v>
      </c>
      <c r="I52">
        <v>0</v>
      </c>
      <c r="J52">
        <f>G52*Parameters!$B$2*Parameters!$B$5</f>
        <v>85.163999999999987</v>
      </c>
      <c r="K52">
        <f>H52*Parameters!$B$3*Parameters!$B$6</f>
        <v>0</v>
      </c>
      <c r="L52">
        <f>I52*Parameters!$B$4*Parameters!$B$7</f>
        <v>0</v>
      </c>
      <c r="M52">
        <f t="shared" si="0"/>
        <v>85.163999999999987</v>
      </c>
      <c r="N52">
        <v>0</v>
      </c>
      <c r="O52">
        <v>4000</v>
      </c>
      <c r="P52">
        <v>0</v>
      </c>
      <c r="Q52">
        <v>0</v>
      </c>
    </row>
    <row r="53" spans="1:17">
      <c r="A53" t="s">
        <v>77</v>
      </c>
      <c r="B53" t="s">
        <v>40</v>
      </c>
      <c r="C53">
        <v>12</v>
      </c>
      <c r="D53">
        <v>2021</v>
      </c>
      <c r="E53" s="49" t="s">
        <v>0</v>
      </c>
      <c r="F53" s="49" t="s">
        <v>160</v>
      </c>
      <c r="G53">
        <f>'Baseline (June to Sep)'!G55+'Baseline (June to Sep)'!H55</f>
        <v>20</v>
      </c>
      <c r="H53">
        <f>'Baseline (June to Sep)'!I55</f>
        <v>20</v>
      </c>
      <c r="I53">
        <v>0</v>
      </c>
      <c r="J53">
        <f>G53*Parameters!$B$2*Parameters!$B$5</f>
        <v>42.581999999999994</v>
      </c>
      <c r="K53">
        <f>H53*Parameters!$B$3*Parameters!$B$6</f>
        <v>125.416</v>
      </c>
      <c r="L53">
        <f>I53*Parameters!$B$4*Parameters!$B$7</f>
        <v>0</v>
      </c>
      <c r="M53">
        <f t="shared" si="0"/>
        <v>167.99799999999999</v>
      </c>
      <c r="N53">
        <v>0</v>
      </c>
      <c r="O53">
        <v>2000</v>
      </c>
      <c r="P53">
        <v>6000</v>
      </c>
      <c r="Q53">
        <v>0</v>
      </c>
    </row>
    <row r="54" spans="1:17">
      <c r="A54" t="s">
        <v>78</v>
      </c>
      <c r="B54" t="s">
        <v>32</v>
      </c>
      <c r="C54">
        <v>6</v>
      </c>
      <c r="D54">
        <v>2021</v>
      </c>
      <c r="E54" s="49" t="s">
        <v>0</v>
      </c>
      <c r="F54" s="49" t="s">
        <v>160</v>
      </c>
      <c r="G54">
        <f>'Baseline (June to Sep)'!G56+'Baseline (June to Sep)'!H56</f>
        <v>40</v>
      </c>
      <c r="H54">
        <f>'Baseline (June to Sep)'!I56</f>
        <v>0</v>
      </c>
      <c r="I54">
        <v>0</v>
      </c>
      <c r="J54">
        <f>G54*Parameters!$B$2*Parameters!$B$5</f>
        <v>85.163999999999987</v>
      </c>
      <c r="K54">
        <f>H54*Parameters!$B$3*Parameters!$B$6</f>
        <v>0</v>
      </c>
      <c r="L54">
        <f>I54*Parameters!$B$4*Parameters!$B$7</f>
        <v>0</v>
      </c>
      <c r="M54">
        <f t="shared" si="0"/>
        <v>85.163999999999987</v>
      </c>
      <c r="N54">
        <v>0</v>
      </c>
      <c r="O54">
        <v>4000</v>
      </c>
      <c r="P54">
        <v>0</v>
      </c>
      <c r="Q54">
        <v>0</v>
      </c>
    </row>
    <row r="55" spans="1:17">
      <c r="A55" t="s">
        <v>79</v>
      </c>
      <c r="B55" t="s">
        <v>40</v>
      </c>
      <c r="C55">
        <v>4</v>
      </c>
      <c r="D55">
        <v>2021</v>
      </c>
      <c r="E55" s="49" t="s">
        <v>0</v>
      </c>
      <c r="F55" s="49" t="s">
        <v>160</v>
      </c>
      <c r="G55">
        <f>'Baseline (June to Sep)'!G57+'Baseline (June to Sep)'!H57</f>
        <v>40</v>
      </c>
      <c r="H55">
        <f>'Baseline (June to Sep)'!I57</f>
        <v>0</v>
      </c>
      <c r="I55">
        <v>0</v>
      </c>
      <c r="J55">
        <f>G55*Parameters!$B$2*Parameters!$B$5</f>
        <v>85.163999999999987</v>
      </c>
      <c r="K55">
        <f>H55*Parameters!$B$3*Parameters!$B$6</f>
        <v>0</v>
      </c>
      <c r="L55">
        <f>I55*Parameters!$B$4*Parameters!$B$7</f>
        <v>0</v>
      </c>
      <c r="M55">
        <f t="shared" si="0"/>
        <v>85.163999999999987</v>
      </c>
      <c r="N55">
        <v>0</v>
      </c>
      <c r="O55">
        <v>4000</v>
      </c>
      <c r="P55">
        <v>0</v>
      </c>
      <c r="Q55">
        <v>0</v>
      </c>
    </row>
    <row r="56" spans="1:17">
      <c r="A56" t="s">
        <v>80</v>
      </c>
      <c r="B56" t="s">
        <v>26</v>
      </c>
      <c r="C56">
        <v>7</v>
      </c>
      <c r="D56">
        <v>2021</v>
      </c>
      <c r="E56" s="49" t="s">
        <v>0</v>
      </c>
      <c r="F56" s="49" t="s">
        <v>160</v>
      </c>
      <c r="G56">
        <f>'Baseline (June to Sep)'!G58+'Baseline (June to Sep)'!H58</f>
        <v>40</v>
      </c>
      <c r="H56">
        <f>'Baseline (June to Sep)'!I58</f>
        <v>0</v>
      </c>
      <c r="I56">
        <v>0</v>
      </c>
      <c r="J56">
        <f>G56*Parameters!$B$2*Parameters!$B$5</f>
        <v>85.163999999999987</v>
      </c>
      <c r="K56">
        <f>H56*Parameters!$B$3*Parameters!$B$6</f>
        <v>0</v>
      </c>
      <c r="L56">
        <f>I56*Parameters!$B$4*Parameters!$B$7</f>
        <v>0</v>
      </c>
      <c r="M56">
        <f t="shared" si="0"/>
        <v>85.163999999999987</v>
      </c>
      <c r="N56">
        <v>0</v>
      </c>
      <c r="O56">
        <v>4000</v>
      </c>
      <c r="P56">
        <v>0</v>
      </c>
      <c r="Q56">
        <v>0</v>
      </c>
    </row>
    <row r="57" spans="1:17">
      <c r="A57" t="s">
        <v>81</v>
      </c>
      <c r="B57" t="s">
        <v>24</v>
      </c>
      <c r="C57">
        <v>6</v>
      </c>
      <c r="D57">
        <v>2021</v>
      </c>
      <c r="E57" s="49" t="s">
        <v>0</v>
      </c>
      <c r="F57" s="49" t="s">
        <v>160</v>
      </c>
      <c r="G57">
        <f>'Baseline (June to Sep)'!G59+'Baseline (June to Sep)'!H59</f>
        <v>80</v>
      </c>
      <c r="H57">
        <f>'Baseline (June to Sep)'!I59</f>
        <v>0</v>
      </c>
      <c r="I57">
        <v>0</v>
      </c>
      <c r="J57">
        <f>G57*Parameters!$B$2*Parameters!$B$5</f>
        <v>170.32799999999997</v>
      </c>
      <c r="K57">
        <f>H57*Parameters!$B$3*Parameters!$B$6</f>
        <v>0</v>
      </c>
      <c r="L57">
        <f>I57*Parameters!$B$4*Parameters!$B$7</f>
        <v>0</v>
      </c>
      <c r="M57">
        <f t="shared" si="0"/>
        <v>170.32799999999997</v>
      </c>
      <c r="N57">
        <v>0</v>
      </c>
      <c r="O57">
        <v>8000</v>
      </c>
      <c r="P57">
        <v>0</v>
      </c>
      <c r="Q57">
        <v>0</v>
      </c>
    </row>
    <row r="58" spans="1:17">
      <c r="A58" t="s">
        <v>82</v>
      </c>
      <c r="B58" t="s">
        <v>83</v>
      </c>
      <c r="C58">
        <v>4</v>
      </c>
      <c r="D58">
        <v>2021</v>
      </c>
      <c r="E58" s="49" t="s">
        <v>0</v>
      </c>
      <c r="F58" s="49" t="s">
        <v>160</v>
      </c>
      <c r="G58">
        <f>'Baseline (June to Sep)'!G60+'Baseline (June to Sep)'!H60</f>
        <v>40</v>
      </c>
      <c r="H58">
        <f>'Baseline (June to Sep)'!I60</f>
        <v>0</v>
      </c>
      <c r="I58">
        <v>0</v>
      </c>
      <c r="J58">
        <f>G58*Parameters!$B$2*Parameters!$B$5</f>
        <v>85.163999999999987</v>
      </c>
      <c r="K58">
        <f>H58*Parameters!$B$3*Parameters!$B$6</f>
        <v>0</v>
      </c>
      <c r="L58">
        <f>I58*Parameters!$B$4*Parameters!$B$7</f>
        <v>0</v>
      </c>
      <c r="M58">
        <f t="shared" si="0"/>
        <v>85.163999999999987</v>
      </c>
      <c r="N58">
        <v>0</v>
      </c>
      <c r="O58">
        <v>4000</v>
      </c>
      <c r="P58">
        <v>0</v>
      </c>
      <c r="Q58">
        <v>0</v>
      </c>
    </row>
    <row r="59" spans="1:17">
      <c r="A59" t="s">
        <v>84</v>
      </c>
      <c r="B59" t="s">
        <v>26</v>
      </c>
      <c r="C59">
        <v>7</v>
      </c>
      <c r="D59">
        <v>2021</v>
      </c>
      <c r="E59" s="49" t="s">
        <v>0</v>
      </c>
      <c r="F59" s="49" t="s">
        <v>160</v>
      </c>
      <c r="G59">
        <f>'Baseline (June to Sep)'!G61+'Baseline (June to Sep)'!H61</f>
        <v>100</v>
      </c>
      <c r="H59">
        <f>'Baseline (June to Sep)'!I61</f>
        <v>0</v>
      </c>
      <c r="I59">
        <v>0</v>
      </c>
      <c r="J59">
        <f>G59*Parameters!$B$2*Parameters!$B$5</f>
        <v>212.90999999999997</v>
      </c>
      <c r="K59">
        <f>H59*Parameters!$B$3*Parameters!$B$6</f>
        <v>0</v>
      </c>
      <c r="L59">
        <f>I59*Parameters!$B$4*Parameters!$B$7</f>
        <v>0</v>
      </c>
      <c r="M59">
        <f t="shared" si="0"/>
        <v>212.90999999999997</v>
      </c>
      <c r="N59">
        <v>0</v>
      </c>
      <c r="O59">
        <v>10000</v>
      </c>
      <c r="P59">
        <v>0</v>
      </c>
      <c r="Q59">
        <v>0</v>
      </c>
    </row>
    <row r="60" spans="1:17">
      <c r="A60" t="s">
        <v>85</v>
      </c>
      <c r="B60" t="s">
        <v>24</v>
      </c>
      <c r="C60">
        <v>6</v>
      </c>
      <c r="D60">
        <v>2021</v>
      </c>
      <c r="E60" s="49" t="s">
        <v>0</v>
      </c>
      <c r="F60" s="49" t="s">
        <v>160</v>
      </c>
      <c r="G60">
        <f>'Baseline (June to Sep)'!G62+'Baseline (June to Sep)'!H62</f>
        <v>80</v>
      </c>
      <c r="H60">
        <f>'Baseline (June to Sep)'!I62</f>
        <v>0</v>
      </c>
      <c r="I60">
        <v>0</v>
      </c>
      <c r="J60">
        <f>G60*Parameters!$B$2*Parameters!$B$5</f>
        <v>170.32799999999997</v>
      </c>
      <c r="K60">
        <f>H60*Parameters!$B$3*Parameters!$B$6</f>
        <v>0</v>
      </c>
      <c r="L60">
        <f>I60*Parameters!$B$4*Parameters!$B$7</f>
        <v>0</v>
      </c>
      <c r="M60">
        <f t="shared" si="0"/>
        <v>170.32799999999997</v>
      </c>
      <c r="N60">
        <v>0</v>
      </c>
      <c r="O60">
        <v>8000</v>
      </c>
      <c r="P60">
        <v>0</v>
      </c>
      <c r="Q60">
        <v>0</v>
      </c>
    </row>
    <row r="61" spans="1:17">
      <c r="A61" t="s">
        <v>86</v>
      </c>
      <c r="B61" t="s">
        <v>32</v>
      </c>
      <c r="C61">
        <v>4</v>
      </c>
      <c r="D61">
        <v>2021</v>
      </c>
      <c r="E61" s="49" t="s">
        <v>0</v>
      </c>
      <c r="F61" s="49" t="s">
        <v>160</v>
      </c>
      <c r="G61">
        <f>'Baseline (June to Sep)'!G63+'Baseline (June to Sep)'!H63</f>
        <v>20</v>
      </c>
      <c r="H61">
        <f>'Baseline (June to Sep)'!I63</f>
        <v>0</v>
      </c>
      <c r="I61">
        <v>0</v>
      </c>
      <c r="J61">
        <f>G61*Parameters!$B$2*Parameters!$B$5</f>
        <v>42.581999999999994</v>
      </c>
      <c r="K61">
        <f>H61*Parameters!$B$3*Parameters!$B$6</f>
        <v>0</v>
      </c>
      <c r="L61">
        <f>I61*Parameters!$B$4*Parameters!$B$7</f>
        <v>0</v>
      </c>
      <c r="M61">
        <f t="shared" si="0"/>
        <v>42.581999999999994</v>
      </c>
      <c r="N61">
        <v>0</v>
      </c>
      <c r="O61">
        <v>2000</v>
      </c>
      <c r="P61">
        <v>0</v>
      </c>
      <c r="Q61">
        <v>0</v>
      </c>
    </row>
    <row r="62" spans="1:17">
      <c r="A62" t="s">
        <v>87</v>
      </c>
      <c r="B62" t="s">
        <v>32</v>
      </c>
      <c r="C62">
        <v>8</v>
      </c>
      <c r="D62">
        <v>2021</v>
      </c>
      <c r="E62" s="49" t="s">
        <v>0</v>
      </c>
      <c r="F62" s="49" t="s">
        <v>160</v>
      </c>
      <c r="G62">
        <f>'Baseline (June to Sep)'!G64+'Baseline (June to Sep)'!H64</f>
        <v>30</v>
      </c>
      <c r="H62">
        <f>'Baseline (June to Sep)'!I64</f>
        <v>0</v>
      </c>
      <c r="I62">
        <v>0</v>
      </c>
      <c r="J62">
        <f>G62*Parameters!$B$2*Parameters!$B$5</f>
        <v>63.87299999999999</v>
      </c>
      <c r="K62">
        <f>H62*Parameters!$B$3*Parameters!$B$6</f>
        <v>0</v>
      </c>
      <c r="L62">
        <f>I62*Parameters!$B$4*Parameters!$B$7</f>
        <v>0</v>
      </c>
      <c r="M62">
        <f t="shared" si="0"/>
        <v>63.87299999999999</v>
      </c>
      <c r="N62">
        <v>0</v>
      </c>
      <c r="O62">
        <v>3000</v>
      </c>
      <c r="P62">
        <v>0</v>
      </c>
      <c r="Q62">
        <v>0</v>
      </c>
    </row>
    <row r="63" spans="1:17">
      <c r="A63" t="s">
        <v>88</v>
      </c>
      <c r="B63" t="s">
        <v>32</v>
      </c>
      <c r="C63">
        <v>7</v>
      </c>
      <c r="D63">
        <v>2021</v>
      </c>
      <c r="E63" s="49" t="s">
        <v>0</v>
      </c>
      <c r="F63" s="49" t="s">
        <v>160</v>
      </c>
      <c r="G63">
        <f>'Baseline (June to Sep)'!G65+'Baseline (June to Sep)'!H65</f>
        <v>20</v>
      </c>
      <c r="H63">
        <f>'Baseline (June to Sep)'!I65</f>
        <v>40</v>
      </c>
      <c r="I63">
        <v>0</v>
      </c>
      <c r="J63">
        <f>G63*Parameters!$B$2*Parameters!$B$5</f>
        <v>42.581999999999994</v>
      </c>
      <c r="K63">
        <f>H63*Parameters!$B$3*Parameters!$B$6</f>
        <v>250.83199999999999</v>
      </c>
      <c r="L63">
        <f>I63*Parameters!$B$4*Parameters!$B$7</f>
        <v>0</v>
      </c>
      <c r="M63">
        <f t="shared" si="0"/>
        <v>293.41399999999999</v>
      </c>
      <c r="N63">
        <v>0</v>
      </c>
      <c r="O63">
        <v>2000</v>
      </c>
      <c r="P63">
        <v>12000</v>
      </c>
      <c r="Q63">
        <v>0</v>
      </c>
    </row>
    <row r="64" spans="1:17">
      <c r="A64" t="s">
        <v>89</v>
      </c>
      <c r="B64" t="s">
        <v>65</v>
      </c>
      <c r="C64">
        <v>8</v>
      </c>
      <c r="D64">
        <v>2021</v>
      </c>
      <c r="E64" s="49" t="s">
        <v>0</v>
      </c>
      <c r="F64" s="49" t="s">
        <v>160</v>
      </c>
      <c r="G64">
        <f>'Baseline (June to Sep)'!G66+'Baseline (June to Sep)'!H66</f>
        <v>40</v>
      </c>
      <c r="H64">
        <f>'Baseline (June to Sep)'!I66</f>
        <v>20</v>
      </c>
      <c r="I64">
        <v>0</v>
      </c>
      <c r="J64">
        <f>G64*Parameters!$B$2*Parameters!$B$5</f>
        <v>85.163999999999987</v>
      </c>
      <c r="K64">
        <f>H64*Parameters!$B$3*Parameters!$B$6</f>
        <v>125.416</v>
      </c>
      <c r="L64">
        <f>I64*Parameters!$B$4*Parameters!$B$7</f>
        <v>0</v>
      </c>
      <c r="M64">
        <f t="shared" si="0"/>
        <v>210.57999999999998</v>
      </c>
      <c r="N64">
        <v>0</v>
      </c>
      <c r="O64">
        <v>4000</v>
      </c>
      <c r="P64">
        <v>6000</v>
      </c>
      <c r="Q64">
        <v>0</v>
      </c>
    </row>
    <row r="65" spans="1:17">
      <c r="A65" t="s">
        <v>90</v>
      </c>
      <c r="B65" t="s">
        <v>32</v>
      </c>
      <c r="C65">
        <v>6</v>
      </c>
      <c r="D65">
        <v>2021</v>
      </c>
      <c r="E65" s="49" t="s">
        <v>0</v>
      </c>
      <c r="F65" s="49" t="s">
        <v>160</v>
      </c>
      <c r="G65">
        <f>'Baseline (June to Sep)'!G67+'Baseline (June to Sep)'!H67</f>
        <v>80</v>
      </c>
      <c r="H65">
        <f>'Baseline (June to Sep)'!I67</f>
        <v>0</v>
      </c>
      <c r="I65">
        <v>0</v>
      </c>
      <c r="J65">
        <f>G65*Parameters!$B$2*Parameters!$B$5</f>
        <v>170.32799999999997</v>
      </c>
      <c r="K65">
        <f>H65*Parameters!$B$3*Parameters!$B$6</f>
        <v>0</v>
      </c>
      <c r="L65">
        <f>I65*Parameters!$B$4*Parameters!$B$7</f>
        <v>0</v>
      </c>
      <c r="M65">
        <f t="shared" si="0"/>
        <v>170.32799999999997</v>
      </c>
      <c r="N65">
        <v>0</v>
      </c>
      <c r="O65">
        <v>8000</v>
      </c>
      <c r="P65">
        <v>0</v>
      </c>
      <c r="Q65">
        <v>0</v>
      </c>
    </row>
    <row r="66" spans="1:17">
      <c r="A66" t="s">
        <v>91</v>
      </c>
      <c r="B66" t="s">
        <v>24</v>
      </c>
      <c r="C66">
        <v>6</v>
      </c>
      <c r="D66">
        <v>2021</v>
      </c>
      <c r="E66" s="49" t="s">
        <v>0</v>
      </c>
      <c r="F66" s="49" t="s">
        <v>160</v>
      </c>
      <c r="G66">
        <f>'Baseline (June to Sep)'!G68+'Baseline (June to Sep)'!H68</f>
        <v>40</v>
      </c>
      <c r="H66">
        <f>'Baseline (June to Sep)'!I68</f>
        <v>0</v>
      </c>
      <c r="I66">
        <v>0</v>
      </c>
      <c r="J66">
        <f>G66*Parameters!$B$2*Parameters!$B$5</f>
        <v>85.163999999999987</v>
      </c>
      <c r="K66">
        <f>H66*Parameters!$B$3*Parameters!$B$6</f>
        <v>0</v>
      </c>
      <c r="L66">
        <f>I66*Parameters!$B$4*Parameters!$B$7</f>
        <v>0</v>
      </c>
      <c r="M66">
        <f t="shared" si="0"/>
        <v>85.163999999999987</v>
      </c>
      <c r="N66">
        <v>0</v>
      </c>
      <c r="O66">
        <v>4000</v>
      </c>
      <c r="P66">
        <v>0</v>
      </c>
      <c r="Q66">
        <v>0</v>
      </c>
    </row>
    <row r="67" spans="1:17">
      <c r="A67" t="s">
        <v>92</v>
      </c>
      <c r="B67" t="s">
        <v>17</v>
      </c>
      <c r="C67">
        <v>4</v>
      </c>
      <c r="D67">
        <v>2021</v>
      </c>
      <c r="E67" s="49" t="s">
        <v>0</v>
      </c>
      <c r="F67" s="49" t="s">
        <v>160</v>
      </c>
      <c r="G67">
        <f>'Baseline (June to Sep)'!G69+'Baseline (June to Sep)'!H69</f>
        <v>0</v>
      </c>
      <c r="H67">
        <f>'Baseline (June to Sep)'!I69</f>
        <v>20</v>
      </c>
      <c r="I67">
        <v>0</v>
      </c>
      <c r="J67">
        <f>G67*Parameters!$B$2*Parameters!$B$5</f>
        <v>0</v>
      </c>
      <c r="K67">
        <f>H67*Parameters!$B$3*Parameters!$B$6</f>
        <v>125.416</v>
      </c>
      <c r="L67">
        <f>I67*Parameters!$B$4*Parameters!$B$7</f>
        <v>0</v>
      </c>
      <c r="M67">
        <f t="shared" ref="M67:M130" si="1">SUM(J67:L67)</f>
        <v>125.416</v>
      </c>
      <c r="N67">
        <v>0</v>
      </c>
      <c r="O67">
        <v>0</v>
      </c>
      <c r="P67">
        <v>6000</v>
      </c>
      <c r="Q67">
        <v>0</v>
      </c>
    </row>
    <row r="68" spans="1:17">
      <c r="A68" t="s">
        <v>93</v>
      </c>
      <c r="B68" t="s">
        <v>19</v>
      </c>
      <c r="C68">
        <v>7</v>
      </c>
      <c r="D68">
        <v>2021</v>
      </c>
      <c r="E68" s="49" t="s">
        <v>0</v>
      </c>
      <c r="F68" s="49" t="s">
        <v>160</v>
      </c>
      <c r="G68">
        <f>'Baseline (June to Sep)'!G70+'Baseline (June to Sep)'!H70</f>
        <v>40</v>
      </c>
      <c r="H68">
        <f>'Baseline (June to Sep)'!I70</f>
        <v>0</v>
      </c>
      <c r="I68">
        <v>0</v>
      </c>
      <c r="J68">
        <f>G68*Parameters!$B$2*Parameters!$B$5</f>
        <v>85.163999999999987</v>
      </c>
      <c r="K68">
        <f>H68*Parameters!$B$3*Parameters!$B$6</f>
        <v>0</v>
      </c>
      <c r="L68">
        <f>I68*Parameters!$B$4*Parameters!$B$7</f>
        <v>0</v>
      </c>
      <c r="M68">
        <f t="shared" si="1"/>
        <v>85.163999999999987</v>
      </c>
      <c r="N68">
        <v>0</v>
      </c>
      <c r="O68">
        <v>4000</v>
      </c>
      <c r="P68">
        <v>0</v>
      </c>
      <c r="Q68">
        <v>0</v>
      </c>
    </row>
    <row r="69" spans="1:17">
      <c r="A69" t="s">
        <v>94</v>
      </c>
      <c r="B69" t="s">
        <v>19</v>
      </c>
      <c r="C69">
        <v>6</v>
      </c>
      <c r="D69">
        <v>2021</v>
      </c>
      <c r="E69" s="49" t="s">
        <v>0</v>
      </c>
      <c r="F69" s="49" t="s">
        <v>160</v>
      </c>
      <c r="G69">
        <f>'Baseline (June to Sep)'!G71+'Baseline (June to Sep)'!H71</f>
        <v>20</v>
      </c>
      <c r="H69">
        <f>'Baseline (June to Sep)'!I71</f>
        <v>0</v>
      </c>
      <c r="I69">
        <v>0</v>
      </c>
      <c r="J69">
        <f>G69*Parameters!$B$2*Parameters!$B$5</f>
        <v>42.581999999999994</v>
      </c>
      <c r="K69">
        <f>H69*Parameters!$B$3*Parameters!$B$6</f>
        <v>0</v>
      </c>
      <c r="L69">
        <f>I69*Parameters!$B$4*Parameters!$B$7</f>
        <v>0</v>
      </c>
      <c r="M69">
        <f t="shared" si="1"/>
        <v>42.581999999999994</v>
      </c>
      <c r="N69">
        <v>0</v>
      </c>
      <c r="O69">
        <v>2000</v>
      </c>
      <c r="P69">
        <v>0</v>
      </c>
      <c r="Q69">
        <v>0</v>
      </c>
    </row>
    <row r="70" spans="1:17">
      <c r="A70" t="s">
        <v>95</v>
      </c>
      <c r="B70" t="s">
        <v>26</v>
      </c>
      <c r="C70">
        <v>8</v>
      </c>
      <c r="D70">
        <v>2021</v>
      </c>
      <c r="E70" s="49" t="s">
        <v>0</v>
      </c>
      <c r="F70" s="49" t="s">
        <v>160</v>
      </c>
      <c r="G70">
        <f>'Baseline (June to Sep)'!G72+'Baseline (June to Sep)'!H72</f>
        <v>80</v>
      </c>
      <c r="H70">
        <f>'Baseline (June to Sep)'!I72</f>
        <v>0</v>
      </c>
      <c r="I70">
        <v>0</v>
      </c>
      <c r="J70">
        <f>G70*Parameters!$B$2*Parameters!$B$5</f>
        <v>170.32799999999997</v>
      </c>
      <c r="K70">
        <f>H70*Parameters!$B$3*Parameters!$B$6</f>
        <v>0</v>
      </c>
      <c r="L70">
        <f>I70*Parameters!$B$4*Parameters!$B$7</f>
        <v>0</v>
      </c>
      <c r="M70">
        <f t="shared" si="1"/>
        <v>170.32799999999997</v>
      </c>
      <c r="N70">
        <v>0</v>
      </c>
      <c r="O70">
        <v>8000</v>
      </c>
      <c r="P70">
        <v>0</v>
      </c>
      <c r="Q70">
        <v>0</v>
      </c>
    </row>
    <row r="71" spans="1:17">
      <c r="A71" t="s">
        <v>96</v>
      </c>
      <c r="B71" t="s">
        <v>19</v>
      </c>
      <c r="C71">
        <v>8</v>
      </c>
      <c r="D71">
        <v>2021</v>
      </c>
      <c r="E71" s="49" t="s">
        <v>0</v>
      </c>
      <c r="F71" s="49" t="s">
        <v>160</v>
      </c>
      <c r="G71">
        <f>'Baseline (June to Sep)'!G73+'Baseline (June to Sep)'!H73</f>
        <v>0</v>
      </c>
      <c r="H71">
        <f>'Baseline (June to Sep)'!I73</f>
        <v>40</v>
      </c>
      <c r="I71">
        <v>0</v>
      </c>
      <c r="J71">
        <f>G71*Parameters!$B$2*Parameters!$B$5</f>
        <v>0</v>
      </c>
      <c r="K71">
        <f>H71*Parameters!$B$3*Parameters!$B$6</f>
        <v>250.83199999999999</v>
      </c>
      <c r="L71">
        <f>I71*Parameters!$B$4*Parameters!$B$7</f>
        <v>0</v>
      </c>
      <c r="M71">
        <f t="shared" si="1"/>
        <v>250.83199999999999</v>
      </c>
      <c r="N71">
        <v>0</v>
      </c>
      <c r="O71">
        <v>0</v>
      </c>
      <c r="P71">
        <v>12000</v>
      </c>
      <c r="Q71">
        <v>0</v>
      </c>
    </row>
    <row r="72" spans="1:17">
      <c r="A72" t="s">
        <v>97</v>
      </c>
      <c r="B72" t="s">
        <v>17</v>
      </c>
      <c r="C72">
        <v>4</v>
      </c>
      <c r="D72">
        <v>2021</v>
      </c>
      <c r="E72" s="49" t="s">
        <v>0</v>
      </c>
      <c r="F72" s="49" t="s">
        <v>160</v>
      </c>
      <c r="G72">
        <f>'Baseline (June to Sep)'!G74+'Baseline (June to Sep)'!H74</f>
        <v>40</v>
      </c>
      <c r="H72">
        <f>'Baseline (June to Sep)'!I74</f>
        <v>0</v>
      </c>
      <c r="I72">
        <v>0</v>
      </c>
      <c r="J72">
        <f>G72*Parameters!$B$2*Parameters!$B$5</f>
        <v>85.163999999999987</v>
      </c>
      <c r="K72">
        <f>H72*Parameters!$B$3*Parameters!$B$6</f>
        <v>0</v>
      </c>
      <c r="L72">
        <f>I72*Parameters!$B$4*Parameters!$B$7</f>
        <v>0</v>
      </c>
      <c r="M72">
        <f t="shared" si="1"/>
        <v>85.163999999999987</v>
      </c>
      <c r="N72">
        <v>0</v>
      </c>
      <c r="O72">
        <v>4000</v>
      </c>
      <c r="P72">
        <v>0</v>
      </c>
      <c r="Q72">
        <v>0</v>
      </c>
    </row>
    <row r="73" spans="1:17">
      <c r="A73" t="s">
        <v>98</v>
      </c>
      <c r="B73" t="s">
        <v>65</v>
      </c>
      <c r="C73">
        <v>5</v>
      </c>
      <c r="D73">
        <v>2021</v>
      </c>
      <c r="E73" s="49" t="s">
        <v>0</v>
      </c>
      <c r="F73" s="49" t="s">
        <v>160</v>
      </c>
      <c r="G73">
        <f>'Baseline (June to Sep)'!G75+'Baseline (June to Sep)'!H75</f>
        <v>40</v>
      </c>
      <c r="H73">
        <f>'Baseline (June to Sep)'!I75</f>
        <v>0</v>
      </c>
      <c r="I73">
        <v>0</v>
      </c>
      <c r="J73">
        <f>G73*Parameters!$B$2*Parameters!$B$5</f>
        <v>85.163999999999987</v>
      </c>
      <c r="K73">
        <f>H73*Parameters!$B$3*Parameters!$B$6</f>
        <v>0</v>
      </c>
      <c r="L73">
        <f>I73*Parameters!$B$4*Parameters!$B$7</f>
        <v>0</v>
      </c>
      <c r="M73">
        <f t="shared" si="1"/>
        <v>85.163999999999987</v>
      </c>
      <c r="N73">
        <v>0</v>
      </c>
      <c r="O73">
        <v>4000</v>
      </c>
      <c r="P73">
        <v>0</v>
      </c>
      <c r="Q73">
        <v>0</v>
      </c>
    </row>
    <row r="74" spans="1:17">
      <c r="A74" t="s">
        <v>99</v>
      </c>
      <c r="B74" t="s">
        <v>32</v>
      </c>
      <c r="C74">
        <v>9</v>
      </c>
      <c r="D74">
        <v>2021</v>
      </c>
      <c r="E74" s="49" t="s">
        <v>0</v>
      </c>
      <c r="F74" s="49" t="s">
        <v>160</v>
      </c>
      <c r="G74">
        <f>'Baseline (June to Sep)'!G76+'Baseline (June to Sep)'!H76</f>
        <v>80</v>
      </c>
      <c r="H74">
        <f>'Baseline (June to Sep)'!I76</f>
        <v>10</v>
      </c>
      <c r="I74">
        <v>0</v>
      </c>
      <c r="J74">
        <f>G74*Parameters!$B$2*Parameters!$B$5</f>
        <v>170.32799999999997</v>
      </c>
      <c r="K74">
        <f>H74*Parameters!$B$3*Parameters!$B$6</f>
        <v>62.707999999999998</v>
      </c>
      <c r="L74">
        <f>I74*Parameters!$B$4*Parameters!$B$7</f>
        <v>0</v>
      </c>
      <c r="M74">
        <f t="shared" si="1"/>
        <v>233.03599999999997</v>
      </c>
      <c r="N74">
        <v>0</v>
      </c>
      <c r="O74">
        <v>8000</v>
      </c>
      <c r="P74">
        <v>3000</v>
      </c>
      <c r="Q74">
        <v>0</v>
      </c>
    </row>
    <row r="75" spans="1:17">
      <c r="A75" t="s">
        <v>100</v>
      </c>
      <c r="B75" t="s">
        <v>40</v>
      </c>
      <c r="C75">
        <v>8</v>
      </c>
      <c r="D75">
        <v>2021</v>
      </c>
      <c r="E75" s="49" t="s">
        <v>0</v>
      </c>
      <c r="F75" s="49" t="s">
        <v>160</v>
      </c>
      <c r="G75">
        <f>'Baseline (June to Sep)'!G77+'Baseline (June to Sep)'!H77</f>
        <v>40</v>
      </c>
      <c r="H75">
        <f>'Baseline (June to Sep)'!I77</f>
        <v>0</v>
      </c>
      <c r="I75">
        <v>0</v>
      </c>
      <c r="J75">
        <f>G75*Parameters!$B$2*Parameters!$B$5</f>
        <v>85.163999999999987</v>
      </c>
      <c r="K75">
        <f>H75*Parameters!$B$3*Parameters!$B$6</f>
        <v>0</v>
      </c>
      <c r="L75">
        <f>I75*Parameters!$B$4*Parameters!$B$7</f>
        <v>0</v>
      </c>
      <c r="M75">
        <f t="shared" si="1"/>
        <v>85.163999999999987</v>
      </c>
      <c r="N75">
        <v>0</v>
      </c>
      <c r="O75">
        <v>4000</v>
      </c>
      <c r="P75">
        <v>0</v>
      </c>
      <c r="Q75">
        <v>0</v>
      </c>
    </row>
    <row r="76" spans="1:17">
      <c r="A76" t="s">
        <v>101</v>
      </c>
      <c r="B76" t="s">
        <v>38</v>
      </c>
      <c r="C76">
        <v>5</v>
      </c>
      <c r="D76">
        <v>2021</v>
      </c>
      <c r="E76" s="49" t="s">
        <v>0</v>
      </c>
      <c r="F76" s="49" t="s">
        <v>160</v>
      </c>
      <c r="G76">
        <f>'Baseline (June to Sep)'!G78+'Baseline (June to Sep)'!H78</f>
        <v>40</v>
      </c>
      <c r="H76">
        <f>'Baseline (June to Sep)'!I78</f>
        <v>0</v>
      </c>
      <c r="I76">
        <v>0</v>
      </c>
      <c r="J76">
        <f>G76*Parameters!$B$2*Parameters!$B$5</f>
        <v>85.163999999999987</v>
      </c>
      <c r="K76">
        <f>H76*Parameters!$B$3*Parameters!$B$6</f>
        <v>0</v>
      </c>
      <c r="L76">
        <f>I76*Parameters!$B$4*Parameters!$B$7</f>
        <v>0</v>
      </c>
      <c r="M76">
        <f t="shared" si="1"/>
        <v>85.163999999999987</v>
      </c>
      <c r="N76">
        <v>0</v>
      </c>
      <c r="O76">
        <v>4000</v>
      </c>
      <c r="P76">
        <v>0</v>
      </c>
      <c r="Q76">
        <v>0</v>
      </c>
    </row>
    <row r="77" spans="1:17">
      <c r="A77" t="s">
        <v>102</v>
      </c>
      <c r="B77" t="s">
        <v>17</v>
      </c>
      <c r="C77">
        <v>4</v>
      </c>
      <c r="D77">
        <v>2021</v>
      </c>
      <c r="E77" s="49" t="s">
        <v>0</v>
      </c>
      <c r="F77" s="49" t="s">
        <v>160</v>
      </c>
      <c r="G77">
        <f>'Baseline (June to Sep)'!G79+'Baseline (June to Sep)'!H79</f>
        <v>20</v>
      </c>
      <c r="H77">
        <f>'Baseline (June to Sep)'!I79</f>
        <v>20</v>
      </c>
      <c r="I77">
        <v>0</v>
      </c>
      <c r="J77">
        <f>G77*Parameters!$B$2*Parameters!$B$5</f>
        <v>42.581999999999994</v>
      </c>
      <c r="K77">
        <f>H77*Parameters!$B$3*Parameters!$B$6</f>
        <v>125.416</v>
      </c>
      <c r="L77">
        <f>I77*Parameters!$B$4*Parameters!$B$7</f>
        <v>0</v>
      </c>
      <c r="M77">
        <f t="shared" si="1"/>
        <v>167.99799999999999</v>
      </c>
      <c r="N77">
        <v>0</v>
      </c>
      <c r="O77">
        <v>2000</v>
      </c>
      <c r="P77">
        <v>6000</v>
      </c>
      <c r="Q77">
        <v>0</v>
      </c>
    </row>
    <row r="78" spans="1:17">
      <c r="A78" t="s">
        <v>103</v>
      </c>
      <c r="B78" t="s">
        <v>26</v>
      </c>
      <c r="C78">
        <v>6</v>
      </c>
      <c r="D78">
        <v>2021</v>
      </c>
      <c r="E78" s="49" t="s">
        <v>0</v>
      </c>
      <c r="F78" s="49" t="s">
        <v>160</v>
      </c>
      <c r="G78">
        <f>'Baseline (June to Sep)'!G80+'Baseline (June to Sep)'!H80</f>
        <v>60</v>
      </c>
      <c r="H78">
        <f>'Baseline (June to Sep)'!I80</f>
        <v>0</v>
      </c>
      <c r="I78">
        <v>0</v>
      </c>
      <c r="J78">
        <f>G78*Parameters!$B$2*Parameters!$B$5</f>
        <v>127.74599999999998</v>
      </c>
      <c r="K78">
        <f>H78*Parameters!$B$3*Parameters!$B$6</f>
        <v>0</v>
      </c>
      <c r="L78">
        <f>I78*Parameters!$B$4*Parameters!$B$7</f>
        <v>0</v>
      </c>
      <c r="M78">
        <f t="shared" si="1"/>
        <v>127.74599999999998</v>
      </c>
      <c r="N78">
        <v>0</v>
      </c>
      <c r="O78">
        <v>6000</v>
      </c>
      <c r="P78">
        <v>0</v>
      </c>
      <c r="Q78">
        <v>0</v>
      </c>
    </row>
    <row r="79" spans="1:17">
      <c r="A79" t="s">
        <v>104</v>
      </c>
      <c r="B79" t="s">
        <v>26</v>
      </c>
      <c r="C79">
        <v>7</v>
      </c>
      <c r="D79">
        <v>2021</v>
      </c>
      <c r="E79" s="49" t="s">
        <v>0</v>
      </c>
      <c r="F79" s="49" t="s">
        <v>160</v>
      </c>
      <c r="G79">
        <f>'Baseline (June to Sep)'!G81+'Baseline (June to Sep)'!H81</f>
        <v>40</v>
      </c>
      <c r="H79">
        <f>'Baseline (June to Sep)'!I81</f>
        <v>0</v>
      </c>
      <c r="I79">
        <v>0</v>
      </c>
      <c r="J79">
        <f>G79*Parameters!$B$2*Parameters!$B$5</f>
        <v>85.163999999999987</v>
      </c>
      <c r="K79">
        <f>H79*Parameters!$B$3*Parameters!$B$6</f>
        <v>0</v>
      </c>
      <c r="L79">
        <f>I79*Parameters!$B$4*Parameters!$B$7</f>
        <v>0</v>
      </c>
      <c r="M79">
        <f t="shared" si="1"/>
        <v>85.163999999999987</v>
      </c>
      <c r="N79">
        <v>0</v>
      </c>
      <c r="O79">
        <v>4000</v>
      </c>
      <c r="P79">
        <v>0</v>
      </c>
      <c r="Q79">
        <v>0</v>
      </c>
    </row>
    <row r="80" spans="1:17">
      <c r="A80" t="s">
        <v>105</v>
      </c>
      <c r="B80" t="s">
        <v>21</v>
      </c>
      <c r="C80">
        <v>5</v>
      </c>
      <c r="D80">
        <v>2021</v>
      </c>
      <c r="E80" s="49" t="s">
        <v>0</v>
      </c>
      <c r="F80" s="49" t="s">
        <v>160</v>
      </c>
      <c r="G80">
        <f>'Baseline (June to Sep)'!G82+'Baseline (June to Sep)'!H82</f>
        <v>50</v>
      </c>
      <c r="H80">
        <f>'Baseline (June to Sep)'!I82</f>
        <v>0</v>
      </c>
      <c r="I80">
        <v>0</v>
      </c>
      <c r="J80">
        <f>G80*Parameters!$B$2*Parameters!$B$5</f>
        <v>106.45499999999998</v>
      </c>
      <c r="K80">
        <f>H80*Parameters!$B$3*Parameters!$B$6</f>
        <v>0</v>
      </c>
      <c r="L80">
        <f>I80*Parameters!$B$4*Parameters!$B$7</f>
        <v>0</v>
      </c>
      <c r="M80">
        <f t="shared" si="1"/>
        <v>106.45499999999998</v>
      </c>
      <c r="N80">
        <v>0</v>
      </c>
      <c r="O80">
        <v>5000</v>
      </c>
      <c r="P80">
        <v>0</v>
      </c>
      <c r="Q80">
        <v>0</v>
      </c>
    </row>
    <row r="81" spans="1:17">
      <c r="A81" t="s">
        <v>106</v>
      </c>
      <c r="B81" t="s">
        <v>24</v>
      </c>
      <c r="C81">
        <v>6</v>
      </c>
      <c r="D81">
        <v>2021</v>
      </c>
      <c r="E81" s="49" t="s">
        <v>0</v>
      </c>
      <c r="F81" s="49" t="s">
        <v>160</v>
      </c>
      <c r="G81">
        <f>'Baseline (June to Sep)'!G83+'Baseline (June to Sep)'!H83</f>
        <v>20</v>
      </c>
      <c r="H81">
        <f>'Baseline (June to Sep)'!I83</f>
        <v>0</v>
      </c>
      <c r="I81">
        <v>0</v>
      </c>
      <c r="J81">
        <f>G81*Parameters!$B$2*Parameters!$B$5</f>
        <v>42.581999999999994</v>
      </c>
      <c r="K81">
        <f>H81*Parameters!$B$3*Parameters!$B$6</f>
        <v>0</v>
      </c>
      <c r="L81">
        <f>I81*Parameters!$B$4*Parameters!$B$7</f>
        <v>0</v>
      </c>
      <c r="M81">
        <f t="shared" si="1"/>
        <v>42.581999999999994</v>
      </c>
      <c r="N81">
        <v>0</v>
      </c>
      <c r="O81">
        <v>2000</v>
      </c>
      <c r="P81">
        <v>0</v>
      </c>
      <c r="Q81">
        <v>0</v>
      </c>
    </row>
    <row r="82" spans="1:17">
      <c r="A82" t="s">
        <v>107</v>
      </c>
      <c r="B82" t="s">
        <v>21</v>
      </c>
      <c r="C82">
        <v>4</v>
      </c>
      <c r="D82">
        <v>2021</v>
      </c>
      <c r="E82" s="49" t="s">
        <v>0</v>
      </c>
      <c r="F82" s="49" t="s">
        <v>160</v>
      </c>
      <c r="G82">
        <f>'Baseline (June to Sep)'!G84+'Baseline (June to Sep)'!H84</f>
        <v>40</v>
      </c>
      <c r="H82">
        <f>'Baseline (June to Sep)'!I84</f>
        <v>0</v>
      </c>
      <c r="I82">
        <v>0</v>
      </c>
      <c r="J82">
        <f>G82*Parameters!$B$2*Parameters!$B$5</f>
        <v>85.163999999999987</v>
      </c>
      <c r="K82">
        <f>H82*Parameters!$B$3*Parameters!$B$6</f>
        <v>0</v>
      </c>
      <c r="L82">
        <f>I82*Parameters!$B$4*Parameters!$B$7</f>
        <v>0</v>
      </c>
      <c r="M82">
        <f t="shared" si="1"/>
        <v>85.163999999999987</v>
      </c>
      <c r="N82">
        <v>0</v>
      </c>
      <c r="O82">
        <v>4000</v>
      </c>
      <c r="P82">
        <v>0</v>
      </c>
      <c r="Q82">
        <v>0</v>
      </c>
    </row>
    <row r="83" spans="1:17">
      <c r="A83" t="s">
        <v>108</v>
      </c>
      <c r="B83" t="s">
        <v>24</v>
      </c>
      <c r="C83">
        <v>5</v>
      </c>
      <c r="D83">
        <v>2021</v>
      </c>
      <c r="E83" s="49" t="s">
        <v>0</v>
      </c>
      <c r="F83" s="49" t="s">
        <v>160</v>
      </c>
      <c r="G83">
        <f>'Baseline (June to Sep)'!G85+'Baseline (June to Sep)'!H85</f>
        <v>40</v>
      </c>
      <c r="H83">
        <f>'Baseline (June to Sep)'!I85</f>
        <v>20</v>
      </c>
      <c r="I83">
        <v>0</v>
      </c>
      <c r="J83">
        <f>G83*Parameters!$B$2*Parameters!$B$5</f>
        <v>85.163999999999987</v>
      </c>
      <c r="K83">
        <f>H83*Parameters!$B$3*Parameters!$B$6</f>
        <v>125.416</v>
      </c>
      <c r="L83">
        <f>I83*Parameters!$B$4*Parameters!$B$7</f>
        <v>0</v>
      </c>
      <c r="M83">
        <f t="shared" si="1"/>
        <v>210.57999999999998</v>
      </c>
      <c r="N83">
        <v>0</v>
      </c>
      <c r="O83">
        <v>4000</v>
      </c>
      <c r="P83">
        <v>6000</v>
      </c>
      <c r="Q83">
        <v>0</v>
      </c>
    </row>
    <row r="84" spans="1:17">
      <c r="A84" t="s">
        <v>109</v>
      </c>
      <c r="B84" t="s">
        <v>32</v>
      </c>
      <c r="C84">
        <v>6</v>
      </c>
      <c r="D84">
        <v>2021</v>
      </c>
      <c r="E84" s="49" t="s">
        <v>0</v>
      </c>
      <c r="F84" s="49" t="s">
        <v>160</v>
      </c>
      <c r="G84">
        <f>'Baseline (June to Sep)'!G86+'Baseline (June to Sep)'!H86</f>
        <v>20</v>
      </c>
      <c r="H84">
        <f>'Baseline (June to Sep)'!I86</f>
        <v>20</v>
      </c>
      <c r="I84">
        <v>0</v>
      </c>
      <c r="J84">
        <f>G84*Parameters!$B$2*Parameters!$B$5</f>
        <v>42.581999999999994</v>
      </c>
      <c r="K84">
        <f>H84*Parameters!$B$3*Parameters!$B$6</f>
        <v>125.416</v>
      </c>
      <c r="L84">
        <f>I84*Parameters!$B$4*Parameters!$B$7</f>
        <v>0</v>
      </c>
      <c r="M84">
        <f t="shared" si="1"/>
        <v>167.99799999999999</v>
      </c>
      <c r="N84">
        <v>0</v>
      </c>
      <c r="O84">
        <v>2000</v>
      </c>
      <c r="P84">
        <v>6000</v>
      </c>
      <c r="Q84">
        <v>0</v>
      </c>
    </row>
    <row r="85" spans="1:17">
      <c r="A85" t="s">
        <v>110</v>
      </c>
      <c r="B85" t="s">
        <v>21</v>
      </c>
      <c r="C85">
        <v>3</v>
      </c>
      <c r="D85">
        <v>2021</v>
      </c>
      <c r="E85" s="49" t="s">
        <v>0</v>
      </c>
      <c r="F85" s="49" t="s">
        <v>160</v>
      </c>
      <c r="G85">
        <f>'Baseline (June to Sep)'!G87+'Baseline (June to Sep)'!H87</f>
        <v>20</v>
      </c>
      <c r="H85">
        <f>'Baseline (June to Sep)'!I87</f>
        <v>0</v>
      </c>
      <c r="I85">
        <v>0</v>
      </c>
      <c r="J85">
        <f>G85*Parameters!$B$2*Parameters!$B$5</f>
        <v>42.581999999999994</v>
      </c>
      <c r="K85">
        <f>H85*Parameters!$B$3*Parameters!$B$6</f>
        <v>0</v>
      </c>
      <c r="L85">
        <f>I85*Parameters!$B$4*Parameters!$B$7</f>
        <v>0</v>
      </c>
      <c r="M85">
        <f t="shared" si="1"/>
        <v>42.581999999999994</v>
      </c>
      <c r="N85">
        <v>0</v>
      </c>
      <c r="O85">
        <v>2000</v>
      </c>
      <c r="P85">
        <v>0</v>
      </c>
      <c r="Q85">
        <v>0</v>
      </c>
    </row>
    <row r="86" spans="1:17">
      <c r="A86" t="s">
        <v>111</v>
      </c>
      <c r="B86" t="s">
        <v>26</v>
      </c>
      <c r="C86">
        <v>6</v>
      </c>
      <c r="D86">
        <v>2021</v>
      </c>
      <c r="E86" s="49" t="s">
        <v>0</v>
      </c>
      <c r="F86" s="49" t="s">
        <v>160</v>
      </c>
      <c r="G86">
        <f>'Baseline (June to Sep)'!G88+'Baseline (June to Sep)'!H88</f>
        <v>30</v>
      </c>
      <c r="H86">
        <f>'Baseline (June to Sep)'!I88</f>
        <v>0</v>
      </c>
      <c r="I86">
        <v>0</v>
      </c>
      <c r="J86">
        <f>G86*Parameters!$B$2*Parameters!$B$5</f>
        <v>63.87299999999999</v>
      </c>
      <c r="K86">
        <f>H86*Parameters!$B$3*Parameters!$B$6</f>
        <v>0</v>
      </c>
      <c r="L86">
        <f>I86*Parameters!$B$4*Parameters!$B$7</f>
        <v>0</v>
      </c>
      <c r="M86">
        <f t="shared" si="1"/>
        <v>63.87299999999999</v>
      </c>
      <c r="N86">
        <v>0</v>
      </c>
      <c r="O86">
        <v>3000</v>
      </c>
      <c r="P86">
        <v>0</v>
      </c>
      <c r="Q86">
        <v>0</v>
      </c>
    </row>
    <row r="87" spans="1:17">
      <c r="A87" t="s">
        <v>112</v>
      </c>
      <c r="B87" t="s">
        <v>19</v>
      </c>
      <c r="C87">
        <v>7</v>
      </c>
      <c r="D87">
        <v>2021</v>
      </c>
      <c r="E87" s="49" t="s">
        <v>0</v>
      </c>
      <c r="F87" s="49" t="s">
        <v>160</v>
      </c>
      <c r="G87">
        <f>'Baseline (June to Sep)'!G89+'Baseline (June to Sep)'!H89</f>
        <v>0</v>
      </c>
      <c r="H87">
        <f>'Baseline (June to Sep)'!I89</f>
        <v>40</v>
      </c>
      <c r="I87">
        <v>0</v>
      </c>
      <c r="J87">
        <f>G87*Parameters!$B$2*Parameters!$B$5</f>
        <v>0</v>
      </c>
      <c r="K87">
        <f>H87*Parameters!$B$3*Parameters!$B$6</f>
        <v>250.83199999999999</v>
      </c>
      <c r="L87">
        <f>I87*Parameters!$B$4*Parameters!$B$7</f>
        <v>0</v>
      </c>
      <c r="M87">
        <f t="shared" si="1"/>
        <v>250.83199999999999</v>
      </c>
      <c r="N87">
        <v>0</v>
      </c>
      <c r="O87">
        <v>0</v>
      </c>
      <c r="P87">
        <v>12000</v>
      </c>
      <c r="Q87">
        <v>0</v>
      </c>
    </row>
    <row r="88" spans="1:17">
      <c r="A88" t="s">
        <v>113</v>
      </c>
      <c r="B88" t="s">
        <v>26</v>
      </c>
      <c r="C88">
        <v>4</v>
      </c>
      <c r="D88">
        <v>2021</v>
      </c>
      <c r="E88" s="49" t="s">
        <v>0</v>
      </c>
      <c r="F88" s="49" t="s">
        <v>160</v>
      </c>
      <c r="G88">
        <f>'Baseline (June to Sep)'!G90+'Baseline (June to Sep)'!H90</f>
        <v>40</v>
      </c>
      <c r="H88">
        <f>'Baseline (June to Sep)'!I90</f>
        <v>0</v>
      </c>
      <c r="I88">
        <v>0</v>
      </c>
      <c r="J88">
        <f>G88*Parameters!$B$2*Parameters!$B$5</f>
        <v>85.163999999999987</v>
      </c>
      <c r="K88">
        <f>H88*Parameters!$B$3*Parameters!$B$6</f>
        <v>0</v>
      </c>
      <c r="L88">
        <f>I88*Parameters!$B$4*Parameters!$B$7</f>
        <v>0</v>
      </c>
      <c r="M88">
        <f t="shared" si="1"/>
        <v>85.163999999999987</v>
      </c>
      <c r="N88">
        <v>0</v>
      </c>
      <c r="O88">
        <v>4000</v>
      </c>
      <c r="P88">
        <v>0</v>
      </c>
      <c r="Q88">
        <v>0</v>
      </c>
    </row>
    <row r="89" spans="1:17">
      <c r="A89" t="s">
        <v>114</v>
      </c>
      <c r="B89" t="s">
        <v>65</v>
      </c>
      <c r="C89">
        <v>8</v>
      </c>
      <c r="D89">
        <v>2021</v>
      </c>
      <c r="E89" s="49" t="s">
        <v>0</v>
      </c>
      <c r="F89" s="49" t="s">
        <v>160</v>
      </c>
      <c r="G89">
        <f>'Baseline (June to Sep)'!G91+'Baseline (June to Sep)'!H91</f>
        <v>100</v>
      </c>
      <c r="H89">
        <f>'Baseline (June to Sep)'!I91</f>
        <v>0</v>
      </c>
      <c r="I89">
        <v>0</v>
      </c>
      <c r="J89">
        <f>G89*Parameters!$B$2*Parameters!$B$5</f>
        <v>212.90999999999997</v>
      </c>
      <c r="K89">
        <f>H89*Parameters!$B$3*Parameters!$B$6</f>
        <v>0</v>
      </c>
      <c r="L89">
        <f>I89*Parameters!$B$4*Parameters!$B$7</f>
        <v>0</v>
      </c>
      <c r="M89">
        <f t="shared" si="1"/>
        <v>212.90999999999997</v>
      </c>
      <c r="N89">
        <v>0</v>
      </c>
      <c r="O89">
        <v>10000</v>
      </c>
      <c r="P89">
        <v>0</v>
      </c>
      <c r="Q89">
        <v>0</v>
      </c>
    </row>
    <row r="90" spans="1:17">
      <c r="A90" t="s">
        <v>115</v>
      </c>
      <c r="B90" t="s">
        <v>19</v>
      </c>
      <c r="C90">
        <v>8</v>
      </c>
      <c r="D90">
        <v>2021</v>
      </c>
      <c r="E90" s="49" t="s">
        <v>0</v>
      </c>
      <c r="F90" s="49" t="s">
        <v>160</v>
      </c>
      <c r="G90">
        <f>'Baseline (June to Sep)'!G92+'Baseline (June to Sep)'!H92</f>
        <v>60</v>
      </c>
      <c r="H90">
        <f>'Baseline (June to Sep)'!I92</f>
        <v>0</v>
      </c>
      <c r="I90">
        <v>0</v>
      </c>
      <c r="J90">
        <f>G90*Parameters!$B$2*Parameters!$B$5</f>
        <v>127.74599999999998</v>
      </c>
      <c r="K90">
        <f>H90*Parameters!$B$3*Parameters!$B$6</f>
        <v>0</v>
      </c>
      <c r="L90">
        <f>I90*Parameters!$B$4*Parameters!$B$7</f>
        <v>0</v>
      </c>
      <c r="M90">
        <f t="shared" si="1"/>
        <v>127.74599999999998</v>
      </c>
      <c r="N90">
        <v>0</v>
      </c>
      <c r="O90">
        <v>6000</v>
      </c>
      <c r="P90">
        <v>0</v>
      </c>
      <c r="Q90">
        <v>0</v>
      </c>
    </row>
    <row r="91" spans="1:17">
      <c r="A91" t="s">
        <v>116</v>
      </c>
      <c r="B91" t="s">
        <v>21</v>
      </c>
      <c r="C91">
        <v>4</v>
      </c>
      <c r="D91">
        <v>2021</v>
      </c>
      <c r="E91" s="49" t="s">
        <v>0</v>
      </c>
      <c r="F91" s="49" t="s">
        <v>160</v>
      </c>
      <c r="G91">
        <f>'Baseline (June to Sep)'!G93+'Baseline (June to Sep)'!H93</f>
        <v>40</v>
      </c>
      <c r="H91">
        <f>'Baseline (June to Sep)'!I93</f>
        <v>0</v>
      </c>
      <c r="I91">
        <v>0</v>
      </c>
      <c r="J91">
        <f>G91*Parameters!$B$2*Parameters!$B$5</f>
        <v>85.163999999999987</v>
      </c>
      <c r="K91">
        <f>H91*Parameters!$B$3*Parameters!$B$6</f>
        <v>0</v>
      </c>
      <c r="L91">
        <f>I91*Parameters!$B$4*Parameters!$B$7</f>
        <v>0</v>
      </c>
      <c r="M91">
        <f t="shared" si="1"/>
        <v>85.163999999999987</v>
      </c>
      <c r="N91">
        <v>0</v>
      </c>
      <c r="O91">
        <v>4000</v>
      </c>
      <c r="P91">
        <v>0</v>
      </c>
      <c r="Q91">
        <v>0</v>
      </c>
    </row>
    <row r="92" spans="1:17">
      <c r="A92" t="s">
        <v>117</v>
      </c>
      <c r="B92" t="s">
        <v>17</v>
      </c>
      <c r="C92">
        <v>9</v>
      </c>
      <c r="D92">
        <v>2021</v>
      </c>
      <c r="E92" s="49" t="s">
        <v>0</v>
      </c>
      <c r="F92" s="49" t="s">
        <v>160</v>
      </c>
      <c r="G92">
        <f>'Baseline (June to Sep)'!G94+'Baseline (June to Sep)'!H94</f>
        <v>60</v>
      </c>
      <c r="H92">
        <f>'Baseline (June to Sep)'!I94</f>
        <v>20</v>
      </c>
      <c r="I92">
        <v>0</v>
      </c>
      <c r="J92">
        <f>G92*Parameters!$B$2*Parameters!$B$5</f>
        <v>127.74599999999998</v>
      </c>
      <c r="K92">
        <f>H92*Parameters!$B$3*Parameters!$B$6</f>
        <v>125.416</v>
      </c>
      <c r="L92">
        <f>I92*Parameters!$B$4*Parameters!$B$7</f>
        <v>0</v>
      </c>
      <c r="M92">
        <f t="shared" si="1"/>
        <v>253.16199999999998</v>
      </c>
      <c r="N92">
        <v>0</v>
      </c>
      <c r="O92">
        <v>6000</v>
      </c>
      <c r="P92">
        <v>6000</v>
      </c>
      <c r="Q92">
        <v>0</v>
      </c>
    </row>
    <row r="93" spans="1:17">
      <c r="A93" t="s">
        <v>118</v>
      </c>
      <c r="B93" t="s">
        <v>19</v>
      </c>
      <c r="C93">
        <v>4</v>
      </c>
      <c r="D93">
        <v>2021</v>
      </c>
      <c r="E93" s="49" t="s">
        <v>0</v>
      </c>
      <c r="F93" s="49" t="s">
        <v>160</v>
      </c>
      <c r="G93">
        <f>'Baseline (June to Sep)'!G95+'Baseline (June to Sep)'!H95</f>
        <v>40</v>
      </c>
      <c r="H93">
        <f>'Baseline (June to Sep)'!I95</f>
        <v>0</v>
      </c>
      <c r="I93">
        <v>0</v>
      </c>
      <c r="J93">
        <f>G93*Parameters!$B$2*Parameters!$B$5</f>
        <v>85.163999999999987</v>
      </c>
      <c r="K93">
        <f>H93*Parameters!$B$3*Parameters!$B$6</f>
        <v>0</v>
      </c>
      <c r="L93">
        <f>I93*Parameters!$B$4*Parameters!$B$7</f>
        <v>0</v>
      </c>
      <c r="M93">
        <f t="shared" si="1"/>
        <v>85.163999999999987</v>
      </c>
      <c r="N93">
        <v>0</v>
      </c>
      <c r="O93">
        <v>4000</v>
      </c>
      <c r="P93">
        <v>0</v>
      </c>
      <c r="Q93">
        <v>0</v>
      </c>
    </row>
    <row r="94" spans="1:17">
      <c r="A94" t="s">
        <v>119</v>
      </c>
      <c r="B94" t="s">
        <v>40</v>
      </c>
      <c r="C94">
        <v>6</v>
      </c>
      <c r="D94">
        <v>2021</v>
      </c>
      <c r="E94" s="49" t="s">
        <v>0</v>
      </c>
      <c r="F94" s="49" t="s">
        <v>160</v>
      </c>
      <c r="G94">
        <f>'Baseline (June to Sep)'!G96+'Baseline (June to Sep)'!H96</f>
        <v>0</v>
      </c>
      <c r="H94">
        <f>'Baseline (June to Sep)'!I96</f>
        <v>10</v>
      </c>
      <c r="I94">
        <v>0</v>
      </c>
      <c r="J94">
        <f>G94*Parameters!$B$2*Parameters!$B$5</f>
        <v>0</v>
      </c>
      <c r="K94">
        <f>H94*Parameters!$B$3*Parameters!$B$6</f>
        <v>62.707999999999998</v>
      </c>
      <c r="L94">
        <f>I94*Parameters!$B$4*Parameters!$B$7</f>
        <v>0</v>
      </c>
      <c r="M94">
        <f t="shared" si="1"/>
        <v>62.707999999999998</v>
      </c>
      <c r="N94">
        <v>0</v>
      </c>
      <c r="O94">
        <v>0</v>
      </c>
      <c r="P94">
        <v>3000</v>
      </c>
      <c r="Q94">
        <v>0</v>
      </c>
    </row>
    <row r="95" spans="1:17">
      <c r="A95" t="s">
        <v>120</v>
      </c>
      <c r="B95" t="s">
        <v>32</v>
      </c>
      <c r="C95">
        <v>8</v>
      </c>
      <c r="D95">
        <v>2021</v>
      </c>
      <c r="E95" s="49" t="s">
        <v>0</v>
      </c>
      <c r="F95" s="49" t="s">
        <v>160</v>
      </c>
      <c r="G95">
        <f>'Baseline (June to Sep)'!G97+'Baseline (June to Sep)'!H97</f>
        <v>20</v>
      </c>
      <c r="H95">
        <f>'Baseline (June to Sep)'!I97</f>
        <v>20</v>
      </c>
      <c r="I95">
        <v>0</v>
      </c>
      <c r="J95">
        <f>G95*Parameters!$B$2*Parameters!$B$5</f>
        <v>42.581999999999994</v>
      </c>
      <c r="K95">
        <f>H95*Parameters!$B$3*Parameters!$B$6</f>
        <v>125.416</v>
      </c>
      <c r="L95">
        <f>I95*Parameters!$B$4*Parameters!$B$7</f>
        <v>0</v>
      </c>
      <c r="M95">
        <f t="shared" si="1"/>
        <v>167.99799999999999</v>
      </c>
      <c r="N95">
        <v>0</v>
      </c>
      <c r="O95">
        <v>2000</v>
      </c>
      <c r="P95">
        <v>6000</v>
      </c>
      <c r="Q95">
        <v>0</v>
      </c>
    </row>
    <row r="96" spans="1:17">
      <c r="A96" t="s">
        <v>121</v>
      </c>
      <c r="B96" t="s">
        <v>24</v>
      </c>
      <c r="C96">
        <v>5</v>
      </c>
      <c r="D96">
        <v>2021</v>
      </c>
      <c r="E96" s="49" t="s">
        <v>0</v>
      </c>
      <c r="F96" s="49" t="s">
        <v>160</v>
      </c>
      <c r="G96">
        <f>'Baseline (June to Sep)'!G98+'Baseline (June to Sep)'!H98</f>
        <v>40</v>
      </c>
      <c r="H96">
        <f>'Baseline (June to Sep)'!I98</f>
        <v>20</v>
      </c>
      <c r="I96">
        <v>0</v>
      </c>
      <c r="J96">
        <f>G96*Parameters!$B$2*Parameters!$B$5</f>
        <v>85.163999999999987</v>
      </c>
      <c r="K96">
        <f>H96*Parameters!$B$3*Parameters!$B$6</f>
        <v>125.416</v>
      </c>
      <c r="L96">
        <f>I96*Parameters!$B$4*Parameters!$B$7</f>
        <v>0</v>
      </c>
      <c r="M96">
        <f t="shared" si="1"/>
        <v>210.57999999999998</v>
      </c>
      <c r="N96">
        <v>0</v>
      </c>
      <c r="O96">
        <v>4000</v>
      </c>
      <c r="P96">
        <v>6000</v>
      </c>
      <c r="Q96">
        <v>0</v>
      </c>
    </row>
    <row r="97" spans="1:17">
      <c r="A97" t="s">
        <v>122</v>
      </c>
      <c r="B97" t="s">
        <v>26</v>
      </c>
      <c r="C97">
        <v>6</v>
      </c>
      <c r="D97">
        <v>2021</v>
      </c>
      <c r="E97" s="49" t="s">
        <v>0</v>
      </c>
      <c r="F97" s="49" t="s">
        <v>160</v>
      </c>
      <c r="G97">
        <f>'Baseline (June to Sep)'!G99+'Baseline (June to Sep)'!H99</f>
        <v>80</v>
      </c>
      <c r="H97">
        <f>'Baseline (June to Sep)'!I99</f>
        <v>0</v>
      </c>
      <c r="I97">
        <v>0</v>
      </c>
      <c r="J97">
        <f>G97*Parameters!$B$2*Parameters!$B$5</f>
        <v>170.32799999999997</v>
      </c>
      <c r="K97">
        <f>H97*Parameters!$B$3*Parameters!$B$6</f>
        <v>0</v>
      </c>
      <c r="L97">
        <f>I97*Parameters!$B$4*Parameters!$B$7</f>
        <v>0</v>
      </c>
      <c r="M97">
        <f t="shared" si="1"/>
        <v>170.32799999999997</v>
      </c>
      <c r="N97">
        <v>0</v>
      </c>
      <c r="O97">
        <v>8000</v>
      </c>
      <c r="P97">
        <v>0</v>
      </c>
      <c r="Q97">
        <v>0</v>
      </c>
    </row>
    <row r="98" spans="1:17">
      <c r="A98" t="s">
        <v>123</v>
      </c>
      <c r="B98" t="s">
        <v>19</v>
      </c>
      <c r="C98">
        <v>8</v>
      </c>
      <c r="D98">
        <v>2021</v>
      </c>
      <c r="E98" s="49" t="s">
        <v>0</v>
      </c>
      <c r="F98" s="49" t="s">
        <v>160</v>
      </c>
      <c r="G98">
        <f>'Baseline (June to Sep)'!G100+'Baseline (June to Sep)'!H100</f>
        <v>40</v>
      </c>
      <c r="H98">
        <f>'Baseline (June to Sep)'!I100</f>
        <v>5</v>
      </c>
      <c r="I98">
        <v>0</v>
      </c>
      <c r="J98">
        <f>G98*Parameters!$B$2*Parameters!$B$5</f>
        <v>85.163999999999987</v>
      </c>
      <c r="K98">
        <f>H98*Parameters!$B$3*Parameters!$B$6</f>
        <v>31.353999999999999</v>
      </c>
      <c r="L98">
        <f>I98*Parameters!$B$4*Parameters!$B$7</f>
        <v>0</v>
      </c>
      <c r="M98">
        <f t="shared" si="1"/>
        <v>116.51799999999999</v>
      </c>
      <c r="N98">
        <v>0</v>
      </c>
      <c r="O98">
        <v>4000</v>
      </c>
      <c r="P98">
        <v>1500</v>
      </c>
      <c r="Q98">
        <v>0</v>
      </c>
    </row>
    <row r="99" spans="1:17">
      <c r="A99" t="s">
        <v>124</v>
      </c>
      <c r="B99" t="s">
        <v>56</v>
      </c>
      <c r="C99">
        <v>9</v>
      </c>
      <c r="D99">
        <v>2021</v>
      </c>
      <c r="E99" s="49" t="s">
        <v>0</v>
      </c>
      <c r="F99" s="49" t="s">
        <v>160</v>
      </c>
      <c r="G99">
        <f>'Baseline (June to Sep)'!G101+'Baseline (June to Sep)'!H101</f>
        <v>60</v>
      </c>
      <c r="H99">
        <f>'Baseline (June to Sep)'!I101</f>
        <v>40</v>
      </c>
      <c r="I99">
        <v>0</v>
      </c>
      <c r="J99">
        <f>G99*Parameters!$B$2*Parameters!$B$5</f>
        <v>127.74599999999998</v>
      </c>
      <c r="K99">
        <f>H99*Parameters!$B$3*Parameters!$B$6</f>
        <v>250.83199999999999</v>
      </c>
      <c r="L99">
        <f>I99*Parameters!$B$4*Parameters!$B$7</f>
        <v>0</v>
      </c>
      <c r="M99">
        <f t="shared" si="1"/>
        <v>378.57799999999997</v>
      </c>
      <c r="N99">
        <v>0</v>
      </c>
      <c r="O99">
        <v>6000</v>
      </c>
      <c r="P99">
        <v>12000</v>
      </c>
      <c r="Q99">
        <v>0</v>
      </c>
    </row>
    <row r="100" spans="1:17">
      <c r="A100" t="s">
        <v>125</v>
      </c>
      <c r="B100" t="s">
        <v>65</v>
      </c>
      <c r="C100">
        <v>7</v>
      </c>
      <c r="D100">
        <v>2021</v>
      </c>
      <c r="E100" s="49" t="s">
        <v>0</v>
      </c>
      <c r="F100" s="49" t="s">
        <v>160</v>
      </c>
      <c r="G100">
        <f>'Baseline (June to Sep)'!G102+'Baseline (June to Sep)'!H102</f>
        <v>20</v>
      </c>
      <c r="H100">
        <f>'Baseline (June to Sep)'!I102</f>
        <v>20</v>
      </c>
      <c r="I100">
        <v>0</v>
      </c>
      <c r="J100">
        <f>G100*Parameters!$B$2*Parameters!$B$5</f>
        <v>42.581999999999994</v>
      </c>
      <c r="K100">
        <f>H100*Parameters!$B$3*Parameters!$B$6</f>
        <v>125.416</v>
      </c>
      <c r="L100">
        <f>I100*Parameters!$B$4*Parameters!$B$7</f>
        <v>0</v>
      </c>
      <c r="M100">
        <f t="shared" si="1"/>
        <v>167.99799999999999</v>
      </c>
      <c r="N100">
        <v>0</v>
      </c>
      <c r="O100">
        <v>2000</v>
      </c>
      <c r="P100">
        <v>6000</v>
      </c>
      <c r="Q100">
        <v>0</v>
      </c>
    </row>
    <row r="101" spans="1:17">
      <c r="A101" t="s">
        <v>126</v>
      </c>
      <c r="B101" t="s">
        <v>65</v>
      </c>
      <c r="C101">
        <v>6</v>
      </c>
      <c r="D101">
        <v>2021</v>
      </c>
      <c r="E101" s="49" t="s">
        <v>0</v>
      </c>
      <c r="F101" s="49" t="s">
        <v>160</v>
      </c>
      <c r="G101">
        <f>'Baseline (June to Sep)'!G103+'Baseline (June to Sep)'!H103</f>
        <v>40</v>
      </c>
      <c r="H101">
        <f>'Baseline (June to Sep)'!I103</f>
        <v>0</v>
      </c>
      <c r="I101">
        <v>0</v>
      </c>
      <c r="J101">
        <f>G101*Parameters!$B$2*Parameters!$B$5</f>
        <v>85.163999999999987</v>
      </c>
      <c r="K101">
        <f>H101*Parameters!$B$3*Parameters!$B$6</f>
        <v>0</v>
      </c>
      <c r="L101">
        <f>I101*Parameters!$B$4*Parameters!$B$7</f>
        <v>0</v>
      </c>
      <c r="M101">
        <f t="shared" si="1"/>
        <v>85.163999999999987</v>
      </c>
      <c r="N101">
        <v>0</v>
      </c>
      <c r="O101">
        <v>4000</v>
      </c>
      <c r="P101">
        <v>0</v>
      </c>
      <c r="Q101">
        <v>0</v>
      </c>
    </row>
    <row r="102" spans="1:17">
      <c r="A102" t="s">
        <v>16</v>
      </c>
      <c r="B102" t="s">
        <v>17</v>
      </c>
      <c r="C102">
        <v>8</v>
      </c>
      <c r="D102">
        <v>2021</v>
      </c>
      <c r="E102" s="49" t="s">
        <v>1</v>
      </c>
      <c r="F102" s="49" t="s">
        <v>160</v>
      </c>
      <c r="G102">
        <f>'Baseline (June to Sep)'!M4+'Baseline (June to Sep)'!N4</f>
        <v>20</v>
      </c>
      <c r="H102">
        <f>'Baseline (June to Sep)'!O4</f>
        <v>22</v>
      </c>
      <c r="I102">
        <v>0</v>
      </c>
      <c r="J102">
        <f>G102*Parameters!$B$2*Parameters!$B$5</f>
        <v>42.581999999999994</v>
      </c>
      <c r="K102">
        <f>H102*Parameters!$B$3*Parameters!$B$6</f>
        <v>137.95759999999999</v>
      </c>
      <c r="L102">
        <f>I102*Parameters!$B$4*Parameters!$B$7</f>
        <v>0</v>
      </c>
      <c r="M102">
        <f t="shared" si="1"/>
        <v>180.53959999999998</v>
      </c>
      <c r="N102">
        <v>0</v>
      </c>
      <c r="O102">
        <v>2000</v>
      </c>
      <c r="P102">
        <v>6600</v>
      </c>
      <c r="Q102">
        <v>0</v>
      </c>
    </row>
    <row r="103" spans="1:17">
      <c r="A103" t="s">
        <v>18</v>
      </c>
      <c r="B103" t="s">
        <v>19</v>
      </c>
      <c r="C103">
        <v>7</v>
      </c>
      <c r="D103">
        <v>2021</v>
      </c>
      <c r="E103" s="49" t="s">
        <v>1</v>
      </c>
      <c r="F103" s="49" t="s">
        <v>160</v>
      </c>
      <c r="G103">
        <f>'Baseline (June to Sep)'!M5+'Baseline (June to Sep)'!N5</f>
        <v>0</v>
      </c>
      <c r="H103">
        <f>'Baseline (June to Sep)'!O5</f>
        <v>35</v>
      </c>
      <c r="I103">
        <v>0</v>
      </c>
      <c r="J103">
        <f>G103*Parameters!$B$2*Parameters!$B$5</f>
        <v>0</v>
      </c>
      <c r="K103">
        <f>H103*Parameters!$B$3*Parameters!$B$6</f>
        <v>219.47800000000001</v>
      </c>
      <c r="L103">
        <f>I103*Parameters!$B$4*Parameters!$B$7</f>
        <v>0</v>
      </c>
      <c r="M103">
        <f t="shared" si="1"/>
        <v>219.47800000000001</v>
      </c>
      <c r="N103">
        <v>0</v>
      </c>
      <c r="O103">
        <v>0</v>
      </c>
      <c r="P103">
        <v>10500</v>
      </c>
      <c r="Q103">
        <v>0</v>
      </c>
    </row>
    <row r="104" spans="1:17">
      <c r="A104" t="s">
        <v>20</v>
      </c>
      <c r="B104" t="s">
        <v>21</v>
      </c>
      <c r="C104">
        <v>10</v>
      </c>
      <c r="D104">
        <v>2021</v>
      </c>
      <c r="E104" s="49" t="s">
        <v>1</v>
      </c>
      <c r="F104" s="49" t="s">
        <v>160</v>
      </c>
      <c r="G104">
        <f>'Baseline (June to Sep)'!M6+'Baseline (June to Sep)'!N6</f>
        <v>30</v>
      </c>
      <c r="H104">
        <f>'Baseline (June to Sep)'!O6</f>
        <v>28</v>
      </c>
      <c r="I104">
        <v>0</v>
      </c>
      <c r="J104">
        <f>G104*Parameters!$B$2*Parameters!$B$5</f>
        <v>63.87299999999999</v>
      </c>
      <c r="K104">
        <f>H104*Parameters!$B$3*Parameters!$B$6</f>
        <v>175.58240000000001</v>
      </c>
      <c r="L104">
        <f>I104*Parameters!$B$4*Parameters!$B$7</f>
        <v>0</v>
      </c>
      <c r="M104">
        <f t="shared" si="1"/>
        <v>239.4554</v>
      </c>
      <c r="N104">
        <v>0</v>
      </c>
      <c r="O104">
        <v>3000</v>
      </c>
      <c r="P104">
        <v>8400</v>
      </c>
      <c r="Q104">
        <v>0</v>
      </c>
    </row>
    <row r="105" spans="1:17">
      <c r="A105" t="s">
        <v>22</v>
      </c>
      <c r="B105" t="s">
        <v>19</v>
      </c>
      <c r="C105">
        <v>7</v>
      </c>
      <c r="D105">
        <v>2021</v>
      </c>
      <c r="E105" s="49" t="s">
        <v>1</v>
      </c>
      <c r="F105" s="49" t="s">
        <v>160</v>
      </c>
      <c r="G105">
        <f>'Baseline (June to Sep)'!M7+'Baseline (June to Sep)'!N7</f>
        <v>20</v>
      </c>
      <c r="H105">
        <f>'Baseline (June to Sep)'!O7</f>
        <v>10</v>
      </c>
      <c r="I105">
        <v>0</v>
      </c>
      <c r="J105">
        <f>G105*Parameters!$B$2*Parameters!$B$5</f>
        <v>42.581999999999994</v>
      </c>
      <c r="K105">
        <f>H105*Parameters!$B$3*Parameters!$B$6</f>
        <v>62.707999999999998</v>
      </c>
      <c r="L105">
        <f>I105*Parameters!$B$4*Parameters!$B$7</f>
        <v>0</v>
      </c>
      <c r="M105">
        <f t="shared" si="1"/>
        <v>105.28999999999999</v>
      </c>
      <c r="N105">
        <v>0</v>
      </c>
      <c r="O105">
        <v>2000</v>
      </c>
      <c r="P105">
        <v>3000</v>
      </c>
      <c r="Q105">
        <v>0</v>
      </c>
    </row>
    <row r="106" spans="1:17">
      <c r="A106" t="s">
        <v>23</v>
      </c>
      <c r="B106" t="s">
        <v>24</v>
      </c>
      <c r="C106">
        <v>4</v>
      </c>
      <c r="D106">
        <v>2021</v>
      </c>
      <c r="E106" s="49" t="s">
        <v>1</v>
      </c>
      <c r="F106" s="49" t="s">
        <v>160</v>
      </c>
      <c r="G106">
        <f>'Baseline (June to Sep)'!M8+'Baseline (June to Sep)'!N8</f>
        <v>10</v>
      </c>
      <c r="H106">
        <f>'Baseline (June to Sep)'!O8</f>
        <v>15</v>
      </c>
      <c r="I106">
        <v>0</v>
      </c>
      <c r="J106">
        <f>G106*Parameters!$B$2*Parameters!$B$5</f>
        <v>21.290999999999997</v>
      </c>
      <c r="K106">
        <f>H106*Parameters!$B$3*Parameters!$B$6</f>
        <v>94.061999999999998</v>
      </c>
      <c r="L106">
        <f>I106*Parameters!$B$4*Parameters!$B$7</f>
        <v>0</v>
      </c>
      <c r="M106">
        <f t="shared" si="1"/>
        <v>115.35299999999999</v>
      </c>
      <c r="N106">
        <v>0</v>
      </c>
      <c r="O106">
        <v>1000</v>
      </c>
      <c r="P106">
        <v>4500</v>
      </c>
      <c r="Q106">
        <v>0</v>
      </c>
    </row>
    <row r="107" spans="1:17">
      <c r="A107" t="s">
        <v>25</v>
      </c>
      <c r="B107" t="s">
        <v>26</v>
      </c>
      <c r="C107">
        <v>3</v>
      </c>
      <c r="D107">
        <v>2021</v>
      </c>
      <c r="E107" s="49" t="s">
        <v>1</v>
      </c>
      <c r="F107" s="49" t="s">
        <v>160</v>
      </c>
      <c r="G107">
        <f>'Baseline (June to Sep)'!M9+'Baseline (June to Sep)'!N9</f>
        <v>20</v>
      </c>
      <c r="H107">
        <f>'Baseline (June to Sep)'!O9</f>
        <v>10</v>
      </c>
      <c r="I107">
        <v>0</v>
      </c>
      <c r="J107">
        <f>G107*Parameters!$B$2*Parameters!$B$5</f>
        <v>42.581999999999994</v>
      </c>
      <c r="K107">
        <f>H107*Parameters!$B$3*Parameters!$B$6</f>
        <v>62.707999999999998</v>
      </c>
      <c r="L107">
        <f>I107*Parameters!$B$4*Parameters!$B$7</f>
        <v>0</v>
      </c>
      <c r="M107">
        <f t="shared" si="1"/>
        <v>105.28999999999999</v>
      </c>
      <c r="N107">
        <v>0</v>
      </c>
      <c r="O107">
        <v>2000</v>
      </c>
      <c r="P107">
        <v>3000</v>
      </c>
      <c r="Q107">
        <v>0</v>
      </c>
    </row>
    <row r="108" spans="1:17">
      <c r="A108" t="s">
        <v>27</v>
      </c>
      <c r="B108" t="s">
        <v>21</v>
      </c>
      <c r="C108">
        <v>6</v>
      </c>
      <c r="D108">
        <v>2021</v>
      </c>
      <c r="E108" s="49" t="s">
        <v>1</v>
      </c>
      <c r="F108" s="49" t="s">
        <v>160</v>
      </c>
      <c r="G108">
        <f>'Baseline (June to Sep)'!M10+'Baseline (June to Sep)'!N10</f>
        <v>40</v>
      </c>
      <c r="H108">
        <f>'Baseline (June to Sep)'!O10</f>
        <v>40</v>
      </c>
      <c r="I108">
        <v>0</v>
      </c>
      <c r="J108">
        <f>G108*Parameters!$B$2*Parameters!$B$5</f>
        <v>85.163999999999987</v>
      </c>
      <c r="K108">
        <f>H108*Parameters!$B$3*Parameters!$B$6</f>
        <v>250.83199999999999</v>
      </c>
      <c r="L108">
        <f>I108*Parameters!$B$4*Parameters!$B$7</f>
        <v>0</v>
      </c>
      <c r="M108">
        <f t="shared" si="1"/>
        <v>335.99599999999998</v>
      </c>
      <c r="N108">
        <v>0</v>
      </c>
      <c r="O108">
        <v>4000</v>
      </c>
      <c r="P108">
        <v>12000</v>
      </c>
      <c r="Q108">
        <v>0</v>
      </c>
    </row>
    <row r="109" spans="1:17">
      <c r="A109" t="s">
        <v>28</v>
      </c>
      <c r="B109" t="s">
        <v>19</v>
      </c>
      <c r="C109">
        <v>9</v>
      </c>
      <c r="D109">
        <v>2021</v>
      </c>
      <c r="E109" s="49" t="s">
        <v>1</v>
      </c>
      <c r="F109" s="49" t="s">
        <v>160</v>
      </c>
      <c r="G109">
        <f>'Baseline (June to Sep)'!M11+'Baseline (June to Sep)'!N11</f>
        <v>20</v>
      </c>
      <c r="H109">
        <f>'Baseline (June to Sep)'!O11</f>
        <v>40</v>
      </c>
      <c r="I109">
        <v>0</v>
      </c>
      <c r="J109">
        <f>G109*Parameters!$B$2*Parameters!$B$5</f>
        <v>42.581999999999994</v>
      </c>
      <c r="K109">
        <f>H109*Parameters!$B$3*Parameters!$B$6</f>
        <v>250.83199999999999</v>
      </c>
      <c r="L109">
        <f>I109*Parameters!$B$4*Parameters!$B$7</f>
        <v>0</v>
      </c>
      <c r="M109">
        <f t="shared" si="1"/>
        <v>293.41399999999999</v>
      </c>
      <c r="N109">
        <v>0</v>
      </c>
      <c r="O109">
        <v>2000</v>
      </c>
      <c r="P109">
        <v>12000</v>
      </c>
      <c r="Q109">
        <v>0</v>
      </c>
    </row>
    <row r="110" spans="1:17">
      <c r="A110" t="s">
        <v>29</v>
      </c>
      <c r="B110" t="s">
        <v>24</v>
      </c>
      <c r="C110">
        <v>4</v>
      </c>
      <c r="D110">
        <v>2021</v>
      </c>
      <c r="E110" s="49" t="s">
        <v>1</v>
      </c>
      <c r="F110" s="49" t="s">
        <v>160</v>
      </c>
      <c r="G110">
        <f>'Baseline (June to Sep)'!M12+'Baseline (June to Sep)'!N12</f>
        <v>10</v>
      </c>
      <c r="H110">
        <f>'Baseline (June to Sep)'!O12</f>
        <v>40</v>
      </c>
      <c r="I110">
        <v>0</v>
      </c>
      <c r="J110">
        <f>G110*Parameters!$B$2*Parameters!$B$5</f>
        <v>21.290999999999997</v>
      </c>
      <c r="K110">
        <f>H110*Parameters!$B$3*Parameters!$B$6</f>
        <v>250.83199999999999</v>
      </c>
      <c r="L110">
        <f>I110*Parameters!$B$4*Parameters!$B$7</f>
        <v>0</v>
      </c>
      <c r="M110">
        <f t="shared" si="1"/>
        <v>272.12299999999999</v>
      </c>
      <c r="N110">
        <v>0</v>
      </c>
      <c r="O110">
        <v>1000</v>
      </c>
      <c r="P110">
        <v>12000</v>
      </c>
      <c r="Q110">
        <v>0</v>
      </c>
    </row>
    <row r="111" spans="1:17">
      <c r="A111" t="s">
        <v>30</v>
      </c>
      <c r="B111" t="s">
        <v>21</v>
      </c>
      <c r="C111">
        <v>6</v>
      </c>
      <c r="D111">
        <v>2021</v>
      </c>
      <c r="E111" s="49" t="s">
        <v>1</v>
      </c>
      <c r="F111" s="49" t="s">
        <v>160</v>
      </c>
      <c r="G111">
        <f>'Baseline (June to Sep)'!M13+'Baseline (June to Sep)'!N13</f>
        <v>20</v>
      </c>
      <c r="H111">
        <f>'Baseline (June to Sep)'!O13</f>
        <v>38</v>
      </c>
      <c r="I111">
        <v>0</v>
      </c>
      <c r="J111">
        <f>G111*Parameters!$B$2*Parameters!$B$5</f>
        <v>42.581999999999994</v>
      </c>
      <c r="K111">
        <f>H111*Parameters!$B$3*Parameters!$B$6</f>
        <v>238.29040000000001</v>
      </c>
      <c r="L111">
        <f>I111*Parameters!$B$4*Parameters!$B$7</f>
        <v>0</v>
      </c>
      <c r="M111">
        <f t="shared" si="1"/>
        <v>280.87239999999997</v>
      </c>
      <c r="N111">
        <v>0</v>
      </c>
      <c r="O111">
        <v>2000</v>
      </c>
      <c r="P111">
        <v>11400</v>
      </c>
      <c r="Q111">
        <v>0</v>
      </c>
    </row>
    <row r="112" spans="1:17">
      <c r="A112" t="s">
        <v>31</v>
      </c>
      <c r="B112" t="s">
        <v>32</v>
      </c>
      <c r="C112">
        <v>4</v>
      </c>
      <c r="D112">
        <v>2021</v>
      </c>
      <c r="E112" s="49" t="s">
        <v>1</v>
      </c>
      <c r="F112" s="49" t="s">
        <v>160</v>
      </c>
      <c r="G112">
        <f>'Baseline (June to Sep)'!M14+'Baseline (June to Sep)'!N14</f>
        <v>55</v>
      </c>
      <c r="H112">
        <f>'Baseline (June to Sep)'!O14</f>
        <v>10</v>
      </c>
      <c r="I112">
        <v>0</v>
      </c>
      <c r="J112">
        <f>G112*Parameters!$B$2*Parameters!$B$5</f>
        <v>117.10049999999998</v>
      </c>
      <c r="K112">
        <f>H112*Parameters!$B$3*Parameters!$B$6</f>
        <v>62.707999999999998</v>
      </c>
      <c r="L112">
        <f>I112*Parameters!$B$4*Parameters!$B$7</f>
        <v>0</v>
      </c>
      <c r="M112">
        <f t="shared" si="1"/>
        <v>179.80849999999998</v>
      </c>
      <c r="N112">
        <v>0</v>
      </c>
      <c r="O112">
        <v>5500</v>
      </c>
      <c r="P112">
        <v>3000</v>
      </c>
      <c r="Q112">
        <v>0</v>
      </c>
    </row>
    <row r="113" spans="1:17">
      <c r="A113" t="s">
        <v>33</v>
      </c>
      <c r="B113" t="s">
        <v>32</v>
      </c>
      <c r="C113">
        <v>6</v>
      </c>
      <c r="D113">
        <v>2021</v>
      </c>
      <c r="E113" s="49" t="s">
        <v>1</v>
      </c>
      <c r="F113" s="49" t="s">
        <v>160</v>
      </c>
      <c r="G113">
        <f>'Baseline (June to Sep)'!M15+'Baseline (June to Sep)'!N15</f>
        <v>20</v>
      </c>
      <c r="H113">
        <f>'Baseline (June to Sep)'!O15</f>
        <v>35</v>
      </c>
      <c r="I113">
        <v>0</v>
      </c>
      <c r="J113">
        <f>G113*Parameters!$B$2*Parameters!$B$5</f>
        <v>42.581999999999994</v>
      </c>
      <c r="K113">
        <f>H113*Parameters!$B$3*Parameters!$B$6</f>
        <v>219.47800000000001</v>
      </c>
      <c r="L113">
        <f>I113*Parameters!$B$4*Parameters!$B$7</f>
        <v>0</v>
      </c>
      <c r="M113">
        <f t="shared" si="1"/>
        <v>262.06</v>
      </c>
      <c r="N113">
        <v>0</v>
      </c>
      <c r="O113">
        <v>2000</v>
      </c>
      <c r="P113">
        <v>10500</v>
      </c>
      <c r="Q113">
        <v>0</v>
      </c>
    </row>
    <row r="114" spans="1:17">
      <c r="A114" t="s">
        <v>34</v>
      </c>
      <c r="B114" t="s">
        <v>21</v>
      </c>
      <c r="C114">
        <v>9</v>
      </c>
      <c r="D114">
        <v>2021</v>
      </c>
      <c r="E114" s="49" t="s">
        <v>1</v>
      </c>
      <c r="F114" s="49" t="s">
        <v>160</v>
      </c>
      <c r="G114">
        <f>'Baseline (June to Sep)'!M16+'Baseline (June to Sep)'!N16</f>
        <v>35</v>
      </c>
      <c r="H114">
        <f>'Baseline (June to Sep)'!O16</f>
        <v>0</v>
      </c>
      <c r="I114">
        <v>0</v>
      </c>
      <c r="J114">
        <f>G114*Parameters!$B$2*Parameters!$B$5</f>
        <v>74.518499999999989</v>
      </c>
      <c r="K114">
        <f>H114*Parameters!$B$3*Parameters!$B$6</f>
        <v>0</v>
      </c>
      <c r="L114">
        <f>I114*Parameters!$B$4*Parameters!$B$7</f>
        <v>0</v>
      </c>
      <c r="M114">
        <f t="shared" si="1"/>
        <v>74.518499999999989</v>
      </c>
      <c r="N114">
        <v>0</v>
      </c>
      <c r="O114">
        <v>3500</v>
      </c>
      <c r="P114">
        <v>0</v>
      </c>
      <c r="Q114">
        <v>0</v>
      </c>
    </row>
    <row r="115" spans="1:17">
      <c r="A115" t="s">
        <v>35</v>
      </c>
      <c r="B115" t="s">
        <v>21</v>
      </c>
      <c r="C115">
        <v>6</v>
      </c>
      <c r="D115">
        <v>2021</v>
      </c>
      <c r="E115" s="49" t="s">
        <v>1</v>
      </c>
      <c r="F115" s="49" t="s">
        <v>160</v>
      </c>
      <c r="G115">
        <f>'Baseline (June to Sep)'!M17+'Baseline (June to Sep)'!N17</f>
        <v>20</v>
      </c>
      <c r="H115">
        <f>'Baseline (June to Sep)'!O17</f>
        <v>20</v>
      </c>
      <c r="I115">
        <v>0</v>
      </c>
      <c r="J115">
        <f>G115*Parameters!$B$2*Parameters!$B$5</f>
        <v>42.581999999999994</v>
      </c>
      <c r="K115">
        <f>H115*Parameters!$B$3*Parameters!$B$6</f>
        <v>125.416</v>
      </c>
      <c r="L115">
        <f>I115*Parameters!$B$4*Parameters!$B$7</f>
        <v>0</v>
      </c>
      <c r="M115">
        <f t="shared" si="1"/>
        <v>167.99799999999999</v>
      </c>
      <c r="N115">
        <v>0</v>
      </c>
      <c r="O115">
        <v>2000</v>
      </c>
      <c r="P115">
        <v>6000</v>
      </c>
      <c r="Q115">
        <v>0</v>
      </c>
    </row>
    <row r="116" spans="1:17">
      <c r="A116" t="s">
        <v>36</v>
      </c>
      <c r="B116" t="s">
        <v>21</v>
      </c>
      <c r="C116">
        <v>12</v>
      </c>
      <c r="D116">
        <v>2021</v>
      </c>
      <c r="E116" s="49" t="s">
        <v>1</v>
      </c>
      <c r="F116" s="49" t="s">
        <v>160</v>
      </c>
      <c r="G116">
        <f>'Baseline (June to Sep)'!M18+'Baseline (June to Sep)'!N18</f>
        <v>0</v>
      </c>
      <c r="H116">
        <f>'Baseline (June to Sep)'!O18</f>
        <v>30</v>
      </c>
      <c r="I116">
        <v>0</v>
      </c>
      <c r="J116">
        <f>G116*Parameters!$B$2*Parameters!$B$5</f>
        <v>0</v>
      </c>
      <c r="K116">
        <f>H116*Parameters!$B$3*Parameters!$B$6</f>
        <v>188.124</v>
      </c>
      <c r="L116">
        <f>I116*Parameters!$B$4*Parameters!$B$7</f>
        <v>0</v>
      </c>
      <c r="M116">
        <f t="shared" si="1"/>
        <v>188.124</v>
      </c>
      <c r="N116">
        <v>0</v>
      </c>
      <c r="O116">
        <v>0</v>
      </c>
      <c r="P116">
        <v>9000</v>
      </c>
      <c r="Q116">
        <v>0</v>
      </c>
    </row>
    <row r="117" spans="1:17">
      <c r="A117" t="s">
        <v>37</v>
      </c>
      <c r="B117" t="s">
        <v>38</v>
      </c>
      <c r="C117">
        <v>7</v>
      </c>
      <c r="D117">
        <v>2021</v>
      </c>
      <c r="E117" s="49" t="s">
        <v>1</v>
      </c>
      <c r="F117" s="49" t="s">
        <v>160</v>
      </c>
      <c r="G117">
        <f>'Baseline (June to Sep)'!M19+'Baseline (June to Sep)'!N19</f>
        <v>40</v>
      </c>
      <c r="H117">
        <f>'Baseline (June to Sep)'!O19</f>
        <v>40</v>
      </c>
      <c r="I117">
        <v>0</v>
      </c>
      <c r="J117">
        <f>G117*Parameters!$B$2*Parameters!$B$5</f>
        <v>85.163999999999987</v>
      </c>
      <c r="K117">
        <f>H117*Parameters!$B$3*Parameters!$B$6</f>
        <v>250.83199999999999</v>
      </c>
      <c r="L117">
        <f>I117*Parameters!$B$4*Parameters!$B$7</f>
        <v>0</v>
      </c>
      <c r="M117">
        <f t="shared" si="1"/>
        <v>335.99599999999998</v>
      </c>
      <c r="N117">
        <v>0</v>
      </c>
      <c r="O117">
        <v>4000</v>
      </c>
      <c r="P117">
        <v>12000</v>
      </c>
      <c r="Q117">
        <v>0</v>
      </c>
    </row>
    <row r="118" spans="1:17">
      <c r="A118" t="s">
        <v>39</v>
      </c>
      <c r="B118" t="s">
        <v>40</v>
      </c>
      <c r="C118">
        <v>6</v>
      </c>
      <c r="D118">
        <v>2021</v>
      </c>
      <c r="E118" s="49" t="s">
        <v>1</v>
      </c>
      <c r="F118" s="49" t="s">
        <v>160</v>
      </c>
      <c r="G118">
        <f>'Baseline (June to Sep)'!M20+'Baseline (June to Sep)'!N20</f>
        <v>20</v>
      </c>
      <c r="H118">
        <f>'Baseline (June to Sep)'!O20</f>
        <v>40</v>
      </c>
      <c r="I118">
        <v>0</v>
      </c>
      <c r="J118">
        <f>G118*Parameters!$B$2*Parameters!$B$5</f>
        <v>42.581999999999994</v>
      </c>
      <c r="K118">
        <f>H118*Parameters!$B$3*Parameters!$B$6</f>
        <v>250.83199999999999</v>
      </c>
      <c r="L118">
        <f>I118*Parameters!$B$4*Parameters!$B$7</f>
        <v>0</v>
      </c>
      <c r="M118">
        <f t="shared" si="1"/>
        <v>293.41399999999999</v>
      </c>
      <c r="N118">
        <v>0</v>
      </c>
      <c r="O118">
        <v>2000</v>
      </c>
      <c r="P118">
        <v>12000</v>
      </c>
      <c r="Q118">
        <v>0</v>
      </c>
    </row>
    <row r="119" spans="1:17">
      <c r="A119" t="s">
        <v>41</v>
      </c>
      <c r="B119" t="s">
        <v>26</v>
      </c>
      <c r="C119">
        <v>5</v>
      </c>
      <c r="D119">
        <v>2021</v>
      </c>
      <c r="E119" s="49" t="s">
        <v>1</v>
      </c>
      <c r="F119" s="49" t="s">
        <v>160</v>
      </c>
      <c r="G119">
        <f>'Baseline (June to Sep)'!M21+'Baseline (June to Sep)'!N21</f>
        <v>60</v>
      </c>
      <c r="H119">
        <f>'Baseline (June to Sep)'!O21</f>
        <v>0</v>
      </c>
      <c r="I119">
        <v>0</v>
      </c>
      <c r="J119">
        <f>G119*Parameters!$B$2*Parameters!$B$5</f>
        <v>127.74599999999998</v>
      </c>
      <c r="K119">
        <f>H119*Parameters!$B$3*Parameters!$B$6</f>
        <v>0</v>
      </c>
      <c r="L119">
        <f>I119*Parameters!$B$4*Parameters!$B$7</f>
        <v>0</v>
      </c>
      <c r="M119">
        <f t="shared" si="1"/>
        <v>127.74599999999998</v>
      </c>
      <c r="N119">
        <v>0</v>
      </c>
      <c r="O119">
        <v>6000</v>
      </c>
      <c r="P119">
        <v>0</v>
      </c>
      <c r="Q119">
        <v>0</v>
      </c>
    </row>
    <row r="120" spans="1:17">
      <c r="A120" t="s">
        <v>42</v>
      </c>
      <c r="B120" t="s">
        <v>24</v>
      </c>
      <c r="C120">
        <v>5</v>
      </c>
      <c r="D120">
        <v>2021</v>
      </c>
      <c r="E120" s="49" t="s">
        <v>1</v>
      </c>
      <c r="F120" s="49" t="s">
        <v>160</v>
      </c>
      <c r="G120">
        <f>'Baseline (June to Sep)'!M22+'Baseline (June to Sep)'!N22</f>
        <v>40</v>
      </c>
      <c r="H120">
        <f>'Baseline (June to Sep)'!O22</f>
        <v>0</v>
      </c>
      <c r="I120">
        <v>0</v>
      </c>
      <c r="J120">
        <f>G120*Parameters!$B$2*Parameters!$B$5</f>
        <v>85.163999999999987</v>
      </c>
      <c r="K120">
        <f>H120*Parameters!$B$3*Parameters!$B$6</f>
        <v>0</v>
      </c>
      <c r="L120">
        <f>I120*Parameters!$B$4*Parameters!$B$7</f>
        <v>0</v>
      </c>
      <c r="M120">
        <f t="shared" si="1"/>
        <v>85.163999999999987</v>
      </c>
      <c r="N120">
        <v>0</v>
      </c>
      <c r="O120">
        <v>4000</v>
      </c>
      <c r="P120">
        <v>0</v>
      </c>
      <c r="Q120">
        <v>0</v>
      </c>
    </row>
    <row r="121" spans="1:17">
      <c r="A121" t="s">
        <v>43</v>
      </c>
      <c r="B121" t="s">
        <v>19</v>
      </c>
      <c r="C121">
        <v>8</v>
      </c>
      <c r="D121">
        <v>2021</v>
      </c>
      <c r="E121" s="49" t="s">
        <v>1</v>
      </c>
      <c r="F121" s="49" t="s">
        <v>160</v>
      </c>
      <c r="G121">
        <f>'Baseline (June to Sep)'!M23+'Baseline (June to Sep)'!N23</f>
        <v>20</v>
      </c>
      <c r="H121">
        <f>'Baseline (June to Sep)'!O23</f>
        <v>10</v>
      </c>
      <c r="I121">
        <v>0</v>
      </c>
      <c r="J121">
        <f>G121*Parameters!$B$2*Parameters!$B$5</f>
        <v>42.581999999999994</v>
      </c>
      <c r="K121">
        <f>H121*Parameters!$B$3*Parameters!$B$6</f>
        <v>62.707999999999998</v>
      </c>
      <c r="L121">
        <f>I121*Parameters!$B$4*Parameters!$B$7</f>
        <v>0</v>
      </c>
      <c r="M121">
        <f t="shared" si="1"/>
        <v>105.28999999999999</v>
      </c>
      <c r="N121">
        <v>0</v>
      </c>
      <c r="O121">
        <v>2000</v>
      </c>
      <c r="P121">
        <v>3000</v>
      </c>
      <c r="Q121">
        <v>0</v>
      </c>
    </row>
    <row r="122" spans="1:17">
      <c r="A122" t="s">
        <v>44</v>
      </c>
      <c r="B122" t="s">
        <v>40</v>
      </c>
      <c r="C122">
        <v>10</v>
      </c>
      <c r="D122">
        <v>2021</v>
      </c>
      <c r="E122" s="49" t="s">
        <v>1</v>
      </c>
      <c r="F122" s="49" t="s">
        <v>160</v>
      </c>
      <c r="G122">
        <f>'Baseline (June to Sep)'!M24+'Baseline (June to Sep)'!N24</f>
        <v>25</v>
      </c>
      <c r="H122">
        <f>'Baseline (June to Sep)'!O24</f>
        <v>15</v>
      </c>
      <c r="I122">
        <v>0</v>
      </c>
      <c r="J122">
        <f>G122*Parameters!$B$2*Parameters!$B$5</f>
        <v>53.227499999999992</v>
      </c>
      <c r="K122">
        <f>H122*Parameters!$B$3*Parameters!$B$6</f>
        <v>94.061999999999998</v>
      </c>
      <c r="L122">
        <f>I122*Parameters!$B$4*Parameters!$B$7</f>
        <v>0</v>
      </c>
      <c r="M122">
        <f t="shared" si="1"/>
        <v>147.28949999999998</v>
      </c>
      <c r="N122">
        <v>0</v>
      </c>
      <c r="O122">
        <v>2500</v>
      </c>
      <c r="P122">
        <v>4500</v>
      </c>
      <c r="Q122">
        <v>0</v>
      </c>
    </row>
    <row r="123" spans="1:17">
      <c r="A123" t="s">
        <v>45</v>
      </c>
      <c r="B123" t="s">
        <v>24</v>
      </c>
      <c r="C123">
        <v>8</v>
      </c>
      <c r="D123">
        <v>2021</v>
      </c>
      <c r="E123" s="49" t="s">
        <v>1</v>
      </c>
      <c r="F123" s="49" t="s">
        <v>160</v>
      </c>
      <c r="G123">
        <f>'Baseline (June to Sep)'!M25+'Baseline (June to Sep)'!N25</f>
        <v>10</v>
      </c>
      <c r="H123">
        <f>'Baseline (June to Sep)'!O25</f>
        <v>20</v>
      </c>
      <c r="I123">
        <v>0</v>
      </c>
      <c r="J123">
        <f>G123*Parameters!$B$2*Parameters!$B$5</f>
        <v>21.290999999999997</v>
      </c>
      <c r="K123">
        <f>H123*Parameters!$B$3*Parameters!$B$6</f>
        <v>125.416</v>
      </c>
      <c r="L123">
        <f>I123*Parameters!$B$4*Parameters!$B$7</f>
        <v>0</v>
      </c>
      <c r="M123">
        <f t="shared" si="1"/>
        <v>146.70699999999999</v>
      </c>
      <c r="N123">
        <v>0</v>
      </c>
      <c r="O123">
        <v>1000</v>
      </c>
      <c r="P123">
        <v>6000</v>
      </c>
      <c r="Q123">
        <v>0</v>
      </c>
    </row>
    <row r="124" spans="1:17">
      <c r="A124" t="s">
        <v>46</v>
      </c>
      <c r="B124" t="s">
        <v>24</v>
      </c>
      <c r="C124">
        <v>4</v>
      </c>
      <c r="D124">
        <v>2021</v>
      </c>
      <c r="E124" s="49" t="s">
        <v>1</v>
      </c>
      <c r="F124" s="49" t="s">
        <v>160</v>
      </c>
      <c r="G124">
        <f>'Baseline (June to Sep)'!M26+'Baseline (June to Sep)'!N26</f>
        <v>20</v>
      </c>
      <c r="H124">
        <f>'Baseline (June to Sep)'!O26</f>
        <v>10</v>
      </c>
      <c r="I124">
        <v>0</v>
      </c>
      <c r="J124">
        <f>G124*Parameters!$B$2*Parameters!$B$5</f>
        <v>42.581999999999994</v>
      </c>
      <c r="K124">
        <f>H124*Parameters!$B$3*Parameters!$B$6</f>
        <v>62.707999999999998</v>
      </c>
      <c r="L124">
        <f>I124*Parameters!$B$4*Parameters!$B$7</f>
        <v>0</v>
      </c>
      <c r="M124">
        <f t="shared" si="1"/>
        <v>105.28999999999999</v>
      </c>
      <c r="N124">
        <v>0</v>
      </c>
      <c r="O124">
        <v>2000</v>
      </c>
      <c r="P124">
        <v>3000</v>
      </c>
      <c r="Q124">
        <v>0</v>
      </c>
    </row>
    <row r="125" spans="1:17">
      <c r="A125" t="s">
        <v>47</v>
      </c>
      <c r="B125" t="s">
        <v>19</v>
      </c>
      <c r="C125">
        <v>6</v>
      </c>
      <c r="D125">
        <v>2021</v>
      </c>
      <c r="E125" s="49" t="s">
        <v>1</v>
      </c>
      <c r="F125" s="49" t="s">
        <v>160</v>
      </c>
      <c r="G125">
        <f>'Baseline (June to Sep)'!M27+'Baseline (June to Sep)'!N27</f>
        <v>0</v>
      </c>
      <c r="H125">
        <f>'Baseline (June to Sep)'!O27</f>
        <v>35</v>
      </c>
      <c r="I125">
        <v>0</v>
      </c>
      <c r="J125">
        <f>G125*Parameters!$B$2*Parameters!$B$5</f>
        <v>0</v>
      </c>
      <c r="K125">
        <f>H125*Parameters!$B$3*Parameters!$B$6</f>
        <v>219.47800000000001</v>
      </c>
      <c r="L125">
        <f>I125*Parameters!$B$4*Parameters!$B$7</f>
        <v>0</v>
      </c>
      <c r="M125">
        <f t="shared" si="1"/>
        <v>219.47800000000001</v>
      </c>
      <c r="N125">
        <v>0</v>
      </c>
      <c r="O125">
        <v>0</v>
      </c>
      <c r="P125">
        <v>10500</v>
      </c>
      <c r="Q125">
        <v>0</v>
      </c>
    </row>
    <row r="126" spans="1:17">
      <c r="A126" t="s">
        <v>48</v>
      </c>
      <c r="B126" t="s">
        <v>24</v>
      </c>
      <c r="C126">
        <v>4</v>
      </c>
      <c r="D126">
        <v>2021</v>
      </c>
      <c r="E126" s="49" t="s">
        <v>1</v>
      </c>
      <c r="F126" s="49" t="s">
        <v>160</v>
      </c>
      <c r="G126">
        <f>'Baseline (June to Sep)'!M28+'Baseline (June to Sep)'!N28</f>
        <v>40</v>
      </c>
      <c r="H126">
        <f>'Baseline (June to Sep)'!O28</f>
        <v>10</v>
      </c>
      <c r="I126">
        <v>0</v>
      </c>
      <c r="J126">
        <f>G126*Parameters!$B$2*Parameters!$B$5</f>
        <v>85.163999999999987</v>
      </c>
      <c r="K126">
        <f>H126*Parameters!$B$3*Parameters!$B$6</f>
        <v>62.707999999999998</v>
      </c>
      <c r="L126">
        <f>I126*Parameters!$B$4*Parameters!$B$7</f>
        <v>0</v>
      </c>
      <c r="M126">
        <f t="shared" si="1"/>
        <v>147.87199999999999</v>
      </c>
      <c r="N126">
        <v>0</v>
      </c>
      <c r="O126">
        <v>4000</v>
      </c>
      <c r="P126">
        <v>3000</v>
      </c>
      <c r="Q126">
        <v>0</v>
      </c>
    </row>
    <row r="127" spans="1:17">
      <c r="A127" t="s">
        <v>49</v>
      </c>
      <c r="B127" t="s">
        <v>38</v>
      </c>
      <c r="C127">
        <v>2</v>
      </c>
      <c r="D127">
        <v>2021</v>
      </c>
      <c r="E127" s="49" t="s">
        <v>1</v>
      </c>
      <c r="F127" s="49" t="s">
        <v>160</v>
      </c>
      <c r="G127">
        <f>'Baseline (June to Sep)'!M29+'Baseline (June to Sep)'!N29</f>
        <v>45</v>
      </c>
      <c r="H127">
        <f>'Baseline (June to Sep)'!O29</f>
        <v>0</v>
      </c>
      <c r="I127">
        <v>0</v>
      </c>
      <c r="J127">
        <f>G127*Parameters!$B$2*Parameters!$B$5</f>
        <v>95.809499999999986</v>
      </c>
      <c r="K127">
        <f>H127*Parameters!$B$3*Parameters!$B$6</f>
        <v>0</v>
      </c>
      <c r="L127">
        <f>I127*Parameters!$B$4*Parameters!$B$7</f>
        <v>0</v>
      </c>
      <c r="M127">
        <f t="shared" si="1"/>
        <v>95.809499999999986</v>
      </c>
      <c r="N127">
        <v>0</v>
      </c>
      <c r="O127">
        <v>4500</v>
      </c>
      <c r="P127">
        <v>0</v>
      </c>
      <c r="Q127">
        <v>0</v>
      </c>
    </row>
    <row r="128" spans="1:17">
      <c r="A128" t="s">
        <v>50</v>
      </c>
      <c r="B128" t="s">
        <v>19</v>
      </c>
      <c r="C128">
        <v>8</v>
      </c>
      <c r="D128">
        <v>2021</v>
      </c>
      <c r="E128" s="49" t="s">
        <v>1</v>
      </c>
      <c r="F128" s="49" t="s">
        <v>160</v>
      </c>
      <c r="G128">
        <f>'Baseline (June to Sep)'!M30+'Baseline (June to Sep)'!N30</f>
        <v>20</v>
      </c>
      <c r="H128">
        <f>'Baseline (June to Sep)'!O30</f>
        <v>10</v>
      </c>
      <c r="I128">
        <v>0</v>
      </c>
      <c r="J128">
        <f>G128*Parameters!$B$2*Parameters!$B$5</f>
        <v>42.581999999999994</v>
      </c>
      <c r="K128">
        <f>H128*Parameters!$B$3*Parameters!$B$6</f>
        <v>62.707999999999998</v>
      </c>
      <c r="L128">
        <f>I128*Parameters!$B$4*Parameters!$B$7</f>
        <v>0</v>
      </c>
      <c r="M128">
        <f t="shared" si="1"/>
        <v>105.28999999999999</v>
      </c>
      <c r="N128">
        <v>0</v>
      </c>
      <c r="O128">
        <v>2000</v>
      </c>
      <c r="P128">
        <v>3000</v>
      </c>
      <c r="Q128">
        <v>0</v>
      </c>
    </row>
    <row r="129" spans="1:17">
      <c r="A129" t="s">
        <v>51</v>
      </c>
      <c r="B129" t="s">
        <v>19</v>
      </c>
      <c r="C129">
        <v>6</v>
      </c>
      <c r="D129">
        <v>2021</v>
      </c>
      <c r="E129" s="49" t="s">
        <v>1</v>
      </c>
      <c r="F129" s="49" t="s">
        <v>160</v>
      </c>
      <c r="G129">
        <f>'Baseline (June to Sep)'!M31+'Baseline (June to Sep)'!N31</f>
        <v>20</v>
      </c>
      <c r="H129">
        <f>'Baseline (June to Sep)'!O31</f>
        <v>15</v>
      </c>
      <c r="I129">
        <v>0</v>
      </c>
      <c r="J129">
        <f>G129*Parameters!$B$2*Parameters!$B$5</f>
        <v>42.581999999999994</v>
      </c>
      <c r="K129">
        <f>H129*Parameters!$B$3*Parameters!$B$6</f>
        <v>94.061999999999998</v>
      </c>
      <c r="L129">
        <f>I129*Parameters!$B$4*Parameters!$B$7</f>
        <v>0</v>
      </c>
      <c r="M129">
        <f t="shared" si="1"/>
        <v>136.64400000000001</v>
      </c>
      <c r="N129">
        <v>0</v>
      </c>
      <c r="O129">
        <v>2000</v>
      </c>
      <c r="P129">
        <v>4500</v>
      </c>
      <c r="Q129">
        <v>0</v>
      </c>
    </row>
    <row r="130" spans="1:17">
      <c r="A130" t="s">
        <v>52</v>
      </c>
      <c r="B130" t="s">
        <v>38</v>
      </c>
      <c r="C130">
        <v>12</v>
      </c>
      <c r="D130">
        <v>2021</v>
      </c>
      <c r="E130" s="49" t="s">
        <v>1</v>
      </c>
      <c r="F130" s="49" t="s">
        <v>160</v>
      </c>
      <c r="G130">
        <f>'Baseline (June to Sep)'!M32+'Baseline (June to Sep)'!N32</f>
        <v>40</v>
      </c>
      <c r="H130">
        <f>'Baseline (June to Sep)'!O32</f>
        <v>10</v>
      </c>
      <c r="I130">
        <v>0</v>
      </c>
      <c r="J130">
        <f>G130*Parameters!$B$2*Parameters!$B$5</f>
        <v>85.163999999999987</v>
      </c>
      <c r="K130">
        <f>H130*Parameters!$B$3*Parameters!$B$6</f>
        <v>62.707999999999998</v>
      </c>
      <c r="L130">
        <f>I130*Parameters!$B$4*Parameters!$B$7</f>
        <v>0</v>
      </c>
      <c r="M130">
        <f t="shared" si="1"/>
        <v>147.87199999999999</v>
      </c>
      <c r="N130">
        <v>0</v>
      </c>
      <c r="O130">
        <v>4000</v>
      </c>
      <c r="P130">
        <v>3000</v>
      </c>
      <c r="Q130">
        <v>0</v>
      </c>
    </row>
    <row r="131" spans="1:17">
      <c r="A131" t="s">
        <v>53</v>
      </c>
      <c r="B131" t="s">
        <v>40</v>
      </c>
      <c r="C131">
        <v>8</v>
      </c>
      <c r="D131">
        <v>2021</v>
      </c>
      <c r="E131" s="49" t="s">
        <v>1</v>
      </c>
      <c r="F131" s="49" t="s">
        <v>160</v>
      </c>
      <c r="G131">
        <f>'Baseline (June to Sep)'!M33+'Baseline (June to Sep)'!N33</f>
        <v>60</v>
      </c>
      <c r="H131">
        <f>'Baseline (June to Sep)'!O33</f>
        <v>0</v>
      </c>
      <c r="I131">
        <v>0</v>
      </c>
      <c r="J131">
        <f>G131*Parameters!$B$2*Parameters!$B$5</f>
        <v>127.74599999999998</v>
      </c>
      <c r="K131">
        <f>H131*Parameters!$B$3*Parameters!$B$6</f>
        <v>0</v>
      </c>
      <c r="L131">
        <f>I131*Parameters!$B$4*Parameters!$B$7</f>
        <v>0</v>
      </c>
      <c r="M131">
        <f t="shared" ref="M131:M194" si="2">SUM(J131:L131)</f>
        <v>127.74599999999998</v>
      </c>
      <c r="N131">
        <v>0</v>
      </c>
      <c r="O131">
        <v>6000</v>
      </c>
      <c r="P131">
        <v>0</v>
      </c>
      <c r="Q131">
        <v>0</v>
      </c>
    </row>
    <row r="132" spans="1:17">
      <c r="A132" t="s">
        <v>54</v>
      </c>
      <c r="B132" t="s">
        <v>40</v>
      </c>
      <c r="C132">
        <v>6</v>
      </c>
      <c r="D132">
        <v>2021</v>
      </c>
      <c r="E132" s="49" t="s">
        <v>1</v>
      </c>
      <c r="F132" s="49" t="s">
        <v>160</v>
      </c>
      <c r="G132">
        <f>'Baseline (June to Sep)'!M34+'Baseline (June to Sep)'!N34</f>
        <v>40</v>
      </c>
      <c r="H132">
        <f>'Baseline (June to Sep)'!O34</f>
        <v>0</v>
      </c>
      <c r="I132">
        <v>0</v>
      </c>
      <c r="J132">
        <f>G132*Parameters!$B$2*Parameters!$B$5</f>
        <v>85.163999999999987</v>
      </c>
      <c r="K132">
        <f>H132*Parameters!$B$3*Parameters!$B$6</f>
        <v>0</v>
      </c>
      <c r="L132">
        <f>I132*Parameters!$B$4*Parameters!$B$7</f>
        <v>0</v>
      </c>
      <c r="M132">
        <f t="shared" si="2"/>
        <v>85.163999999999987</v>
      </c>
      <c r="N132">
        <v>0</v>
      </c>
      <c r="O132">
        <v>4000</v>
      </c>
      <c r="P132">
        <v>0</v>
      </c>
      <c r="Q132">
        <v>0</v>
      </c>
    </row>
    <row r="133" spans="1:17">
      <c r="A133" t="s">
        <v>55</v>
      </c>
      <c r="B133" t="s">
        <v>56</v>
      </c>
      <c r="C133">
        <v>4</v>
      </c>
      <c r="D133">
        <v>2021</v>
      </c>
      <c r="E133" s="49" t="s">
        <v>1</v>
      </c>
      <c r="F133" s="49" t="s">
        <v>160</v>
      </c>
      <c r="G133">
        <f>'Baseline (June to Sep)'!M35+'Baseline (June to Sep)'!N35</f>
        <v>40</v>
      </c>
      <c r="H133">
        <f>'Baseline (June to Sep)'!O35</f>
        <v>10</v>
      </c>
      <c r="I133">
        <v>0</v>
      </c>
      <c r="J133">
        <f>G133*Parameters!$B$2*Parameters!$B$5</f>
        <v>85.163999999999987</v>
      </c>
      <c r="K133">
        <f>H133*Parameters!$B$3*Parameters!$B$6</f>
        <v>62.707999999999998</v>
      </c>
      <c r="L133">
        <f>I133*Parameters!$B$4*Parameters!$B$7</f>
        <v>0</v>
      </c>
      <c r="M133">
        <f t="shared" si="2"/>
        <v>147.87199999999999</v>
      </c>
      <c r="N133">
        <v>0</v>
      </c>
      <c r="O133">
        <v>4000</v>
      </c>
      <c r="P133">
        <v>3000</v>
      </c>
      <c r="Q133">
        <v>0</v>
      </c>
    </row>
    <row r="134" spans="1:17">
      <c r="A134" t="s">
        <v>57</v>
      </c>
      <c r="B134" t="s">
        <v>40</v>
      </c>
      <c r="C134">
        <v>4</v>
      </c>
      <c r="D134">
        <v>2021</v>
      </c>
      <c r="E134" s="49" t="s">
        <v>1</v>
      </c>
      <c r="F134" s="49" t="s">
        <v>160</v>
      </c>
      <c r="G134">
        <f>'Baseline (June to Sep)'!M36+'Baseline (June to Sep)'!N36</f>
        <v>40</v>
      </c>
      <c r="H134">
        <f>'Baseline (June to Sep)'!O36</f>
        <v>0</v>
      </c>
      <c r="I134">
        <v>0</v>
      </c>
      <c r="J134">
        <f>G134*Parameters!$B$2*Parameters!$B$5</f>
        <v>85.163999999999987</v>
      </c>
      <c r="K134">
        <f>H134*Parameters!$B$3*Parameters!$B$6</f>
        <v>0</v>
      </c>
      <c r="L134">
        <f>I134*Parameters!$B$4*Parameters!$B$7</f>
        <v>0</v>
      </c>
      <c r="M134">
        <f t="shared" si="2"/>
        <v>85.163999999999987</v>
      </c>
      <c r="N134">
        <v>0</v>
      </c>
      <c r="O134">
        <v>4000</v>
      </c>
      <c r="P134">
        <v>0</v>
      </c>
      <c r="Q134">
        <v>0</v>
      </c>
    </row>
    <row r="135" spans="1:17">
      <c r="A135" t="s">
        <v>58</v>
      </c>
      <c r="B135" t="s">
        <v>26</v>
      </c>
      <c r="C135">
        <v>6</v>
      </c>
      <c r="D135">
        <v>2021</v>
      </c>
      <c r="E135" s="49" t="s">
        <v>1</v>
      </c>
      <c r="F135" s="49" t="s">
        <v>160</v>
      </c>
      <c r="G135">
        <f>'Baseline (June to Sep)'!M37+'Baseline (June to Sep)'!N37</f>
        <v>40</v>
      </c>
      <c r="H135">
        <f>'Baseline (June to Sep)'!O37</f>
        <v>10</v>
      </c>
      <c r="I135">
        <v>0</v>
      </c>
      <c r="J135">
        <f>G135*Parameters!$B$2*Parameters!$B$5</f>
        <v>85.163999999999987</v>
      </c>
      <c r="K135">
        <f>H135*Parameters!$B$3*Parameters!$B$6</f>
        <v>62.707999999999998</v>
      </c>
      <c r="L135">
        <f>I135*Parameters!$B$4*Parameters!$B$7</f>
        <v>0</v>
      </c>
      <c r="M135">
        <f t="shared" si="2"/>
        <v>147.87199999999999</v>
      </c>
      <c r="N135">
        <v>0</v>
      </c>
      <c r="O135">
        <v>4000</v>
      </c>
      <c r="P135">
        <v>3000</v>
      </c>
      <c r="Q135">
        <v>0</v>
      </c>
    </row>
    <row r="136" spans="1:17">
      <c r="A136" t="s">
        <v>59</v>
      </c>
      <c r="B136" t="s">
        <v>26</v>
      </c>
      <c r="C136">
        <v>7</v>
      </c>
      <c r="D136">
        <v>2021</v>
      </c>
      <c r="E136" s="49" t="s">
        <v>1</v>
      </c>
      <c r="F136" s="49" t="s">
        <v>160</v>
      </c>
      <c r="G136">
        <f>'Baseline (June to Sep)'!M38+'Baseline (June to Sep)'!N38</f>
        <v>35</v>
      </c>
      <c r="H136">
        <f>'Baseline (June to Sep)'!O38</f>
        <v>0</v>
      </c>
      <c r="I136">
        <v>0</v>
      </c>
      <c r="J136">
        <f>G136*Parameters!$B$2*Parameters!$B$5</f>
        <v>74.518499999999989</v>
      </c>
      <c r="K136">
        <f>H136*Parameters!$B$3*Parameters!$B$6</f>
        <v>0</v>
      </c>
      <c r="L136">
        <f>I136*Parameters!$B$4*Parameters!$B$7</f>
        <v>0</v>
      </c>
      <c r="M136">
        <f t="shared" si="2"/>
        <v>74.518499999999989</v>
      </c>
      <c r="N136">
        <v>0</v>
      </c>
      <c r="O136">
        <v>3500</v>
      </c>
      <c r="P136">
        <v>0</v>
      </c>
      <c r="Q136">
        <v>0</v>
      </c>
    </row>
    <row r="137" spans="1:17">
      <c r="A137" t="s">
        <v>60</v>
      </c>
      <c r="B137" t="s">
        <v>26</v>
      </c>
      <c r="C137">
        <v>8</v>
      </c>
      <c r="D137">
        <v>2021</v>
      </c>
      <c r="E137" s="49" t="s">
        <v>1</v>
      </c>
      <c r="F137" s="49" t="s">
        <v>160</v>
      </c>
      <c r="G137">
        <f>'Baseline (June to Sep)'!M39+'Baseline (June to Sep)'!N39</f>
        <v>20</v>
      </c>
      <c r="H137">
        <f>'Baseline (June to Sep)'!O39</f>
        <v>10</v>
      </c>
      <c r="I137">
        <v>0</v>
      </c>
      <c r="J137">
        <f>G137*Parameters!$B$2*Parameters!$B$5</f>
        <v>42.581999999999994</v>
      </c>
      <c r="K137">
        <f>H137*Parameters!$B$3*Parameters!$B$6</f>
        <v>62.707999999999998</v>
      </c>
      <c r="L137">
        <f>I137*Parameters!$B$4*Parameters!$B$7</f>
        <v>0</v>
      </c>
      <c r="M137">
        <f t="shared" si="2"/>
        <v>105.28999999999999</v>
      </c>
      <c r="N137">
        <v>0</v>
      </c>
      <c r="O137">
        <v>2000</v>
      </c>
      <c r="P137">
        <v>3000</v>
      </c>
      <c r="Q137">
        <v>0</v>
      </c>
    </row>
    <row r="138" spans="1:17">
      <c r="A138" t="s">
        <v>61</v>
      </c>
      <c r="B138" t="s">
        <v>56</v>
      </c>
      <c r="C138">
        <v>5</v>
      </c>
      <c r="D138">
        <v>2021</v>
      </c>
      <c r="E138" s="49" t="s">
        <v>1</v>
      </c>
      <c r="F138" s="49" t="s">
        <v>160</v>
      </c>
      <c r="G138">
        <f>'Baseline (June to Sep)'!M40+'Baseline (June to Sep)'!N40</f>
        <v>20</v>
      </c>
      <c r="H138">
        <f>'Baseline (June to Sep)'!O40</f>
        <v>5</v>
      </c>
      <c r="I138">
        <v>0</v>
      </c>
      <c r="J138">
        <f>G138*Parameters!$B$2*Parameters!$B$5</f>
        <v>42.581999999999994</v>
      </c>
      <c r="K138">
        <f>H138*Parameters!$B$3*Parameters!$B$6</f>
        <v>31.353999999999999</v>
      </c>
      <c r="L138">
        <f>I138*Parameters!$B$4*Parameters!$B$7</f>
        <v>0</v>
      </c>
      <c r="M138">
        <f t="shared" si="2"/>
        <v>73.935999999999993</v>
      </c>
      <c r="N138">
        <v>0</v>
      </c>
      <c r="O138">
        <v>2000</v>
      </c>
      <c r="P138">
        <v>1500</v>
      </c>
      <c r="Q138">
        <v>0</v>
      </c>
    </row>
    <row r="139" spans="1:17">
      <c r="A139" t="s">
        <v>62</v>
      </c>
      <c r="B139" t="s">
        <v>21</v>
      </c>
      <c r="C139">
        <v>6</v>
      </c>
      <c r="D139">
        <v>2021</v>
      </c>
      <c r="E139" s="49" t="s">
        <v>1</v>
      </c>
      <c r="F139" s="49" t="s">
        <v>160</v>
      </c>
      <c r="G139">
        <f>'Baseline (June to Sep)'!M41+'Baseline (June to Sep)'!N41</f>
        <v>65</v>
      </c>
      <c r="H139">
        <f>'Baseline (June to Sep)'!O41</f>
        <v>0</v>
      </c>
      <c r="I139">
        <v>0</v>
      </c>
      <c r="J139">
        <f>G139*Parameters!$B$2*Parameters!$B$5</f>
        <v>138.39149999999998</v>
      </c>
      <c r="K139">
        <f>H139*Parameters!$B$3*Parameters!$B$6</f>
        <v>0</v>
      </c>
      <c r="L139">
        <f>I139*Parameters!$B$4*Parameters!$B$7</f>
        <v>0</v>
      </c>
      <c r="M139">
        <f t="shared" si="2"/>
        <v>138.39149999999998</v>
      </c>
      <c r="N139">
        <v>0</v>
      </c>
      <c r="O139">
        <v>6500</v>
      </c>
      <c r="P139">
        <v>0</v>
      </c>
      <c r="Q139">
        <v>0</v>
      </c>
    </row>
    <row r="140" spans="1:17">
      <c r="A140" t="s">
        <v>63</v>
      </c>
      <c r="B140" t="s">
        <v>21</v>
      </c>
      <c r="C140">
        <v>9</v>
      </c>
      <c r="D140">
        <v>2021</v>
      </c>
      <c r="E140" s="49" t="s">
        <v>1</v>
      </c>
      <c r="F140" s="49" t="s">
        <v>160</v>
      </c>
      <c r="G140">
        <f>'Baseline (June to Sep)'!M42+'Baseline (June to Sep)'!N42</f>
        <v>40</v>
      </c>
      <c r="H140">
        <f>'Baseline (June to Sep)'!O42</f>
        <v>22</v>
      </c>
      <c r="I140">
        <v>0</v>
      </c>
      <c r="J140">
        <f>G140*Parameters!$B$2*Parameters!$B$5</f>
        <v>85.163999999999987</v>
      </c>
      <c r="K140">
        <f>H140*Parameters!$B$3*Parameters!$B$6</f>
        <v>137.95759999999999</v>
      </c>
      <c r="L140">
        <f>I140*Parameters!$B$4*Parameters!$B$7</f>
        <v>0</v>
      </c>
      <c r="M140">
        <f t="shared" si="2"/>
        <v>223.12159999999997</v>
      </c>
      <c r="N140">
        <v>0</v>
      </c>
      <c r="O140">
        <v>4000</v>
      </c>
      <c r="P140">
        <v>6600</v>
      </c>
      <c r="Q140">
        <v>0</v>
      </c>
    </row>
    <row r="141" spans="1:17">
      <c r="A141" t="s">
        <v>64</v>
      </c>
      <c r="B141" t="s">
        <v>65</v>
      </c>
      <c r="C141">
        <v>3</v>
      </c>
      <c r="D141">
        <v>2021</v>
      </c>
      <c r="E141" s="49" t="s">
        <v>1</v>
      </c>
      <c r="F141" s="49" t="s">
        <v>160</v>
      </c>
      <c r="G141">
        <f>'Baseline (June to Sep)'!M43+'Baseline (June to Sep)'!N43</f>
        <v>25</v>
      </c>
      <c r="H141">
        <f>'Baseline (June to Sep)'!O43</f>
        <v>10</v>
      </c>
      <c r="I141">
        <v>0</v>
      </c>
      <c r="J141">
        <f>G141*Parameters!$B$2*Parameters!$B$5</f>
        <v>53.227499999999992</v>
      </c>
      <c r="K141">
        <f>H141*Parameters!$B$3*Parameters!$B$6</f>
        <v>62.707999999999998</v>
      </c>
      <c r="L141">
        <f>I141*Parameters!$B$4*Parameters!$B$7</f>
        <v>0</v>
      </c>
      <c r="M141">
        <f t="shared" si="2"/>
        <v>115.93549999999999</v>
      </c>
      <c r="N141">
        <v>0</v>
      </c>
      <c r="O141">
        <v>2500</v>
      </c>
      <c r="P141">
        <v>3000</v>
      </c>
      <c r="Q141">
        <v>0</v>
      </c>
    </row>
    <row r="142" spans="1:17">
      <c r="A142" t="s">
        <v>66</v>
      </c>
      <c r="B142" t="s">
        <v>24</v>
      </c>
      <c r="C142">
        <v>4</v>
      </c>
      <c r="D142">
        <v>2021</v>
      </c>
      <c r="E142" s="49" t="s">
        <v>1</v>
      </c>
      <c r="F142" s="49" t="s">
        <v>160</v>
      </c>
      <c r="G142">
        <f>'Baseline (June to Sep)'!M44+'Baseline (June to Sep)'!N44</f>
        <v>10</v>
      </c>
      <c r="H142">
        <f>'Baseline (June to Sep)'!O44</f>
        <v>10</v>
      </c>
      <c r="I142">
        <v>0</v>
      </c>
      <c r="J142">
        <f>G142*Parameters!$B$2*Parameters!$B$5</f>
        <v>21.290999999999997</v>
      </c>
      <c r="K142">
        <f>H142*Parameters!$B$3*Parameters!$B$6</f>
        <v>62.707999999999998</v>
      </c>
      <c r="L142">
        <f>I142*Parameters!$B$4*Parameters!$B$7</f>
        <v>0</v>
      </c>
      <c r="M142">
        <f t="shared" si="2"/>
        <v>83.998999999999995</v>
      </c>
      <c r="N142">
        <v>0</v>
      </c>
      <c r="O142">
        <v>1000</v>
      </c>
      <c r="P142">
        <v>3000</v>
      </c>
      <c r="Q142">
        <v>0</v>
      </c>
    </row>
    <row r="143" spans="1:17">
      <c r="A143" t="s">
        <v>67</v>
      </c>
      <c r="B143" t="s">
        <v>56</v>
      </c>
      <c r="C143">
        <v>6</v>
      </c>
      <c r="D143">
        <v>2021</v>
      </c>
      <c r="E143" s="49" t="s">
        <v>1</v>
      </c>
      <c r="F143" s="49" t="s">
        <v>160</v>
      </c>
      <c r="G143">
        <f>'Baseline (June to Sep)'!M45+'Baseline (June to Sep)'!N45</f>
        <v>25</v>
      </c>
      <c r="H143">
        <f>'Baseline (June to Sep)'!O45</f>
        <v>0</v>
      </c>
      <c r="I143">
        <v>0</v>
      </c>
      <c r="J143">
        <f>G143*Parameters!$B$2*Parameters!$B$5</f>
        <v>53.227499999999992</v>
      </c>
      <c r="K143">
        <f>H143*Parameters!$B$3*Parameters!$B$6</f>
        <v>0</v>
      </c>
      <c r="L143">
        <f>I143*Parameters!$B$4*Parameters!$B$7</f>
        <v>0</v>
      </c>
      <c r="M143">
        <f t="shared" si="2"/>
        <v>53.227499999999992</v>
      </c>
      <c r="N143">
        <v>0</v>
      </c>
      <c r="O143">
        <v>2500</v>
      </c>
      <c r="P143">
        <v>0</v>
      </c>
      <c r="Q143">
        <v>0</v>
      </c>
    </row>
    <row r="144" spans="1:17">
      <c r="A144" t="s">
        <v>68</v>
      </c>
      <c r="B144" t="s">
        <v>21</v>
      </c>
      <c r="C144">
        <v>4</v>
      </c>
      <c r="D144">
        <v>2021</v>
      </c>
      <c r="E144" s="49" t="s">
        <v>1</v>
      </c>
      <c r="F144" s="49" t="s">
        <v>160</v>
      </c>
      <c r="G144">
        <f>'Baseline (June to Sep)'!M46+'Baseline (June to Sep)'!N46</f>
        <v>35</v>
      </c>
      <c r="H144">
        <f>'Baseline (June to Sep)'!O46</f>
        <v>0</v>
      </c>
      <c r="I144">
        <v>0</v>
      </c>
      <c r="J144">
        <f>G144*Parameters!$B$2*Parameters!$B$5</f>
        <v>74.518499999999989</v>
      </c>
      <c r="K144">
        <f>H144*Parameters!$B$3*Parameters!$B$6</f>
        <v>0</v>
      </c>
      <c r="L144">
        <f>I144*Parameters!$B$4*Parameters!$B$7</f>
        <v>0</v>
      </c>
      <c r="M144">
        <f t="shared" si="2"/>
        <v>74.518499999999989</v>
      </c>
      <c r="N144">
        <v>0</v>
      </c>
      <c r="O144">
        <v>3500</v>
      </c>
      <c r="P144">
        <v>0</v>
      </c>
      <c r="Q144">
        <v>0</v>
      </c>
    </row>
    <row r="145" spans="1:17">
      <c r="A145" t="s">
        <v>69</v>
      </c>
      <c r="B145" t="s">
        <v>24</v>
      </c>
      <c r="C145">
        <v>6</v>
      </c>
      <c r="D145">
        <v>2021</v>
      </c>
      <c r="E145" s="49" t="s">
        <v>1</v>
      </c>
      <c r="F145" s="49" t="s">
        <v>160</v>
      </c>
      <c r="G145">
        <f>'Baseline (June to Sep)'!M47+'Baseline (June to Sep)'!N47</f>
        <v>20</v>
      </c>
      <c r="H145">
        <f>'Baseline (June to Sep)'!O47</f>
        <v>10</v>
      </c>
      <c r="I145">
        <v>0</v>
      </c>
      <c r="J145">
        <f>G145*Parameters!$B$2*Parameters!$B$5</f>
        <v>42.581999999999994</v>
      </c>
      <c r="K145">
        <f>H145*Parameters!$B$3*Parameters!$B$6</f>
        <v>62.707999999999998</v>
      </c>
      <c r="L145">
        <f>I145*Parameters!$B$4*Parameters!$B$7</f>
        <v>0</v>
      </c>
      <c r="M145">
        <f t="shared" si="2"/>
        <v>105.28999999999999</v>
      </c>
      <c r="N145">
        <v>0</v>
      </c>
      <c r="O145">
        <v>2000</v>
      </c>
      <c r="P145">
        <v>3000</v>
      </c>
      <c r="Q145">
        <v>0</v>
      </c>
    </row>
    <row r="146" spans="1:17">
      <c r="A146" t="s">
        <v>70</v>
      </c>
      <c r="B146" t="s">
        <v>26</v>
      </c>
      <c r="C146">
        <v>6</v>
      </c>
      <c r="D146">
        <v>2021</v>
      </c>
      <c r="E146" s="49" t="s">
        <v>1</v>
      </c>
      <c r="F146" s="49" t="s">
        <v>160</v>
      </c>
      <c r="G146">
        <f>'Baseline (June to Sep)'!M48+'Baseline (June to Sep)'!N48</f>
        <v>40</v>
      </c>
      <c r="H146">
        <f>'Baseline (June to Sep)'!O48</f>
        <v>0</v>
      </c>
      <c r="I146">
        <v>0</v>
      </c>
      <c r="J146">
        <f>G146*Parameters!$B$2*Parameters!$B$5</f>
        <v>85.163999999999987</v>
      </c>
      <c r="K146">
        <f>H146*Parameters!$B$3*Parameters!$B$6</f>
        <v>0</v>
      </c>
      <c r="L146">
        <f>I146*Parameters!$B$4*Parameters!$B$7</f>
        <v>0</v>
      </c>
      <c r="M146">
        <f t="shared" si="2"/>
        <v>85.163999999999987</v>
      </c>
      <c r="N146">
        <v>0</v>
      </c>
      <c r="O146">
        <v>4000</v>
      </c>
      <c r="P146">
        <v>0</v>
      </c>
      <c r="Q146">
        <v>0</v>
      </c>
    </row>
    <row r="147" spans="1:17">
      <c r="A147" t="s">
        <v>71</v>
      </c>
      <c r="B147" t="s">
        <v>26</v>
      </c>
      <c r="C147">
        <v>5</v>
      </c>
      <c r="D147">
        <v>2021</v>
      </c>
      <c r="E147" s="49" t="s">
        <v>1</v>
      </c>
      <c r="F147" s="49" t="s">
        <v>160</v>
      </c>
      <c r="G147">
        <f>'Baseline (June to Sep)'!M49+'Baseline (June to Sep)'!N49</f>
        <v>60</v>
      </c>
      <c r="H147">
        <f>'Baseline (June to Sep)'!O49</f>
        <v>0</v>
      </c>
      <c r="I147">
        <v>0</v>
      </c>
      <c r="J147">
        <f>G147*Parameters!$B$2*Parameters!$B$5</f>
        <v>127.74599999999998</v>
      </c>
      <c r="K147">
        <f>H147*Parameters!$B$3*Parameters!$B$6</f>
        <v>0</v>
      </c>
      <c r="L147">
        <f>I147*Parameters!$B$4*Parameters!$B$7</f>
        <v>0</v>
      </c>
      <c r="M147">
        <f t="shared" si="2"/>
        <v>127.74599999999998</v>
      </c>
      <c r="N147">
        <v>0</v>
      </c>
      <c r="O147">
        <v>6000</v>
      </c>
      <c r="P147">
        <v>0</v>
      </c>
      <c r="Q147">
        <v>0</v>
      </c>
    </row>
    <row r="148" spans="1:17">
      <c r="A148" t="s">
        <v>72</v>
      </c>
      <c r="B148" t="s">
        <v>26</v>
      </c>
      <c r="C148">
        <v>8</v>
      </c>
      <c r="D148">
        <v>2021</v>
      </c>
      <c r="E148" s="49" t="s">
        <v>1</v>
      </c>
      <c r="F148" s="49" t="s">
        <v>160</v>
      </c>
      <c r="G148">
        <f>'Baseline (June to Sep)'!M50+'Baseline (June to Sep)'!N50</f>
        <v>40</v>
      </c>
      <c r="H148">
        <f>'Baseline (June to Sep)'!O50</f>
        <v>10</v>
      </c>
      <c r="I148">
        <v>0</v>
      </c>
      <c r="J148">
        <f>G148*Parameters!$B$2*Parameters!$B$5</f>
        <v>85.163999999999987</v>
      </c>
      <c r="K148">
        <f>H148*Parameters!$B$3*Parameters!$B$6</f>
        <v>62.707999999999998</v>
      </c>
      <c r="L148">
        <f>I148*Parameters!$B$4*Parameters!$B$7</f>
        <v>0</v>
      </c>
      <c r="M148">
        <f t="shared" si="2"/>
        <v>147.87199999999999</v>
      </c>
      <c r="N148">
        <v>0</v>
      </c>
      <c r="O148">
        <v>4000</v>
      </c>
      <c r="P148">
        <v>3000</v>
      </c>
      <c r="Q148">
        <v>0</v>
      </c>
    </row>
    <row r="149" spans="1:17">
      <c r="A149" t="s">
        <v>73</v>
      </c>
      <c r="B149" t="s">
        <v>17</v>
      </c>
      <c r="C149">
        <v>4</v>
      </c>
      <c r="D149">
        <v>2021</v>
      </c>
      <c r="E149" s="49" t="s">
        <v>1</v>
      </c>
      <c r="F149" s="49" t="s">
        <v>160</v>
      </c>
      <c r="G149">
        <f>'Baseline (June to Sep)'!M51+'Baseline (June to Sep)'!N51</f>
        <v>10</v>
      </c>
      <c r="H149">
        <f>'Baseline (June to Sep)'!O51</f>
        <v>10</v>
      </c>
      <c r="I149">
        <v>0</v>
      </c>
      <c r="J149">
        <f>G149*Parameters!$B$2*Parameters!$B$5</f>
        <v>21.290999999999997</v>
      </c>
      <c r="K149">
        <f>H149*Parameters!$B$3*Parameters!$B$6</f>
        <v>62.707999999999998</v>
      </c>
      <c r="L149">
        <f>I149*Parameters!$B$4*Parameters!$B$7</f>
        <v>0</v>
      </c>
      <c r="M149">
        <f t="shared" si="2"/>
        <v>83.998999999999995</v>
      </c>
      <c r="N149">
        <v>0</v>
      </c>
      <c r="O149">
        <v>1000</v>
      </c>
      <c r="P149">
        <v>3000</v>
      </c>
      <c r="Q149">
        <v>0</v>
      </c>
    </row>
    <row r="150" spans="1:17">
      <c r="A150" t="s">
        <v>74</v>
      </c>
      <c r="B150" t="s">
        <v>65</v>
      </c>
      <c r="C150">
        <v>8</v>
      </c>
      <c r="D150">
        <v>2021</v>
      </c>
      <c r="E150" s="49" t="s">
        <v>1</v>
      </c>
      <c r="F150" s="49" t="s">
        <v>160</v>
      </c>
      <c r="G150">
        <f>'Baseline (June to Sep)'!M52+'Baseline (June to Sep)'!N52</f>
        <v>0</v>
      </c>
      <c r="H150">
        <f>'Baseline (June to Sep)'!O52</f>
        <v>20</v>
      </c>
      <c r="I150">
        <v>0</v>
      </c>
      <c r="J150">
        <f>G150*Parameters!$B$2*Parameters!$B$5</f>
        <v>0</v>
      </c>
      <c r="K150">
        <f>H150*Parameters!$B$3*Parameters!$B$6</f>
        <v>125.416</v>
      </c>
      <c r="L150">
        <f>I150*Parameters!$B$4*Parameters!$B$7</f>
        <v>0</v>
      </c>
      <c r="M150">
        <f t="shared" si="2"/>
        <v>125.416</v>
      </c>
      <c r="N150">
        <v>0</v>
      </c>
      <c r="O150">
        <v>0</v>
      </c>
      <c r="P150">
        <v>6000</v>
      </c>
      <c r="Q150">
        <v>0</v>
      </c>
    </row>
    <row r="151" spans="1:17">
      <c r="A151" t="s">
        <v>75</v>
      </c>
      <c r="B151" t="s">
        <v>24</v>
      </c>
      <c r="C151">
        <v>4</v>
      </c>
      <c r="D151">
        <v>2021</v>
      </c>
      <c r="E151" s="49" t="s">
        <v>1</v>
      </c>
      <c r="F151" s="49" t="s">
        <v>160</v>
      </c>
      <c r="G151">
        <f>'Baseline (June to Sep)'!M53+'Baseline (June to Sep)'!N53</f>
        <v>20</v>
      </c>
      <c r="H151">
        <f>'Baseline (June to Sep)'!O53</f>
        <v>10</v>
      </c>
      <c r="I151">
        <v>0</v>
      </c>
      <c r="J151">
        <f>G151*Parameters!$B$2*Parameters!$B$5</f>
        <v>42.581999999999994</v>
      </c>
      <c r="K151">
        <f>H151*Parameters!$B$3*Parameters!$B$6</f>
        <v>62.707999999999998</v>
      </c>
      <c r="L151">
        <f>I151*Parameters!$B$4*Parameters!$B$7</f>
        <v>0</v>
      </c>
      <c r="M151">
        <f t="shared" si="2"/>
        <v>105.28999999999999</v>
      </c>
      <c r="N151">
        <v>0</v>
      </c>
      <c r="O151">
        <v>2000</v>
      </c>
      <c r="P151">
        <v>3000</v>
      </c>
      <c r="Q151">
        <v>0</v>
      </c>
    </row>
    <row r="152" spans="1:17">
      <c r="A152" t="s">
        <v>76</v>
      </c>
      <c r="B152" t="s">
        <v>56</v>
      </c>
      <c r="C152">
        <v>4</v>
      </c>
      <c r="D152">
        <v>2021</v>
      </c>
      <c r="E152" s="49" t="s">
        <v>1</v>
      </c>
      <c r="F152" s="49" t="s">
        <v>160</v>
      </c>
      <c r="G152">
        <f>'Baseline (June to Sep)'!M54+'Baseline (June to Sep)'!N54</f>
        <v>20</v>
      </c>
      <c r="H152">
        <f>'Baseline (June to Sep)'!O54</f>
        <v>5</v>
      </c>
      <c r="I152">
        <v>0</v>
      </c>
      <c r="J152">
        <f>G152*Parameters!$B$2*Parameters!$B$5</f>
        <v>42.581999999999994</v>
      </c>
      <c r="K152">
        <f>H152*Parameters!$B$3*Parameters!$B$6</f>
        <v>31.353999999999999</v>
      </c>
      <c r="L152">
        <f>I152*Parameters!$B$4*Parameters!$B$7</f>
        <v>0</v>
      </c>
      <c r="M152">
        <f t="shared" si="2"/>
        <v>73.935999999999993</v>
      </c>
      <c r="N152">
        <v>0</v>
      </c>
      <c r="O152">
        <v>2000</v>
      </c>
      <c r="P152">
        <v>1500</v>
      </c>
      <c r="Q152">
        <v>0</v>
      </c>
    </row>
    <row r="153" spans="1:17">
      <c r="A153" t="s">
        <v>77</v>
      </c>
      <c r="B153" t="s">
        <v>40</v>
      </c>
      <c r="C153">
        <v>12</v>
      </c>
      <c r="D153">
        <v>2021</v>
      </c>
      <c r="E153" s="49" t="s">
        <v>1</v>
      </c>
      <c r="F153" s="49" t="s">
        <v>160</v>
      </c>
      <c r="G153">
        <f>'Baseline (June to Sep)'!M55+'Baseline (June to Sep)'!N55</f>
        <v>40</v>
      </c>
      <c r="H153">
        <f>'Baseline (June to Sep)'!O55</f>
        <v>0</v>
      </c>
      <c r="I153">
        <v>0</v>
      </c>
      <c r="J153">
        <f>G153*Parameters!$B$2*Parameters!$B$5</f>
        <v>85.163999999999987</v>
      </c>
      <c r="K153">
        <f>H153*Parameters!$B$3*Parameters!$B$6</f>
        <v>0</v>
      </c>
      <c r="L153">
        <f>I153*Parameters!$B$4*Parameters!$B$7</f>
        <v>0</v>
      </c>
      <c r="M153">
        <f t="shared" si="2"/>
        <v>85.163999999999987</v>
      </c>
      <c r="N153">
        <v>0</v>
      </c>
      <c r="O153">
        <v>4000</v>
      </c>
      <c r="P153">
        <v>0</v>
      </c>
      <c r="Q153">
        <v>0</v>
      </c>
    </row>
    <row r="154" spans="1:17">
      <c r="A154" t="s">
        <v>78</v>
      </c>
      <c r="B154" t="s">
        <v>32</v>
      </c>
      <c r="C154">
        <v>6</v>
      </c>
      <c r="D154">
        <v>2021</v>
      </c>
      <c r="E154" s="49" t="s">
        <v>1</v>
      </c>
      <c r="F154" s="49" t="s">
        <v>160</v>
      </c>
      <c r="G154">
        <f>'Baseline (June to Sep)'!M56+'Baseline (June to Sep)'!N56</f>
        <v>20</v>
      </c>
      <c r="H154">
        <f>'Baseline (June to Sep)'!O56</f>
        <v>0</v>
      </c>
      <c r="I154">
        <v>0</v>
      </c>
      <c r="J154">
        <f>G154*Parameters!$B$2*Parameters!$B$5</f>
        <v>42.581999999999994</v>
      </c>
      <c r="K154">
        <f>H154*Parameters!$B$3*Parameters!$B$6</f>
        <v>0</v>
      </c>
      <c r="L154">
        <f>I154*Parameters!$B$4*Parameters!$B$7</f>
        <v>0</v>
      </c>
      <c r="M154">
        <f t="shared" si="2"/>
        <v>42.581999999999994</v>
      </c>
      <c r="N154">
        <v>0</v>
      </c>
      <c r="O154">
        <v>2000</v>
      </c>
      <c r="P154">
        <v>0</v>
      </c>
      <c r="Q154">
        <v>0</v>
      </c>
    </row>
    <row r="155" spans="1:17">
      <c r="A155" t="s">
        <v>79</v>
      </c>
      <c r="B155" t="s">
        <v>40</v>
      </c>
      <c r="C155">
        <v>4</v>
      </c>
      <c r="D155">
        <v>2021</v>
      </c>
      <c r="E155" s="49" t="s">
        <v>1</v>
      </c>
      <c r="F155" s="49" t="s">
        <v>160</v>
      </c>
      <c r="G155">
        <f>'Baseline (June to Sep)'!M57+'Baseline (June to Sep)'!N57</f>
        <v>40</v>
      </c>
      <c r="H155">
        <f>'Baseline (June to Sep)'!O57</f>
        <v>0</v>
      </c>
      <c r="I155">
        <v>0</v>
      </c>
      <c r="J155">
        <f>G155*Parameters!$B$2*Parameters!$B$5</f>
        <v>85.163999999999987</v>
      </c>
      <c r="K155">
        <f>H155*Parameters!$B$3*Parameters!$B$6</f>
        <v>0</v>
      </c>
      <c r="L155">
        <f>I155*Parameters!$B$4*Parameters!$B$7</f>
        <v>0</v>
      </c>
      <c r="M155">
        <f t="shared" si="2"/>
        <v>85.163999999999987</v>
      </c>
      <c r="N155">
        <v>0</v>
      </c>
      <c r="O155">
        <v>4000</v>
      </c>
      <c r="P155">
        <v>0</v>
      </c>
      <c r="Q155">
        <v>0</v>
      </c>
    </row>
    <row r="156" spans="1:17">
      <c r="A156" t="s">
        <v>80</v>
      </c>
      <c r="B156" t="s">
        <v>26</v>
      </c>
      <c r="C156">
        <v>7</v>
      </c>
      <c r="D156">
        <v>2021</v>
      </c>
      <c r="E156" s="49" t="s">
        <v>1</v>
      </c>
      <c r="F156" s="49" t="s">
        <v>160</v>
      </c>
      <c r="G156">
        <f>'Baseline (June to Sep)'!M58+'Baseline (June to Sep)'!N58</f>
        <v>35</v>
      </c>
      <c r="H156">
        <f>'Baseline (June to Sep)'!O58</f>
        <v>0</v>
      </c>
      <c r="I156">
        <v>0</v>
      </c>
      <c r="J156">
        <f>G156*Parameters!$B$2*Parameters!$B$5</f>
        <v>74.518499999999989</v>
      </c>
      <c r="K156">
        <f>H156*Parameters!$B$3*Parameters!$B$6</f>
        <v>0</v>
      </c>
      <c r="L156">
        <f>I156*Parameters!$B$4*Parameters!$B$7</f>
        <v>0</v>
      </c>
      <c r="M156">
        <f t="shared" si="2"/>
        <v>74.518499999999989</v>
      </c>
      <c r="N156">
        <v>0</v>
      </c>
      <c r="O156">
        <v>3500</v>
      </c>
      <c r="P156">
        <v>0</v>
      </c>
      <c r="Q156">
        <v>0</v>
      </c>
    </row>
    <row r="157" spans="1:17">
      <c r="A157" t="s">
        <v>81</v>
      </c>
      <c r="B157" t="s">
        <v>24</v>
      </c>
      <c r="C157">
        <v>6</v>
      </c>
      <c r="D157">
        <v>2021</v>
      </c>
      <c r="E157" s="49" t="s">
        <v>1</v>
      </c>
      <c r="F157" s="49" t="s">
        <v>160</v>
      </c>
      <c r="G157">
        <f>'Baseline (June to Sep)'!M59+'Baseline (June to Sep)'!N59</f>
        <v>65</v>
      </c>
      <c r="H157">
        <f>'Baseline (June to Sep)'!O59</f>
        <v>0</v>
      </c>
      <c r="I157">
        <v>0</v>
      </c>
      <c r="J157">
        <f>G157*Parameters!$B$2*Parameters!$B$5</f>
        <v>138.39149999999998</v>
      </c>
      <c r="K157">
        <f>H157*Parameters!$B$3*Parameters!$B$6</f>
        <v>0</v>
      </c>
      <c r="L157">
        <f>I157*Parameters!$B$4*Parameters!$B$7</f>
        <v>0</v>
      </c>
      <c r="M157">
        <f t="shared" si="2"/>
        <v>138.39149999999998</v>
      </c>
      <c r="N157">
        <v>0</v>
      </c>
      <c r="O157">
        <v>6500</v>
      </c>
      <c r="P157">
        <v>0</v>
      </c>
      <c r="Q157">
        <v>0</v>
      </c>
    </row>
    <row r="158" spans="1:17">
      <c r="A158" t="s">
        <v>82</v>
      </c>
      <c r="B158" t="s">
        <v>83</v>
      </c>
      <c r="C158">
        <v>4</v>
      </c>
      <c r="D158">
        <v>2021</v>
      </c>
      <c r="E158" s="49" t="s">
        <v>1</v>
      </c>
      <c r="F158" s="49" t="s">
        <v>160</v>
      </c>
      <c r="G158">
        <f>'Baseline (June to Sep)'!M60+'Baseline (June to Sep)'!N60</f>
        <v>60</v>
      </c>
      <c r="H158">
        <f>'Baseline (June to Sep)'!O60</f>
        <v>0</v>
      </c>
      <c r="I158">
        <v>0</v>
      </c>
      <c r="J158">
        <f>G158*Parameters!$B$2*Parameters!$B$5</f>
        <v>127.74599999999998</v>
      </c>
      <c r="K158">
        <f>H158*Parameters!$B$3*Parameters!$B$6</f>
        <v>0</v>
      </c>
      <c r="L158">
        <f>I158*Parameters!$B$4*Parameters!$B$7</f>
        <v>0</v>
      </c>
      <c r="M158">
        <f t="shared" si="2"/>
        <v>127.74599999999998</v>
      </c>
      <c r="N158">
        <v>0</v>
      </c>
      <c r="O158">
        <v>6000</v>
      </c>
      <c r="P158">
        <v>0</v>
      </c>
      <c r="Q158">
        <v>0</v>
      </c>
    </row>
    <row r="159" spans="1:17">
      <c r="A159" t="s">
        <v>84</v>
      </c>
      <c r="B159" t="s">
        <v>26</v>
      </c>
      <c r="C159">
        <v>7</v>
      </c>
      <c r="D159">
        <v>2021</v>
      </c>
      <c r="E159" s="49" t="s">
        <v>1</v>
      </c>
      <c r="F159" s="49" t="s">
        <v>160</v>
      </c>
      <c r="G159">
        <f>'Baseline (June to Sep)'!M61+'Baseline (June to Sep)'!N61</f>
        <v>75</v>
      </c>
      <c r="H159">
        <f>'Baseline (June to Sep)'!O61</f>
        <v>0</v>
      </c>
      <c r="I159">
        <v>0</v>
      </c>
      <c r="J159">
        <f>G159*Parameters!$B$2*Parameters!$B$5</f>
        <v>159.68249999999998</v>
      </c>
      <c r="K159">
        <f>H159*Parameters!$B$3*Parameters!$B$6</f>
        <v>0</v>
      </c>
      <c r="L159">
        <f>I159*Parameters!$B$4*Parameters!$B$7</f>
        <v>0</v>
      </c>
      <c r="M159">
        <f t="shared" si="2"/>
        <v>159.68249999999998</v>
      </c>
      <c r="N159">
        <v>0</v>
      </c>
      <c r="O159">
        <v>7500</v>
      </c>
      <c r="P159">
        <v>0</v>
      </c>
      <c r="Q159">
        <v>0</v>
      </c>
    </row>
    <row r="160" spans="1:17">
      <c r="A160" t="s">
        <v>85</v>
      </c>
      <c r="B160" t="s">
        <v>24</v>
      </c>
      <c r="C160">
        <v>6</v>
      </c>
      <c r="D160">
        <v>2021</v>
      </c>
      <c r="E160" s="49" t="s">
        <v>1</v>
      </c>
      <c r="F160" s="49" t="s">
        <v>160</v>
      </c>
      <c r="G160">
        <f>'Baseline (June to Sep)'!M62+'Baseline (June to Sep)'!N62</f>
        <v>48</v>
      </c>
      <c r="H160">
        <f>'Baseline (June to Sep)'!O62</f>
        <v>0</v>
      </c>
      <c r="I160">
        <v>0</v>
      </c>
      <c r="J160">
        <f>G160*Parameters!$B$2*Parameters!$B$5</f>
        <v>102.19679999999998</v>
      </c>
      <c r="K160">
        <f>H160*Parameters!$B$3*Parameters!$B$6</f>
        <v>0</v>
      </c>
      <c r="L160">
        <f>I160*Parameters!$B$4*Parameters!$B$7</f>
        <v>0</v>
      </c>
      <c r="M160">
        <f t="shared" si="2"/>
        <v>102.19679999999998</v>
      </c>
      <c r="N160">
        <v>0</v>
      </c>
      <c r="O160">
        <v>4800</v>
      </c>
      <c r="P160">
        <v>0</v>
      </c>
      <c r="Q160">
        <v>0</v>
      </c>
    </row>
    <row r="161" spans="1:17">
      <c r="A161" t="s">
        <v>86</v>
      </c>
      <c r="B161" t="s">
        <v>32</v>
      </c>
      <c r="C161">
        <v>4</v>
      </c>
      <c r="D161">
        <v>2021</v>
      </c>
      <c r="E161" s="49" t="s">
        <v>1</v>
      </c>
      <c r="F161" s="49" t="s">
        <v>160</v>
      </c>
      <c r="G161">
        <f>'Baseline (June to Sep)'!M63+'Baseline (June to Sep)'!N63</f>
        <v>20</v>
      </c>
      <c r="H161">
        <f>'Baseline (June to Sep)'!O63</f>
        <v>10</v>
      </c>
      <c r="I161">
        <v>0</v>
      </c>
      <c r="J161">
        <f>G161*Parameters!$B$2*Parameters!$B$5</f>
        <v>42.581999999999994</v>
      </c>
      <c r="K161">
        <f>H161*Parameters!$B$3*Parameters!$B$6</f>
        <v>62.707999999999998</v>
      </c>
      <c r="L161">
        <f>I161*Parameters!$B$4*Parameters!$B$7</f>
        <v>0</v>
      </c>
      <c r="M161">
        <f t="shared" si="2"/>
        <v>105.28999999999999</v>
      </c>
      <c r="N161">
        <v>0</v>
      </c>
      <c r="O161">
        <v>2000</v>
      </c>
      <c r="P161">
        <v>3000</v>
      </c>
      <c r="Q161">
        <v>0</v>
      </c>
    </row>
    <row r="162" spans="1:17">
      <c r="A162" t="s">
        <v>87</v>
      </c>
      <c r="B162" t="s">
        <v>32</v>
      </c>
      <c r="C162">
        <v>8</v>
      </c>
      <c r="D162">
        <v>2021</v>
      </c>
      <c r="E162" s="49" t="s">
        <v>1</v>
      </c>
      <c r="F162" s="49" t="s">
        <v>160</v>
      </c>
      <c r="G162">
        <f>'Baseline (June to Sep)'!M64+'Baseline (June to Sep)'!N64</f>
        <v>15</v>
      </c>
      <c r="H162">
        <f>'Baseline (June to Sep)'!O64</f>
        <v>5</v>
      </c>
      <c r="I162">
        <v>0</v>
      </c>
      <c r="J162">
        <f>G162*Parameters!$B$2*Parameters!$B$5</f>
        <v>31.936499999999995</v>
      </c>
      <c r="K162">
        <f>H162*Parameters!$B$3*Parameters!$B$6</f>
        <v>31.353999999999999</v>
      </c>
      <c r="L162">
        <f>I162*Parameters!$B$4*Parameters!$B$7</f>
        <v>0</v>
      </c>
      <c r="M162">
        <f t="shared" si="2"/>
        <v>63.290499999999994</v>
      </c>
      <c r="N162">
        <v>0</v>
      </c>
      <c r="O162">
        <v>1500</v>
      </c>
      <c r="P162">
        <v>1500</v>
      </c>
      <c r="Q162">
        <v>0</v>
      </c>
    </row>
    <row r="163" spans="1:17">
      <c r="A163" t="s">
        <v>88</v>
      </c>
      <c r="B163" t="s">
        <v>32</v>
      </c>
      <c r="C163">
        <v>7</v>
      </c>
      <c r="D163">
        <v>2021</v>
      </c>
      <c r="E163" s="49" t="s">
        <v>1</v>
      </c>
      <c r="F163" s="49" t="s">
        <v>160</v>
      </c>
      <c r="G163">
        <f>'Baseline (June to Sep)'!M65+'Baseline (June to Sep)'!N65</f>
        <v>20</v>
      </c>
      <c r="H163">
        <f>'Baseline (June to Sep)'!O65</f>
        <v>25</v>
      </c>
      <c r="I163">
        <v>0</v>
      </c>
      <c r="J163">
        <f>G163*Parameters!$B$2*Parameters!$B$5</f>
        <v>42.581999999999994</v>
      </c>
      <c r="K163">
        <f>H163*Parameters!$B$3*Parameters!$B$6</f>
        <v>156.77000000000001</v>
      </c>
      <c r="L163">
        <f>I163*Parameters!$B$4*Parameters!$B$7</f>
        <v>0</v>
      </c>
      <c r="M163">
        <f t="shared" si="2"/>
        <v>199.352</v>
      </c>
      <c r="N163">
        <v>0</v>
      </c>
      <c r="O163">
        <v>2000</v>
      </c>
      <c r="P163">
        <v>7500</v>
      </c>
      <c r="Q163">
        <v>0</v>
      </c>
    </row>
    <row r="164" spans="1:17">
      <c r="A164" t="s">
        <v>89</v>
      </c>
      <c r="B164" t="s">
        <v>65</v>
      </c>
      <c r="C164">
        <v>8</v>
      </c>
      <c r="D164">
        <v>2021</v>
      </c>
      <c r="E164" s="49" t="s">
        <v>1</v>
      </c>
      <c r="F164" s="49" t="s">
        <v>160</v>
      </c>
      <c r="G164">
        <f>'Baseline (June to Sep)'!M66+'Baseline (June to Sep)'!N66</f>
        <v>40</v>
      </c>
      <c r="H164">
        <f>'Baseline (June to Sep)'!O66</f>
        <v>15</v>
      </c>
      <c r="I164">
        <v>0</v>
      </c>
      <c r="J164">
        <f>G164*Parameters!$B$2*Parameters!$B$5</f>
        <v>85.163999999999987</v>
      </c>
      <c r="K164">
        <f>H164*Parameters!$B$3*Parameters!$B$6</f>
        <v>94.061999999999998</v>
      </c>
      <c r="L164">
        <f>I164*Parameters!$B$4*Parameters!$B$7</f>
        <v>0</v>
      </c>
      <c r="M164">
        <f t="shared" si="2"/>
        <v>179.226</v>
      </c>
      <c r="N164">
        <v>0</v>
      </c>
      <c r="O164">
        <v>4000</v>
      </c>
      <c r="P164">
        <v>4500</v>
      </c>
      <c r="Q164">
        <v>0</v>
      </c>
    </row>
    <row r="165" spans="1:17">
      <c r="A165" t="s">
        <v>90</v>
      </c>
      <c r="B165" t="s">
        <v>32</v>
      </c>
      <c r="C165">
        <v>6</v>
      </c>
      <c r="D165">
        <v>2021</v>
      </c>
      <c r="E165" s="49" t="s">
        <v>1</v>
      </c>
      <c r="F165" s="49" t="s">
        <v>160</v>
      </c>
      <c r="G165">
        <f>'Baseline (June to Sep)'!M67+'Baseline (June to Sep)'!N67</f>
        <v>50</v>
      </c>
      <c r="H165">
        <f>'Baseline (June to Sep)'!O67</f>
        <v>0</v>
      </c>
      <c r="I165">
        <v>0</v>
      </c>
      <c r="J165">
        <f>G165*Parameters!$B$2*Parameters!$B$5</f>
        <v>106.45499999999998</v>
      </c>
      <c r="K165">
        <f>H165*Parameters!$B$3*Parameters!$B$6</f>
        <v>0</v>
      </c>
      <c r="L165">
        <f>I165*Parameters!$B$4*Parameters!$B$7</f>
        <v>0</v>
      </c>
      <c r="M165">
        <f t="shared" si="2"/>
        <v>106.45499999999998</v>
      </c>
      <c r="N165">
        <v>0</v>
      </c>
      <c r="O165">
        <v>5000</v>
      </c>
      <c r="P165">
        <v>0</v>
      </c>
      <c r="Q165">
        <v>0</v>
      </c>
    </row>
    <row r="166" spans="1:17">
      <c r="A166" t="s">
        <v>91</v>
      </c>
      <c r="B166" t="s">
        <v>24</v>
      </c>
      <c r="C166">
        <v>6</v>
      </c>
      <c r="D166">
        <v>2021</v>
      </c>
      <c r="E166" s="49" t="s">
        <v>1</v>
      </c>
      <c r="F166" s="49" t="s">
        <v>160</v>
      </c>
      <c r="G166">
        <f>'Baseline (June to Sep)'!M68+'Baseline (June to Sep)'!N68</f>
        <v>35</v>
      </c>
      <c r="H166">
        <f>'Baseline (June to Sep)'!O68</f>
        <v>0</v>
      </c>
      <c r="I166">
        <v>0</v>
      </c>
      <c r="J166">
        <f>G166*Parameters!$B$2*Parameters!$B$5</f>
        <v>74.518499999999989</v>
      </c>
      <c r="K166">
        <f>H166*Parameters!$B$3*Parameters!$B$6</f>
        <v>0</v>
      </c>
      <c r="L166">
        <f>I166*Parameters!$B$4*Parameters!$B$7</f>
        <v>0</v>
      </c>
      <c r="M166">
        <f t="shared" si="2"/>
        <v>74.518499999999989</v>
      </c>
      <c r="N166">
        <v>0</v>
      </c>
      <c r="O166">
        <v>3500</v>
      </c>
      <c r="P166">
        <v>0</v>
      </c>
      <c r="Q166">
        <v>0</v>
      </c>
    </row>
    <row r="167" spans="1:17">
      <c r="A167" t="s">
        <v>92</v>
      </c>
      <c r="B167" t="s">
        <v>17</v>
      </c>
      <c r="C167">
        <v>4</v>
      </c>
      <c r="D167">
        <v>2021</v>
      </c>
      <c r="E167" s="49" t="s">
        <v>1</v>
      </c>
      <c r="F167" s="49" t="s">
        <v>160</v>
      </c>
      <c r="G167">
        <f>'Baseline (June to Sep)'!M69+'Baseline (June to Sep)'!N69</f>
        <v>20</v>
      </c>
      <c r="H167">
        <f>'Baseline (June to Sep)'!O69</f>
        <v>10</v>
      </c>
      <c r="I167">
        <v>0</v>
      </c>
      <c r="J167">
        <f>G167*Parameters!$B$2*Parameters!$B$5</f>
        <v>42.581999999999994</v>
      </c>
      <c r="K167">
        <f>H167*Parameters!$B$3*Parameters!$B$6</f>
        <v>62.707999999999998</v>
      </c>
      <c r="L167">
        <f>I167*Parameters!$B$4*Parameters!$B$7</f>
        <v>0</v>
      </c>
      <c r="M167">
        <f t="shared" si="2"/>
        <v>105.28999999999999</v>
      </c>
      <c r="N167">
        <v>0</v>
      </c>
      <c r="O167">
        <v>2000</v>
      </c>
      <c r="P167">
        <v>3000</v>
      </c>
      <c r="Q167">
        <v>0</v>
      </c>
    </row>
    <row r="168" spans="1:17">
      <c r="A168" t="s">
        <v>93</v>
      </c>
      <c r="B168" t="s">
        <v>19</v>
      </c>
      <c r="C168">
        <v>7</v>
      </c>
      <c r="D168">
        <v>2021</v>
      </c>
      <c r="E168" s="49" t="s">
        <v>1</v>
      </c>
      <c r="F168" s="49" t="s">
        <v>160</v>
      </c>
      <c r="G168">
        <f>'Baseline (June to Sep)'!M70+'Baseline (June to Sep)'!N70</f>
        <v>40</v>
      </c>
      <c r="H168">
        <f>'Baseline (June to Sep)'!O70</f>
        <v>0</v>
      </c>
      <c r="I168">
        <v>0</v>
      </c>
      <c r="J168">
        <f>G168*Parameters!$B$2*Parameters!$B$5</f>
        <v>85.163999999999987</v>
      </c>
      <c r="K168">
        <f>H168*Parameters!$B$3*Parameters!$B$6</f>
        <v>0</v>
      </c>
      <c r="L168">
        <f>I168*Parameters!$B$4*Parameters!$B$7</f>
        <v>0</v>
      </c>
      <c r="M168">
        <f t="shared" si="2"/>
        <v>85.163999999999987</v>
      </c>
      <c r="N168">
        <v>0</v>
      </c>
      <c r="O168">
        <v>4000</v>
      </c>
      <c r="P168">
        <v>0</v>
      </c>
      <c r="Q168">
        <v>0</v>
      </c>
    </row>
    <row r="169" spans="1:17">
      <c r="A169" t="s">
        <v>94</v>
      </c>
      <c r="B169" t="s">
        <v>19</v>
      </c>
      <c r="C169">
        <v>6</v>
      </c>
      <c r="D169">
        <v>2021</v>
      </c>
      <c r="E169" s="49" t="s">
        <v>1</v>
      </c>
      <c r="F169" s="49" t="s">
        <v>160</v>
      </c>
      <c r="G169">
        <f>'Baseline (June to Sep)'!M71+'Baseline (June to Sep)'!N71</f>
        <v>40</v>
      </c>
      <c r="H169">
        <f>'Baseline (June to Sep)'!O71</f>
        <v>0</v>
      </c>
      <c r="I169">
        <v>0</v>
      </c>
      <c r="J169">
        <f>G169*Parameters!$B$2*Parameters!$B$5</f>
        <v>85.163999999999987</v>
      </c>
      <c r="K169">
        <f>H169*Parameters!$B$3*Parameters!$B$6</f>
        <v>0</v>
      </c>
      <c r="L169">
        <f>I169*Parameters!$B$4*Parameters!$B$7</f>
        <v>0</v>
      </c>
      <c r="M169">
        <f t="shared" si="2"/>
        <v>85.163999999999987</v>
      </c>
      <c r="N169">
        <v>0</v>
      </c>
      <c r="O169">
        <v>4000</v>
      </c>
      <c r="P169">
        <v>0</v>
      </c>
      <c r="Q169">
        <v>0</v>
      </c>
    </row>
    <row r="170" spans="1:17">
      <c r="A170" t="s">
        <v>95</v>
      </c>
      <c r="B170" t="s">
        <v>26</v>
      </c>
      <c r="C170">
        <v>8</v>
      </c>
      <c r="D170">
        <v>2021</v>
      </c>
      <c r="E170" s="49" t="s">
        <v>1</v>
      </c>
      <c r="F170" s="49" t="s">
        <v>160</v>
      </c>
      <c r="G170">
        <f>'Baseline (June to Sep)'!M72+'Baseline (June to Sep)'!N72</f>
        <v>54</v>
      </c>
      <c r="H170">
        <f>'Baseline (June to Sep)'!O72</f>
        <v>0</v>
      </c>
      <c r="I170">
        <v>0</v>
      </c>
      <c r="J170">
        <f>G170*Parameters!$B$2*Parameters!$B$5</f>
        <v>114.97139999999999</v>
      </c>
      <c r="K170">
        <f>H170*Parameters!$B$3*Parameters!$B$6</f>
        <v>0</v>
      </c>
      <c r="L170">
        <f>I170*Parameters!$B$4*Parameters!$B$7</f>
        <v>0</v>
      </c>
      <c r="M170">
        <f t="shared" si="2"/>
        <v>114.97139999999999</v>
      </c>
      <c r="N170">
        <v>0</v>
      </c>
      <c r="O170">
        <v>5400</v>
      </c>
      <c r="P170">
        <v>0</v>
      </c>
      <c r="Q170">
        <v>0</v>
      </c>
    </row>
    <row r="171" spans="1:17">
      <c r="A171" t="s">
        <v>96</v>
      </c>
      <c r="B171" t="s">
        <v>19</v>
      </c>
      <c r="C171">
        <v>8</v>
      </c>
      <c r="D171">
        <v>2021</v>
      </c>
      <c r="E171" s="49" t="s">
        <v>1</v>
      </c>
      <c r="F171" s="49" t="s">
        <v>160</v>
      </c>
      <c r="G171">
        <f>'Baseline (June to Sep)'!M73+'Baseline (June to Sep)'!N73</f>
        <v>40</v>
      </c>
      <c r="H171">
        <f>'Baseline (June to Sep)'!O73</f>
        <v>20</v>
      </c>
      <c r="I171">
        <v>0</v>
      </c>
      <c r="J171">
        <f>G171*Parameters!$B$2*Parameters!$B$5</f>
        <v>85.163999999999987</v>
      </c>
      <c r="K171">
        <f>H171*Parameters!$B$3*Parameters!$B$6</f>
        <v>125.416</v>
      </c>
      <c r="L171">
        <f>I171*Parameters!$B$4*Parameters!$B$7</f>
        <v>0</v>
      </c>
      <c r="M171">
        <f t="shared" si="2"/>
        <v>210.57999999999998</v>
      </c>
      <c r="N171">
        <v>0</v>
      </c>
      <c r="O171">
        <v>4000</v>
      </c>
      <c r="P171">
        <v>6000</v>
      </c>
      <c r="Q171">
        <v>0</v>
      </c>
    </row>
    <row r="172" spans="1:17">
      <c r="A172" t="s">
        <v>97</v>
      </c>
      <c r="B172" t="s">
        <v>17</v>
      </c>
      <c r="C172">
        <v>4</v>
      </c>
      <c r="D172">
        <v>2021</v>
      </c>
      <c r="E172" s="49" t="s">
        <v>1</v>
      </c>
      <c r="F172" s="49" t="s">
        <v>160</v>
      </c>
      <c r="G172">
        <f>'Baseline (June to Sep)'!M74+'Baseline (June to Sep)'!N74</f>
        <v>30</v>
      </c>
      <c r="H172">
        <f>'Baseline (June to Sep)'!O74</f>
        <v>0</v>
      </c>
      <c r="I172">
        <v>0</v>
      </c>
      <c r="J172">
        <f>G172*Parameters!$B$2*Parameters!$B$5</f>
        <v>63.87299999999999</v>
      </c>
      <c r="K172">
        <f>H172*Parameters!$B$3*Parameters!$B$6</f>
        <v>0</v>
      </c>
      <c r="L172">
        <f>I172*Parameters!$B$4*Parameters!$B$7</f>
        <v>0</v>
      </c>
      <c r="M172">
        <f t="shared" si="2"/>
        <v>63.87299999999999</v>
      </c>
      <c r="N172">
        <v>0</v>
      </c>
      <c r="O172">
        <v>3000</v>
      </c>
      <c r="P172">
        <v>0</v>
      </c>
      <c r="Q172">
        <v>0</v>
      </c>
    </row>
    <row r="173" spans="1:17">
      <c r="A173" t="s">
        <v>98</v>
      </c>
      <c r="B173" t="s">
        <v>65</v>
      </c>
      <c r="C173">
        <v>5</v>
      </c>
      <c r="D173">
        <v>2021</v>
      </c>
      <c r="E173" s="49" t="s">
        <v>1</v>
      </c>
      <c r="F173" s="49" t="s">
        <v>160</v>
      </c>
      <c r="G173">
        <f>'Baseline (June to Sep)'!M75+'Baseline (June to Sep)'!N75</f>
        <v>25</v>
      </c>
      <c r="H173">
        <f>'Baseline (June to Sep)'!O75</f>
        <v>0</v>
      </c>
      <c r="I173">
        <v>0</v>
      </c>
      <c r="J173">
        <f>G173*Parameters!$B$2*Parameters!$B$5</f>
        <v>53.227499999999992</v>
      </c>
      <c r="K173">
        <f>H173*Parameters!$B$3*Parameters!$B$6</f>
        <v>0</v>
      </c>
      <c r="L173">
        <f>I173*Parameters!$B$4*Parameters!$B$7</f>
        <v>0</v>
      </c>
      <c r="M173">
        <f t="shared" si="2"/>
        <v>53.227499999999992</v>
      </c>
      <c r="N173">
        <v>0</v>
      </c>
      <c r="O173">
        <v>2500</v>
      </c>
      <c r="P173">
        <v>0</v>
      </c>
      <c r="Q173">
        <v>0</v>
      </c>
    </row>
    <row r="174" spans="1:17">
      <c r="A174" t="s">
        <v>99</v>
      </c>
      <c r="B174" t="s">
        <v>32</v>
      </c>
      <c r="C174">
        <v>9</v>
      </c>
      <c r="D174">
        <v>2021</v>
      </c>
      <c r="E174" s="49" t="s">
        <v>1</v>
      </c>
      <c r="F174" s="49" t="s">
        <v>160</v>
      </c>
      <c r="G174">
        <f>'Baseline (June to Sep)'!M76+'Baseline (June to Sep)'!N76</f>
        <v>50</v>
      </c>
      <c r="H174">
        <f>'Baseline (June to Sep)'!O76</f>
        <v>10</v>
      </c>
      <c r="I174">
        <v>0</v>
      </c>
      <c r="J174">
        <f>G174*Parameters!$B$2*Parameters!$B$5</f>
        <v>106.45499999999998</v>
      </c>
      <c r="K174">
        <f>H174*Parameters!$B$3*Parameters!$B$6</f>
        <v>62.707999999999998</v>
      </c>
      <c r="L174">
        <f>I174*Parameters!$B$4*Parameters!$B$7</f>
        <v>0</v>
      </c>
      <c r="M174">
        <f t="shared" si="2"/>
        <v>169.16299999999998</v>
      </c>
      <c r="N174">
        <v>0</v>
      </c>
      <c r="O174">
        <v>5000</v>
      </c>
      <c r="P174">
        <v>3000</v>
      </c>
      <c r="Q174">
        <v>0</v>
      </c>
    </row>
    <row r="175" spans="1:17">
      <c r="A175" t="s">
        <v>100</v>
      </c>
      <c r="B175" t="s">
        <v>40</v>
      </c>
      <c r="C175">
        <v>8</v>
      </c>
      <c r="D175">
        <v>2021</v>
      </c>
      <c r="E175" s="49" t="s">
        <v>1</v>
      </c>
      <c r="F175" s="49" t="s">
        <v>160</v>
      </c>
      <c r="G175">
        <f>'Baseline (June to Sep)'!M77+'Baseline (June to Sep)'!N77</f>
        <v>20</v>
      </c>
      <c r="H175">
        <f>'Baseline (June to Sep)'!O77</f>
        <v>5</v>
      </c>
      <c r="I175">
        <v>0</v>
      </c>
      <c r="J175">
        <f>G175*Parameters!$B$2*Parameters!$B$5</f>
        <v>42.581999999999994</v>
      </c>
      <c r="K175">
        <f>H175*Parameters!$B$3*Parameters!$B$6</f>
        <v>31.353999999999999</v>
      </c>
      <c r="L175">
        <f>I175*Parameters!$B$4*Parameters!$B$7</f>
        <v>0</v>
      </c>
      <c r="M175">
        <f t="shared" si="2"/>
        <v>73.935999999999993</v>
      </c>
      <c r="N175">
        <v>0</v>
      </c>
      <c r="O175">
        <v>2000</v>
      </c>
      <c r="P175">
        <v>1500</v>
      </c>
      <c r="Q175">
        <v>0</v>
      </c>
    </row>
    <row r="176" spans="1:17">
      <c r="A176" t="s">
        <v>101</v>
      </c>
      <c r="B176" t="s">
        <v>38</v>
      </c>
      <c r="C176">
        <v>5</v>
      </c>
      <c r="D176">
        <v>2021</v>
      </c>
      <c r="E176" s="49" t="s">
        <v>1</v>
      </c>
      <c r="F176" s="49" t="s">
        <v>160</v>
      </c>
      <c r="G176">
        <f>'Baseline (June to Sep)'!M78+'Baseline (June to Sep)'!N78</f>
        <v>40</v>
      </c>
      <c r="H176">
        <f>'Baseline (June to Sep)'!O78</f>
        <v>0</v>
      </c>
      <c r="I176">
        <v>0</v>
      </c>
      <c r="J176">
        <f>G176*Parameters!$B$2*Parameters!$B$5</f>
        <v>85.163999999999987</v>
      </c>
      <c r="K176">
        <f>H176*Parameters!$B$3*Parameters!$B$6</f>
        <v>0</v>
      </c>
      <c r="L176">
        <f>I176*Parameters!$B$4*Parameters!$B$7</f>
        <v>0</v>
      </c>
      <c r="M176">
        <f t="shared" si="2"/>
        <v>85.163999999999987</v>
      </c>
      <c r="N176">
        <v>0</v>
      </c>
      <c r="O176">
        <v>4000</v>
      </c>
      <c r="P176">
        <v>0</v>
      </c>
      <c r="Q176">
        <v>0</v>
      </c>
    </row>
    <row r="177" spans="1:17">
      <c r="A177" t="s">
        <v>102</v>
      </c>
      <c r="B177" t="s">
        <v>17</v>
      </c>
      <c r="C177">
        <v>4</v>
      </c>
      <c r="D177">
        <v>2021</v>
      </c>
      <c r="E177" s="49" t="s">
        <v>1</v>
      </c>
      <c r="F177" s="49" t="s">
        <v>160</v>
      </c>
      <c r="G177">
        <f>'Baseline (June to Sep)'!M79+'Baseline (June to Sep)'!N79</f>
        <v>0</v>
      </c>
      <c r="H177">
        <f>'Baseline (June to Sep)'!O79</f>
        <v>20</v>
      </c>
      <c r="I177">
        <v>0</v>
      </c>
      <c r="J177">
        <f>G177*Parameters!$B$2*Parameters!$B$5</f>
        <v>0</v>
      </c>
      <c r="K177">
        <f>H177*Parameters!$B$3*Parameters!$B$6</f>
        <v>125.416</v>
      </c>
      <c r="L177">
        <f>I177*Parameters!$B$4*Parameters!$B$7</f>
        <v>0</v>
      </c>
      <c r="M177">
        <f t="shared" si="2"/>
        <v>125.416</v>
      </c>
      <c r="N177">
        <v>0</v>
      </c>
      <c r="O177">
        <v>0</v>
      </c>
      <c r="P177">
        <v>6000</v>
      </c>
      <c r="Q177">
        <v>0</v>
      </c>
    </row>
    <row r="178" spans="1:17">
      <c r="A178" t="s">
        <v>103</v>
      </c>
      <c r="B178" t="s">
        <v>26</v>
      </c>
      <c r="C178">
        <v>6</v>
      </c>
      <c r="D178">
        <v>2021</v>
      </c>
      <c r="E178" s="49" t="s">
        <v>1</v>
      </c>
      <c r="F178" s="49" t="s">
        <v>160</v>
      </c>
      <c r="G178">
        <f>'Baseline (June to Sep)'!M80+'Baseline (June to Sep)'!N80</f>
        <v>60</v>
      </c>
      <c r="H178">
        <f>'Baseline (June to Sep)'!O80</f>
        <v>0</v>
      </c>
      <c r="I178">
        <v>0</v>
      </c>
      <c r="J178">
        <f>G178*Parameters!$B$2*Parameters!$B$5</f>
        <v>127.74599999999998</v>
      </c>
      <c r="K178">
        <f>H178*Parameters!$B$3*Parameters!$B$6</f>
        <v>0</v>
      </c>
      <c r="L178">
        <f>I178*Parameters!$B$4*Parameters!$B$7</f>
        <v>0</v>
      </c>
      <c r="M178">
        <f t="shared" si="2"/>
        <v>127.74599999999998</v>
      </c>
      <c r="N178">
        <v>0</v>
      </c>
      <c r="O178">
        <v>6000</v>
      </c>
      <c r="P178">
        <v>0</v>
      </c>
      <c r="Q178">
        <v>0</v>
      </c>
    </row>
    <row r="179" spans="1:17">
      <c r="A179" t="s">
        <v>104</v>
      </c>
      <c r="B179" t="s">
        <v>26</v>
      </c>
      <c r="C179">
        <v>7</v>
      </c>
      <c r="D179">
        <v>2021</v>
      </c>
      <c r="E179" s="49" t="s">
        <v>1</v>
      </c>
      <c r="F179" s="49" t="s">
        <v>160</v>
      </c>
      <c r="G179">
        <f>'Baseline (June to Sep)'!M81+'Baseline (June to Sep)'!N81</f>
        <v>50</v>
      </c>
      <c r="H179">
        <f>'Baseline (June to Sep)'!O81</f>
        <v>0</v>
      </c>
      <c r="I179">
        <v>0</v>
      </c>
      <c r="J179">
        <f>G179*Parameters!$B$2*Parameters!$B$5</f>
        <v>106.45499999999998</v>
      </c>
      <c r="K179">
        <f>H179*Parameters!$B$3*Parameters!$B$6</f>
        <v>0</v>
      </c>
      <c r="L179">
        <f>I179*Parameters!$B$4*Parameters!$B$7</f>
        <v>0</v>
      </c>
      <c r="M179">
        <f t="shared" si="2"/>
        <v>106.45499999999998</v>
      </c>
      <c r="N179">
        <v>0</v>
      </c>
      <c r="O179">
        <v>5000</v>
      </c>
      <c r="P179">
        <v>0</v>
      </c>
      <c r="Q179">
        <v>0</v>
      </c>
    </row>
    <row r="180" spans="1:17">
      <c r="A180" t="s">
        <v>105</v>
      </c>
      <c r="B180" t="s">
        <v>21</v>
      </c>
      <c r="C180">
        <v>5</v>
      </c>
      <c r="D180">
        <v>2021</v>
      </c>
      <c r="E180" s="49" t="s">
        <v>1</v>
      </c>
      <c r="F180" s="49" t="s">
        <v>160</v>
      </c>
      <c r="G180">
        <f>'Baseline (June to Sep)'!M82+'Baseline (June to Sep)'!N82</f>
        <v>35</v>
      </c>
      <c r="H180">
        <f>'Baseline (June to Sep)'!O82</f>
        <v>0</v>
      </c>
      <c r="I180">
        <v>0</v>
      </c>
      <c r="J180">
        <f>G180*Parameters!$B$2*Parameters!$B$5</f>
        <v>74.518499999999989</v>
      </c>
      <c r="K180">
        <f>H180*Parameters!$B$3*Parameters!$B$6</f>
        <v>0</v>
      </c>
      <c r="L180">
        <f>I180*Parameters!$B$4*Parameters!$B$7</f>
        <v>0</v>
      </c>
      <c r="M180">
        <f t="shared" si="2"/>
        <v>74.518499999999989</v>
      </c>
      <c r="N180">
        <v>0</v>
      </c>
      <c r="O180">
        <v>3500</v>
      </c>
      <c r="P180">
        <v>0</v>
      </c>
      <c r="Q180">
        <v>0</v>
      </c>
    </row>
    <row r="181" spans="1:17">
      <c r="A181" t="s">
        <v>106</v>
      </c>
      <c r="B181" t="s">
        <v>24</v>
      </c>
      <c r="C181">
        <v>6</v>
      </c>
      <c r="D181">
        <v>2021</v>
      </c>
      <c r="E181" s="49" t="s">
        <v>1</v>
      </c>
      <c r="F181" s="49" t="s">
        <v>160</v>
      </c>
      <c r="G181">
        <f>'Baseline (June to Sep)'!M83+'Baseline (June to Sep)'!N83</f>
        <v>40</v>
      </c>
      <c r="H181">
        <f>'Baseline (June to Sep)'!O83</f>
        <v>0</v>
      </c>
      <c r="I181">
        <v>0</v>
      </c>
      <c r="J181">
        <f>G181*Parameters!$B$2*Parameters!$B$5</f>
        <v>85.163999999999987</v>
      </c>
      <c r="K181">
        <f>H181*Parameters!$B$3*Parameters!$B$6</f>
        <v>0</v>
      </c>
      <c r="L181">
        <f>I181*Parameters!$B$4*Parameters!$B$7</f>
        <v>0</v>
      </c>
      <c r="M181">
        <f t="shared" si="2"/>
        <v>85.163999999999987</v>
      </c>
      <c r="N181">
        <v>0</v>
      </c>
      <c r="O181">
        <v>4000</v>
      </c>
      <c r="P181">
        <v>0</v>
      </c>
      <c r="Q181">
        <v>0</v>
      </c>
    </row>
    <row r="182" spans="1:17">
      <c r="A182" t="s">
        <v>107</v>
      </c>
      <c r="B182" t="s">
        <v>21</v>
      </c>
      <c r="C182">
        <v>4</v>
      </c>
      <c r="D182">
        <v>2021</v>
      </c>
      <c r="E182" s="49" t="s">
        <v>1</v>
      </c>
      <c r="F182" s="49" t="s">
        <v>160</v>
      </c>
      <c r="G182">
        <f>'Baseline (June to Sep)'!M84+'Baseline (June to Sep)'!N84</f>
        <v>40</v>
      </c>
      <c r="H182">
        <f>'Baseline (June to Sep)'!O84</f>
        <v>0</v>
      </c>
      <c r="I182">
        <v>0</v>
      </c>
      <c r="J182">
        <f>G182*Parameters!$B$2*Parameters!$B$5</f>
        <v>85.163999999999987</v>
      </c>
      <c r="K182">
        <f>H182*Parameters!$B$3*Parameters!$B$6</f>
        <v>0</v>
      </c>
      <c r="L182">
        <f>I182*Parameters!$B$4*Parameters!$B$7</f>
        <v>0</v>
      </c>
      <c r="M182">
        <f t="shared" si="2"/>
        <v>85.163999999999987</v>
      </c>
      <c r="N182">
        <v>0</v>
      </c>
      <c r="O182">
        <v>4000</v>
      </c>
      <c r="P182">
        <v>0</v>
      </c>
      <c r="Q182">
        <v>0</v>
      </c>
    </row>
    <row r="183" spans="1:17">
      <c r="A183" t="s">
        <v>108</v>
      </c>
      <c r="B183" t="s">
        <v>24</v>
      </c>
      <c r="C183">
        <v>5</v>
      </c>
      <c r="D183">
        <v>2021</v>
      </c>
      <c r="E183" s="49" t="s">
        <v>1</v>
      </c>
      <c r="F183" s="49" t="s">
        <v>160</v>
      </c>
      <c r="G183">
        <f>'Baseline (June to Sep)'!M85+'Baseline (June to Sep)'!N85</f>
        <v>60</v>
      </c>
      <c r="H183">
        <f>'Baseline (June to Sep)'!O85</f>
        <v>5</v>
      </c>
      <c r="I183">
        <v>0</v>
      </c>
      <c r="J183">
        <f>G183*Parameters!$B$2*Parameters!$B$5</f>
        <v>127.74599999999998</v>
      </c>
      <c r="K183">
        <f>H183*Parameters!$B$3*Parameters!$B$6</f>
        <v>31.353999999999999</v>
      </c>
      <c r="L183">
        <f>I183*Parameters!$B$4*Parameters!$B$7</f>
        <v>0</v>
      </c>
      <c r="M183">
        <f t="shared" si="2"/>
        <v>159.09999999999997</v>
      </c>
      <c r="N183">
        <v>0</v>
      </c>
      <c r="O183">
        <v>6000</v>
      </c>
      <c r="P183">
        <v>1500</v>
      </c>
      <c r="Q183">
        <v>0</v>
      </c>
    </row>
    <row r="184" spans="1:17">
      <c r="A184" t="s">
        <v>109</v>
      </c>
      <c r="B184" t="s">
        <v>32</v>
      </c>
      <c r="C184">
        <v>6</v>
      </c>
      <c r="D184">
        <v>2021</v>
      </c>
      <c r="E184" s="49" t="s">
        <v>1</v>
      </c>
      <c r="F184" s="49" t="s">
        <v>160</v>
      </c>
      <c r="G184">
        <f>'Baseline (June to Sep)'!M86+'Baseline (June to Sep)'!N86</f>
        <v>40</v>
      </c>
      <c r="H184">
        <f>'Baseline (June to Sep)'!O86</f>
        <v>5</v>
      </c>
      <c r="I184">
        <v>0</v>
      </c>
      <c r="J184">
        <f>G184*Parameters!$B$2*Parameters!$B$5</f>
        <v>85.163999999999987</v>
      </c>
      <c r="K184">
        <f>H184*Parameters!$B$3*Parameters!$B$6</f>
        <v>31.353999999999999</v>
      </c>
      <c r="L184">
        <f>I184*Parameters!$B$4*Parameters!$B$7</f>
        <v>0</v>
      </c>
      <c r="M184">
        <f t="shared" si="2"/>
        <v>116.51799999999999</v>
      </c>
      <c r="N184">
        <v>0</v>
      </c>
      <c r="O184">
        <v>4000</v>
      </c>
      <c r="P184">
        <v>1500</v>
      </c>
      <c r="Q184">
        <v>0</v>
      </c>
    </row>
    <row r="185" spans="1:17">
      <c r="A185" t="s">
        <v>110</v>
      </c>
      <c r="B185" t="s">
        <v>21</v>
      </c>
      <c r="C185">
        <v>3</v>
      </c>
      <c r="D185">
        <v>2021</v>
      </c>
      <c r="E185" s="49" t="s">
        <v>1</v>
      </c>
      <c r="F185" s="49" t="s">
        <v>160</v>
      </c>
      <c r="G185">
        <f>'Baseline (June to Sep)'!M87+'Baseline (June to Sep)'!N87</f>
        <v>35</v>
      </c>
      <c r="H185">
        <f>'Baseline (June to Sep)'!O87</f>
        <v>0</v>
      </c>
      <c r="I185">
        <v>0</v>
      </c>
      <c r="J185">
        <f>G185*Parameters!$B$2*Parameters!$B$5</f>
        <v>74.518499999999989</v>
      </c>
      <c r="K185">
        <f>H185*Parameters!$B$3*Parameters!$B$6</f>
        <v>0</v>
      </c>
      <c r="L185">
        <f>I185*Parameters!$B$4*Parameters!$B$7</f>
        <v>0</v>
      </c>
      <c r="M185">
        <f t="shared" si="2"/>
        <v>74.518499999999989</v>
      </c>
      <c r="N185">
        <v>0</v>
      </c>
      <c r="O185">
        <v>3500</v>
      </c>
      <c r="P185">
        <v>0</v>
      </c>
      <c r="Q185">
        <v>0</v>
      </c>
    </row>
    <row r="186" spans="1:17">
      <c r="A186" t="s">
        <v>111</v>
      </c>
      <c r="B186" t="s">
        <v>26</v>
      </c>
      <c r="C186">
        <v>6</v>
      </c>
      <c r="D186">
        <v>2021</v>
      </c>
      <c r="E186" s="49" t="s">
        <v>1</v>
      </c>
      <c r="F186" s="49" t="s">
        <v>160</v>
      </c>
      <c r="G186">
        <f>'Baseline (June to Sep)'!M88+'Baseline (June to Sep)'!N88</f>
        <v>20</v>
      </c>
      <c r="H186">
        <f>'Baseline (June to Sep)'!O88</f>
        <v>5</v>
      </c>
      <c r="I186">
        <v>0</v>
      </c>
      <c r="J186">
        <f>G186*Parameters!$B$2*Parameters!$B$5</f>
        <v>42.581999999999994</v>
      </c>
      <c r="K186">
        <f>H186*Parameters!$B$3*Parameters!$B$6</f>
        <v>31.353999999999999</v>
      </c>
      <c r="L186">
        <f>I186*Parameters!$B$4*Parameters!$B$7</f>
        <v>0</v>
      </c>
      <c r="M186">
        <f t="shared" si="2"/>
        <v>73.935999999999993</v>
      </c>
      <c r="N186">
        <v>0</v>
      </c>
      <c r="O186">
        <v>2000</v>
      </c>
      <c r="P186">
        <v>1500</v>
      </c>
      <c r="Q186">
        <v>0</v>
      </c>
    </row>
    <row r="187" spans="1:17">
      <c r="A187" t="s">
        <v>112</v>
      </c>
      <c r="B187" t="s">
        <v>19</v>
      </c>
      <c r="C187">
        <v>7</v>
      </c>
      <c r="D187">
        <v>2021</v>
      </c>
      <c r="E187" s="49" t="s">
        <v>1</v>
      </c>
      <c r="F187" s="49" t="s">
        <v>160</v>
      </c>
      <c r="G187">
        <f>'Baseline (June to Sep)'!M89+'Baseline (June to Sep)'!N89</f>
        <v>35</v>
      </c>
      <c r="H187">
        <f>'Baseline (June to Sep)'!O89</f>
        <v>20</v>
      </c>
      <c r="I187">
        <v>0</v>
      </c>
      <c r="J187">
        <f>G187*Parameters!$B$2*Parameters!$B$5</f>
        <v>74.518499999999989</v>
      </c>
      <c r="K187">
        <f>H187*Parameters!$B$3*Parameters!$B$6</f>
        <v>125.416</v>
      </c>
      <c r="L187">
        <f>I187*Parameters!$B$4*Parameters!$B$7</f>
        <v>0</v>
      </c>
      <c r="M187">
        <f t="shared" si="2"/>
        <v>199.93449999999999</v>
      </c>
      <c r="N187">
        <v>0</v>
      </c>
      <c r="O187">
        <v>3500</v>
      </c>
      <c r="P187">
        <v>6000</v>
      </c>
      <c r="Q187">
        <v>0</v>
      </c>
    </row>
    <row r="188" spans="1:17">
      <c r="A188" t="s">
        <v>113</v>
      </c>
      <c r="B188" t="s">
        <v>26</v>
      </c>
      <c r="C188">
        <v>4</v>
      </c>
      <c r="D188">
        <v>2021</v>
      </c>
      <c r="E188" s="49" t="s">
        <v>1</v>
      </c>
      <c r="F188" s="49" t="s">
        <v>160</v>
      </c>
      <c r="G188">
        <f>'Baseline (June to Sep)'!M90+'Baseline (June to Sep)'!N90</f>
        <v>40</v>
      </c>
      <c r="H188">
        <f>'Baseline (June to Sep)'!O90</f>
        <v>0</v>
      </c>
      <c r="I188">
        <v>0</v>
      </c>
      <c r="J188">
        <f>G188*Parameters!$B$2*Parameters!$B$5</f>
        <v>85.163999999999987</v>
      </c>
      <c r="K188">
        <f>H188*Parameters!$B$3*Parameters!$B$6</f>
        <v>0</v>
      </c>
      <c r="L188">
        <f>I188*Parameters!$B$4*Parameters!$B$7</f>
        <v>0</v>
      </c>
      <c r="M188">
        <f t="shared" si="2"/>
        <v>85.163999999999987</v>
      </c>
      <c r="N188">
        <v>0</v>
      </c>
      <c r="O188">
        <v>4000</v>
      </c>
      <c r="P188">
        <v>0</v>
      </c>
      <c r="Q188">
        <v>0</v>
      </c>
    </row>
    <row r="189" spans="1:17">
      <c r="A189" t="s">
        <v>114</v>
      </c>
      <c r="B189" t="s">
        <v>65</v>
      </c>
      <c r="C189">
        <v>8</v>
      </c>
      <c r="D189">
        <v>2021</v>
      </c>
      <c r="E189" s="49" t="s">
        <v>1</v>
      </c>
      <c r="F189" s="49" t="s">
        <v>160</v>
      </c>
      <c r="G189">
        <f>'Baseline (June to Sep)'!M91+'Baseline (June to Sep)'!N91</f>
        <v>60</v>
      </c>
      <c r="H189">
        <f>'Baseline (June to Sep)'!O91</f>
        <v>10</v>
      </c>
      <c r="I189">
        <v>0</v>
      </c>
      <c r="J189">
        <f>G189*Parameters!$B$2*Parameters!$B$5</f>
        <v>127.74599999999998</v>
      </c>
      <c r="K189">
        <f>H189*Parameters!$B$3*Parameters!$B$6</f>
        <v>62.707999999999998</v>
      </c>
      <c r="L189">
        <f>I189*Parameters!$B$4*Parameters!$B$7</f>
        <v>0</v>
      </c>
      <c r="M189">
        <f t="shared" si="2"/>
        <v>190.45399999999998</v>
      </c>
      <c r="N189">
        <v>0</v>
      </c>
      <c r="O189">
        <v>6000</v>
      </c>
      <c r="P189">
        <v>3000</v>
      </c>
      <c r="Q189">
        <v>0</v>
      </c>
    </row>
    <row r="190" spans="1:17">
      <c r="A190" t="s">
        <v>115</v>
      </c>
      <c r="B190" t="s">
        <v>19</v>
      </c>
      <c r="C190">
        <v>8</v>
      </c>
      <c r="D190">
        <v>2021</v>
      </c>
      <c r="E190" s="49" t="s">
        <v>1</v>
      </c>
      <c r="F190" s="49" t="s">
        <v>160</v>
      </c>
      <c r="G190">
        <f>'Baseline (June to Sep)'!M92+'Baseline (June to Sep)'!N92</f>
        <v>55</v>
      </c>
      <c r="H190">
        <f>'Baseline (June to Sep)'!O92</f>
        <v>0</v>
      </c>
      <c r="I190">
        <v>0</v>
      </c>
      <c r="J190">
        <f>G190*Parameters!$B$2*Parameters!$B$5</f>
        <v>117.10049999999998</v>
      </c>
      <c r="K190">
        <f>H190*Parameters!$B$3*Parameters!$B$6</f>
        <v>0</v>
      </c>
      <c r="L190">
        <f>I190*Parameters!$B$4*Parameters!$B$7</f>
        <v>0</v>
      </c>
      <c r="M190">
        <f t="shared" si="2"/>
        <v>117.10049999999998</v>
      </c>
      <c r="N190">
        <v>0</v>
      </c>
      <c r="O190">
        <v>5500</v>
      </c>
      <c r="P190">
        <v>0</v>
      </c>
      <c r="Q190">
        <v>0</v>
      </c>
    </row>
    <row r="191" spans="1:17">
      <c r="A191" t="s">
        <v>116</v>
      </c>
      <c r="B191" t="s">
        <v>21</v>
      </c>
      <c r="C191">
        <v>4</v>
      </c>
      <c r="D191">
        <v>2021</v>
      </c>
      <c r="E191" s="49" t="s">
        <v>1</v>
      </c>
      <c r="F191" s="49" t="s">
        <v>160</v>
      </c>
      <c r="G191">
        <f>'Baseline (June to Sep)'!M93+'Baseline (June to Sep)'!N93</f>
        <v>20</v>
      </c>
      <c r="H191">
        <f>'Baseline (June to Sep)'!O93</f>
        <v>5</v>
      </c>
      <c r="I191">
        <v>0</v>
      </c>
      <c r="J191">
        <f>G191*Parameters!$B$2*Parameters!$B$5</f>
        <v>42.581999999999994</v>
      </c>
      <c r="K191">
        <f>H191*Parameters!$B$3*Parameters!$B$6</f>
        <v>31.353999999999999</v>
      </c>
      <c r="L191">
        <f>I191*Parameters!$B$4*Parameters!$B$7</f>
        <v>0</v>
      </c>
      <c r="M191">
        <f t="shared" si="2"/>
        <v>73.935999999999993</v>
      </c>
      <c r="N191">
        <v>0</v>
      </c>
      <c r="O191">
        <v>2000</v>
      </c>
      <c r="P191">
        <v>1500</v>
      </c>
      <c r="Q191">
        <v>0</v>
      </c>
    </row>
    <row r="192" spans="1:17">
      <c r="A192" t="s">
        <v>117</v>
      </c>
      <c r="B192" t="s">
        <v>17</v>
      </c>
      <c r="C192">
        <v>9</v>
      </c>
      <c r="D192">
        <v>2021</v>
      </c>
      <c r="E192" s="49" t="s">
        <v>1</v>
      </c>
      <c r="F192" s="49" t="s">
        <v>160</v>
      </c>
      <c r="G192">
        <f>'Baseline (June to Sep)'!M94+'Baseline (June to Sep)'!N94</f>
        <v>60</v>
      </c>
      <c r="H192">
        <f>'Baseline (June to Sep)'!O94</f>
        <v>10</v>
      </c>
      <c r="I192">
        <v>0</v>
      </c>
      <c r="J192">
        <f>G192*Parameters!$B$2*Parameters!$B$5</f>
        <v>127.74599999999998</v>
      </c>
      <c r="K192">
        <f>H192*Parameters!$B$3*Parameters!$B$6</f>
        <v>62.707999999999998</v>
      </c>
      <c r="L192">
        <f>I192*Parameters!$B$4*Parameters!$B$7</f>
        <v>0</v>
      </c>
      <c r="M192">
        <f t="shared" si="2"/>
        <v>190.45399999999998</v>
      </c>
      <c r="N192">
        <v>0</v>
      </c>
      <c r="O192">
        <v>6000</v>
      </c>
      <c r="P192">
        <v>3000</v>
      </c>
      <c r="Q192">
        <v>0</v>
      </c>
    </row>
    <row r="193" spans="1:17">
      <c r="A193" t="s">
        <v>118</v>
      </c>
      <c r="B193" t="s">
        <v>19</v>
      </c>
      <c r="C193">
        <v>4</v>
      </c>
      <c r="D193">
        <v>2021</v>
      </c>
      <c r="E193" s="49" t="s">
        <v>1</v>
      </c>
      <c r="F193" s="49" t="s">
        <v>160</v>
      </c>
      <c r="G193">
        <f>'Baseline (June to Sep)'!M95+'Baseline (June to Sep)'!N95</f>
        <v>20</v>
      </c>
      <c r="H193">
        <f>'Baseline (June to Sep)'!O95</f>
        <v>10</v>
      </c>
      <c r="I193">
        <v>0</v>
      </c>
      <c r="J193">
        <f>G193*Parameters!$B$2*Parameters!$B$5</f>
        <v>42.581999999999994</v>
      </c>
      <c r="K193">
        <f>H193*Parameters!$B$3*Parameters!$B$6</f>
        <v>62.707999999999998</v>
      </c>
      <c r="L193">
        <f>I193*Parameters!$B$4*Parameters!$B$7</f>
        <v>0</v>
      </c>
      <c r="M193">
        <f t="shared" si="2"/>
        <v>105.28999999999999</v>
      </c>
      <c r="N193">
        <v>0</v>
      </c>
      <c r="O193">
        <v>2000</v>
      </c>
      <c r="P193">
        <v>3000</v>
      </c>
      <c r="Q193">
        <v>0</v>
      </c>
    </row>
    <row r="194" spans="1:17">
      <c r="A194" t="s">
        <v>119</v>
      </c>
      <c r="B194" t="s">
        <v>40</v>
      </c>
      <c r="C194">
        <v>6</v>
      </c>
      <c r="D194">
        <v>2021</v>
      </c>
      <c r="E194" s="49" t="s">
        <v>1</v>
      </c>
      <c r="F194" s="49" t="s">
        <v>160</v>
      </c>
      <c r="G194">
        <f>'Baseline (June to Sep)'!M96+'Baseline (June to Sep)'!N96</f>
        <v>40</v>
      </c>
      <c r="H194">
        <f>'Baseline (June to Sep)'!O96</f>
        <v>0</v>
      </c>
      <c r="I194">
        <v>0</v>
      </c>
      <c r="J194">
        <f>G194*Parameters!$B$2*Parameters!$B$5</f>
        <v>85.163999999999987</v>
      </c>
      <c r="K194">
        <f>H194*Parameters!$B$3*Parameters!$B$6</f>
        <v>0</v>
      </c>
      <c r="L194">
        <f>I194*Parameters!$B$4*Parameters!$B$7</f>
        <v>0</v>
      </c>
      <c r="M194">
        <f t="shared" si="2"/>
        <v>85.163999999999987</v>
      </c>
      <c r="N194">
        <v>0</v>
      </c>
      <c r="O194">
        <v>4000</v>
      </c>
      <c r="P194">
        <v>0</v>
      </c>
      <c r="Q194">
        <v>0</v>
      </c>
    </row>
    <row r="195" spans="1:17">
      <c r="A195" t="s">
        <v>120</v>
      </c>
      <c r="B195" t="s">
        <v>32</v>
      </c>
      <c r="C195">
        <v>8</v>
      </c>
      <c r="D195">
        <v>2021</v>
      </c>
      <c r="E195" s="49" t="s">
        <v>1</v>
      </c>
      <c r="F195" s="49" t="s">
        <v>160</v>
      </c>
      <c r="G195">
        <f>'Baseline (June to Sep)'!M97+'Baseline (June to Sep)'!N97</f>
        <v>20</v>
      </c>
      <c r="H195">
        <f>'Baseline (June to Sep)'!O97</f>
        <v>10</v>
      </c>
      <c r="I195">
        <v>0</v>
      </c>
      <c r="J195">
        <f>G195*Parameters!$B$2*Parameters!$B$5</f>
        <v>42.581999999999994</v>
      </c>
      <c r="K195">
        <f>H195*Parameters!$B$3*Parameters!$B$6</f>
        <v>62.707999999999998</v>
      </c>
      <c r="L195">
        <f>I195*Parameters!$B$4*Parameters!$B$7</f>
        <v>0</v>
      </c>
      <c r="M195">
        <f t="shared" ref="M195:M258" si="3">SUM(J195:L195)</f>
        <v>105.28999999999999</v>
      </c>
      <c r="N195">
        <v>0</v>
      </c>
      <c r="O195">
        <v>2000</v>
      </c>
      <c r="P195">
        <v>3000</v>
      </c>
      <c r="Q195">
        <v>0</v>
      </c>
    </row>
    <row r="196" spans="1:17">
      <c r="A196" t="s">
        <v>121</v>
      </c>
      <c r="B196" t="s">
        <v>24</v>
      </c>
      <c r="C196">
        <v>5</v>
      </c>
      <c r="D196">
        <v>2021</v>
      </c>
      <c r="E196" s="49" t="s">
        <v>1</v>
      </c>
      <c r="F196" s="49" t="s">
        <v>160</v>
      </c>
      <c r="G196">
        <f>'Baseline (June to Sep)'!M98+'Baseline (June to Sep)'!N98</f>
        <v>30</v>
      </c>
      <c r="H196">
        <f>'Baseline (June to Sep)'!O98</f>
        <v>10</v>
      </c>
      <c r="I196">
        <v>0</v>
      </c>
      <c r="J196">
        <f>G196*Parameters!$B$2*Parameters!$B$5</f>
        <v>63.87299999999999</v>
      </c>
      <c r="K196">
        <f>H196*Parameters!$B$3*Parameters!$B$6</f>
        <v>62.707999999999998</v>
      </c>
      <c r="L196">
        <f>I196*Parameters!$B$4*Parameters!$B$7</f>
        <v>0</v>
      </c>
      <c r="M196">
        <f t="shared" si="3"/>
        <v>126.58099999999999</v>
      </c>
      <c r="N196">
        <v>0</v>
      </c>
      <c r="O196">
        <v>3000</v>
      </c>
      <c r="P196">
        <v>3000</v>
      </c>
      <c r="Q196">
        <v>0</v>
      </c>
    </row>
    <row r="197" spans="1:17">
      <c r="A197" t="s">
        <v>122</v>
      </c>
      <c r="B197" t="s">
        <v>26</v>
      </c>
      <c r="C197">
        <v>6</v>
      </c>
      <c r="D197">
        <v>2021</v>
      </c>
      <c r="E197" s="49" t="s">
        <v>1</v>
      </c>
      <c r="F197" s="49" t="s">
        <v>160</v>
      </c>
      <c r="G197">
        <f>'Baseline (June to Sep)'!M99+'Baseline (June to Sep)'!N99</f>
        <v>70</v>
      </c>
      <c r="H197">
        <f>'Baseline (June to Sep)'!O99</f>
        <v>0</v>
      </c>
      <c r="I197">
        <v>0</v>
      </c>
      <c r="J197">
        <f>G197*Parameters!$B$2*Parameters!$B$5</f>
        <v>149.03699999999998</v>
      </c>
      <c r="K197">
        <f>H197*Parameters!$B$3*Parameters!$B$6</f>
        <v>0</v>
      </c>
      <c r="L197">
        <f>I197*Parameters!$B$4*Parameters!$B$7</f>
        <v>0</v>
      </c>
      <c r="M197">
        <f t="shared" si="3"/>
        <v>149.03699999999998</v>
      </c>
      <c r="N197">
        <v>0</v>
      </c>
      <c r="O197">
        <v>7000</v>
      </c>
      <c r="P197">
        <v>0</v>
      </c>
      <c r="Q197">
        <v>0</v>
      </c>
    </row>
    <row r="198" spans="1:17">
      <c r="A198" t="s">
        <v>123</v>
      </c>
      <c r="B198" t="s">
        <v>19</v>
      </c>
      <c r="C198">
        <v>8</v>
      </c>
      <c r="D198">
        <v>2021</v>
      </c>
      <c r="E198" s="49" t="s">
        <v>1</v>
      </c>
      <c r="F198" s="49" t="s">
        <v>160</v>
      </c>
      <c r="G198">
        <f>'Baseline (June to Sep)'!M100+'Baseline (June to Sep)'!N100</f>
        <v>20</v>
      </c>
      <c r="H198">
        <f>'Baseline (June to Sep)'!O100</f>
        <v>10</v>
      </c>
      <c r="I198">
        <v>0</v>
      </c>
      <c r="J198">
        <f>G198*Parameters!$B$2*Parameters!$B$5</f>
        <v>42.581999999999994</v>
      </c>
      <c r="K198">
        <f>H198*Parameters!$B$3*Parameters!$B$6</f>
        <v>62.707999999999998</v>
      </c>
      <c r="L198">
        <f>I198*Parameters!$B$4*Parameters!$B$7</f>
        <v>0</v>
      </c>
      <c r="M198">
        <f t="shared" si="3"/>
        <v>105.28999999999999</v>
      </c>
      <c r="N198">
        <v>0</v>
      </c>
      <c r="O198">
        <v>2000</v>
      </c>
      <c r="P198">
        <v>3000</v>
      </c>
      <c r="Q198">
        <v>0</v>
      </c>
    </row>
    <row r="199" spans="1:17">
      <c r="A199" t="s">
        <v>124</v>
      </c>
      <c r="B199" t="s">
        <v>56</v>
      </c>
      <c r="C199">
        <v>9</v>
      </c>
      <c r="D199">
        <v>2021</v>
      </c>
      <c r="E199" s="49" t="s">
        <v>1</v>
      </c>
      <c r="F199" s="49" t="s">
        <v>160</v>
      </c>
      <c r="G199">
        <f>'Baseline (June to Sep)'!M101+'Baseline (June to Sep)'!N101</f>
        <v>50</v>
      </c>
      <c r="H199">
        <f>'Baseline (June to Sep)'!O101</f>
        <v>30</v>
      </c>
      <c r="I199">
        <v>0</v>
      </c>
      <c r="J199">
        <f>G199*Parameters!$B$2*Parameters!$B$5</f>
        <v>106.45499999999998</v>
      </c>
      <c r="K199">
        <f>H199*Parameters!$B$3*Parameters!$B$6</f>
        <v>188.124</v>
      </c>
      <c r="L199">
        <f>I199*Parameters!$B$4*Parameters!$B$7</f>
        <v>0</v>
      </c>
      <c r="M199">
        <f t="shared" si="3"/>
        <v>294.57899999999995</v>
      </c>
      <c r="N199">
        <v>0</v>
      </c>
      <c r="O199">
        <v>5000</v>
      </c>
      <c r="P199">
        <v>9000</v>
      </c>
      <c r="Q199">
        <v>0</v>
      </c>
    </row>
    <row r="200" spans="1:17">
      <c r="A200" t="s">
        <v>125</v>
      </c>
      <c r="B200" t="s">
        <v>65</v>
      </c>
      <c r="C200">
        <v>7</v>
      </c>
      <c r="D200">
        <v>2021</v>
      </c>
      <c r="E200" s="49" t="s">
        <v>1</v>
      </c>
      <c r="F200" s="49" t="s">
        <v>160</v>
      </c>
      <c r="G200">
        <f>'Baseline (June to Sep)'!M102+'Baseline (June to Sep)'!N102</f>
        <v>20</v>
      </c>
      <c r="H200">
        <f>'Baseline (June to Sep)'!O102</f>
        <v>10</v>
      </c>
      <c r="I200">
        <v>0</v>
      </c>
      <c r="J200">
        <f>G200*Parameters!$B$2*Parameters!$B$5</f>
        <v>42.581999999999994</v>
      </c>
      <c r="K200">
        <f>H200*Parameters!$B$3*Parameters!$B$6</f>
        <v>62.707999999999998</v>
      </c>
      <c r="L200">
        <f>I200*Parameters!$B$4*Parameters!$B$7</f>
        <v>0</v>
      </c>
      <c r="M200">
        <f t="shared" si="3"/>
        <v>105.28999999999999</v>
      </c>
      <c r="N200">
        <v>0</v>
      </c>
      <c r="O200">
        <v>2000</v>
      </c>
      <c r="P200">
        <v>3000</v>
      </c>
      <c r="Q200">
        <v>0</v>
      </c>
    </row>
    <row r="201" spans="1:17">
      <c r="A201" t="s">
        <v>126</v>
      </c>
      <c r="B201" t="s">
        <v>65</v>
      </c>
      <c r="C201">
        <v>6</v>
      </c>
      <c r="D201">
        <v>2021</v>
      </c>
      <c r="E201" s="49" t="s">
        <v>1</v>
      </c>
      <c r="F201" s="49" t="s">
        <v>160</v>
      </c>
      <c r="G201">
        <f>'Baseline (June to Sep)'!M103+'Baseline (June to Sep)'!N103</f>
        <v>40</v>
      </c>
      <c r="H201">
        <f>'Baseline (June to Sep)'!O103</f>
        <v>10</v>
      </c>
      <c r="I201">
        <v>0</v>
      </c>
      <c r="J201">
        <f>G201*Parameters!$B$2*Parameters!$B$5</f>
        <v>85.163999999999987</v>
      </c>
      <c r="K201">
        <f>H201*Parameters!$B$3*Parameters!$B$6</f>
        <v>62.707999999999998</v>
      </c>
      <c r="L201">
        <f>I201*Parameters!$B$4*Parameters!$B$7</f>
        <v>0</v>
      </c>
      <c r="M201">
        <f t="shared" si="3"/>
        <v>147.87199999999999</v>
      </c>
      <c r="N201">
        <v>0</v>
      </c>
      <c r="O201">
        <v>4000</v>
      </c>
      <c r="P201">
        <v>3000</v>
      </c>
      <c r="Q201">
        <v>0</v>
      </c>
    </row>
    <row r="202" spans="1:17">
      <c r="A202" t="s">
        <v>16</v>
      </c>
      <c r="B202" t="s">
        <v>17</v>
      </c>
      <c r="C202">
        <v>8</v>
      </c>
      <c r="D202">
        <v>2021</v>
      </c>
      <c r="E202" s="49" t="s">
        <v>2</v>
      </c>
      <c r="F202" s="49" t="s">
        <v>160</v>
      </c>
      <c r="G202">
        <f>'Baseline (June to Sep)'!S4+'Baseline (June to Sep)'!T4</f>
        <v>40</v>
      </c>
      <c r="H202">
        <f>'Baseline (June to Sep)'!U4</f>
        <v>15</v>
      </c>
      <c r="I202">
        <v>0</v>
      </c>
      <c r="J202">
        <f>G202*Parameters!$B$2*Parameters!$B$5</f>
        <v>85.163999999999987</v>
      </c>
      <c r="K202">
        <f>H202*Parameters!$B$3*Parameters!$B$6</f>
        <v>94.061999999999998</v>
      </c>
      <c r="L202">
        <f>I202*Parameters!$B$4*Parameters!$B$7</f>
        <v>0</v>
      </c>
      <c r="M202">
        <f t="shared" si="3"/>
        <v>179.226</v>
      </c>
      <c r="N202">
        <v>4000</v>
      </c>
      <c r="O202">
        <v>0</v>
      </c>
      <c r="P202">
        <v>4500</v>
      </c>
      <c r="Q202">
        <v>0</v>
      </c>
    </row>
    <row r="203" spans="1:17">
      <c r="A203" t="s">
        <v>18</v>
      </c>
      <c r="B203" t="s">
        <v>19</v>
      </c>
      <c r="C203">
        <v>7</v>
      </c>
      <c r="D203">
        <v>2021</v>
      </c>
      <c r="E203" s="49" t="s">
        <v>2</v>
      </c>
      <c r="F203" s="49" t="s">
        <v>160</v>
      </c>
      <c r="G203">
        <f>'Baseline (June to Sep)'!S5+'Baseline (June to Sep)'!T5</f>
        <v>20</v>
      </c>
      <c r="H203">
        <f>'Baseline (June to Sep)'!U5</f>
        <v>25</v>
      </c>
      <c r="I203">
        <v>0</v>
      </c>
      <c r="J203">
        <f>G203*Parameters!$B$2*Parameters!$B$5</f>
        <v>42.581999999999994</v>
      </c>
      <c r="K203">
        <f>H203*Parameters!$B$3*Parameters!$B$6</f>
        <v>156.77000000000001</v>
      </c>
      <c r="L203">
        <f>I203*Parameters!$B$4*Parameters!$B$7</f>
        <v>0</v>
      </c>
      <c r="M203">
        <f t="shared" si="3"/>
        <v>199.352</v>
      </c>
      <c r="N203">
        <v>2000</v>
      </c>
      <c r="O203">
        <v>0</v>
      </c>
      <c r="P203">
        <v>7500</v>
      </c>
      <c r="Q203">
        <v>0</v>
      </c>
    </row>
    <row r="204" spans="1:17">
      <c r="A204" t="s">
        <v>20</v>
      </c>
      <c r="B204" t="s">
        <v>21</v>
      </c>
      <c r="C204">
        <v>10</v>
      </c>
      <c r="D204">
        <v>2021</v>
      </c>
      <c r="E204" s="49" t="s">
        <v>2</v>
      </c>
      <c r="F204" s="49" t="s">
        <v>160</v>
      </c>
      <c r="G204">
        <f>'Baseline (June to Sep)'!S6+'Baseline (June to Sep)'!T6</f>
        <v>35</v>
      </c>
      <c r="H204">
        <f>'Baseline (June to Sep)'!U6</f>
        <v>22</v>
      </c>
      <c r="I204">
        <v>0</v>
      </c>
      <c r="J204">
        <f>G204*Parameters!$B$2*Parameters!$B$5</f>
        <v>74.518499999999989</v>
      </c>
      <c r="K204">
        <f>H204*Parameters!$B$3*Parameters!$B$6</f>
        <v>137.95759999999999</v>
      </c>
      <c r="L204">
        <f>I204*Parameters!$B$4*Parameters!$B$7</f>
        <v>0</v>
      </c>
      <c r="M204">
        <f t="shared" si="3"/>
        <v>212.47609999999997</v>
      </c>
      <c r="N204">
        <v>3500</v>
      </c>
      <c r="O204">
        <v>0</v>
      </c>
      <c r="P204">
        <v>6600</v>
      </c>
      <c r="Q204">
        <v>0</v>
      </c>
    </row>
    <row r="205" spans="1:17">
      <c r="A205" t="s">
        <v>22</v>
      </c>
      <c r="B205" t="s">
        <v>19</v>
      </c>
      <c r="C205">
        <v>7</v>
      </c>
      <c r="D205">
        <v>2021</v>
      </c>
      <c r="E205" s="49" t="s">
        <v>2</v>
      </c>
      <c r="F205" s="49" t="s">
        <v>160</v>
      </c>
      <c r="G205">
        <f>'Baseline (June to Sep)'!S7+'Baseline (June to Sep)'!T7</f>
        <v>25</v>
      </c>
      <c r="H205">
        <f>'Baseline (June to Sep)'!U7</f>
        <v>10</v>
      </c>
      <c r="I205">
        <v>0</v>
      </c>
      <c r="J205">
        <f>G205*Parameters!$B$2*Parameters!$B$5</f>
        <v>53.227499999999992</v>
      </c>
      <c r="K205">
        <f>H205*Parameters!$B$3*Parameters!$B$6</f>
        <v>62.707999999999998</v>
      </c>
      <c r="L205">
        <f>I205*Parameters!$B$4*Parameters!$B$7</f>
        <v>0</v>
      </c>
      <c r="M205">
        <f t="shared" si="3"/>
        <v>115.93549999999999</v>
      </c>
      <c r="N205">
        <v>2500</v>
      </c>
      <c r="O205">
        <v>0</v>
      </c>
      <c r="P205">
        <v>3000</v>
      </c>
      <c r="Q205">
        <v>0</v>
      </c>
    </row>
    <row r="206" spans="1:17">
      <c r="A206" t="s">
        <v>23</v>
      </c>
      <c r="B206" t="s">
        <v>24</v>
      </c>
      <c r="C206">
        <v>4</v>
      </c>
      <c r="D206">
        <v>2021</v>
      </c>
      <c r="E206" s="49" t="s">
        <v>2</v>
      </c>
      <c r="F206" s="49" t="s">
        <v>160</v>
      </c>
      <c r="G206">
        <f>'Baseline (June to Sep)'!S8+'Baseline (June to Sep)'!T8</f>
        <v>20</v>
      </c>
      <c r="H206">
        <f>'Baseline (June to Sep)'!U8</f>
        <v>10</v>
      </c>
      <c r="I206">
        <v>0</v>
      </c>
      <c r="J206">
        <f>G206*Parameters!$B$2*Parameters!$B$5</f>
        <v>42.581999999999994</v>
      </c>
      <c r="K206">
        <f>H206*Parameters!$B$3*Parameters!$B$6</f>
        <v>62.707999999999998</v>
      </c>
      <c r="L206">
        <f>I206*Parameters!$B$4*Parameters!$B$7</f>
        <v>0</v>
      </c>
      <c r="M206">
        <f t="shared" si="3"/>
        <v>105.28999999999999</v>
      </c>
      <c r="N206">
        <v>2000</v>
      </c>
      <c r="O206">
        <v>0</v>
      </c>
      <c r="P206">
        <v>3000</v>
      </c>
      <c r="Q206">
        <v>0</v>
      </c>
    </row>
    <row r="207" spans="1:17">
      <c r="A207" t="s">
        <v>25</v>
      </c>
      <c r="B207" t="s">
        <v>26</v>
      </c>
      <c r="C207">
        <v>3</v>
      </c>
      <c r="D207">
        <v>2021</v>
      </c>
      <c r="E207" s="49" t="s">
        <v>2</v>
      </c>
      <c r="F207" s="49" t="s">
        <v>160</v>
      </c>
      <c r="G207">
        <f>'Baseline (June to Sep)'!S9+'Baseline (June to Sep)'!T9</f>
        <v>40</v>
      </c>
      <c r="H207">
        <f>'Baseline (June to Sep)'!U9</f>
        <v>5</v>
      </c>
      <c r="I207">
        <v>0</v>
      </c>
      <c r="J207">
        <f>G207*Parameters!$B$2*Parameters!$B$5</f>
        <v>85.163999999999987</v>
      </c>
      <c r="K207">
        <f>H207*Parameters!$B$3*Parameters!$B$6</f>
        <v>31.353999999999999</v>
      </c>
      <c r="L207">
        <f>I207*Parameters!$B$4*Parameters!$B$7</f>
        <v>0</v>
      </c>
      <c r="M207">
        <f t="shared" si="3"/>
        <v>116.51799999999999</v>
      </c>
      <c r="N207">
        <v>4000</v>
      </c>
      <c r="O207">
        <v>0</v>
      </c>
      <c r="P207">
        <v>1500</v>
      </c>
      <c r="Q207">
        <v>0</v>
      </c>
    </row>
    <row r="208" spans="1:17">
      <c r="A208" t="s">
        <v>27</v>
      </c>
      <c r="B208" t="s">
        <v>21</v>
      </c>
      <c r="C208">
        <v>6</v>
      </c>
      <c r="D208">
        <v>2021</v>
      </c>
      <c r="E208" s="49" t="s">
        <v>2</v>
      </c>
      <c r="F208" s="49" t="s">
        <v>160</v>
      </c>
      <c r="G208">
        <f>'Baseline (June to Sep)'!S10+'Baseline (June to Sep)'!T10</f>
        <v>40</v>
      </c>
      <c r="H208">
        <f>'Baseline (June to Sep)'!U10</f>
        <v>34</v>
      </c>
      <c r="I208">
        <v>0</v>
      </c>
      <c r="J208">
        <f>G208*Parameters!$B$2*Parameters!$B$5</f>
        <v>85.163999999999987</v>
      </c>
      <c r="K208">
        <f>H208*Parameters!$B$3*Parameters!$B$6</f>
        <v>213.20719999999997</v>
      </c>
      <c r="L208">
        <f>I208*Parameters!$B$4*Parameters!$B$7</f>
        <v>0</v>
      </c>
      <c r="M208">
        <f t="shared" si="3"/>
        <v>298.37119999999993</v>
      </c>
      <c r="N208">
        <v>4000</v>
      </c>
      <c r="O208">
        <v>0</v>
      </c>
      <c r="P208">
        <v>10200</v>
      </c>
      <c r="Q208">
        <v>0</v>
      </c>
    </row>
    <row r="209" spans="1:17">
      <c r="A209" t="s">
        <v>28</v>
      </c>
      <c r="B209" t="s">
        <v>19</v>
      </c>
      <c r="C209">
        <v>9</v>
      </c>
      <c r="D209">
        <v>2021</v>
      </c>
      <c r="E209" s="49" t="s">
        <v>2</v>
      </c>
      <c r="F209" s="49" t="s">
        <v>160</v>
      </c>
      <c r="G209">
        <f>'Baseline (June to Sep)'!S11+'Baseline (June to Sep)'!T11</f>
        <v>40</v>
      </c>
      <c r="H209">
        <f>'Baseline (June to Sep)'!U11</f>
        <v>35</v>
      </c>
      <c r="I209">
        <v>0</v>
      </c>
      <c r="J209">
        <f>G209*Parameters!$B$2*Parameters!$B$5</f>
        <v>85.163999999999987</v>
      </c>
      <c r="K209">
        <f>H209*Parameters!$B$3*Parameters!$B$6</f>
        <v>219.47800000000001</v>
      </c>
      <c r="L209">
        <f>I209*Parameters!$B$4*Parameters!$B$7</f>
        <v>0</v>
      </c>
      <c r="M209">
        <f t="shared" si="3"/>
        <v>304.642</v>
      </c>
      <c r="N209">
        <v>4000</v>
      </c>
      <c r="O209">
        <v>0</v>
      </c>
      <c r="P209">
        <v>10500</v>
      </c>
      <c r="Q209">
        <v>0</v>
      </c>
    </row>
    <row r="210" spans="1:17">
      <c r="A210" t="s">
        <v>29</v>
      </c>
      <c r="B210" t="s">
        <v>24</v>
      </c>
      <c r="C210">
        <v>4</v>
      </c>
      <c r="D210">
        <v>2021</v>
      </c>
      <c r="E210" s="49" t="s">
        <v>2</v>
      </c>
      <c r="F210" s="49" t="s">
        <v>160</v>
      </c>
      <c r="G210">
        <f>'Baseline (June to Sep)'!S12+'Baseline (June to Sep)'!T12</f>
        <v>0</v>
      </c>
      <c r="H210">
        <f>'Baseline (June to Sep)'!U12</f>
        <v>40</v>
      </c>
      <c r="I210">
        <v>0</v>
      </c>
      <c r="J210">
        <f>G210*Parameters!$B$2*Parameters!$B$5</f>
        <v>0</v>
      </c>
      <c r="K210">
        <f>H210*Parameters!$B$3*Parameters!$B$6</f>
        <v>250.83199999999999</v>
      </c>
      <c r="L210">
        <f>I210*Parameters!$B$4*Parameters!$B$7</f>
        <v>0</v>
      </c>
      <c r="M210">
        <f t="shared" si="3"/>
        <v>250.83199999999999</v>
      </c>
      <c r="N210">
        <v>0</v>
      </c>
      <c r="O210">
        <v>0</v>
      </c>
      <c r="P210">
        <v>12000</v>
      </c>
      <c r="Q210">
        <v>0</v>
      </c>
    </row>
    <row r="211" spans="1:17">
      <c r="A211" t="s">
        <v>30</v>
      </c>
      <c r="B211" t="s">
        <v>21</v>
      </c>
      <c r="C211">
        <v>6</v>
      </c>
      <c r="D211">
        <v>2021</v>
      </c>
      <c r="E211" s="49" t="s">
        <v>2</v>
      </c>
      <c r="F211" s="49" t="s">
        <v>160</v>
      </c>
      <c r="G211">
        <f>'Baseline (June to Sep)'!S13+'Baseline (June to Sep)'!T13</f>
        <v>26</v>
      </c>
      <c r="H211">
        <f>'Baseline (June to Sep)'!U13</f>
        <v>35</v>
      </c>
      <c r="I211">
        <v>0</v>
      </c>
      <c r="J211">
        <f>G211*Parameters!$B$2*Parameters!$B$5</f>
        <v>55.356599999999993</v>
      </c>
      <c r="K211">
        <f>H211*Parameters!$B$3*Parameters!$B$6</f>
        <v>219.47800000000001</v>
      </c>
      <c r="L211">
        <f>I211*Parameters!$B$4*Parameters!$B$7</f>
        <v>0</v>
      </c>
      <c r="M211">
        <f t="shared" si="3"/>
        <v>274.83460000000002</v>
      </c>
      <c r="N211">
        <v>2600</v>
      </c>
      <c r="O211">
        <v>0</v>
      </c>
      <c r="P211">
        <v>10500</v>
      </c>
      <c r="Q211">
        <v>0</v>
      </c>
    </row>
    <row r="212" spans="1:17">
      <c r="A212" t="s">
        <v>31</v>
      </c>
      <c r="B212" t="s">
        <v>32</v>
      </c>
      <c r="C212">
        <v>4</v>
      </c>
      <c r="D212">
        <v>2021</v>
      </c>
      <c r="E212" s="49" t="s">
        <v>2</v>
      </c>
      <c r="F212" s="49" t="s">
        <v>160</v>
      </c>
      <c r="G212">
        <f>'Baseline (June to Sep)'!S14+'Baseline (June to Sep)'!T14</f>
        <v>35</v>
      </c>
      <c r="H212">
        <f>'Baseline (June to Sep)'!U14</f>
        <v>15</v>
      </c>
      <c r="I212">
        <v>0</v>
      </c>
      <c r="J212">
        <f>G212*Parameters!$B$2*Parameters!$B$5</f>
        <v>74.518499999999989</v>
      </c>
      <c r="K212">
        <f>H212*Parameters!$B$3*Parameters!$B$6</f>
        <v>94.061999999999998</v>
      </c>
      <c r="L212">
        <f>I212*Parameters!$B$4*Parameters!$B$7</f>
        <v>0</v>
      </c>
      <c r="M212">
        <f t="shared" si="3"/>
        <v>168.58049999999997</v>
      </c>
      <c r="N212">
        <v>3500</v>
      </c>
      <c r="O212">
        <v>0</v>
      </c>
      <c r="P212">
        <v>4500</v>
      </c>
      <c r="Q212">
        <v>0</v>
      </c>
    </row>
    <row r="213" spans="1:17">
      <c r="A213" t="s">
        <v>33</v>
      </c>
      <c r="B213" t="s">
        <v>32</v>
      </c>
      <c r="C213">
        <v>6</v>
      </c>
      <c r="D213">
        <v>2021</v>
      </c>
      <c r="E213" s="49" t="s">
        <v>2</v>
      </c>
      <c r="F213" s="49" t="s">
        <v>160</v>
      </c>
      <c r="G213">
        <f>'Baseline (June to Sep)'!S15+'Baseline (June to Sep)'!T15</f>
        <v>10</v>
      </c>
      <c r="H213">
        <f>'Baseline (June to Sep)'!U15</f>
        <v>30</v>
      </c>
      <c r="I213">
        <v>0</v>
      </c>
      <c r="J213">
        <f>G213*Parameters!$B$2*Parameters!$B$5</f>
        <v>21.290999999999997</v>
      </c>
      <c r="K213">
        <f>H213*Parameters!$B$3*Parameters!$B$6</f>
        <v>188.124</v>
      </c>
      <c r="L213">
        <f>I213*Parameters!$B$4*Parameters!$B$7</f>
        <v>0</v>
      </c>
      <c r="M213">
        <f t="shared" si="3"/>
        <v>209.41499999999999</v>
      </c>
      <c r="N213">
        <v>1000</v>
      </c>
      <c r="O213">
        <v>0</v>
      </c>
      <c r="P213">
        <v>9000</v>
      </c>
      <c r="Q213">
        <v>0</v>
      </c>
    </row>
    <row r="214" spans="1:17">
      <c r="A214" t="s">
        <v>34</v>
      </c>
      <c r="B214" t="s">
        <v>21</v>
      </c>
      <c r="C214">
        <v>9</v>
      </c>
      <c r="D214">
        <v>2021</v>
      </c>
      <c r="E214" s="49" t="s">
        <v>2</v>
      </c>
      <c r="F214" s="49" t="s">
        <v>160</v>
      </c>
      <c r="G214">
        <f>'Baseline (June to Sep)'!S16+'Baseline (June to Sep)'!T16</f>
        <v>20</v>
      </c>
      <c r="H214">
        <f>'Baseline (June to Sep)'!U16</f>
        <v>25</v>
      </c>
      <c r="I214">
        <v>0</v>
      </c>
      <c r="J214">
        <f>G214*Parameters!$B$2*Parameters!$B$5</f>
        <v>42.581999999999994</v>
      </c>
      <c r="K214">
        <f>H214*Parameters!$B$3*Parameters!$B$6</f>
        <v>156.77000000000001</v>
      </c>
      <c r="L214">
        <f>I214*Parameters!$B$4*Parameters!$B$7</f>
        <v>0</v>
      </c>
      <c r="M214">
        <f t="shared" si="3"/>
        <v>199.352</v>
      </c>
      <c r="N214">
        <v>2000</v>
      </c>
      <c r="O214">
        <v>0</v>
      </c>
      <c r="P214">
        <v>7500</v>
      </c>
      <c r="Q214">
        <v>0</v>
      </c>
    </row>
    <row r="215" spans="1:17">
      <c r="A215" t="s">
        <v>35</v>
      </c>
      <c r="B215" t="s">
        <v>21</v>
      </c>
      <c r="C215">
        <v>6</v>
      </c>
      <c r="D215">
        <v>2021</v>
      </c>
      <c r="E215" s="49" t="s">
        <v>2</v>
      </c>
      <c r="F215" s="49" t="s">
        <v>160</v>
      </c>
      <c r="G215">
        <f>'Baseline (June to Sep)'!S17+'Baseline (June to Sep)'!T17</f>
        <v>25</v>
      </c>
      <c r="H215">
        <f>'Baseline (June to Sep)'!U17</f>
        <v>20</v>
      </c>
      <c r="I215">
        <v>0</v>
      </c>
      <c r="J215">
        <f>G215*Parameters!$B$2*Parameters!$B$5</f>
        <v>53.227499999999992</v>
      </c>
      <c r="K215">
        <f>H215*Parameters!$B$3*Parameters!$B$6</f>
        <v>125.416</v>
      </c>
      <c r="L215">
        <f>I215*Parameters!$B$4*Parameters!$B$7</f>
        <v>0</v>
      </c>
      <c r="M215">
        <f t="shared" si="3"/>
        <v>178.64349999999999</v>
      </c>
      <c r="N215">
        <v>2500</v>
      </c>
      <c r="O215">
        <v>0</v>
      </c>
      <c r="P215">
        <v>6000</v>
      </c>
      <c r="Q215">
        <v>0</v>
      </c>
    </row>
    <row r="216" spans="1:17">
      <c r="A216" t="s">
        <v>36</v>
      </c>
      <c r="B216" t="s">
        <v>21</v>
      </c>
      <c r="C216">
        <v>12</v>
      </c>
      <c r="D216">
        <v>2021</v>
      </c>
      <c r="E216" s="49" t="s">
        <v>2</v>
      </c>
      <c r="F216" s="49" t="s">
        <v>160</v>
      </c>
      <c r="G216">
        <f>'Baseline (June to Sep)'!S18+'Baseline (June to Sep)'!T18</f>
        <v>0</v>
      </c>
      <c r="H216">
        <f>'Baseline (June to Sep)'!U18</f>
        <v>40</v>
      </c>
      <c r="I216">
        <v>0</v>
      </c>
      <c r="J216">
        <f>G216*Parameters!$B$2*Parameters!$B$5</f>
        <v>0</v>
      </c>
      <c r="K216">
        <f>H216*Parameters!$B$3*Parameters!$B$6</f>
        <v>250.83199999999999</v>
      </c>
      <c r="L216">
        <f>I216*Parameters!$B$4*Parameters!$B$7</f>
        <v>0</v>
      </c>
      <c r="M216">
        <f t="shared" si="3"/>
        <v>250.83199999999999</v>
      </c>
      <c r="N216">
        <v>0</v>
      </c>
      <c r="O216">
        <v>0</v>
      </c>
      <c r="P216">
        <v>12000</v>
      </c>
      <c r="Q216">
        <v>0</v>
      </c>
    </row>
    <row r="217" spans="1:17">
      <c r="A217" t="s">
        <v>37</v>
      </c>
      <c r="B217" t="s">
        <v>38</v>
      </c>
      <c r="C217">
        <v>7</v>
      </c>
      <c r="D217">
        <v>2021</v>
      </c>
      <c r="E217" s="49" t="s">
        <v>2</v>
      </c>
      <c r="F217" s="49" t="s">
        <v>160</v>
      </c>
      <c r="G217">
        <f>'Baseline (June to Sep)'!S19+'Baseline (June to Sep)'!T19</f>
        <v>45</v>
      </c>
      <c r="H217">
        <f>'Baseline (June to Sep)'!U19</f>
        <v>35</v>
      </c>
      <c r="I217">
        <v>0</v>
      </c>
      <c r="J217">
        <f>G217*Parameters!$B$2*Parameters!$B$5</f>
        <v>95.809499999999986</v>
      </c>
      <c r="K217">
        <f>H217*Parameters!$B$3*Parameters!$B$6</f>
        <v>219.47800000000001</v>
      </c>
      <c r="L217">
        <f>I217*Parameters!$B$4*Parameters!$B$7</f>
        <v>0</v>
      </c>
      <c r="M217">
        <f t="shared" si="3"/>
        <v>315.28750000000002</v>
      </c>
      <c r="N217">
        <v>4500</v>
      </c>
      <c r="O217">
        <v>0</v>
      </c>
      <c r="P217">
        <v>10500</v>
      </c>
      <c r="Q217">
        <v>0</v>
      </c>
    </row>
    <row r="218" spans="1:17">
      <c r="A218" t="s">
        <v>39</v>
      </c>
      <c r="B218" t="s">
        <v>40</v>
      </c>
      <c r="C218">
        <v>6</v>
      </c>
      <c r="D218">
        <v>2021</v>
      </c>
      <c r="E218" s="49" t="s">
        <v>2</v>
      </c>
      <c r="F218" s="49" t="s">
        <v>160</v>
      </c>
      <c r="G218">
        <f>'Baseline (June to Sep)'!S20+'Baseline (June to Sep)'!T20</f>
        <v>26</v>
      </c>
      <c r="H218">
        <f>'Baseline (June to Sep)'!U20</f>
        <v>15</v>
      </c>
      <c r="I218">
        <v>0</v>
      </c>
      <c r="J218">
        <f>G218*Parameters!$B$2*Parameters!$B$5</f>
        <v>55.356599999999993</v>
      </c>
      <c r="K218">
        <f>H218*Parameters!$B$3*Parameters!$B$6</f>
        <v>94.061999999999998</v>
      </c>
      <c r="L218">
        <f>I218*Parameters!$B$4*Parameters!$B$7</f>
        <v>0</v>
      </c>
      <c r="M218">
        <f t="shared" si="3"/>
        <v>149.4186</v>
      </c>
      <c r="N218">
        <v>2600</v>
      </c>
      <c r="O218">
        <v>0</v>
      </c>
      <c r="P218">
        <v>4500</v>
      </c>
      <c r="Q218">
        <v>0</v>
      </c>
    </row>
    <row r="219" spans="1:17">
      <c r="A219" t="s">
        <v>41</v>
      </c>
      <c r="B219" t="s">
        <v>26</v>
      </c>
      <c r="C219">
        <v>5</v>
      </c>
      <c r="D219">
        <v>2021</v>
      </c>
      <c r="E219" s="49" t="s">
        <v>2</v>
      </c>
      <c r="F219" s="49" t="s">
        <v>160</v>
      </c>
      <c r="G219">
        <f>'Baseline (June to Sep)'!S21+'Baseline (June to Sep)'!T21</f>
        <v>45</v>
      </c>
      <c r="H219">
        <f>'Baseline (June to Sep)'!U21</f>
        <v>0</v>
      </c>
      <c r="I219">
        <v>0</v>
      </c>
      <c r="J219">
        <f>G219*Parameters!$B$2*Parameters!$B$5</f>
        <v>95.809499999999986</v>
      </c>
      <c r="K219">
        <f>H219*Parameters!$B$3*Parameters!$B$6</f>
        <v>0</v>
      </c>
      <c r="L219">
        <f>I219*Parameters!$B$4*Parameters!$B$7</f>
        <v>0</v>
      </c>
      <c r="M219">
        <f t="shared" si="3"/>
        <v>95.809499999999986</v>
      </c>
      <c r="N219">
        <v>4500</v>
      </c>
      <c r="O219">
        <v>0</v>
      </c>
      <c r="P219">
        <v>0</v>
      </c>
      <c r="Q219">
        <v>0</v>
      </c>
    </row>
    <row r="220" spans="1:17">
      <c r="A220" t="s">
        <v>42</v>
      </c>
      <c r="B220" t="s">
        <v>24</v>
      </c>
      <c r="C220">
        <v>5</v>
      </c>
      <c r="D220">
        <v>2021</v>
      </c>
      <c r="E220" s="49" t="s">
        <v>2</v>
      </c>
      <c r="F220" s="49" t="s">
        <v>160</v>
      </c>
      <c r="G220">
        <f>'Baseline (June to Sep)'!S22+'Baseline (June to Sep)'!T22</f>
        <v>35</v>
      </c>
      <c r="H220">
        <f>'Baseline (June to Sep)'!U22</f>
        <v>5</v>
      </c>
      <c r="I220">
        <v>0</v>
      </c>
      <c r="J220">
        <f>G220*Parameters!$B$2*Parameters!$B$5</f>
        <v>74.518499999999989</v>
      </c>
      <c r="K220">
        <f>H220*Parameters!$B$3*Parameters!$B$6</f>
        <v>31.353999999999999</v>
      </c>
      <c r="L220">
        <f>I220*Parameters!$B$4*Parameters!$B$7</f>
        <v>0</v>
      </c>
      <c r="M220">
        <f t="shared" si="3"/>
        <v>105.87249999999999</v>
      </c>
      <c r="N220">
        <v>3500</v>
      </c>
      <c r="O220">
        <v>0</v>
      </c>
      <c r="P220">
        <v>1500</v>
      </c>
      <c r="Q220">
        <v>0</v>
      </c>
    </row>
    <row r="221" spans="1:17">
      <c r="A221" t="s">
        <v>43</v>
      </c>
      <c r="B221" t="s">
        <v>19</v>
      </c>
      <c r="C221">
        <v>8</v>
      </c>
      <c r="D221">
        <v>2021</v>
      </c>
      <c r="E221" s="49" t="s">
        <v>2</v>
      </c>
      <c r="F221" s="49" t="s">
        <v>160</v>
      </c>
      <c r="G221">
        <f>'Baseline (June to Sep)'!S23+'Baseline (June to Sep)'!T23</f>
        <v>25</v>
      </c>
      <c r="H221">
        <f>'Baseline (June to Sep)'!U23</f>
        <v>10</v>
      </c>
      <c r="I221">
        <v>0</v>
      </c>
      <c r="J221">
        <f>G221*Parameters!$B$2*Parameters!$B$5</f>
        <v>53.227499999999992</v>
      </c>
      <c r="K221">
        <f>H221*Parameters!$B$3*Parameters!$B$6</f>
        <v>62.707999999999998</v>
      </c>
      <c r="L221">
        <f>I221*Parameters!$B$4*Parameters!$B$7</f>
        <v>0</v>
      </c>
      <c r="M221">
        <f t="shared" si="3"/>
        <v>115.93549999999999</v>
      </c>
      <c r="N221">
        <v>2500</v>
      </c>
      <c r="O221">
        <v>0</v>
      </c>
      <c r="P221">
        <v>3000</v>
      </c>
      <c r="Q221">
        <v>0</v>
      </c>
    </row>
    <row r="222" spans="1:17">
      <c r="A222" t="s">
        <v>44</v>
      </c>
      <c r="B222" t="s">
        <v>40</v>
      </c>
      <c r="C222">
        <v>10</v>
      </c>
      <c r="D222">
        <v>2021</v>
      </c>
      <c r="E222" s="49" t="s">
        <v>2</v>
      </c>
      <c r="F222" s="49" t="s">
        <v>160</v>
      </c>
      <c r="G222">
        <f>'Baseline (June to Sep)'!S24+'Baseline (June to Sep)'!T24</f>
        <v>45</v>
      </c>
      <c r="H222">
        <f>'Baseline (June to Sep)'!U24</f>
        <v>25</v>
      </c>
      <c r="I222">
        <v>0</v>
      </c>
      <c r="J222">
        <f>G222*Parameters!$B$2*Parameters!$B$5</f>
        <v>95.809499999999986</v>
      </c>
      <c r="K222">
        <f>H222*Parameters!$B$3*Parameters!$B$6</f>
        <v>156.77000000000001</v>
      </c>
      <c r="L222">
        <f>I222*Parameters!$B$4*Parameters!$B$7</f>
        <v>0</v>
      </c>
      <c r="M222">
        <f t="shared" si="3"/>
        <v>252.5795</v>
      </c>
      <c r="N222">
        <v>4500</v>
      </c>
      <c r="O222">
        <v>0</v>
      </c>
      <c r="P222">
        <v>7500</v>
      </c>
      <c r="Q222">
        <v>0</v>
      </c>
    </row>
    <row r="223" spans="1:17">
      <c r="A223" t="s">
        <v>45</v>
      </c>
      <c r="B223" t="s">
        <v>24</v>
      </c>
      <c r="C223">
        <v>8</v>
      </c>
      <c r="D223">
        <v>2021</v>
      </c>
      <c r="E223" s="49" t="s">
        <v>2</v>
      </c>
      <c r="F223" s="49" t="s">
        <v>160</v>
      </c>
      <c r="G223">
        <f>'Baseline (June to Sep)'!S25+'Baseline (June to Sep)'!T25</f>
        <v>50</v>
      </c>
      <c r="H223">
        <f>'Baseline (June to Sep)'!U25</f>
        <v>18</v>
      </c>
      <c r="I223">
        <v>0</v>
      </c>
      <c r="J223">
        <f>G223*Parameters!$B$2*Parameters!$B$5</f>
        <v>106.45499999999998</v>
      </c>
      <c r="K223">
        <f>H223*Parameters!$B$3*Parameters!$B$6</f>
        <v>112.87439999999999</v>
      </c>
      <c r="L223">
        <f>I223*Parameters!$B$4*Parameters!$B$7</f>
        <v>0</v>
      </c>
      <c r="M223">
        <f t="shared" si="3"/>
        <v>219.32939999999996</v>
      </c>
      <c r="N223">
        <v>5000</v>
      </c>
      <c r="O223">
        <v>0</v>
      </c>
      <c r="P223">
        <v>5400</v>
      </c>
      <c r="Q223">
        <v>0</v>
      </c>
    </row>
    <row r="224" spans="1:17">
      <c r="A224" t="s">
        <v>46</v>
      </c>
      <c r="B224" t="s">
        <v>24</v>
      </c>
      <c r="C224">
        <v>4</v>
      </c>
      <c r="D224">
        <v>2021</v>
      </c>
      <c r="E224" s="49" t="s">
        <v>2</v>
      </c>
      <c r="F224" s="49" t="s">
        <v>160</v>
      </c>
      <c r="G224">
        <f>'Baseline (June to Sep)'!S26+'Baseline (June to Sep)'!T26</f>
        <v>45</v>
      </c>
      <c r="H224">
        <f>'Baseline (June to Sep)'!U26</f>
        <v>0</v>
      </c>
      <c r="I224">
        <v>0</v>
      </c>
      <c r="J224">
        <f>G224*Parameters!$B$2*Parameters!$B$5</f>
        <v>95.809499999999986</v>
      </c>
      <c r="K224">
        <f>H224*Parameters!$B$3*Parameters!$B$6</f>
        <v>0</v>
      </c>
      <c r="L224">
        <f>I224*Parameters!$B$4*Parameters!$B$7</f>
        <v>0</v>
      </c>
      <c r="M224">
        <f t="shared" si="3"/>
        <v>95.809499999999986</v>
      </c>
      <c r="N224">
        <v>4500</v>
      </c>
      <c r="O224">
        <v>0</v>
      </c>
      <c r="P224">
        <v>0</v>
      </c>
      <c r="Q224">
        <v>0</v>
      </c>
    </row>
    <row r="225" spans="1:17">
      <c r="A225" t="s">
        <v>47</v>
      </c>
      <c r="B225" t="s">
        <v>19</v>
      </c>
      <c r="C225">
        <v>6</v>
      </c>
      <c r="D225">
        <v>2021</v>
      </c>
      <c r="E225" s="49" t="s">
        <v>2</v>
      </c>
      <c r="F225" s="49" t="s">
        <v>160</v>
      </c>
      <c r="G225">
        <f>'Baseline (June to Sep)'!S27+'Baseline (June to Sep)'!T27</f>
        <v>40</v>
      </c>
      <c r="H225">
        <f>'Baseline (June to Sep)'!U27</f>
        <v>15</v>
      </c>
      <c r="I225">
        <v>0</v>
      </c>
      <c r="J225">
        <f>G225*Parameters!$B$2*Parameters!$B$5</f>
        <v>85.163999999999987</v>
      </c>
      <c r="K225">
        <f>H225*Parameters!$B$3*Parameters!$B$6</f>
        <v>94.061999999999998</v>
      </c>
      <c r="L225">
        <f>I225*Parameters!$B$4*Parameters!$B$7</f>
        <v>0</v>
      </c>
      <c r="M225">
        <f t="shared" si="3"/>
        <v>179.226</v>
      </c>
      <c r="N225">
        <v>4000</v>
      </c>
      <c r="O225">
        <v>0</v>
      </c>
      <c r="P225">
        <v>4500</v>
      </c>
      <c r="Q225">
        <v>0</v>
      </c>
    </row>
    <row r="226" spans="1:17">
      <c r="A226" t="s">
        <v>48</v>
      </c>
      <c r="B226" t="s">
        <v>24</v>
      </c>
      <c r="C226">
        <v>4</v>
      </c>
      <c r="D226">
        <v>2021</v>
      </c>
      <c r="E226" s="49" t="s">
        <v>2</v>
      </c>
      <c r="F226" s="49" t="s">
        <v>160</v>
      </c>
      <c r="G226">
        <f>'Baseline (June to Sep)'!S28+'Baseline (June to Sep)'!T28</f>
        <v>55</v>
      </c>
      <c r="H226">
        <f>'Baseline (June to Sep)'!U28</f>
        <v>0</v>
      </c>
      <c r="I226">
        <v>0</v>
      </c>
      <c r="J226">
        <f>G226*Parameters!$B$2*Parameters!$B$5</f>
        <v>117.10049999999998</v>
      </c>
      <c r="K226">
        <f>H226*Parameters!$B$3*Parameters!$B$6</f>
        <v>0</v>
      </c>
      <c r="L226">
        <f>I226*Parameters!$B$4*Parameters!$B$7</f>
        <v>0</v>
      </c>
      <c r="M226">
        <f t="shared" si="3"/>
        <v>117.10049999999998</v>
      </c>
      <c r="N226">
        <v>5500</v>
      </c>
      <c r="O226">
        <v>0</v>
      </c>
      <c r="P226">
        <v>0</v>
      </c>
      <c r="Q226">
        <v>0</v>
      </c>
    </row>
    <row r="227" spans="1:17">
      <c r="A227" t="s">
        <v>49</v>
      </c>
      <c r="B227" t="s">
        <v>38</v>
      </c>
      <c r="C227">
        <v>2</v>
      </c>
      <c r="D227">
        <v>2021</v>
      </c>
      <c r="E227" s="49" t="s">
        <v>2</v>
      </c>
      <c r="F227" s="49" t="s">
        <v>160</v>
      </c>
      <c r="G227">
        <f>'Baseline (June to Sep)'!S29+'Baseline (June to Sep)'!T29</f>
        <v>55</v>
      </c>
      <c r="H227">
        <f>'Baseline (June to Sep)'!U29</f>
        <v>0</v>
      </c>
      <c r="I227">
        <v>0</v>
      </c>
      <c r="J227">
        <f>G227*Parameters!$B$2*Parameters!$B$5</f>
        <v>117.10049999999998</v>
      </c>
      <c r="K227">
        <f>H227*Parameters!$B$3*Parameters!$B$6</f>
        <v>0</v>
      </c>
      <c r="L227">
        <f>I227*Parameters!$B$4*Parameters!$B$7</f>
        <v>0</v>
      </c>
      <c r="M227">
        <f t="shared" si="3"/>
        <v>117.10049999999998</v>
      </c>
      <c r="N227">
        <v>5500</v>
      </c>
      <c r="O227">
        <v>0</v>
      </c>
      <c r="P227">
        <v>0</v>
      </c>
      <c r="Q227">
        <v>0</v>
      </c>
    </row>
    <row r="228" spans="1:17">
      <c r="A228" t="s">
        <v>50</v>
      </c>
      <c r="B228" t="s">
        <v>19</v>
      </c>
      <c r="C228">
        <v>8</v>
      </c>
      <c r="D228">
        <v>2021</v>
      </c>
      <c r="E228" s="49" t="s">
        <v>2</v>
      </c>
      <c r="F228" s="49" t="s">
        <v>160</v>
      </c>
      <c r="G228">
        <f>'Baseline (June to Sep)'!S30+'Baseline (June to Sep)'!T30</f>
        <v>30</v>
      </c>
      <c r="H228">
        <f>'Baseline (June to Sep)'!U30</f>
        <v>5</v>
      </c>
      <c r="I228">
        <v>0</v>
      </c>
      <c r="J228">
        <f>G228*Parameters!$B$2*Parameters!$B$5</f>
        <v>63.87299999999999</v>
      </c>
      <c r="K228">
        <f>H228*Parameters!$B$3*Parameters!$B$6</f>
        <v>31.353999999999999</v>
      </c>
      <c r="L228">
        <f>I228*Parameters!$B$4*Parameters!$B$7</f>
        <v>0</v>
      </c>
      <c r="M228">
        <f t="shared" si="3"/>
        <v>95.22699999999999</v>
      </c>
      <c r="N228">
        <v>3000</v>
      </c>
      <c r="O228">
        <v>0</v>
      </c>
      <c r="P228">
        <v>1500</v>
      </c>
      <c r="Q228">
        <v>0</v>
      </c>
    </row>
    <row r="229" spans="1:17">
      <c r="A229" t="s">
        <v>51</v>
      </c>
      <c r="B229" t="s">
        <v>19</v>
      </c>
      <c r="C229">
        <v>6</v>
      </c>
      <c r="D229">
        <v>2021</v>
      </c>
      <c r="E229" s="49" t="s">
        <v>2</v>
      </c>
      <c r="F229" s="49" t="s">
        <v>160</v>
      </c>
      <c r="G229">
        <f>'Baseline (June to Sep)'!S31+'Baseline (June to Sep)'!T31</f>
        <v>20</v>
      </c>
      <c r="H229">
        <f>'Baseline (June to Sep)'!U31</f>
        <v>10</v>
      </c>
      <c r="I229">
        <v>0</v>
      </c>
      <c r="J229">
        <f>G229*Parameters!$B$2*Parameters!$B$5</f>
        <v>42.581999999999994</v>
      </c>
      <c r="K229">
        <f>H229*Parameters!$B$3*Parameters!$B$6</f>
        <v>62.707999999999998</v>
      </c>
      <c r="L229">
        <f>I229*Parameters!$B$4*Parameters!$B$7</f>
        <v>0</v>
      </c>
      <c r="M229">
        <f t="shared" si="3"/>
        <v>105.28999999999999</v>
      </c>
      <c r="N229">
        <v>2000</v>
      </c>
      <c r="O229">
        <v>0</v>
      </c>
      <c r="P229">
        <v>3000</v>
      </c>
      <c r="Q229">
        <v>0</v>
      </c>
    </row>
    <row r="230" spans="1:17">
      <c r="A230" t="s">
        <v>52</v>
      </c>
      <c r="B230" t="s">
        <v>38</v>
      </c>
      <c r="C230">
        <v>12</v>
      </c>
      <c r="D230">
        <v>2021</v>
      </c>
      <c r="E230" s="49" t="s">
        <v>2</v>
      </c>
      <c r="F230" s="49" t="s">
        <v>160</v>
      </c>
      <c r="G230">
        <f>'Baseline (June to Sep)'!S32+'Baseline (June to Sep)'!T32</f>
        <v>40</v>
      </c>
      <c r="H230">
        <f>'Baseline (June to Sep)'!U32</f>
        <v>15</v>
      </c>
      <c r="I230">
        <v>0</v>
      </c>
      <c r="J230">
        <f>G230*Parameters!$B$2*Parameters!$B$5</f>
        <v>85.163999999999987</v>
      </c>
      <c r="K230">
        <f>H230*Parameters!$B$3*Parameters!$B$6</f>
        <v>94.061999999999998</v>
      </c>
      <c r="L230">
        <f>I230*Parameters!$B$4*Parameters!$B$7</f>
        <v>0</v>
      </c>
      <c r="M230">
        <f t="shared" si="3"/>
        <v>179.226</v>
      </c>
      <c r="N230">
        <v>4000</v>
      </c>
      <c r="O230">
        <v>0</v>
      </c>
      <c r="P230">
        <v>4500</v>
      </c>
      <c r="Q230">
        <v>0</v>
      </c>
    </row>
    <row r="231" spans="1:17">
      <c r="A231" t="s">
        <v>53</v>
      </c>
      <c r="B231" t="s">
        <v>40</v>
      </c>
      <c r="C231">
        <v>8</v>
      </c>
      <c r="D231">
        <v>2021</v>
      </c>
      <c r="E231" s="49" t="s">
        <v>2</v>
      </c>
      <c r="F231" s="49" t="s">
        <v>160</v>
      </c>
      <c r="G231">
        <f>'Baseline (June to Sep)'!S33+'Baseline (June to Sep)'!T33</f>
        <v>45</v>
      </c>
      <c r="H231">
        <f>'Baseline (June to Sep)'!U33</f>
        <v>8</v>
      </c>
      <c r="I231">
        <v>0</v>
      </c>
      <c r="J231">
        <f>G231*Parameters!$B$2*Parameters!$B$5</f>
        <v>95.809499999999986</v>
      </c>
      <c r="K231">
        <f>H231*Parameters!$B$3*Parameters!$B$6</f>
        <v>50.166399999999996</v>
      </c>
      <c r="L231">
        <f>I231*Parameters!$B$4*Parameters!$B$7</f>
        <v>0</v>
      </c>
      <c r="M231">
        <f t="shared" si="3"/>
        <v>145.97589999999997</v>
      </c>
      <c r="N231">
        <v>4500</v>
      </c>
      <c r="O231">
        <v>0</v>
      </c>
      <c r="P231">
        <v>2400</v>
      </c>
      <c r="Q231">
        <v>0</v>
      </c>
    </row>
    <row r="232" spans="1:17">
      <c r="A232" t="s">
        <v>54</v>
      </c>
      <c r="B232" t="s">
        <v>40</v>
      </c>
      <c r="C232">
        <v>6</v>
      </c>
      <c r="D232">
        <v>2021</v>
      </c>
      <c r="E232" s="49" t="s">
        <v>2</v>
      </c>
      <c r="F232" s="49" t="s">
        <v>160</v>
      </c>
      <c r="G232">
        <f>'Baseline (June to Sep)'!S34+'Baseline (June to Sep)'!T34</f>
        <v>35</v>
      </c>
      <c r="H232">
        <f>'Baseline (June to Sep)'!U34</f>
        <v>0</v>
      </c>
      <c r="I232">
        <v>0</v>
      </c>
      <c r="J232">
        <f>G232*Parameters!$B$2*Parameters!$B$5</f>
        <v>74.518499999999989</v>
      </c>
      <c r="K232">
        <f>H232*Parameters!$B$3*Parameters!$B$6</f>
        <v>0</v>
      </c>
      <c r="L232">
        <f>I232*Parameters!$B$4*Parameters!$B$7</f>
        <v>0</v>
      </c>
      <c r="M232">
        <f t="shared" si="3"/>
        <v>74.518499999999989</v>
      </c>
      <c r="N232">
        <v>3500</v>
      </c>
      <c r="O232">
        <v>0</v>
      </c>
      <c r="P232">
        <v>0</v>
      </c>
      <c r="Q232">
        <v>0</v>
      </c>
    </row>
    <row r="233" spans="1:17">
      <c r="A233" t="s">
        <v>55</v>
      </c>
      <c r="B233" t="s">
        <v>56</v>
      </c>
      <c r="C233">
        <v>4</v>
      </c>
      <c r="D233">
        <v>2021</v>
      </c>
      <c r="E233" s="49" t="s">
        <v>2</v>
      </c>
      <c r="F233" s="49" t="s">
        <v>160</v>
      </c>
      <c r="G233">
        <f>'Baseline (June to Sep)'!S35+'Baseline (June to Sep)'!T35</f>
        <v>45</v>
      </c>
      <c r="H233">
        <f>'Baseline (June to Sep)'!U35</f>
        <v>5</v>
      </c>
      <c r="I233">
        <v>0</v>
      </c>
      <c r="J233">
        <f>G233*Parameters!$B$2*Parameters!$B$5</f>
        <v>95.809499999999986</v>
      </c>
      <c r="K233">
        <f>H233*Parameters!$B$3*Parameters!$B$6</f>
        <v>31.353999999999999</v>
      </c>
      <c r="L233">
        <f>I233*Parameters!$B$4*Parameters!$B$7</f>
        <v>0</v>
      </c>
      <c r="M233">
        <f t="shared" si="3"/>
        <v>127.16349999999998</v>
      </c>
      <c r="N233">
        <v>4500</v>
      </c>
      <c r="O233">
        <v>0</v>
      </c>
      <c r="P233">
        <v>1500</v>
      </c>
      <c r="Q233">
        <v>0</v>
      </c>
    </row>
    <row r="234" spans="1:17">
      <c r="A234" t="s">
        <v>57</v>
      </c>
      <c r="B234" t="s">
        <v>40</v>
      </c>
      <c r="C234">
        <v>4</v>
      </c>
      <c r="D234">
        <v>2021</v>
      </c>
      <c r="E234" s="49" t="s">
        <v>2</v>
      </c>
      <c r="F234" s="49" t="s">
        <v>160</v>
      </c>
      <c r="G234">
        <f>'Baseline (June to Sep)'!S36+'Baseline (June to Sep)'!T36</f>
        <v>40</v>
      </c>
      <c r="H234">
        <f>'Baseline (June to Sep)'!U36</f>
        <v>5</v>
      </c>
      <c r="I234">
        <v>0</v>
      </c>
      <c r="J234">
        <f>G234*Parameters!$B$2*Parameters!$B$5</f>
        <v>85.163999999999987</v>
      </c>
      <c r="K234">
        <f>H234*Parameters!$B$3*Parameters!$B$6</f>
        <v>31.353999999999999</v>
      </c>
      <c r="L234">
        <f>I234*Parameters!$B$4*Parameters!$B$7</f>
        <v>0</v>
      </c>
      <c r="M234">
        <f t="shared" si="3"/>
        <v>116.51799999999999</v>
      </c>
      <c r="N234">
        <v>4000</v>
      </c>
      <c r="O234">
        <v>0</v>
      </c>
      <c r="P234">
        <v>1500</v>
      </c>
      <c r="Q234">
        <v>0</v>
      </c>
    </row>
    <row r="235" spans="1:17">
      <c r="A235" t="s">
        <v>58</v>
      </c>
      <c r="B235" t="s">
        <v>26</v>
      </c>
      <c r="C235">
        <v>6</v>
      </c>
      <c r="D235">
        <v>2021</v>
      </c>
      <c r="E235" s="49" t="s">
        <v>2</v>
      </c>
      <c r="F235" s="49" t="s">
        <v>160</v>
      </c>
      <c r="G235">
        <f>'Baseline (June to Sep)'!S37+'Baseline (June to Sep)'!T37</f>
        <v>50</v>
      </c>
      <c r="H235">
        <f>'Baseline (June to Sep)'!U37</f>
        <v>5</v>
      </c>
      <c r="I235">
        <v>0</v>
      </c>
      <c r="J235">
        <f>G235*Parameters!$B$2*Parameters!$B$5</f>
        <v>106.45499999999998</v>
      </c>
      <c r="K235">
        <f>H235*Parameters!$B$3*Parameters!$B$6</f>
        <v>31.353999999999999</v>
      </c>
      <c r="L235">
        <f>I235*Parameters!$B$4*Parameters!$B$7</f>
        <v>0</v>
      </c>
      <c r="M235">
        <f t="shared" si="3"/>
        <v>137.80899999999997</v>
      </c>
      <c r="N235">
        <v>5000</v>
      </c>
      <c r="O235">
        <v>0</v>
      </c>
      <c r="P235">
        <v>1500</v>
      </c>
      <c r="Q235">
        <v>0</v>
      </c>
    </row>
    <row r="236" spans="1:17">
      <c r="A236" t="s">
        <v>59</v>
      </c>
      <c r="B236" t="s">
        <v>26</v>
      </c>
      <c r="C236">
        <v>7</v>
      </c>
      <c r="D236">
        <v>2021</v>
      </c>
      <c r="E236" s="49" t="s">
        <v>2</v>
      </c>
      <c r="F236" s="49" t="s">
        <v>160</v>
      </c>
      <c r="G236">
        <f>'Baseline (June to Sep)'!S38+'Baseline (June to Sep)'!T38</f>
        <v>45</v>
      </c>
      <c r="H236">
        <f>'Baseline (June to Sep)'!U38</f>
        <v>0</v>
      </c>
      <c r="I236">
        <v>0</v>
      </c>
      <c r="J236">
        <f>G236*Parameters!$B$2*Parameters!$B$5</f>
        <v>95.809499999999986</v>
      </c>
      <c r="K236">
        <f>H236*Parameters!$B$3*Parameters!$B$6</f>
        <v>0</v>
      </c>
      <c r="L236">
        <f>I236*Parameters!$B$4*Parameters!$B$7</f>
        <v>0</v>
      </c>
      <c r="M236">
        <f t="shared" si="3"/>
        <v>95.809499999999986</v>
      </c>
      <c r="N236">
        <v>4500</v>
      </c>
      <c r="O236">
        <v>0</v>
      </c>
      <c r="P236">
        <v>0</v>
      </c>
      <c r="Q236">
        <v>0</v>
      </c>
    </row>
    <row r="237" spans="1:17">
      <c r="A237" t="s">
        <v>60</v>
      </c>
      <c r="B237" t="s">
        <v>26</v>
      </c>
      <c r="C237">
        <v>8</v>
      </c>
      <c r="D237">
        <v>2021</v>
      </c>
      <c r="E237" s="49" t="s">
        <v>2</v>
      </c>
      <c r="F237" s="49" t="s">
        <v>160</v>
      </c>
      <c r="G237">
        <f>'Baseline (June to Sep)'!S39+'Baseline (June to Sep)'!T39</f>
        <v>42</v>
      </c>
      <c r="H237">
        <f>'Baseline (June to Sep)'!U39</f>
        <v>0</v>
      </c>
      <c r="I237">
        <v>0</v>
      </c>
      <c r="J237">
        <f>G237*Parameters!$B$2*Parameters!$B$5</f>
        <v>89.422199999999975</v>
      </c>
      <c r="K237">
        <f>H237*Parameters!$B$3*Parameters!$B$6</f>
        <v>0</v>
      </c>
      <c r="L237">
        <f>I237*Parameters!$B$4*Parameters!$B$7</f>
        <v>0</v>
      </c>
      <c r="M237">
        <f t="shared" si="3"/>
        <v>89.422199999999975</v>
      </c>
      <c r="N237">
        <v>4200</v>
      </c>
      <c r="O237">
        <v>0</v>
      </c>
      <c r="P237">
        <v>0</v>
      </c>
      <c r="Q237">
        <v>0</v>
      </c>
    </row>
    <row r="238" spans="1:17">
      <c r="A238" t="s">
        <v>61</v>
      </c>
      <c r="B238" t="s">
        <v>56</v>
      </c>
      <c r="C238">
        <v>5</v>
      </c>
      <c r="D238">
        <v>2021</v>
      </c>
      <c r="E238" s="49" t="s">
        <v>2</v>
      </c>
      <c r="F238" s="49" t="s">
        <v>160</v>
      </c>
      <c r="G238">
        <f>'Baseline (June to Sep)'!S40+'Baseline (June to Sep)'!T40</f>
        <v>39</v>
      </c>
      <c r="H238">
        <f>'Baseline (June to Sep)'!U40</f>
        <v>0</v>
      </c>
      <c r="I238">
        <v>0</v>
      </c>
      <c r="J238">
        <f>G238*Parameters!$B$2*Parameters!$B$5</f>
        <v>83.034899999999993</v>
      </c>
      <c r="K238">
        <f>H238*Parameters!$B$3*Parameters!$B$6</f>
        <v>0</v>
      </c>
      <c r="L238">
        <f>I238*Parameters!$B$4*Parameters!$B$7</f>
        <v>0</v>
      </c>
      <c r="M238">
        <f t="shared" si="3"/>
        <v>83.034899999999993</v>
      </c>
      <c r="N238">
        <v>3900</v>
      </c>
      <c r="O238">
        <v>0</v>
      </c>
      <c r="P238">
        <v>0</v>
      </c>
      <c r="Q238">
        <v>0</v>
      </c>
    </row>
    <row r="239" spans="1:17">
      <c r="A239" t="s">
        <v>62</v>
      </c>
      <c r="B239" t="s">
        <v>21</v>
      </c>
      <c r="C239">
        <v>6</v>
      </c>
      <c r="D239">
        <v>2021</v>
      </c>
      <c r="E239" s="49" t="s">
        <v>2</v>
      </c>
      <c r="F239" s="49" t="s">
        <v>160</v>
      </c>
      <c r="G239">
        <f>'Baseline (June to Sep)'!S41+'Baseline (June to Sep)'!T41</f>
        <v>40</v>
      </c>
      <c r="H239">
        <f>'Baseline (June to Sep)'!U41</f>
        <v>10</v>
      </c>
      <c r="I239">
        <v>0</v>
      </c>
      <c r="J239">
        <f>G239*Parameters!$B$2*Parameters!$B$5</f>
        <v>85.163999999999987</v>
      </c>
      <c r="K239">
        <f>H239*Parameters!$B$3*Parameters!$B$6</f>
        <v>62.707999999999998</v>
      </c>
      <c r="L239">
        <f>I239*Parameters!$B$4*Parameters!$B$7</f>
        <v>0</v>
      </c>
      <c r="M239">
        <f t="shared" si="3"/>
        <v>147.87199999999999</v>
      </c>
      <c r="N239">
        <v>4000</v>
      </c>
      <c r="O239">
        <v>0</v>
      </c>
      <c r="P239">
        <v>3000</v>
      </c>
      <c r="Q239">
        <v>0</v>
      </c>
    </row>
    <row r="240" spans="1:17">
      <c r="A240" t="s">
        <v>63</v>
      </c>
      <c r="B240" t="s">
        <v>21</v>
      </c>
      <c r="C240">
        <v>9</v>
      </c>
      <c r="D240">
        <v>2021</v>
      </c>
      <c r="E240" s="49" t="s">
        <v>2</v>
      </c>
      <c r="F240" s="49" t="s">
        <v>160</v>
      </c>
      <c r="G240">
        <f>'Baseline (June to Sep)'!S42+'Baseline (June to Sep)'!T42</f>
        <v>36</v>
      </c>
      <c r="H240">
        <f>'Baseline (June to Sep)'!U42</f>
        <v>20</v>
      </c>
      <c r="I240">
        <v>0</v>
      </c>
      <c r="J240">
        <f>G240*Parameters!$B$2*Parameters!$B$5</f>
        <v>76.647599999999997</v>
      </c>
      <c r="K240">
        <f>H240*Parameters!$B$3*Parameters!$B$6</f>
        <v>125.416</v>
      </c>
      <c r="L240">
        <f>I240*Parameters!$B$4*Parameters!$B$7</f>
        <v>0</v>
      </c>
      <c r="M240">
        <f t="shared" si="3"/>
        <v>202.06360000000001</v>
      </c>
      <c r="N240">
        <v>3600</v>
      </c>
      <c r="O240">
        <v>0</v>
      </c>
      <c r="P240">
        <v>6000</v>
      </c>
      <c r="Q240">
        <v>0</v>
      </c>
    </row>
    <row r="241" spans="1:17">
      <c r="A241" t="s">
        <v>64</v>
      </c>
      <c r="B241" t="s">
        <v>65</v>
      </c>
      <c r="C241">
        <v>3</v>
      </c>
      <c r="D241">
        <v>2021</v>
      </c>
      <c r="E241" s="49" t="s">
        <v>2</v>
      </c>
      <c r="F241" s="49" t="s">
        <v>160</v>
      </c>
      <c r="G241">
        <f>'Baseline (June to Sep)'!S43+'Baseline (June to Sep)'!T43</f>
        <v>30</v>
      </c>
      <c r="H241">
        <f>'Baseline (June to Sep)'!U43</f>
        <v>10</v>
      </c>
      <c r="I241">
        <v>0</v>
      </c>
      <c r="J241">
        <f>G241*Parameters!$B$2*Parameters!$B$5</f>
        <v>63.87299999999999</v>
      </c>
      <c r="K241">
        <f>H241*Parameters!$B$3*Parameters!$B$6</f>
        <v>62.707999999999998</v>
      </c>
      <c r="L241">
        <f>I241*Parameters!$B$4*Parameters!$B$7</f>
        <v>0</v>
      </c>
      <c r="M241">
        <f t="shared" si="3"/>
        <v>126.58099999999999</v>
      </c>
      <c r="N241">
        <v>3000</v>
      </c>
      <c r="O241">
        <v>0</v>
      </c>
      <c r="P241">
        <v>3000</v>
      </c>
      <c r="Q241">
        <v>0</v>
      </c>
    </row>
    <row r="242" spans="1:17">
      <c r="A242" t="s">
        <v>66</v>
      </c>
      <c r="B242" t="s">
        <v>24</v>
      </c>
      <c r="C242">
        <v>4</v>
      </c>
      <c r="D242">
        <v>2021</v>
      </c>
      <c r="E242" s="49" t="s">
        <v>2</v>
      </c>
      <c r="F242" s="49" t="s">
        <v>160</v>
      </c>
      <c r="G242">
        <f>'Baseline (June to Sep)'!S44+'Baseline (June to Sep)'!T44</f>
        <v>32</v>
      </c>
      <c r="H242">
        <f>'Baseline (June to Sep)'!U44</f>
        <v>0</v>
      </c>
      <c r="I242">
        <v>0</v>
      </c>
      <c r="J242">
        <f>G242*Parameters!$B$2*Parameters!$B$5</f>
        <v>68.131199999999993</v>
      </c>
      <c r="K242">
        <f>H242*Parameters!$B$3*Parameters!$B$6</f>
        <v>0</v>
      </c>
      <c r="L242">
        <f>I242*Parameters!$B$4*Parameters!$B$7</f>
        <v>0</v>
      </c>
      <c r="M242">
        <f t="shared" si="3"/>
        <v>68.131199999999993</v>
      </c>
      <c r="N242">
        <v>3200</v>
      </c>
      <c r="O242">
        <v>0</v>
      </c>
      <c r="P242">
        <v>0</v>
      </c>
      <c r="Q242">
        <v>0</v>
      </c>
    </row>
    <row r="243" spans="1:17">
      <c r="A243" t="s">
        <v>67</v>
      </c>
      <c r="B243" t="s">
        <v>56</v>
      </c>
      <c r="C243">
        <v>6</v>
      </c>
      <c r="D243">
        <v>2021</v>
      </c>
      <c r="E243" s="49" t="s">
        <v>2</v>
      </c>
      <c r="F243" s="49" t="s">
        <v>160</v>
      </c>
      <c r="G243">
        <f>'Baseline (June to Sep)'!S45+'Baseline (June to Sep)'!T45</f>
        <v>40</v>
      </c>
      <c r="H243">
        <f>'Baseline (June to Sep)'!U45</f>
        <v>0</v>
      </c>
      <c r="I243">
        <v>0</v>
      </c>
      <c r="J243">
        <f>G243*Parameters!$B$2*Parameters!$B$5</f>
        <v>85.163999999999987</v>
      </c>
      <c r="K243">
        <f>H243*Parameters!$B$3*Parameters!$B$6</f>
        <v>0</v>
      </c>
      <c r="L243">
        <f>I243*Parameters!$B$4*Parameters!$B$7</f>
        <v>0</v>
      </c>
      <c r="M243">
        <f t="shared" si="3"/>
        <v>85.163999999999987</v>
      </c>
      <c r="N243">
        <v>4000</v>
      </c>
      <c r="O243">
        <v>0</v>
      </c>
      <c r="P243">
        <v>0</v>
      </c>
      <c r="Q243">
        <v>0</v>
      </c>
    </row>
    <row r="244" spans="1:17">
      <c r="A244" t="s">
        <v>68</v>
      </c>
      <c r="B244" t="s">
        <v>21</v>
      </c>
      <c r="C244">
        <v>4</v>
      </c>
      <c r="D244">
        <v>2021</v>
      </c>
      <c r="E244" s="49" t="s">
        <v>2</v>
      </c>
      <c r="F244" s="49" t="s">
        <v>160</v>
      </c>
      <c r="G244">
        <f>'Baseline (June to Sep)'!S46+'Baseline (June to Sep)'!T46</f>
        <v>40</v>
      </c>
      <c r="H244">
        <f>'Baseline (June to Sep)'!U46</f>
        <v>0</v>
      </c>
      <c r="I244">
        <v>0</v>
      </c>
      <c r="J244">
        <f>G244*Parameters!$B$2*Parameters!$B$5</f>
        <v>85.163999999999987</v>
      </c>
      <c r="K244">
        <f>H244*Parameters!$B$3*Parameters!$B$6</f>
        <v>0</v>
      </c>
      <c r="L244">
        <f>I244*Parameters!$B$4*Parameters!$B$7</f>
        <v>0</v>
      </c>
      <c r="M244">
        <f t="shared" si="3"/>
        <v>85.163999999999987</v>
      </c>
      <c r="N244">
        <v>4000</v>
      </c>
      <c r="O244">
        <v>0</v>
      </c>
      <c r="P244">
        <v>0</v>
      </c>
      <c r="Q244">
        <v>0</v>
      </c>
    </row>
    <row r="245" spans="1:17">
      <c r="A245" t="s">
        <v>69</v>
      </c>
      <c r="B245" t="s">
        <v>24</v>
      </c>
      <c r="C245">
        <v>6</v>
      </c>
      <c r="D245">
        <v>2021</v>
      </c>
      <c r="E245" s="49" t="s">
        <v>2</v>
      </c>
      <c r="F245" s="49" t="s">
        <v>160</v>
      </c>
      <c r="G245">
        <f>'Baseline (June to Sep)'!S47+'Baseline (June to Sep)'!T47</f>
        <v>40</v>
      </c>
      <c r="H245">
        <f>'Baseline (June to Sep)'!U47</f>
        <v>0</v>
      </c>
      <c r="I245">
        <v>0</v>
      </c>
      <c r="J245">
        <f>G245*Parameters!$B$2*Parameters!$B$5</f>
        <v>85.163999999999987</v>
      </c>
      <c r="K245">
        <f>H245*Parameters!$B$3*Parameters!$B$6</f>
        <v>0</v>
      </c>
      <c r="L245">
        <f>I245*Parameters!$B$4*Parameters!$B$7</f>
        <v>0</v>
      </c>
      <c r="M245">
        <f t="shared" si="3"/>
        <v>85.163999999999987</v>
      </c>
      <c r="N245">
        <v>4000</v>
      </c>
      <c r="O245">
        <v>0</v>
      </c>
      <c r="P245">
        <v>0</v>
      </c>
      <c r="Q245">
        <v>0</v>
      </c>
    </row>
    <row r="246" spans="1:17">
      <c r="A246" t="s">
        <v>70</v>
      </c>
      <c r="B246" t="s">
        <v>26</v>
      </c>
      <c r="C246">
        <v>6</v>
      </c>
      <c r="D246">
        <v>2021</v>
      </c>
      <c r="E246" s="49" t="s">
        <v>2</v>
      </c>
      <c r="F246" s="49" t="s">
        <v>160</v>
      </c>
      <c r="G246">
        <f>'Baseline (June to Sep)'!S48+'Baseline (June to Sep)'!T48</f>
        <v>33</v>
      </c>
      <c r="H246">
        <f>'Baseline (June to Sep)'!U48</f>
        <v>0</v>
      </c>
      <c r="I246">
        <v>0</v>
      </c>
      <c r="J246">
        <f>G246*Parameters!$B$2*Parameters!$B$5</f>
        <v>70.260300000000001</v>
      </c>
      <c r="K246">
        <f>H246*Parameters!$B$3*Parameters!$B$6</f>
        <v>0</v>
      </c>
      <c r="L246">
        <f>I246*Parameters!$B$4*Parameters!$B$7</f>
        <v>0</v>
      </c>
      <c r="M246">
        <f t="shared" si="3"/>
        <v>70.260300000000001</v>
      </c>
      <c r="N246">
        <v>3300</v>
      </c>
      <c r="O246">
        <v>0</v>
      </c>
      <c r="P246">
        <v>0</v>
      </c>
      <c r="Q246">
        <v>0</v>
      </c>
    </row>
    <row r="247" spans="1:17">
      <c r="A247" t="s">
        <v>71</v>
      </c>
      <c r="B247" t="s">
        <v>26</v>
      </c>
      <c r="C247">
        <v>5</v>
      </c>
      <c r="D247">
        <v>2021</v>
      </c>
      <c r="E247" s="49" t="s">
        <v>2</v>
      </c>
      <c r="F247" s="49" t="s">
        <v>160</v>
      </c>
      <c r="G247">
        <f>'Baseline (June to Sep)'!S49+'Baseline (June to Sep)'!T49</f>
        <v>45</v>
      </c>
      <c r="H247">
        <f>'Baseline (June to Sep)'!U49</f>
        <v>0</v>
      </c>
      <c r="I247">
        <v>0</v>
      </c>
      <c r="J247">
        <f>G247*Parameters!$B$2*Parameters!$B$5</f>
        <v>95.809499999999986</v>
      </c>
      <c r="K247">
        <f>H247*Parameters!$B$3*Parameters!$B$6</f>
        <v>0</v>
      </c>
      <c r="L247">
        <f>I247*Parameters!$B$4*Parameters!$B$7</f>
        <v>0</v>
      </c>
      <c r="M247">
        <f t="shared" si="3"/>
        <v>95.809499999999986</v>
      </c>
      <c r="N247">
        <v>4500</v>
      </c>
      <c r="O247">
        <v>0</v>
      </c>
      <c r="P247">
        <v>0</v>
      </c>
      <c r="Q247">
        <v>0</v>
      </c>
    </row>
    <row r="248" spans="1:17">
      <c r="A248" t="s">
        <v>72</v>
      </c>
      <c r="B248" t="s">
        <v>26</v>
      </c>
      <c r="C248">
        <v>8</v>
      </c>
      <c r="D248">
        <v>2021</v>
      </c>
      <c r="E248" s="49" t="s">
        <v>2</v>
      </c>
      <c r="F248" s="49" t="s">
        <v>160</v>
      </c>
      <c r="G248">
        <f>'Baseline (June to Sep)'!S50+'Baseline (June to Sep)'!T50</f>
        <v>0</v>
      </c>
      <c r="H248">
        <f>'Baseline (June to Sep)'!U50</f>
        <v>20</v>
      </c>
      <c r="I248">
        <v>0</v>
      </c>
      <c r="J248">
        <f>G248*Parameters!$B$2*Parameters!$B$5</f>
        <v>0</v>
      </c>
      <c r="K248">
        <f>H248*Parameters!$B$3*Parameters!$B$6</f>
        <v>125.416</v>
      </c>
      <c r="L248">
        <f>I248*Parameters!$B$4*Parameters!$B$7</f>
        <v>0</v>
      </c>
      <c r="M248">
        <f t="shared" si="3"/>
        <v>125.416</v>
      </c>
      <c r="N248">
        <v>0</v>
      </c>
      <c r="O248">
        <v>0</v>
      </c>
      <c r="P248">
        <v>6000</v>
      </c>
      <c r="Q248">
        <v>0</v>
      </c>
    </row>
    <row r="249" spans="1:17">
      <c r="A249" t="s">
        <v>73</v>
      </c>
      <c r="B249" t="s">
        <v>17</v>
      </c>
      <c r="C249">
        <v>4</v>
      </c>
      <c r="D249">
        <v>2021</v>
      </c>
      <c r="E249" s="49" t="s">
        <v>2</v>
      </c>
      <c r="F249" s="49" t="s">
        <v>160</v>
      </c>
      <c r="G249">
        <f>'Baseline (June to Sep)'!S51+'Baseline (June to Sep)'!T51</f>
        <v>30</v>
      </c>
      <c r="H249">
        <f>'Baseline (June to Sep)'!U51</f>
        <v>5</v>
      </c>
      <c r="I249">
        <v>0</v>
      </c>
      <c r="J249">
        <f>G249*Parameters!$B$2*Parameters!$B$5</f>
        <v>63.87299999999999</v>
      </c>
      <c r="K249">
        <f>H249*Parameters!$B$3*Parameters!$B$6</f>
        <v>31.353999999999999</v>
      </c>
      <c r="L249">
        <f>I249*Parameters!$B$4*Parameters!$B$7</f>
        <v>0</v>
      </c>
      <c r="M249">
        <f t="shared" si="3"/>
        <v>95.22699999999999</v>
      </c>
      <c r="N249">
        <v>3000</v>
      </c>
      <c r="O249">
        <v>0</v>
      </c>
      <c r="P249">
        <v>1500</v>
      </c>
      <c r="Q249">
        <v>0</v>
      </c>
    </row>
    <row r="250" spans="1:17">
      <c r="A250" t="s">
        <v>74</v>
      </c>
      <c r="B250" t="s">
        <v>65</v>
      </c>
      <c r="C250">
        <v>8</v>
      </c>
      <c r="D250">
        <v>2021</v>
      </c>
      <c r="E250" s="49" t="s">
        <v>2</v>
      </c>
      <c r="F250" s="49" t="s">
        <v>160</v>
      </c>
      <c r="G250">
        <f>'Baseline (June to Sep)'!S52+'Baseline (June to Sep)'!T52</f>
        <v>15</v>
      </c>
      <c r="H250">
        <f>'Baseline (June to Sep)'!U52</f>
        <v>15</v>
      </c>
      <c r="I250">
        <v>0</v>
      </c>
      <c r="J250">
        <f>G250*Parameters!$B$2*Parameters!$B$5</f>
        <v>31.936499999999995</v>
      </c>
      <c r="K250">
        <f>H250*Parameters!$B$3*Parameters!$B$6</f>
        <v>94.061999999999998</v>
      </c>
      <c r="L250">
        <f>I250*Parameters!$B$4*Parameters!$B$7</f>
        <v>0</v>
      </c>
      <c r="M250">
        <f t="shared" si="3"/>
        <v>125.99849999999999</v>
      </c>
      <c r="N250">
        <v>1500</v>
      </c>
      <c r="O250">
        <v>0</v>
      </c>
      <c r="P250">
        <v>4500</v>
      </c>
      <c r="Q250">
        <v>0</v>
      </c>
    </row>
    <row r="251" spans="1:17">
      <c r="A251" t="s">
        <v>75</v>
      </c>
      <c r="B251" t="s">
        <v>24</v>
      </c>
      <c r="C251">
        <v>4</v>
      </c>
      <c r="D251">
        <v>2021</v>
      </c>
      <c r="E251" s="49" t="s">
        <v>2</v>
      </c>
      <c r="F251" s="49" t="s">
        <v>160</v>
      </c>
      <c r="G251">
        <f>'Baseline (June to Sep)'!S53+'Baseline (June to Sep)'!T53</f>
        <v>37</v>
      </c>
      <c r="H251">
        <f>'Baseline (June to Sep)'!U53</f>
        <v>10</v>
      </c>
      <c r="I251">
        <v>0</v>
      </c>
      <c r="J251">
        <f>G251*Parameters!$B$2*Parameters!$B$5</f>
        <v>78.776699999999977</v>
      </c>
      <c r="K251">
        <f>H251*Parameters!$B$3*Parameters!$B$6</f>
        <v>62.707999999999998</v>
      </c>
      <c r="L251">
        <f>I251*Parameters!$B$4*Parameters!$B$7</f>
        <v>0</v>
      </c>
      <c r="M251">
        <f t="shared" si="3"/>
        <v>141.48469999999998</v>
      </c>
      <c r="N251">
        <v>3700</v>
      </c>
      <c r="O251">
        <v>0</v>
      </c>
      <c r="P251">
        <v>3000</v>
      </c>
      <c r="Q251">
        <v>0</v>
      </c>
    </row>
    <row r="252" spans="1:17">
      <c r="A252" t="s">
        <v>76</v>
      </c>
      <c r="B252" t="s">
        <v>56</v>
      </c>
      <c r="C252">
        <v>4</v>
      </c>
      <c r="D252">
        <v>2021</v>
      </c>
      <c r="E252" s="49" t="s">
        <v>2</v>
      </c>
      <c r="F252" s="49" t="s">
        <v>160</v>
      </c>
      <c r="G252">
        <f>'Baseline (June to Sep)'!S54+'Baseline (June to Sep)'!T54</f>
        <v>47</v>
      </c>
      <c r="H252">
        <f>'Baseline (June to Sep)'!U54</f>
        <v>0</v>
      </c>
      <c r="I252">
        <v>0</v>
      </c>
      <c r="J252">
        <f>G252*Parameters!$B$2*Parameters!$B$5</f>
        <v>100.06769999999997</v>
      </c>
      <c r="K252">
        <f>H252*Parameters!$B$3*Parameters!$B$6</f>
        <v>0</v>
      </c>
      <c r="L252">
        <f>I252*Parameters!$B$4*Parameters!$B$7</f>
        <v>0</v>
      </c>
      <c r="M252">
        <f t="shared" si="3"/>
        <v>100.06769999999997</v>
      </c>
      <c r="N252">
        <v>4700</v>
      </c>
      <c r="O252">
        <v>0</v>
      </c>
      <c r="P252">
        <v>0</v>
      </c>
      <c r="Q252">
        <v>0</v>
      </c>
    </row>
    <row r="253" spans="1:17">
      <c r="A253" t="s">
        <v>77</v>
      </c>
      <c r="B253" t="s">
        <v>40</v>
      </c>
      <c r="C253">
        <v>12</v>
      </c>
      <c r="D253">
        <v>2021</v>
      </c>
      <c r="E253" s="49" t="s">
        <v>2</v>
      </c>
      <c r="F253" s="49" t="s">
        <v>160</v>
      </c>
      <c r="G253">
        <f>'Baseline (June to Sep)'!S55+'Baseline (June to Sep)'!T55</f>
        <v>25</v>
      </c>
      <c r="H253">
        <f>'Baseline (June to Sep)'!U55</f>
        <v>5</v>
      </c>
      <c r="I253">
        <v>0</v>
      </c>
      <c r="J253">
        <f>G253*Parameters!$B$2*Parameters!$B$5</f>
        <v>53.227499999999992</v>
      </c>
      <c r="K253">
        <f>H253*Parameters!$B$3*Parameters!$B$6</f>
        <v>31.353999999999999</v>
      </c>
      <c r="L253">
        <f>I253*Parameters!$B$4*Parameters!$B$7</f>
        <v>0</v>
      </c>
      <c r="M253">
        <f t="shared" si="3"/>
        <v>84.581499999999991</v>
      </c>
      <c r="N253">
        <v>2500</v>
      </c>
      <c r="O253">
        <v>0</v>
      </c>
      <c r="P253">
        <v>1500</v>
      </c>
      <c r="Q253">
        <v>0</v>
      </c>
    </row>
    <row r="254" spans="1:17">
      <c r="A254" t="s">
        <v>78</v>
      </c>
      <c r="B254" t="s">
        <v>32</v>
      </c>
      <c r="C254">
        <v>6</v>
      </c>
      <c r="D254">
        <v>2021</v>
      </c>
      <c r="E254" s="49" t="s">
        <v>2</v>
      </c>
      <c r="F254" s="49" t="s">
        <v>160</v>
      </c>
      <c r="G254">
        <f>'Baseline (June to Sep)'!S56+'Baseline (June to Sep)'!T56</f>
        <v>35</v>
      </c>
      <c r="H254">
        <f>'Baseline (June to Sep)'!U56</f>
        <v>0</v>
      </c>
      <c r="I254">
        <v>0</v>
      </c>
      <c r="J254">
        <f>G254*Parameters!$B$2*Parameters!$B$5</f>
        <v>74.518499999999989</v>
      </c>
      <c r="K254">
        <f>H254*Parameters!$B$3*Parameters!$B$6</f>
        <v>0</v>
      </c>
      <c r="L254">
        <f>I254*Parameters!$B$4*Parameters!$B$7</f>
        <v>0</v>
      </c>
      <c r="M254">
        <f t="shared" si="3"/>
        <v>74.518499999999989</v>
      </c>
      <c r="N254">
        <v>3500</v>
      </c>
      <c r="O254">
        <v>0</v>
      </c>
      <c r="P254">
        <v>0</v>
      </c>
      <c r="Q254">
        <v>0</v>
      </c>
    </row>
    <row r="255" spans="1:17">
      <c r="A255" t="s">
        <v>79</v>
      </c>
      <c r="B255" t="s">
        <v>40</v>
      </c>
      <c r="C255">
        <v>4</v>
      </c>
      <c r="D255">
        <v>2021</v>
      </c>
      <c r="E255" s="49" t="s">
        <v>2</v>
      </c>
      <c r="F255" s="49" t="s">
        <v>160</v>
      </c>
      <c r="G255">
        <f>'Baseline (June to Sep)'!S57+'Baseline (June to Sep)'!T57</f>
        <v>45</v>
      </c>
      <c r="H255">
        <f>'Baseline (June to Sep)'!U57</f>
        <v>0</v>
      </c>
      <c r="I255">
        <v>0</v>
      </c>
      <c r="J255">
        <f>G255*Parameters!$B$2*Parameters!$B$5</f>
        <v>95.809499999999986</v>
      </c>
      <c r="K255">
        <f>H255*Parameters!$B$3*Parameters!$B$6</f>
        <v>0</v>
      </c>
      <c r="L255">
        <f>I255*Parameters!$B$4*Parameters!$B$7</f>
        <v>0</v>
      </c>
      <c r="M255">
        <f t="shared" si="3"/>
        <v>95.809499999999986</v>
      </c>
      <c r="N255">
        <v>4500</v>
      </c>
      <c r="O255">
        <v>0</v>
      </c>
      <c r="P255">
        <v>0</v>
      </c>
      <c r="Q255">
        <v>0</v>
      </c>
    </row>
    <row r="256" spans="1:17">
      <c r="A256" t="s">
        <v>80</v>
      </c>
      <c r="B256" t="s">
        <v>26</v>
      </c>
      <c r="C256">
        <v>7</v>
      </c>
      <c r="D256">
        <v>2021</v>
      </c>
      <c r="E256" s="49" t="s">
        <v>2</v>
      </c>
      <c r="F256" s="49" t="s">
        <v>160</v>
      </c>
      <c r="G256">
        <f>'Baseline (June to Sep)'!S58+'Baseline (June to Sep)'!T58</f>
        <v>45</v>
      </c>
      <c r="H256">
        <f>'Baseline (June to Sep)'!U58</f>
        <v>0</v>
      </c>
      <c r="I256">
        <v>0</v>
      </c>
      <c r="J256">
        <f>G256*Parameters!$B$2*Parameters!$B$5</f>
        <v>95.809499999999986</v>
      </c>
      <c r="K256">
        <f>H256*Parameters!$B$3*Parameters!$B$6</f>
        <v>0</v>
      </c>
      <c r="L256">
        <f>I256*Parameters!$B$4*Parameters!$B$7</f>
        <v>0</v>
      </c>
      <c r="M256">
        <f t="shared" si="3"/>
        <v>95.809499999999986</v>
      </c>
      <c r="N256">
        <v>4500</v>
      </c>
      <c r="O256">
        <v>0</v>
      </c>
      <c r="P256">
        <v>0</v>
      </c>
      <c r="Q256">
        <v>0</v>
      </c>
    </row>
    <row r="257" spans="1:17">
      <c r="A257" t="s">
        <v>81</v>
      </c>
      <c r="B257" t="s">
        <v>24</v>
      </c>
      <c r="C257">
        <v>6</v>
      </c>
      <c r="D257">
        <v>2021</v>
      </c>
      <c r="E257" s="49" t="s">
        <v>2</v>
      </c>
      <c r="F257" s="49" t="s">
        <v>160</v>
      </c>
      <c r="G257">
        <f>'Baseline (June to Sep)'!S59+'Baseline (June to Sep)'!T59</f>
        <v>58</v>
      </c>
      <c r="H257">
        <f>'Baseline (June to Sep)'!U59</f>
        <v>0</v>
      </c>
      <c r="I257">
        <v>0</v>
      </c>
      <c r="J257">
        <f>G257*Parameters!$B$2*Parameters!$B$5</f>
        <v>123.48779999999998</v>
      </c>
      <c r="K257">
        <f>H257*Parameters!$B$3*Parameters!$B$6</f>
        <v>0</v>
      </c>
      <c r="L257">
        <f>I257*Parameters!$B$4*Parameters!$B$7</f>
        <v>0</v>
      </c>
      <c r="M257">
        <f t="shared" si="3"/>
        <v>123.48779999999998</v>
      </c>
      <c r="N257">
        <v>5800</v>
      </c>
      <c r="O257">
        <v>0</v>
      </c>
      <c r="P257">
        <v>0</v>
      </c>
      <c r="Q257">
        <v>0</v>
      </c>
    </row>
    <row r="258" spans="1:17">
      <c r="A258" t="s">
        <v>82</v>
      </c>
      <c r="B258" t="s">
        <v>83</v>
      </c>
      <c r="C258">
        <v>4</v>
      </c>
      <c r="D258">
        <v>2021</v>
      </c>
      <c r="E258" s="49" t="s">
        <v>2</v>
      </c>
      <c r="F258" s="49" t="s">
        <v>160</v>
      </c>
      <c r="G258">
        <f>'Baseline (June to Sep)'!S60+'Baseline (June to Sep)'!T60</f>
        <v>50</v>
      </c>
      <c r="H258">
        <f>'Baseline (June to Sep)'!U60</f>
        <v>0</v>
      </c>
      <c r="I258">
        <v>0</v>
      </c>
      <c r="J258">
        <f>G258*Parameters!$B$2*Parameters!$B$5</f>
        <v>106.45499999999998</v>
      </c>
      <c r="K258">
        <f>H258*Parameters!$B$3*Parameters!$B$6</f>
        <v>0</v>
      </c>
      <c r="L258">
        <f>I258*Parameters!$B$4*Parameters!$B$7</f>
        <v>0</v>
      </c>
      <c r="M258">
        <f t="shared" si="3"/>
        <v>106.45499999999998</v>
      </c>
      <c r="N258">
        <v>5000</v>
      </c>
      <c r="O258">
        <v>0</v>
      </c>
      <c r="P258">
        <v>0</v>
      </c>
      <c r="Q258">
        <v>0</v>
      </c>
    </row>
    <row r="259" spans="1:17">
      <c r="A259" t="s">
        <v>84</v>
      </c>
      <c r="B259" t="s">
        <v>26</v>
      </c>
      <c r="C259">
        <v>7</v>
      </c>
      <c r="D259">
        <v>2021</v>
      </c>
      <c r="E259" s="49" t="s">
        <v>2</v>
      </c>
      <c r="F259" s="49" t="s">
        <v>160</v>
      </c>
      <c r="G259">
        <f>'Baseline (June to Sep)'!S61+'Baseline (June to Sep)'!T61</f>
        <v>85</v>
      </c>
      <c r="H259">
        <f>'Baseline (June to Sep)'!U61</f>
        <v>0</v>
      </c>
      <c r="I259">
        <v>0</v>
      </c>
      <c r="J259">
        <f>G259*Parameters!$B$2*Parameters!$B$5</f>
        <v>180.97349999999997</v>
      </c>
      <c r="K259">
        <f>H259*Parameters!$B$3*Parameters!$B$6</f>
        <v>0</v>
      </c>
      <c r="L259">
        <f>I259*Parameters!$B$4*Parameters!$B$7</f>
        <v>0</v>
      </c>
      <c r="M259">
        <f t="shared" ref="M259:M322" si="4">SUM(J259:L259)</f>
        <v>180.97349999999997</v>
      </c>
      <c r="N259">
        <v>8500</v>
      </c>
      <c r="O259">
        <v>0</v>
      </c>
      <c r="P259">
        <v>0</v>
      </c>
      <c r="Q259">
        <v>0</v>
      </c>
    </row>
    <row r="260" spans="1:17">
      <c r="A260" t="s">
        <v>85</v>
      </c>
      <c r="B260" t="s">
        <v>24</v>
      </c>
      <c r="C260">
        <v>6</v>
      </c>
      <c r="D260">
        <v>2021</v>
      </c>
      <c r="E260" s="49" t="s">
        <v>2</v>
      </c>
      <c r="F260" s="49" t="s">
        <v>160</v>
      </c>
      <c r="G260">
        <f>'Baseline (June to Sep)'!S62+'Baseline (June to Sep)'!T62</f>
        <v>55</v>
      </c>
      <c r="H260">
        <f>'Baseline (June to Sep)'!U62</f>
        <v>0</v>
      </c>
      <c r="I260">
        <v>0</v>
      </c>
      <c r="J260">
        <f>G260*Parameters!$B$2*Parameters!$B$5</f>
        <v>117.10049999999998</v>
      </c>
      <c r="K260">
        <f>H260*Parameters!$B$3*Parameters!$B$6</f>
        <v>0</v>
      </c>
      <c r="L260">
        <f>I260*Parameters!$B$4*Parameters!$B$7</f>
        <v>0</v>
      </c>
      <c r="M260">
        <f t="shared" si="4"/>
        <v>117.10049999999998</v>
      </c>
      <c r="N260">
        <v>5500</v>
      </c>
      <c r="O260">
        <v>0</v>
      </c>
      <c r="P260">
        <v>0</v>
      </c>
      <c r="Q260">
        <v>0</v>
      </c>
    </row>
    <row r="261" spans="1:17">
      <c r="A261" t="s">
        <v>86</v>
      </c>
      <c r="B261" t="s">
        <v>32</v>
      </c>
      <c r="C261">
        <v>4</v>
      </c>
      <c r="D261">
        <v>2021</v>
      </c>
      <c r="E261" s="49" t="s">
        <v>2</v>
      </c>
      <c r="F261" s="49" t="s">
        <v>160</v>
      </c>
      <c r="G261">
        <f>'Baseline (June to Sep)'!S63+'Baseline (June to Sep)'!T63</f>
        <v>35</v>
      </c>
      <c r="H261">
        <f>'Baseline (June to Sep)'!U63</f>
        <v>5</v>
      </c>
      <c r="I261">
        <v>0</v>
      </c>
      <c r="J261">
        <f>G261*Parameters!$B$2*Parameters!$B$5</f>
        <v>74.518499999999989</v>
      </c>
      <c r="K261">
        <f>H261*Parameters!$B$3*Parameters!$B$6</f>
        <v>31.353999999999999</v>
      </c>
      <c r="L261">
        <f>I261*Parameters!$B$4*Parameters!$B$7</f>
        <v>0</v>
      </c>
      <c r="M261">
        <f t="shared" si="4"/>
        <v>105.87249999999999</v>
      </c>
      <c r="N261">
        <v>3500</v>
      </c>
      <c r="O261">
        <v>0</v>
      </c>
      <c r="P261">
        <v>1500</v>
      </c>
      <c r="Q261">
        <v>0</v>
      </c>
    </row>
    <row r="262" spans="1:17">
      <c r="A262" t="s">
        <v>87</v>
      </c>
      <c r="B262" t="s">
        <v>32</v>
      </c>
      <c r="C262">
        <v>8</v>
      </c>
      <c r="D262">
        <v>2021</v>
      </c>
      <c r="E262" s="49" t="s">
        <v>2</v>
      </c>
      <c r="F262" s="49" t="s">
        <v>160</v>
      </c>
      <c r="G262">
        <f>'Baseline (June to Sep)'!S64+'Baseline (June to Sep)'!T64</f>
        <v>40</v>
      </c>
      <c r="H262">
        <f>'Baseline (June to Sep)'!U64</f>
        <v>0</v>
      </c>
      <c r="I262">
        <v>0</v>
      </c>
      <c r="J262">
        <f>G262*Parameters!$B$2*Parameters!$B$5</f>
        <v>85.163999999999987</v>
      </c>
      <c r="K262">
        <f>H262*Parameters!$B$3*Parameters!$B$6</f>
        <v>0</v>
      </c>
      <c r="L262">
        <f>I262*Parameters!$B$4*Parameters!$B$7</f>
        <v>0</v>
      </c>
      <c r="M262">
        <f t="shared" si="4"/>
        <v>85.163999999999987</v>
      </c>
      <c r="N262">
        <v>4000</v>
      </c>
      <c r="O262">
        <v>0</v>
      </c>
      <c r="P262">
        <v>0</v>
      </c>
      <c r="Q262">
        <v>0</v>
      </c>
    </row>
    <row r="263" spans="1:17">
      <c r="A263" t="s">
        <v>88</v>
      </c>
      <c r="B263" t="s">
        <v>32</v>
      </c>
      <c r="C263">
        <v>7</v>
      </c>
      <c r="D263">
        <v>2021</v>
      </c>
      <c r="E263" s="49" t="s">
        <v>2</v>
      </c>
      <c r="F263" s="49" t="s">
        <v>160</v>
      </c>
      <c r="G263">
        <f>'Baseline (June to Sep)'!S65+'Baseline (June to Sep)'!T65</f>
        <v>25</v>
      </c>
      <c r="H263">
        <f>'Baseline (June to Sep)'!U65</f>
        <v>20</v>
      </c>
      <c r="I263">
        <v>0</v>
      </c>
      <c r="J263">
        <f>G263*Parameters!$B$2*Parameters!$B$5</f>
        <v>53.227499999999992</v>
      </c>
      <c r="K263">
        <f>H263*Parameters!$B$3*Parameters!$B$6</f>
        <v>125.416</v>
      </c>
      <c r="L263">
        <f>I263*Parameters!$B$4*Parameters!$B$7</f>
        <v>0</v>
      </c>
      <c r="M263">
        <f t="shared" si="4"/>
        <v>178.64349999999999</v>
      </c>
      <c r="N263">
        <v>2500</v>
      </c>
      <c r="O263">
        <v>0</v>
      </c>
      <c r="P263">
        <v>6000</v>
      </c>
      <c r="Q263">
        <v>0</v>
      </c>
    </row>
    <row r="264" spans="1:17">
      <c r="A264" t="s">
        <v>89</v>
      </c>
      <c r="B264" t="s">
        <v>65</v>
      </c>
      <c r="C264">
        <v>8</v>
      </c>
      <c r="D264">
        <v>2021</v>
      </c>
      <c r="E264" s="49" t="s">
        <v>2</v>
      </c>
      <c r="F264" s="49" t="s">
        <v>160</v>
      </c>
      <c r="G264">
        <f>'Baseline (June to Sep)'!S66+'Baseline (June to Sep)'!T66</f>
        <v>40</v>
      </c>
      <c r="H264">
        <f>'Baseline (June to Sep)'!U66</f>
        <v>10</v>
      </c>
      <c r="I264">
        <v>0</v>
      </c>
      <c r="J264">
        <f>G264*Parameters!$B$2*Parameters!$B$5</f>
        <v>85.163999999999987</v>
      </c>
      <c r="K264">
        <f>H264*Parameters!$B$3*Parameters!$B$6</f>
        <v>62.707999999999998</v>
      </c>
      <c r="L264">
        <f>I264*Parameters!$B$4*Parameters!$B$7</f>
        <v>0</v>
      </c>
      <c r="M264">
        <f t="shared" si="4"/>
        <v>147.87199999999999</v>
      </c>
      <c r="N264">
        <v>4000</v>
      </c>
      <c r="O264">
        <v>0</v>
      </c>
      <c r="P264">
        <v>3000</v>
      </c>
      <c r="Q264">
        <v>0</v>
      </c>
    </row>
    <row r="265" spans="1:17">
      <c r="A265" t="s">
        <v>90</v>
      </c>
      <c r="B265" t="s">
        <v>32</v>
      </c>
      <c r="C265">
        <v>6</v>
      </c>
      <c r="D265">
        <v>2021</v>
      </c>
      <c r="E265" s="49" t="s">
        <v>2</v>
      </c>
      <c r="F265" s="49" t="s">
        <v>160</v>
      </c>
      <c r="G265">
        <f>'Baseline (June to Sep)'!S67+'Baseline (June to Sep)'!T67</f>
        <v>65</v>
      </c>
      <c r="H265">
        <f>'Baseline (June to Sep)'!U67</f>
        <v>0</v>
      </c>
      <c r="I265">
        <v>0</v>
      </c>
      <c r="J265">
        <f>G265*Parameters!$B$2*Parameters!$B$5</f>
        <v>138.39149999999998</v>
      </c>
      <c r="K265">
        <f>H265*Parameters!$B$3*Parameters!$B$6</f>
        <v>0</v>
      </c>
      <c r="L265">
        <f>I265*Parameters!$B$4*Parameters!$B$7</f>
        <v>0</v>
      </c>
      <c r="M265">
        <f t="shared" si="4"/>
        <v>138.39149999999998</v>
      </c>
      <c r="N265">
        <v>6500</v>
      </c>
      <c r="O265">
        <v>0</v>
      </c>
      <c r="P265">
        <v>0</v>
      </c>
      <c r="Q265">
        <v>0</v>
      </c>
    </row>
    <row r="266" spans="1:17">
      <c r="A266" t="s">
        <v>91</v>
      </c>
      <c r="B266" t="s">
        <v>24</v>
      </c>
      <c r="C266">
        <v>6</v>
      </c>
      <c r="D266">
        <v>2021</v>
      </c>
      <c r="E266" s="49" t="s">
        <v>2</v>
      </c>
      <c r="F266" s="49" t="s">
        <v>160</v>
      </c>
      <c r="G266">
        <f>'Baseline (June to Sep)'!S68+'Baseline (June to Sep)'!T68</f>
        <v>55</v>
      </c>
      <c r="H266">
        <f>'Baseline (June to Sep)'!U68</f>
        <v>0</v>
      </c>
      <c r="I266">
        <v>0</v>
      </c>
      <c r="J266">
        <f>G266*Parameters!$B$2*Parameters!$B$5</f>
        <v>117.10049999999998</v>
      </c>
      <c r="K266">
        <f>H266*Parameters!$B$3*Parameters!$B$6</f>
        <v>0</v>
      </c>
      <c r="L266">
        <f>I266*Parameters!$B$4*Parameters!$B$7</f>
        <v>0</v>
      </c>
      <c r="M266">
        <f t="shared" si="4"/>
        <v>117.10049999999998</v>
      </c>
      <c r="N266">
        <v>5500</v>
      </c>
      <c r="O266">
        <v>0</v>
      </c>
      <c r="P266">
        <v>0</v>
      </c>
      <c r="Q266">
        <v>0</v>
      </c>
    </row>
    <row r="267" spans="1:17">
      <c r="A267" t="s">
        <v>92</v>
      </c>
      <c r="B267" t="s">
        <v>17</v>
      </c>
      <c r="C267">
        <v>4</v>
      </c>
      <c r="D267">
        <v>2021</v>
      </c>
      <c r="E267" s="49" t="s">
        <v>2</v>
      </c>
      <c r="F267" s="49" t="s">
        <v>160</v>
      </c>
      <c r="G267">
        <f>'Baseline (June to Sep)'!S69+'Baseline (June to Sep)'!T69</f>
        <v>28</v>
      </c>
      <c r="H267">
        <f>'Baseline (June to Sep)'!U69</f>
        <v>5</v>
      </c>
      <c r="I267">
        <v>0</v>
      </c>
      <c r="J267">
        <f>G267*Parameters!$B$2*Parameters!$B$5</f>
        <v>59.614799999999995</v>
      </c>
      <c r="K267">
        <f>H267*Parameters!$B$3*Parameters!$B$6</f>
        <v>31.353999999999999</v>
      </c>
      <c r="L267">
        <f>I267*Parameters!$B$4*Parameters!$B$7</f>
        <v>0</v>
      </c>
      <c r="M267">
        <f t="shared" si="4"/>
        <v>90.968799999999987</v>
      </c>
      <c r="N267">
        <v>2800</v>
      </c>
      <c r="O267">
        <v>0</v>
      </c>
      <c r="P267">
        <v>1500</v>
      </c>
      <c r="Q267">
        <v>0</v>
      </c>
    </row>
    <row r="268" spans="1:17">
      <c r="A268" t="s">
        <v>93</v>
      </c>
      <c r="B268" t="s">
        <v>19</v>
      </c>
      <c r="C268">
        <v>7</v>
      </c>
      <c r="D268">
        <v>2021</v>
      </c>
      <c r="E268" s="49" t="s">
        <v>2</v>
      </c>
      <c r="F268" s="49" t="s">
        <v>160</v>
      </c>
      <c r="G268">
        <f>'Baseline (June to Sep)'!S70+'Baseline (June to Sep)'!T70</f>
        <v>55</v>
      </c>
      <c r="H268">
        <f>'Baseline (June to Sep)'!U70</f>
        <v>0</v>
      </c>
      <c r="I268">
        <v>0</v>
      </c>
      <c r="J268">
        <f>G268*Parameters!$B$2*Parameters!$B$5</f>
        <v>117.10049999999998</v>
      </c>
      <c r="K268">
        <f>H268*Parameters!$B$3*Parameters!$B$6</f>
        <v>0</v>
      </c>
      <c r="L268">
        <f>I268*Parameters!$B$4*Parameters!$B$7</f>
        <v>0</v>
      </c>
      <c r="M268">
        <f t="shared" si="4"/>
        <v>117.10049999999998</v>
      </c>
      <c r="N268">
        <v>5500</v>
      </c>
      <c r="O268">
        <v>0</v>
      </c>
      <c r="P268">
        <v>0</v>
      </c>
      <c r="Q268">
        <v>0</v>
      </c>
    </row>
    <row r="269" spans="1:17">
      <c r="A269" t="s">
        <v>94</v>
      </c>
      <c r="B269" t="s">
        <v>19</v>
      </c>
      <c r="C269">
        <v>6</v>
      </c>
      <c r="D269">
        <v>2021</v>
      </c>
      <c r="E269" s="49" t="s">
        <v>2</v>
      </c>
      <c r="F269" s="49" t="s">
        <v>160</v>
      </c>
      <c r="G269">
        <f>'Baseline (June to Sep)'!S71+'Baseline (June to Sep)'!T71</f>
        <v>36</v>
      </c>
      <c r="H269">
        <f>'Baseline (June to Sep)'!U71</f>
        <v>0</v>
      </c>
      <c r="I269">
        <v>0</v>
      </c>
      <c r="J269">
        <f>G269*Parameters!$B$2*Parameters!$B$5</f>
        <v>76.647599999999997</v>
      </c>
      <c r="K269">
        <f>H269*Parameters!$B$3*Parameters!$B$6</f>
        <v>0</v>
      </c>
      <c r="L269">
        <f>I269*Parameters!$B$4*Parameters!$B$7</f>
        <v>0</v>
      </c>
      <c r="M269">
        <f t="shared" si="4"/>
        <v>76.647599999999997</v>
      </c>
      <c r="N269">
        <v>3600</v>
      </c>
      <c r="O269">
        <v>0</v>
      </c>
      <c r="P269">
        <v>0</v>
      </c>
      <c r="Q269">
        <v>0</v>
      </c>
    </row>
    <row r="270" spans="1:17">
      <c r="A270" t="s">
        <v>95</v>
      </c>
      <c r="B270" t="s">
        <v>26</v>
      </c>
      <c r="C270">
        <v>8</v>
      </c>
      <c r="D270">
        <v>2021</v>
      </c>
      <c r="E270" s="49" t="s">
        <v>2</v>
      </c>
      <c r="F270" s="49" t="s">
        <v>160</v>
      </c>
      <c r="G270">
        <f>'Baseline (June to Sep)'!S72+'Baseline (June to Sep)'!T72</f>
        <v>60</v>
      </c>
      <c r="H270">
        <f>'Baseline (June to Sep)'!U72</f>
        <v>0</v>
      </c>
      <c r="I270">
        <v>0</v>
      </c>
      <c r="J270">
        <f>G270*Parameters!$B$2*Parameters!$B$5</f>
        <v>127.74599999999998</v>
      </c>
      <c r="K270">
        <f>H270*Parameters!$B$3*Parameters!$B$6</f>
        <v>0</v>
      </c>
      <c r="L270">
        <f>I270*Parameters!$B$4*Parameters!$B$7</f>
        <v>0</v>
      </c>
      <c r="M270">
        <f t="shared" si="4"/>
        <v>127.74599999999998</v>
      </c>
      <c r="N270">
        <v>6000</v>
      </c>
      <c r="O270">
        <v>0</v>
      </c>
      <c r="P270">
        <v>0</v>
      </c>
      <c r="Q270">
        <v>0</v>
      </c>
    </row>
    <row r="271" spans="1:17">
      <c r="A271" t="s">
        <v>96</v>
      </c>
      <c r="B271" t="s">
        <v>19</v>
      </c>
      <c r="C271">
        <v>8</v>
      </c>
      <c r="D271">
        <v>2021</v>
      </c>
      <c r="E271" s="49" t="s">
        <v>2</v>
      </c>
      <c r="F271" s="49" t="s">
        <v>160</v>
      </c>
      <c r="G271">
        <f>'Baseline (June to Sep)'!S73+'Baseline (June to Sep)'!T73</f>
        <v>30</v>
      </c>
      <c r="H271">
        <f>'Baseline (June to Sep)'!U73</f>
        <v>15</v>
      </c>
      <c r="I271">
        <v>0</v>
      </c>
      <c r="J271">
        <f>G271*Parameters!$B$2*Parameters!$B$5</f>
        <v>63.87299999999999</v>
      </c>
      <c r="K271">
        <f>H271*Parameters!$B$3*Parameters!$B$6</f>
        <v>94.061999999999998</v>
      </c>
      <c r="L271">
        <f>I271*Parameters!$B$4*Parameters!$B$7</f>
        <v>0</v>
      </c>
      <c r="M271">
        <f t="shared" si="4"/>
        <v>157.935</v>
      </c>
      <c r="N271">
        <v>3000</v>
      </c>
      <c r="O271">
        <v>0</v>
      </c>
      <c r="P271">
        <v>4500</v>
      </c>
      <c r="Q271">
        <v>0</v>
      </c>
    </row>
    <row r="272" spans="1:17">
      <c r="A272" t="s">
        <v>97</v>
      </c>
      <c r="B272" t="s">
        <v>17</v>
      </c>
      <c r="C272">
        <v>4</v>
      </c>
      <c r="D272">
        <v>2021</v>
      </c>
      <c r="E272" s="49" t="s">
        <v>2</v>
      </c>
      <c r="F272" s="49" t="s">
        <v>160</v>
      </c>
      <c r="G272">
        <f>'Baseline (June to Sep)'!S74+'Baseline (June to Sep)'!T74</f>
        <v>45</v>
      </c>
      <c r="H272">
        <f>'Baseline (June to Sep)'!U74</f>
        <v>0</v>
      </c>
      <c r="I272">
        <v>0</v>
      </c>
      <c r="J272">
        <f>G272*Parameters!$B$2*Parameters!$B$5</f>
        <v>95.809499999999986</v>
      </c>
      <c r="K272">
        <f>H272*Parameters!$B$3*Parameters!$B$6</f>
        <v>0</v>
      </c>
      <c r="L272">
        <f>I272*Parameters!$B$4*Parameters!$B$7</f>
        <v>0</v>
      </c>
      <c r="M272">
        <f t="shared" si="4"/>
        <v>95.809499999999986</v>
      </c>
      <c r="N272">
        <v>4500</v>
      </c>
      <c r="O272">
        <v>0</v>
      </c>
      <c r="P272">
        <v>0</v>
      </c>
      <c r="Q272">
        <v>0</v>
      </c>
    </row>
    <row r="273" spans="1:17">
      <c r="A273" t="s">
        <v>98</v>
      </c>
      <c r="B273" t="s">
        <v>65</v>
      </c>
      <c r="C273">
        <v>5</v>
      </c>
      <c r="D273">
        <v>2021</v>
      </c>
      <c r="E273" s="49" t="s">
        <v>2</v>
      </c>
      <c r="F273" s="49" t="s">
        <v>160</v>
      </c>
      <c r="G273">
        <f>'Baseline (June to Sep)'!S75+'Baseline (June to Sep)'!T75</f>
        <v>34</v>
      </c>
      <c r="H273">
        <f>'Baseline (June to Sep)'!U75</f>
        <v>0</v>
      </c>
      <c r="I273">
        <v>0</v>
      </c>
      <c r="J273">
        <f>G273*Parameters!$B$2*Parameters!$B$5</f>
        <v>72.389399999999995</v>
      </c>
      <c r="K273">
        <f>H273*Parameters!$B$3*Parameters!$B$6</f>
        <v>0</v>
      </c>
      <c r="L273">
        <f>I273*Parameters!$B$4*Parameters!$B$7</f>
        <v>0</v>
      </c>
      <c r="M273">
        <f t="shared" si="4"/>
        <v>72.389399999999995</v>
      </c>
      <c r="N273">
        <v>3400</v>
      </c>
      <c r="O273">
        <v>0</v>
      </c>
      <c r="P273">
        <v>0</v>
      </c>
      <c r="Q273">
        <v>0</v>
      </c>
    </row>
    <row r="274" spans="1:17">
      <c r="A274" t="s">
        <v>99</v>
      </c>
      <c r="B274" t="s">
        <v>32</v>
      </c>
      <c r="C274">
        <v>9</v>
      </c>
      <c r="D274">
        <v>2021</v>
      </c>
      <c r="E274" s="49" t="s">
        <v>2</v>
      </c>
      <c r="F274" s="49" t="s">
        <v>160</v>
      </c>
      <c r="G274">
        <f>'Baseline (June to Sep)'!S76+'Baseline (June to Sep)'!T76</f>
        <v>46</v>
      </c>
      <c r="H274">
        <f>'Baseline (June to Sep)'!U76</f>
        <v>10</v>
      </c>
      <c r="I274">
        <v>0</v>
      </c>
      <c r="J274">
        <f>G274*Parameters!$B$2*Parameters!$B$5</f>
        <v>97.938599999999994</v>
      </c>
      <c r="K274">
        <f>H274*Parameters!$B$3*Parameters!$B$6</f>
        <v>62.707999999999998</v>
      </c>
      <c r="L274">
        <f>I274*Parameters!$B$4*Parameters!$B$7</f>
        <v>0</v>
      </c>
      <c r="M274">
        <f t="shared" si="4"/>
        <v>160.64659999999998</v>
      </c>
      <c r="N274">
        <v>4600</v>
      </c>
      <c r="O274">
        <v>0</v>
      </c>
      <c r="P274">
        <v>3000</v>
      </c>
      <c r="Q274">
        <v>0</v>
      </c>
    </row>
    <row r="275" spans="1:17">
      <c r="A275" t="s">
        <v>100</v>
      </c>
      <c r="B275" t="s">
        <v>40</v>
      </c>
      <c r="C275">
        <v>8</v>
      </c>
      <c r="D275">
        <v>2021</v>
      </c>
      <c r="E275" s="49" t="s">
        <v>2</v>
      </c>
      <c r="F275" s="49" t="s">
        <v>160</v>
      </c>
      <c r="G275">
        <f>'Baseline (June to Sep)'!S77+'Baseline (June to Sep)'!T77</f>
        <v>27</v>
      </c>
      <c r="H275">
        <f>'Baseline (June to Sep)'!U77</f>
        <v>0</v>
      </c>
      <c r="I275">
        <v>0</v>
      </c>
      <c r="J275">
        <f>G275*Parameters!$B$2*Parameters!$B$5</f>
        <v>57.485699999999994</v>
      </c>
      <c r="K275">
        <f>H275*Parameters!$B$3*Parameters!$B$6</f>
        <v>0</v>
      </c>
      <c r="L275">
        <f>I275*Parameters!$B$4*Parameters!$B$7</f>
        <v>0</v>
      </c>
      <c r="M275">
        <f t="shared" si="4"/>
        <v>57.485699999999994</v>
      </c>
      <c r="N275">
        <v>2700</v>
      </c>
      <c r="O275">
        <v>0</v>
      </c>
      <c r="P275">
        <v>0</v>
      </c>
      <c r="Q275">
        <v>0</v>
      </c>
    </row>
    <row r="276" spans="1:17">
      <c r="A276" t="s">
        <v>101</v>
      </c>
      <c r="B276" t="s">
        <v>38</v>
      </c>
      <c r="C276">
        <v>5</v>
      </c>
      <c r="D276">
        <v>2021</v>
      </c>
      <c r="E276" s="49" t="s">
        <v>2</v>
      </c>
      <c r="F276" s="49" t="s">
        <v>160</v>
      </c>
      <c r="G276">
        <f>'Baseline (June to Sep)'!S78+'Baseline (June to Sep)'!T78</f>
        <v>38</v>
      </c>
      <c r="H276">
        <f>'Baseline (June to Sep)'!U78</f>
        <v>0</v>
      </c>
      <c r="I276">
        <v>0</v>
      </c>
      <c r="J276">
        <f>G276*Parameters!$B$2*Parameters!$B$5</f>
        <v>80.905799999999985</v>
      </c>
      <c r="K276">
        <f>H276*Parameters!$B$3*Parameters!$B$6</f>
        <v>0</v>
      </c>
      <c r="L276">
        <f>I276*Parameters!$B$4*Parameters!$B$7</f>
        <v>0</v>
      </c>
      <c r="M276">
        <f t="shared" si="4"/>
        <v>80.905799999999985</v>
      </c>
      <c r="N276">
        <v>3800</v>
      </c>
      <c r="O276">
        <v>0</v>
      </c>
      <c r="P276">
        <v>0</v>
      </c>
      <c r="Q276">
        <v>0</v>
      </c>
    </row>
    <row r="277" spans="1:17">
      <c r="A277" t="s">
        <v>102</v>
      </c>
      <c r="B277" t="s">
        <v>17</v>
      </c>
      <c r="C277">
        <v>4</v>
      </c>
      <c r="D277">
        <v>2021</v>
      </c>
      <c r="E277" s="49" t="s">
        <v>2</v>
      </c>
      <c r="F277" s="49" t="s">
        <v>160</v>
      </c>
      <c r="G277">
        <f>'Baseline (June to Sep)'!S79+'Baseline (June to Sep)'!T79</f>
        <v>0</v>
      </c>
      <c r="H277">
        <f>'Baseline (June to Sep)'!U79</f>
        <v>35</v>
      </c>
      <c r="I277">
        <v>0</v>
      </c>
      <c r="J277">
        <f>G277*Parameters!$B$2*Parameters!$B$5</f>
        <v>0</v>
      </c>
      <c r="K277">
        <f>H277*Parameters!$B$3*Parameters!$B$6</f>
        <v>219.47800000000001</v>
      </c>
      <c r="L277">
        <f>I277*Parameters!$B$4*Parameters!$B$7</f>
        <v>0</v>
      </c>
      <c r="M277">
        <f t="shared" si="4"/>
        <v>219.47800000000001</v>
      </c>
      <c r="N277">
        <v>0</v>
      </c>
      <c r="O277">
        <v>0</v>
      </c>
      <c r="P277">
        <v>10500</v>
      </c>
      <c r="Q277">
        <v>0</v>
      </c>
    </row>
    <row r="278" spans="1:17">
      <c r="A278" t="s">
        <v>103</v>
      </c>
      <c r="B278" t="s">
        <v>26</v>
      </c>
      <c r="C278">
        <v>6</v>
      </c>
      <c r="D278">
        <v>2021</v>
      </c>
      <c r="E278" s="49" t="s">
        <v>2</v>
      </c>
      <c r="F278" s="49" t="s">
        <v>160</v>
      </c>
      <c r="G278">
        <f>'Baseline (June to Sep)'!S80+'Baseline (June to Sep)'!T80</f>
        <v>55</v>
      </c>
      <c r="H278">
        <f>'Baseline (June to Sep)'!U80</f>
        <v>0</v>
      </c>
      <c r="I278">
        <v>0</v>
      </c>
      <c r="J278">
        <f>G278*Parameters!$B$2*Parameters!$B$5</f>
        <v>117.10049999999998</v>
      </c>
      <c r="K278">
        <f>H278*Parameters!$B$3*Parameters!$B$6</f>
        <v>0</v>
      </c>
      <c r="L278">
        <f>I278*Parameters!$B$4*Parameters!$B$7</f>
        <v>0</v>
      </c>
      <c r="M278">
        <f t="shared" si="4"/>
        <v>117.10049999999998</v>
      </c>
      <c r="N278">
        <v>5500</v>
      </c>
      <c r="O278">
        <v>0</v>
      </c>
      <c r="P278">
        <v>0</v>
      </c>
      <c r="Q278">
        <v>0</v>
      </c>
    </row>
    <row r="279" spans="1:17">
      <c r="A279" t="s">
        <v>104</v>
      </c>
      <c r="B279" t="s">
        <v>26</v>
      </c>
      <c r="C279">
        <v>7</v>
      </c>
      <c r="D279">
        <v>2021</v>
      </c>
      <c r="E279" s="49" t="s">
        <v>2</v>
      </c>
      <c r="F279" s="49" t="s">
        <v>160</v>
      </c>
      <c r="G279">
        <f>'Baseline (June to Sep)'!S81+'Baseline (June to Sep)'!T81</f>
        <v>40</v>
      </c>
      <c r="H279">
        <f>'Baseline (June to Sep)'!U81</f>
        <v>0</v>
      </c>
      <c r="I279">
        <v>0</v>
      </c>
      <c r="J279">
        <f>G279*Parameters!$B$2*Parameters!$B$5</f>
        <v>85.163999999999987</v>
      </c>
      <c r="K279">
        <f>H279*Parameters!$B$3*Parameters!$B$6</f>
        <v>0</v>
      </c>
      <c r="L279">
        <f>I279*Parameters!$B$4*Parameters!$B$7</f>
        <v>0</v>
      </c>
      <c r="M279">
        <f t="shared" si="4"/>
        <v>85.163999999999987</v>
      </c>
      <c r="N279">
        <v>4000</v>
      </c>
      <c r="O279">
        <v>0</v>
      </c>
      <c r="P279">
        <v>0</v>
      </c>
      <c r="Q279">
        <v>0</v>
      </c>
    </row>
    <row r="280" spans="1:17">
      <c r="A280" t="s">
        <v>105</v>
      </c>
      <c r="B280" t="s">
        <v>21</v>
      </c>
      <c r="C280">
        <v>5</v>
      </c>
      <c r="D280">
        <v>2021</v>
      </c>
      <c r="E280" s="49" t="s">
        <v>2</v>
      </c>
      <c r="F280" s="49" t="s">
        <v>160</v>
      </c>
      <c r="G280">
        <f>'Baseline (June to Sep)'!S82+'Baseline (June to Sep)'!T82</f>
        <v>30</v>
      </c>
      <c r="H280">
        <f>'Baseline (June to Sep)'!U82</f>
        <v>0</v>
      </c>
      <c r="I280">
        <v>0</v>
      </c>
      <c r="J280">
        <f>G280*Parameters!$B$2*Parameters!$B$5</f>
        <v>63.87299999999999</v>
      </c>
      <c r="K280">
        <f>H280*Parameters!$B$3*Parameters!$B$6</f>
        <v>0</v>
      </c>
      <c r="L280">
        <f>I280*Parameters!$B$4*Parameters!$B$7</f>
        <v>0</v>
      </c>
      <c r="M280">
        <f t="shared" si="4"/>
        <v>63.87299999999999</v>
      </c>
      <c r="N280">
        <v>3000</v>
      </c>
      <c r="O280">
        <v>0</v>
      </c>
      <c r="P280">
        <v>0</v>
      </c>
      <c r="Q280">
        <v>0</v>
      </c>
    </row>
    <row r="281" spans="1:17">
      <c r="A281" t="s">
        <v>106</v>
      </c>
      <c r="B281" t="s">
        <v>24</v>
      </c>
      <c r="C281">
        <v>6</v>
      </c>
      <c r="D281">
        <v>2021</v>
      </c>
      <c r="E281" s="49" t="s">
        <v>2</v>
      </c>
      <c r="F281" s="49" t="s">
        <v>160</v>
      </c>
      <c r="G281">
        <f>'Baseline (June to Sep)'!S83+'Baseline (June to Sep)'!T83</f>
        <v>40</v>
      </c>
      <c r="H281">
        <f>'Baseline (June to Sep)'!U83</f>
        <v>0</v>
      </c>
      <c r="I281">
        <v>0</v>
      </c>
      <c r="J281">
        <f>G281*Parameters!$B$2*Parameters!$B$5</f>
        <v>85.163999999999987</v>
      </c>
      <c r="K281">
        <f>H281*Parameters!$B$3*Parameters!$B$6</f>
        <v>0</v>
      </c>
      <c r="L281">
        <f>I281*Parameters!$B$4*Parameters!$B$7</f>
        <v>0</v>
      </c>
      <c r="M281">
        <f t="shared" si="4"/>
        <v>85.163999999999987</v>
      </c>
      <c r="N281">
        <v>4000</v>
      </c>
      <c r="O281">
        <v>0</v>
      </c>
      <c r="P281">
        <v>0</v>
      </c>
      <c r="Q281">
        <v>0</v>
      </c>
    </row>
    <row r="282" spans="1:17">
      <c r="A282" t="s">
        <v>107</v>
      </c>
      <c r="B282" t="s">
        <v>21</v>
      </c>
      <c r="C282">
        <v>4</v>
      </c>
      <c r="D282">
        <v>2021</v>
      </c>
      <c r="E282" s="49" t="s">
        <v>2</v>
      </c>
      <c r="F282" s="49" t="s">
        <v>160</v>
      </c>
      <c r="G282">
        <f>'Baseline (June to Sep)'!S84+'Baseline (June to Sep)'!T84</f>
        <v>37</v>
      </c>
      <c r="H282">
        <f>'Baseline (June to Sep)'!U84</f>
        <v>0</v>
      </c>
      <c r="I282">
        <v>0</v>
      </c>
      <c r="J282">
        <f>G282*Parameters!$B$2*Parameters!$B$5</f>
        <v>78.776699999999977</v>
      </c>
      <c r="K282">
        <f>H282*Parameters!$B$3*Parameters!$B$6</f>
        <v>0</v>
      </c>
      <c r="L282">
        <f>I282*Parameters!$B$4*Parameters!$B$7</f>
        <v>0</v>
      </c>
      <c r="M282">
        <f t="shared" si="4"/>
        <v>78.776699999999977</v>
      </c>
      <c r="N282">
        <v>3700</v>
      </c>
      <c r="O282">
        <v>0</v>
      </c>
      <c r="P282">
        <v>0</v>
      </c>
      <c r="Q282">
        <v>0</v>
      </c>
    </row>
    <row r="283" spans="1:17">
      <c r="A283" t="s">
        <v>108</v>
      </c>
      <c r="B283" t="s">
        <v>24</v>
      </c>
      <c r="C283">
        <v>5</v>
      </c>
      <c r="D283">
        <v>2021</v>
      </c>
      <c r="E283" s="49" t="s">
        <v>2</v>
      </c>
      <c r="F283" s="49" t="s">
        <v>160</v>
      </c>
      <c r="G283">
        <f>'Baseline (June to Sep)'!S85+'Baseline (June to Sep)'!T85</f>
        <v>60</v>
      </c>
      <c r="H283">
        <f>'Baseline (June to Sep)'!U85</f>
        <v>5</v>
      </c>
      <c r="I283">
        <v>0</v>
      </c>
      <c r="J283">
        <f>G283*Parameters!$B$2*Parameters!$B$5</f>
        <v>127.74599999999998</v>
      </c>
      <c r="K283">
        <f>H283*Parameters!$B$3*Parameters!$B$6</f>
        <v>31.353999999999999</v>
      </c>
      <c r="L283">
        <f>I283*Parameters!$B$4*Parameters!$B$7</f>
        <v>0</v>
      </c>
      <c r="M283">
        <f t="shared" si="4"/>
        <v>159.09999999999997</v>
      </c>
      <c r="N283">
        <v>6000</v>
      </c>
      <c r="O283">
        <v>0</v>
      </c>
      <c r="P283">
        <v>1500</v>
      </c>
      <c r="Q283">
        <v>0</v>
      </c>
    </row>
    <row r="284" spans="1:17">
      <c r="A284" t="s">
        <v>109</v>
      </c>
      <c r="B284" t="s">
        <v>32</v>
      </c>
      <c r="C284">
        <v>6</v>
      </c>
      <c r="D284">
        <v>2021</v>
      </c>
      <c r="E284" s="49" t="s">
        <v>2</v>
      </c>
      <c r="F284" s="49" t="s">
        <v>160</v>
      </c>
      <c r="G284">
        <f>'Baseline (June to Sep)'!S86+'Baseline (June to Sep)'!T86</f>
        <v>45</v>
      </c>
      <c r="H284">
        <f>'Baseline (June to Sep)'!U86</f>
        <v>5</v>
      </c>
      <c r="I284">
        <v>0</v>
      </c>
      <c r="J284">
        <f>G284*Parameters!$B$2*Parameters!$B$5</f>
        <v>95.809499999999986</v>
      </c>
      <c r="K284">
        <f>H284*Parameters!$B$3*Parameters!$B$6</f>
        <v>31.353999999999999</v>
      </c>
      <c r="L284">
        <f>I284*Parameters!$B$4*Parameters!$B$7</f>
        <v>0</v>
      </c>
      <c r="M284">
        <f t="shared" si="4"/>
        <v>127.16349999999998</v>
      </c>
      <c r="N284">
        <v>4500</v>
      </c>
      <c r="O284">
        <v>0</v>
      </c>
      <c r="P284">
        <v>1500</v>
      </c>
      <c r="Q284">
        <v>0</v>
      </c>
    </row>
    <row r="285" spans="1:17">
      <c r="A285" t="s">
        <v>110</v>
      </c>
      <c r="B285" t="s">
        <v>21</v>
      </c>
      <c r="C285">
        <v>3</v>
      </c>
      <c r="D285">
        <v>2021</v>
      </c>
      <c r="E285" s="49" t="s">
        <v>2</v>
      </c>
      <c r="F285" s="49" t="s">
        <v>160</v>
      </c>
      <c r="G285">
        <f>'Baseline (June to Sep)'!S87+'Baseline (June to Sep)'!T87</f>
        <v>32</v>
      </c>
      <c r="H285">
        <f>'Baseline (June to Sep)'!U87</f>
        <v>0</v>
      </c>
      <c r="I285">
        <v>0</v>
      </c>
      <c r="J285">
        <f>G285*Parameters!$B$2*Parameters!$B$5</f>
        <v>68.131199999999993</v>
      </c>
      <c r="K285">
        <f>H285*Parameters!$B$3*Parameters!$B$6</f>
        <v>0</v>
      </c>
      <c r="L285">
        <f>I285*Parameters!$B$4*Parameters!$B$7</f>
        <v>0</v>
      </c>
      <c r="M285">
        <f t="shared" si="4"/>
        <v>68.131199999999993</v>
      </c>
      <c r="N285">
        <v>3200</v>
      </c>
      <c r="O285">
        <v>0</v>
      </c>
      <c r="P285">
        <v>0</v>
      </c>
      <c r="Q285">
        <v>0</v>
      </c>
    </row>
    <row r="286" spans="1:17">
      <c r="A286" t="s">
        <v>111</v>
      </c>
      <c r="B286" t="s">
        <v>26</v>
      </c>
      <c r="C286">
        <v>6</v>
      </c>
      <c r="D286">
        <v>2021</v>
      </c>
      <c r="E286" s="49" t="s">
        <v>2</v>
      </c>
      <c r="F286" s="49" t="s">
        <v>160</v>
      </c>
      <c r="G286">
        <f>'Baseline (June to Sep)'!S88+'Baseline (June to Sep)'!T88</f>
        <v>30</v>
      </c>
      <c r="H286">
        <f>'Baseline (June to Sep)'!U88</f>
        <v>5</v>
      </c>
      <c r="I286">
        <v>0</v>
      </c>
      <c r="J286">
        <f>G286*Parameters!$B$2*Parameters!$B$5</f>
        <v>63.87299999999999</v>
      </c>
      <c r="K286">
        <f>H286*Parameters!$B$3*Parameters!$B$6</f>
        <v>31.353999999999999</v>
      </c>
      <c r="L286">
        <f>I286*Parameters!$B$4*Parameters!$B$7</f>
        <v>0</v>
      </c>
      <c r="M286">
        <f t="shared" si="4"/>
        <v>95.22699999999999</v>
      </c>
      <c r="N286">
        <v>3000</v>
      </c>
      <c r="O286">
        <v>0</v>
      </c>
      <c r="P286">
        <v>1500</v>
      </c>
      <c r="Q286">
        <v>0</v>
      </c>
    </row>
    <row r="287" spans="1:17">
      <c r="A287" t="s">
        <v>112</v>
      </c>
      <c r="B287" t="s">
        <v>19</v>
      </c>
      <c r="C287">
        <v>7</v>
      </c>
      <c r="D287">
        <v>2021</v>
      </c>
      <c r="E287" s="49" t="s">
        <v>2</v>
      </c>
      <c r="F287" s="49" t="s">
        <v>160</v>
      </c>
      <c r="G287">
        <f>'Baseline (June to Sep)'!S89+'Baseline (June to Sep)'!T89</f>
        <v>35</v>
      </c>
      <c r="H287">
        <f>'Baseline (June to Sep)'!U89</f>
        <v>15</v>
      </c>
      <c r="I287">
        <v>0</v>
      </c>
      <c r="J287">
        <f>G287*Parameters!$B$2*Parameters!$B$5</f>
        <v>74.518499999999989</v>
      </c>
      <c r="K287">
        <f>H287*Parameters!$B$3*Parameters!$B$6</f>
        <v>94.061999999999998</v>
      </c>
      <c r="L287">
        <f>I287*Parameters!$B$4*Parameters!$B$7</f>
        <v>0</v>
      </c>
      <c r="M287">
        <f t="shared" si="4"/>
        <v>168.58049999999997</v>
      </c>
      <c r="N287">
        <v>3500</v>
      </c>
      <c r="O287">
        <v>0</v>
      </c>
      <c r="P287">
        <v>4500</v>
      </c>
      <c r="Q287">
        <v>0</v>
      </c>
    </row>
    <row r="288" spans="1:17">
      <c r="A288" t="s">
        <v>113</v>
      </c>
      <c r="B288" t="s">
        <v>26</v>
      </c>
      <c r="C288">
        <v>4</v>
      </c>
      <c r="D288">
        <v>2021</v>
      </c>
      <c r="E288" s="49" t="s">
        <v>2</v>
      </c>
      <c r="F288" s="49" t="s">
        <v>160</v>
      </c>
      <c r="G288">
        <f>'Baseline (June to Sep)'!S90+'Baseline (June to Sep)'!T90</f>
        <v>40</v>
      </c>
      <c r="H288">
        <f>'Baseline (June to Sep)'!U90</f>
        <v>0</v>
      </c>
      <c r="I288">
        <v>0</v>
      </c>
      <c r="J288">
        <f>G288*Parameters!$B$2*Parameters!$B$5</f>
        <v>85.163999999999987</v>
      </c>
      <c r="K288">
        <f>H288*Parameters!$B$3*Parameters!$B$6</f>
        <v>0</v>
      </c>
      <c r="L288">
        <f>I288*Parameters!$B$4*Parameters!$B$7</f>
        <v>0</v>
      </c>
      <c r="M288">
        <f t="shared" si="4"/>
        <v>85.163999999999987</v>
      </c>
      <c r="N288">
        <v>4000</v>
      </c>
      <c r="O288">
        <v>0</v>
      </c>
      <c r="P288">
        <v>0</v>
      </c>
      <c r="Q288">
        <v>0</v>
      </c>
    </row>
    <row r="289" spans="1:17">
      <c r="A289" t="s">
        <v>114</v>
      </c>
      <c r="B289" t="s">
        <v>65</v>
      </c>
      <c r="C289">
        <v>8</v>
      </c>
      <c r="D289">
        <v>2021</v>
      </c>
      <c r="E289" s="49" t="s">
        <v>2</v>
      </c>
      <c r="F289" s="49" t="s">
        <v>160</v>
      </c>
      <c r="G289">
        <f>'Baseline (June to Sep)'!S91+'Baseline (June to Sep)'!T91</f>
        <v>70</v>
      </c>
      <c r="H289">
        <f>'Baseline (June to Sep)'!U91</f>
        <v>10</v>
      </c>
      <c r="I289">
        <v>0</v>
      </c>
      <c r="J289">
        <f>G289*Parameters!$B$2*Parameters!$B$5</f>
        <v>149.03699999999998</v>
      </c>
      <c r="K289">
        <f>H289*Parameters!$B$3*Parameters!$B$6</f>
        <v>62.707999999999998</v>
      </c>
      <c r="L289">
        <f>I289*Parameters!$B$4*Parameters!$B$7</f>
        <v>0</v>
      </c>
      <c r="M289">
        <f t="shared" si="4"/>
        <v>211.74499999999998</v>
      </c>
      <c r="N289">
        <v>7000</v>
      </c>
      <c r="O289">
        <v>0</v>
      </c>
      <c r="P289">
        <v>3000</v>
      </c>
      <c r="Q289">
        <v>0</v>
      </c>
    </row>
    <row r="290" spans="1:17">
      <c r="A290" t="s">
        <v>115</v>
      </c>
      <c r="B290" t="s">
        <v>19</v>
      </c>
      <c r="C290">
        <v>8</v>
      </c>
      <c r="D290">
        <v>2021</v>
      </c>
      <c r="E290" s="49" t="s">
        <v>2</v>
      </c>
      <c r="F290" s="49" t="s">
        <v>160</v>
      </c>
      <c r="G290">
        <f>'Baseline (June to Sep)'!S92+'Baseline (June to Sep)'!T92</f>
        <v>50</v>
      </c>
      <c r="H290">
        <f>'Baseline (June to Sep)'!U92</f>
        <v>0</v>
      </c>
      <c r="I290">
        <v>0</v>
      </c>
      <c r="J290">
        <f>G290*Parameters!$B$2*Parameters!$B$5</f>
        <v>106.45499999999998</v>
      </c>
      <c r="K290">
        <f>H290*Parameters!$B$3*Parameters!$B$6</f>
        <v>0</v>
      </c>
      <c r="L290">
        <f>I290*Parameters!$B$4*Parameters!$B$7</f>
        <v>0</v>
      </c>
      <c r="M290">
        <f t="shared" si="4"/>
        <v>106.45499999999998</v>
      </c>
      <c r="N290">
        <v>5000</v>
      </c>
      <c r="O290">
        <v>0</v>
      </c>
      <c r="P290">
        <v>0</v>
      </c>
      <c r="Q290">
        <v>0</v>
      </c>
    </row>
    <row r="291" spans="1:17">
      <c r="A291" t="s">
        <v>116</v>
      </c>
      <c r="B291" t="s">
        <v>21</v>
      </c>
      <c r="C291">
        <v>4</v>
      </c>
      <c r="D291">
        <v>2021</v>
      </c>
      <c r="E291" s="49" t="s">
        <v>2</v>
      </c>
      <c r="F291" s="49" t="s">
        <v>160</v>
      </c>
      <c r="G291">
        <f>'Baseline (June to Sep)'!S93+'Baseline (June to Sep)'!T93</f>
        <v>40</v>
      </c>
      <c r="H291">
        <f>'Baseline (June to Sep)'!U93</f>
        <v>0</v>
      </c>
      <c r="I291">
        <v>0</v>
      </c>
      <c r="J291">
        <f>G291*Parameters!$B$2*Parameters!$B$5</f>
        <v>85.163999999999987</v>
      </c>
      <c r="K291">
        <f>H291*Parameters!$B$3*Parameters!$B$6</f>
        <v>0</v>
      </c>
      <c r="L291">
        <f>I291*Parameters!$B$4*Parameters!$B$7</f>
        <v>0</v>
      </c>
      <c r="M291">
        <f t="shared" si="4"/>
        <v>85.163999999999987</v>
      </c>
      <c r="N291">
        <v>4000</v>
      </c>
      <c r="O291">
        <v>0</v>
      </c>
      <c r="P291">
        <v>0</v>
      </c>
      <c r="Q291">
        <v>0</v>
      </c>
    </row>
    <row r="292" spans="1:17">
      <c r="A292" t="s">
        <v>117</v>
      </c>
      <c r="B292" t="s">
        <v>17</v>
      </c>
      <c r="C292">
        <v>9</v>
      </c>
      <c r="D292">
        <v>2021</v>
      </c>
      <c r="E292" s="49" t="s">
        <v>2</v>
      </c>
      <c r="F292" s="49" t="s">
        <v>160</v>
      </c>
      <c r="G292">
        <f>'Baseline (June to Sep)'!S94+'Baseline (June to Sep)'!T94</f>
        <v>45</v>
      </c>
      <c r="H292">
        <f>'Baseline (June to Sep)'!U94</f>
        <v>5</v>
      </c>
      <c r="I292">
        <v>0</v>
      </c>
      <c r="J292">
        <f>G292*Parameters!$B$2*Parameters!$B$5</f>
        <v>95.809499999999986</v>
      </c>
      <c r="K292">
        <f>H292*Parameters!$B$3*Parameters!$B$6</f>
        <v>31.353999999999999</v>
      </c>
      <c r="L292">
        <f>I292*Parameters!$B$4*Parameters!$B$7</f>
        <v>0</v>
      </c>
      <c r="M292">
        <f t="shared" si="4"/>
        <v>127.16349999999998</v>
      </c>
      <c r="N292">
        <v>4500</v>
      </c>
      <c r="O292">
        <v>0</v>
      </c>
      <c r="P292">
        <v>1500</v>
      </c>
      <c r="Q292">
        <v>0</v>
      </c>
    </row>
    <row r="293" spans="1:17">
      <c r="A293" t="s">
        <v>118</v>
      </c>
      <c r="B293" t="s">
        <v>19</v>
      </c>
      <c r="C293">
        <v>4</v>
      </c>
      <c r="D293">
        <v>2021</v>
      </c>
      <c r="E293" s="49" t="s">
        <v>2</v>
      </c>
      <c r="F293" s="49" t="s">
        <v>160</v>
      </c>
      <c r="G293">
        <f>'Baseline (June to Sep)'!S95+'Baseline (June to Sep)'!T95</f>
        <v>35</v>
      </c>
      <c r="H293">
        <f>'Baseline (June to Sep)'!U95</f>
        <v>5</v>
      </c>
      <c r="I293">
        <v>0</v>
      </c>
      <c r="J293">
        <f>G293*Parameters!$B$2*Parameters!$B$5</f>
        <v>74.518499999999989</v>
      </c>
      <c r="K293">
        <f>H293*Parameters!$B$3*Parameters!$B$6</f>
        <v>31.353999999999999</v>
      </c>
      <c r="L293">
        <f>I293*Parameters!$B$4*Parameters!$B$7</f>
        <v>0</v>
      </c>
      <c r="M293">
        <f t="shared" si="4"/>
        <v>105.87249999999999</v>
      </c>
      <c r="N293">
        <v>3500</v>
      </c>
      <c r="O293">
        <v>0</v>
      </c>
      <c r="P293">
        <v>1500</v>
      </c>
      <c r="Q293">
        <v>0</v>
      </c>
    </row>
    <row r="294" spans="1:17">
      <c r="A294" t="s">
        <v>119</v>
      </c>
      <c r="B294" t="s">
        <v>40</v>
      </c>
      <c r="C294">
        <v>6</v>
      </c>
      <c r="D294">
        <v>2021</v>
      </c>
      <c r="E294" s="49" t="s">
        <v>2</v>
      </c>
      <c r="F294" s="49" t="s">
        <v>160</v>
      </c>
      <c r="G294">
        <f>'Baseline (June to Sep)'!S96+'Baseline (June to Sep)'!T96</f>
        <v>34</v>
      </c>
      <c r="H294">
        <f>'Baseline (June to Sep)'!U96</f>
        <v>0</v>
      </c>
      <c r="I294">
        <v>0</v>
      </c>
      <c r="J294">
        <f>G294*Parameters!$B$2*Parameters!$B$5</f>
        <v>72.389399999999995</v>
      </c>
      <c r="K294">
        <f>H294*Parameters!$B$3*Parameters!$B$6</f>
        <v>0</v>
      </c>
      <c r="L294">
        <f>I294*Parameters!$B$4*Parameters!$B$7</f>
        <v>0</v>
      </c>
      <c r="M294">
        <f t="shared" si="4"/>
        <v>72.389399999999995</v>
      </c>
      <c r="N294">
        <v>3400</v>
      </c>
      <c r="O294">
        <v>0</v>
      </c>
      <c r="P294">
        <v>0</v>
      </c>
      <c r="Q294">
        <v>0</v>
      </c>
    </row>
    <row r="295" spans="1:17">
      <c r="A295" t="s">
        <v>120</v>
      </c>
      <c r="B295" t="s">
        <v>32</v>
      </c>
      <c r="C295">
        <v>8</v>
      </c>
      <c r="D295">
        <v>2021</v>
      </c>
      <c r="E295" s="49" t="s">
        <v>2</v>
      </c>
      <c r="F295" s="49" t="s">
        <v>160</v>
      </c>
      <c r="G295">
        <f>'Baseline (June to Sep)'!S97+'Baseline (June to Sep)'!T97</f>
        <v>40</v>
      </c>
      <c r="H295">
        <f>'Baseline (June to Sep)'!U97</f>
        <v>5</v>
      </c>
      <c r="I295">
        <v>0</v>
      </c>
      <c r="J295">
        <f>G295*Parameters!$B$2*Parameters!$B$5</f>
        <v>85.163999999999987</v>
      </c>
      <c r="K295">
        <f>H295*Parameters!$B$3*Parameters!$B$6</f>
        <v>31.353999999999999</v>
      </c>
      <c r="L295">
        <f>I295*Parameters!$B$4*Parameters!$B$7</f>
        <v>0</v>
      </c>
      <c r="M295">
        <f t="shared" si="4"/>
        <v>116.51799999999999</v>
      </c>
      <c r="N295">
        <v>4000</v>
      </c>
      <c r="O295">
        <v>0</v>
      </c>
      <c r="P295">
        <v>1500</v>
      </c>
      <c r="Q295">
        <v>0</v>
      </c>
    </row>
    <row r="296" spans="1:17">
      <c r="A296" t="s">
        <v>121</v>
      </c>
      <c r="B296" t="s">
        <v>24</v>
      </c>
      <c r="C296">
        <v>5</v>
      </c>
      <c r="D296">
        <v>2021</v>
      </c>
      <c r="E296" s="49" t="s">
        <v>2</v>
      </c>
      <c r="F296" s="49" t="s">
        <v>160</v>
      </c>
      <c r="G296">
        <f>'Baseline (June to Sep)'!S98+'Baseline (June to Sep)'!T98</f>
        <v>35</v>
      </c>
      <c r="H296">
        <f>'Baseline (June to Sep)'!U98</f>
        <v>10</v>
      </c>
      <c r="I296">
        <v>0</v>
      </c>
      <c r="J296">
        <f>G296*Parameters!$B$2*Parameters!$B$5</f>
        <v>74.518499999999989</v>
      </c>
      <c r="K296">
        <f>H296*Parameters!$B$3*Parameters!$B$6</f>
        <v>62.707999999999998</v>
      </c>
      <c r="L296">
        <f>I296*Parameters!$B$4*Parameters!$B$7</f>
        <v>0</v>
      </c>
      <c r="M296">
        <f t="shared" si="4"/>
        <v>137.22649999999999</v>
      </c>
      <c r="N296">
        <v>3500</v>
      </c>
      <c r="O296">
        <v>0</v>
      </c>
      <c r="P296">
        <v>3000</v>
      </c>
      <c r="Q296">
        <v>0</v>
      </c>
    </row>
    <row r="297" spans="1:17">
      <c r="A297" t="s">
        <v>122</v>
      </c>
      <c r="B297" t="s">
        <v>26</v>
      </c>
      <c r="C297">
        <v>6</v>
      </c>
      <c r="D297">
        <v>2021</v>
      </c>
      <c r="E297" s="49" t="s">
        <v>2</v>
      </c>
      <c r="F297" s="49" t="s">
        <v>160</v>
      </c>
      <c r="G297">
        <f>'Baseline (June to Sep)'!S99+'Baseline (June to Sep)'!T99</f>
        <v>60</v>
      </c>
      <c r="H297">
        <f>'Baseline (June to Sep)'!U99</f>
        <v>0</v>
      </c>
      <c r="I297">
        <v>0</v>
      </c>
      <c r="J297">
        <f>G297*Parameters!$B$2*Parameters!$B$5</f>
        <v>127.74599999999998</v>
      </c>
      <c r="K297">
        <f>H297*Parameters!$B$3*Parameters!$B$6</f>
        <v>0</v>
      </c>
      <c r="L297">
        <f>I297*Parameters!$B$4*Parameters!$B$7</f>
        <v>0</v>
      </c>
      <c r="M297">
        <f t="shared" si="4"/>
        <v>127.74599999999998</v>
      </c>
      <c r="N297">
        <v>6000</v>
      </c>
      <c r="O297">
        <v>0</v>
      </c>
      <c r="P297">
        <v>0</v>
      </c>
      <c r="Q297">
        <v>0</v>
      </c>
    </row>
    <row r="298" spans="1:17">
      <c r="A298" t="s">
        <v>123</v>
      </c>
      <c r="B298" t="s">
        <v>19</v>
      </c>
      <c r="C298">
        <v>8</v>
      </c>
      <c r="D298">
        <v>2021</v>
      </c>
      <c r="E298" s="49" t="s">
        <v>2</v>
      </c>
      <c r="F298" s="49" t="s">
        <v>160</v>
      </c>
      <c r="G298">
        <f>'Baseline (June to Sep)'!S100+'Baseline (June to Sep)'!T100</f>
        <v>40</v>
      </c>
      <c r="H298">
        <f>'Baseline (June to Sep)'!U100</f>
        <v>5</v>
      </c>
      <c r="I298">
        <v>0</v>
      </c>
      <c r="J298">
        <f>G298*Parameters!$B$2*Parameters!$B$5</f>
        <v>85.163999999999987</v>
      </c>
      <c r="K298">
        <f>H298*Parameters!$B$3*Parameters!$B$6</f>
        <v>31.353999999999999</v>
      </c>
      <c r="L298">
        <f>I298*Parameters!$B$4*Parameters!$B$7</f>
        <v>0</v>
      </c>
      <c r="M298">
        <f t="shared" si="4"/>
        <v>116.51799999999999</v>
      </c>
      <c r="N298">
        <v>4000</v>
      </c>
      <c r="O298">
        <v>0</v>
      </c>
      <c r="P298">
        <v>1500</v>
      </c>
      <c r="Q298">
        <v>0</v>
      </c>
    </row>
    <row r="299" spans="1:17">
      <c r="A299" t="s">
        <v>124</v>
      </c>
      <c r="B299" t="s">
        <v>56</v>
      </c>
      <c r="C299">
        <v>9</v>
      </c>
      <c r="D299">
        <v>2021</v>
      </c>
      <c r="E299" s="49" t="s">
        <v>2</v>
      </c>
      <c r="F299" s="49" t="s">
        <v>160</v>
      </c>
      <c r="G299">
        <f>'Baseline (June to Sep)'!S101+'Baseline (June to Sep)'!T101</f>
        <v>50</v>
      </c>
      <c r="H299">
        <f>'Baseline (June to Sep)'!U101</f>
        <v>20</v>
      </c>
      <c r="I299">
        <v>0</v>
      </c>
      <c r="J299">
        <f>G299*Parameters!$B$2*Parameters!$B$5</f>
        <v>106.45499999999998</v>
      </c>
      <c r="K299">
        <f>H299*Parameters!$B$3*Parameters!$B$6</f>
        <v>125.416</v>
      </c>
      <c r="L299">
        <f>I299*Parameters!$B$4*Parameters!$B$7</f>
        <v>0</v>
      </c>
      <c r="M299">
        <f t="shared" si="4"/>
        <v>231.87099999999998</v>
      </c>
      <c r="N299">
        <v>5000</v>
      </c>
      <c r="O299">
        <v>0</v>
      </c>
      <c r="P299">
        <v>6000</v>
      </c>
      <c r="Q299">
        <v>0</v>
      </c>
    </row>
    <row r="300" spans="1:17">
      <c r="A300" t="s">
        <v>125</v>
      </c>
      <c r="B300" t="s">
        <v>65</v>
      </c>
      <c r="C300">
        <v>7</v>
      </c>
      <c r="D300">
        <v>2021</v>
      </c>
      <c r="E300" s="49" t="s">
        <v>2</v>
      </c>
      <c r="F300" s="49" t="s">
        <v>160</v>
      </c>
      <c r="G300">
        <f>'Baseline (June to Sep)'!S102+'Baseline (June to Sep)'!T102</f>
        <v>15</v>
      </c>
      <c r="H300">
        <f>'Baseline (June to Sep)'!U102</f>
        <v>15</v>
      </c>
      <c r="I300">
        <v>0</v>
      </c>
      <c r="J300">
        <f>G300*Parameters!$B$2*Parameters!$B$5</f>
        <v>31.936499999999995</v>
      </c>
      <c r="K300">
        <f>H300*Parameters!$B$3*Parameters!$B$6</f>
        <v>94.061999999999998</v>
      </c>
      <c r="L300">
        <f>I300*Parameters!$B$4*Parameters!$B$7</f>
        <v>0</v>
      </c>
      <c r="M300">
        <f t="shared" si="4"/>
        <v>125.99849999999999</v>
      </c>
      <c r="N300">
        <v>1500</v>
      </c>
      <c r="O300">
        <v>0</v>
      </c>
      <c r="P300">
        <v>4500</v>
      </c>
      <c r="Q300">
        <v>0</v>
      </c>
    </row>
    <row r="301" spans="1:17">
      <c r="A301" t="s">
        <v>126</v>
      </c>
      <c r="B301" t="s">
        <v>65</v>
      </c>
      <c r="C301">
        <v>6</v>
      </c>
      <c r="D301">
        <v>2021</v>
      </c>
      <c r="E301" s="49" t="s">
        <v>2</v>
      </c>
      <c r="F301" s="49" t="s">
        <v>160</v>
      </c>
      <c r="G301">
        <f>'Baseline (June to Sep)'!S103+'Baseline (June to Sep)'!T103</f>
        <v>38</v>
      </c>
      <c r="H301">
        <f>'Baseline (June to Sep)'!U103</f>
        <v>10</v>
      </c>
      <c r="I301">
        <v>0</v>
      </c>
      <c r="J301">
        <f>G301*Parameters!$B$2*Parameters!$B$5</f>
        <v>80.905799999999985</v>
      </c>
      <c r="K301">
        <f>H301*Parameters!$B$3*Parameters!$B$6</f>
        <v>62.707999999999998</v>
      </c>
      <c r="L301">
        <f>I301*Parameters!$B$4*Parameters!$B$7</f>
        <v>0</v>
      </c>
      <c r="M301">
        <f t="shared" si="4"/>
        <v>143.61379999999997</v>
      </c>
      <c r="N301">
        <v>3800</v>
      </c>
      <c r="O301">
        <v>0</v>
      </c>
      <c r="P301">
        <v>3000</v>
      </c>
      <c r="Q301">
        <v>0</v>
      </c>
    </row>
    <row r="302" spans="1:17">
      <c r="A302" t="s">
        <v>16</v>
      </c>
      <c r="B302" t="s">
        <v>17</v>
      </c>
      <c r="C302">
        <v>8</v>
      </c>
      <c r="D302">
        <v>2021</v>
      </c>
      <c r="E302" s="49" t="s">
        <v>3</v>
      </c>
      <c r="F302" s="49" t="s">
        <v>160</v>
      </c>
      <c r="G302">
        <f>'Baseline (June to Sep)'!Y4+'Baseline (June to Sep)'!Z4</f>
        <v>20</v>
      </c>
      <c r="H302">
        <f>'Baseline (June to Sep)'!AA4</f>
        <v>22</v>
      </c>
      <c r="I302">
        <v>0</v>
      </c>
      <c r="J302">
        <f>G302*Parameters!$B$2*Parameters!$B$5</f>
        <v>42.581999999999994</v>
      </c>
      <c r="K302">
        <f>H302*Parameters!$B$3*Parameters!$B$6</f>
        <v>137.95759999999999</v>
      </c>
      <c r="L302">
        <f>I302*Parameters!$B$4*Parameters!$B$7</f>
        <v>0</v>
      </c>
      <c r="M302">
        <f t="shared" si="4"/>
        <v>180.53959999999998</v>
      </c>
      <c r="N302">
        <v>0</v>
      </c>
      <c r="O302">
        <v>2000</v>
      </c>
      <c r="P302">
        <v>6600</v>
      </c>
      <c r="Q302">
        <v>0</v>
      </c>
    </row>
    <row r="303" spans="1:17">
      <c r="A303" t="s">
        <v>18</v>
      </c>
      <c r="B303" t="s">
        <v>19</v>
      </c>
      <c r="C303">
        <v>7</v>
      </c>
      <c r="D303">
        <v>2021</v>
      </c>
      <c r="E303" s="49" t="s">
        <v>3</v>
      </c>
      <c r="F303" s="49" t="s">
        <v>160</v>
      </c>
      <c r="G303">
        <f>'Baseline (June to Sep)'!Y5+'Baseline (June to Sep)'!Z5</f>
        <v>32</v>
      </c>
      <c r="H303">
        <f>'Baseline (June to Sep)'!AA5</f>
        <v>30</v>
      </c>
      <c r="I303">
        <v>0</v>
      </c>
      <c r="J303">
        <f>G303*Parameters!$B$2*Parameters!$B$5</f>
        <v>68.131199999999993</v>
      </c>
      <c r="K303">
        <f>H303*Parameters!$B$3*Parameters!$B$6</f>
        <v>188.124</v>
      </c>
      <c r="L303">
        <f>I303*Parameters!$B$4*Parameters!$B$7</f>
        <v>0</v>
      </c>
      <c r="M303">
        <f t="shared" si="4"/>
        <v>256.2552</v>
      </c>
      <c r="N303">
        <v>0</v>
      </c>
      <c r="O303">
        <v>3200</v>
      </c>
      <c r="P303">
        <v>9000</v>
      </c>
      <c r="Q303">
        <v>0</v>
      </c>
    </row>
    <row r="304" spans="1:17">
      <c r="A304" t="s">
        <v>20</v>
      </c>
      <c r="B304" t="s">
        <v>21</v>
      </c>
      <c r="C304">
        <v>10</v>
      </c>
      <c r="D304">
        <v>2021</v>
      </c>
      <c r="E304" s="49" t="s">
        <v>3</v>
      </c>
      <c r="F304" s="49" t="s">
        <v>160</v>
      </c>
      <c r="G304">
        <f>'Baseline (June to Sep)'!Y6+'Baseline (June to Sep)'!Z6</f>
        <v>38</v>
      </c>
      <c r="H304">
        <f>'Baseline (June to Sep)'!AA6</f>
        <v>25</v>
      </c>
      <c r="I304">
        <v>0</v>
      </c>
      <c r="J304">
        <f>G304*Parameters!$B$2*Parameters!$B$5</f>
        <v>80.905799999999985</v>
      </c>
      <c r="K304">
        <f>H304*Parameters!$B$3*Parameters!$B$6</f>
        <v>156.77000000000001</v>
      </c>
      <c r="L304">
        <f>I304*Parameters!$B$4*Parameters!$B$7</f>
        <v>0</v>
      </c>
      <c r="M304">
        <f t="shared" si="4"/>
        <v>237.67579999999998</v>
      </c>
      <c r="N304">
        <v>0</v>
      </c>
      <c r="O304">
        <v>3800</v>
      </c>
      <c r="P304">
        <v>7500</v>
      </c>
      <c r="Q304">
        <v>0</v>
      </c>
    </row>
    <row r="305" spans="1:17">
      <c r="A305" t="s">
        <v>22</v>
      </c>
      <c r="B305" t="s">
        <v>19</v>
      </c>
      <c r="C305">
        <v>7</v>
      </c>
      <c r="D305">
        <v>2021</v>
      </c>
      <c r="E305" s="49" t="s">
        <v>3</v>
      </c>
      <c r="F305" s="49" t="s">
        <v>160</v>
      </c>
      <c r="G305">
        <f>'Baseline (June to Sep)'!Y7+'Baseline (June to Sep)'!Z7</f>
        <v>25</v>
      </c>
      <c r="H305">
        <f>'Baseline (June to Sep)'!AA7</f>
        <v>14</v>
      </c>
      <c r="I305">
        <v>0</v>
      </c>
      <c r="J305">
        <f>G305*Parameters!$B$2*Parameters!$B$5</f>
        <v>53.227499999999992</v>
      </c>
      <c r="K305">
        <f>H305*Parameters!$B$3*Parameters!$B$6</f>
        <v>87.791200000000003</v>
      </c>
      <c r="L305">
        <f>I305*Parameters!$B$4*Parameters!$B$7</f>
        <v>0</v>
      </c>
      <c r="M305">
        <f t="shared" si="4"/>
        <v>141.0187</v>
      </c>
      <c r="N305">
        <v>0</v>
      </c>
      <c r="O305">
        <v>2500</v>
      </c>
      <c r="P305">
        <v>4200</v>
      </c>
      <c r="Q305">
        <v>0</v>
      </c>
    </row>
    <row r="306" spans="1:17">
      <c r="A306" t="s">
        <v>23</v>
      </c>
      <c r="B306" t="s">
        <v>24</v>
      </c>
      <c r="C306">
        <v>4</v>
      </c>
      <c r="D306">
        <v>2021</v>
      </c>
      <c r="E306" s="49" t="s">
        <v>3</v>
      </c>
      <c r="F306" s="49" t="s">
        <v>160</v>
      </c>
      <c r="G306">
        <f>'Baseline (June to Sep)'!Y8+'Baseline (June to Sep)'!Z8</f>
        <v>30</v>
      </c>
      <c r="H306">
        <f>'Baseline (June to Sep)'!AA8</f>
        <v>15</v>
      </c>
      <c r="I306">
        <v>0</v>
      </c>
      <c r="J306">
        <f>G306*Parameters!$B$2*Parameters!$B$5</f>
        <v>63.87299999999999</v>
      </c>
      <c r="K306">
        <f>H306*Parameters!$B$3*Parameters!$B$6</f>
        <v>94.061999999999998</v>
      </c>
      <c r="L306">
        <f>I306*Parameters!$B$4*Parameters!$B$7</f>
        <v>0</v>
      </c>
      <c r="M306">
        <f t="shared" si="4"/>
        <v>157.935</v>
      </c>
      <c r="N306">
        <v>0</v>
      </c>
      <c r="O306">
        <v>3000</v>
      </c>
      <c r="P306">
        <v>4500</v>
      </c>
      <c r="Q306">
        <v>0</v>
      </c>
    </row>
    <row r="307" spans="1:17">
      <c r="A307" t="s">
        <v>25</v>
      </c>
      <c r="B307" t="s">
        <v>26</v>
      </c>
      <c r="C307">
        <v>3</v>
      </c>
      <c r="D307">
        <v>2021</v>
      </c>
      <c r="E307" s="49" t="s">
        <v>3</v>
      </c>
      <c r="F307" s="49" t="s">
        <v>160</v>
      </c>
      <c r="G307">
        <f>'Baseline (June to Sep)'!Y9+'Baseline (June to Sep)'!Z9</f>
        <v>32</v>
      </c>
      <c r="H307">
        <f>'Baseline (June to Sep)'!AA9</f>
        <v>10</v>
      </c>
      <c r="I307">
        <v>0</v>
      </c>
      <c r="J307">
        <f>G307*Parameters!$B$2*Parameters!$B$5</f>
        <v>68.131199999999993</v>
      </c>
      <c r="K307">
        <f>H307*Parameters!$B$3*Parameters!$B$6</f>
        <v>62.707999999999998</v>
      </c>
      <c r="L307">
        <f>I307*Parameters!$B$4*Parameters!$B$7</f>
        <v>0</v>
      </c>
      <c r="M307">
        <f t="shared" si="4"/>
        <v>130.83920000000001</v>
      </c>
      <c r="N307">
        <v>0</v>
      </c>
      <c r="O307">
        <v>3200</v>
      </c>
      <c r="P307">
        <v>3000</v>
      </c>
      <c r="Q307">
        <v>0</v>
      </c>
    </row>
    <row r="308" spans="1:17">
      <c r="A308" t="s">
        <v>27</v>
      </c>
      <c r="B308" t="s">
        <v>21</v>
      </c>
      <c r="C308">
        <v>6</v>
      </c>
      <c r="D308">
        <v>2021</v>
      </c>
      <c r="E308" s="49" t="s">
        <v>3</v>
      </c>
      <c r="F308" s="49" t="s">
        <v>160</v>
      </c>
      <c r="G308">
        <f>'Baseline (June to Sep)'!Y10+'Baseline (June to Sep)'!Z10</f>
        <v>25</v>
      </c>
      <c r="H308">
        <f>'Baseline (June to Sep)'!AA10</f>
        <v>30</v>
      </c>
      <c r="I308">
        <v>0</v>
      </c>
      <c r="J308">
        <f>G308*Parameters!$B$2*Parameters!$B$5</f>
        <v>53.227499999999992</v>
      </c>
      <c r="K308">
        <f>H308*Parameters!$B$3*Parameters!$B$6</f>
        <v>188.124</v>
      </c>
      <c r="L308">
        <f>I308*Parameters!$B$4*Parameters!$B$7</f>
        <v>0</v>
      </c>
      <c r="M308">
        <f t="shared" si="4"/>
        <v>241.35149999999999</v>
      </c>
      <c r="N308">
        <v>0</v>
      </c>
      <c r="O308">
        <v>2500</v>
      </c>
      <c r="P308">
        <v>9000</v>
      </c>
      <c r="Q308">
        <v>0</v>
      </c>
    </row>
    <row r="309" spans="1:17">
      <c r="A309" t="s">
        <v>28</v>
      </c>
      <c r="B309" t="s">
        <v>19</v>
      </c>
      <c r="C309">
        <v>9</v>
      </c>
      <c r="D309">
        <v>2021</v>
      </c>
      <c r="E309" s="49" t="s">
        <v>3</v>
      </c>
      <c r="F309" s="49" t="s">
        <v>160</v>
      </c>
      <c r="G309">
        <f>'Baseline (June to Sep)'!Y11+'Baseline (June to Sep)'!Z11</f>
        <v>45</v>
      </c>
      <c r="H309">
        <f>'Baseline (June to Sep)'!AA11</f>
        <v>30</v>
      </c>
      <c r="I309">
        <v>0</v>
      </c>
      <c r="J309">
        <f>G309*Parameters!$B$2*Parameters!$B$5</f>
        <v>95.809499999999986</v>
      </c>
      <c r="K309">
        <f>H309*Parameters!$B$3*Parameters!$B$6</f>
        <v>188.124</v>
      </c>
      <c r="L309">
        <f>I309*Parameters!$B$4*Parameters!$B$7</f>
        <v>0</v>
      </c>
      <c r="M309">
        <f t="shared" si="4"/>
        <v>283.93349999999998</v>
      </c>
      <c r="N309">
        <v>0</v>
      </c>
      <c r="O309">
        <v>4500</v>
      </c>
      <c r="P309">
        <v>9000</v>
      </c>
      <c r="Q309">
        <v>0</v>
      </c>
    </row>
    <row r="310" spans="1:17">
      <c r="A310" t="s">
        <v>29</v>
      </c>
      <c r="B310" t="s">
        <v>24</v>
      </c>
      <c r="C310">
        <v>4</v>
      </c>
      <c r="D310">
        <v>2021</v>
      </c>
      <c r="E310" s="49" t="s">
        <v>3</v>
      </c>
      <c r="F310" s="49" t="s">
        <v>160</v>
      </c>
      <c r="G310">
        <f>'Baseline (June to Sep)'!Y12+'Baseline (June to Sep)'!Z12</f>
        <v>15</v>
      </c>
      <c r="H310">
        <f>'Baseline (June to Sep)'!AA12</f>
        <v>37</v>
      </c>
      <c r="I310">
        <v>0</v>
      </c>
      <c r="J310">
        <f>G310*Parameters!$B$2*Parameters!$B$5</f>
        <v>31.936499999999995</v>
      </c>
      <c r="K310">
        <f>H310*Parameters!$B$3*Parameters!$B$6</f>
        <v>232.0196</v>
      </c>
      <c r="L310">
        <f>I310*Parameters!$B$4*Parameters!$B$7</f>
        <v>0</v>
      </c>
      <c r="M310">
        <f t="shared" si="4"/>
        <v>263.95609999999999</v>
      </c>
      <c r="N310">
        <v>0</v>
      </c>
      <c r="O310">
        <v>1500</v>
      </c>
      <c r="P310">
        <v>11100</v>
      </c>
      <c r="Q310">
        <v>0</v>
      </c>
    </row>
    <row r="311" spans="1:17">
      <c r="A311" t="s">
        <v>30</v>
      </c>
      <c r="B311" t="s">
        <v>21</v>
      </c>
      <c r="C311">
        <v>6</v>
      </c>
      <c r="D311">
        <v>2021</v>
      </c>
      <c r="E311" s="49" t="s">
        <v>3</v>
      </c>
      <c r="F311" s="49" t="s">
        <v>160</v>
      </c>
      <c r="G311">
        <f>'Baseline (June to Sep)'!Y13+'Baseline (June to Sep)'!Z13</f>
        <v>15</v>
      </c>
      <c r="H311">
        <f>'Baseline (June to Sep)'!AA13</f>
        <v>38</v>
      </c>
      <c r="I311">
        <v>0</v>
      </c>
      <c r="J311">
        <f>G311*Parameters!$B$2*Parameters!$B$5</f>
        <v>31.936499999999995</v>
      </c>
      <c r="K311">
        <f>H311*Parameters!$B$3*Parameters!$B$6</f>
        <v>238.29040000000001</v>
      </c>
      <c r="L311">
        <f>I311*Parameters!$B$4*Parameters!$B$7</f>
        <v>0</v>
      </c>
      <c r="M311">
        <f t="shared" si="4"/>
        <v>270.2269</v>
      </c>
      <c r="N311">
        <v>0</v>
      </c>
      <c r="O311">
        <v>1500</v>
      </c>
      <c r="P311">
        <v>11400</v>
      </c>
      <c r="Q311">
        <v>0</v>
      </c>
    </row>
    <row r="312" spans="1:17">
      <c r="A312" t="s">
        <v>31</v>
      </c>
      <c r="B312" t="s">
        <v>32</v>
      </c>
      <c r="C312">
        <v>4</v>
      </c>
      <c r="D312">
        <v>2021</v>
      </c>
      <c r="E312" s="49" t="s">
        <v>3</v>
      </c>
      <c r="F312" s="49" t="s">
        <v>160</v>
      </c>
      <c r="G312">
        <f>'Baseline (June to Sep)'!Y14+'Baseline (June to Sep)'!Z14</f>
        <v>25</v>
      </c>
      <c r="H312">
        <f>'Baseline (June to Sep)'!AA14</f>
        <v>22</v>
      </c>
      <c r="I312">
        <v>0</v>
      </c>
      <c r="J312">
        <f>G312*Parameters!$B$2*Parameters!$B$5</f>
        <v>53.227499999999992</v>
      </c>
      <c r="K312">
        <f>H312*Parameters!$B$3*Parameters!$B$6</f>
        <v>137.95759999999999</v>
      </c>
      <c r="L312">
        <f>I312*Parameters!$B$4*Parameters!$B$7</f>
        <v>0</v>
      </c>
      <c r="M312">
        <f t="shared" si="4"/>
        <v>191.18509999999998</v>
      </c>
      <c r="N312">
        <v>0</v>
      </c>
      <c r="O312">
        <v>2500</v>
      </c>
      <c r="P312">
        <v>6600</v>
      </c>
      <c r="Q312">
        <v>0</v>
      </c>
    </row>
    <row r="313" spans="1:17">
      <c r="A313" t="s">
        <v>33</v>
      </c>
      <c r="B313" t="s">
        <v>32</v>
      </c>
      <c r="C313">
        <v>6</v>
      </c>
      <c r="D313">
        <v>2021</v>
      </c>
      <c r="E313" s="49" t="s">
        <v>3</v>
      </c>
      <c r="F313" s="49" t="s">
        <v>160</v>
      </c>
      <c r="G313">
        <f>'Baseline (June to Sep)'!Y15+'Baseline (June to Sep)'!Z15</f>
        <v>10</v>
      </c>
      <c r="H313">
        <f>'Baseline (June to Sep)'!AA15</f>
        <v>25</v>
      </c>
      <c r="I313">
        <v>0</v>
      </c>
      <c r="J313">
        <f>G313*Parameters!$B$2*Parameters!$B$5</f>
        <v>21.290999999999997</v>
      </c>
      <c r="K313">
        <f>H313*Parameters!$B$3*Parameters!$B$6</f>
        <v>156.77000000000001</v>
      </c>
      <c r="L313">
        <f>I313*Parameters!$B$4*Parameters!$B$7</f>
        <v>0</v>
      </c>
      <c r="M313">
        <f t="shared" si="4"/>
        <v>178.06100000000001</v>
      </c>
      <c r="N313">
        <v>0</v>
      </c>
      <c r="O313">
        <v>1000</v>
      </c>
      <c r="P313">
        <v>7500</v>
      </c>
      <c r="Q313">
        <v>0</v>
      </c>
    </row>
    <row r="314" spans="1:17">
      <c r="A314" t="s">
        <v>34</v>
      </c>
      <c r="B314" t="s">
        <v>21</v>
      </c>
      <c r="C314">
        <v>9</v>
      </c>
      <c r="D314">
        <v>2021</v>
      </c>
      <c r="E314" s="49" t="s">
        <v>3</v>
      </c>
      <c r="F314" s="49" t="s">
        <v>160</v>
      </c>
      <c r="G314">
        <f>'Baseline (June to Sep)'!Y16+'Baseline (June to Sep)'!Z16</f>
        <v>35</v>
      </c>
      <c r="H314">
        <f>'Baseline (June to Sep)'!AA16</f>
        <v>25</v>
      </c>
      <c r="I314">
        <v>0</v>
      </c>
      <c r="J314">
        <f>G314*Parameters!$B$2*Parameters!$B$5</f>
        <v>74.518499999999989</v>
      </c>
      <c r="K314">
        <f>H314*Parameters!$B$3*Parameters!$B$6</f>
        <v>156.77000000000001</v>
      </c>
      <c r="L314">
        <f>I314*Parameters!$B$4*Parameters!$B$7</f>
        <v>0</v>
      </c>
      <c r="M314">
        <f t="shared" si="4"/>
        <v>231.2885</v>
      </c>
      <c r="N314">
        <v>0</v>
      </c>
      <c r="O314">
        <v>3500</v>
      </c>
      <c r="P314">
        <v>7500</v>
      </c>
      <c r="Q314">
        <v>0</v>
      </c>
    </row>
    <row r="315" spans="1:17">
      <c r="A315" t="s">
        <v>35</v>
      </c>
      <c r="B315" t="s">
        <v>21</v>
      </c>
      <c r="C315">
        <v>6</v>
      </c>
      <c r="D315">
        <v>2021</v>
      </c>
      <c r="E315" s="49" t="s">
        <v>3</v>
      </c>
      <c r="F315" s="49" t="s">
        <v>160</v>
      </c>
      <c r="G315">
        <f>'Baseline (June to Sep)'!Y17+'Baseline (June to Sep)'!Z17</f>
        <v>30</v>
      </c>
      <c r="H315">
        <f>'Baseline (June to Sep)'!AA17</f>
        <v>22</v>
      </c>
      <c r="I315">
        <v>0</v>
      </c>
      <c r="J315">
        <f>G315*Parameters!$B$2*Parameters!$B$5</f>
        <v>63.87299999999999</v>
      </c>
      <c r="K315">
        <f>H315*Parameters!$B$3*Parameters!$B$6</f>
        <v>137.95759999999999</v>
      </c>
      <c r="L315">
        <f>I315*Parameters!$B$4*Parameters!$B$7</f>
        <v>0</v>
      </c>
      <c r="M315">
        <f t="shared" si="4"/>
        <v>201.83059999999998</v>
      </c>
      <c r="N315">
        <v>0</v>
      </c>
      <c r="O315">
        <v>3000</v>
      </c>
      <c r="P315">
        <v>6600</v>
      </c>
      <c r="Q315">
        <v>0</v>
      </c>
    </row>
    <row r="316" spans="1:17">
      <c r="A316" t="s">
        <v>36</v>
      </c>
      <c r="B316" t="s">
        <v>21</v>
      </c>
      <c r="C316">
        <v>12</v>
      </c>
      <c r="D316">
        <v>2021</v>
      </c>
      <c r="E316" s="49" t="s">
        <v>3</v>
      </c>
      <c r="F316" s="49" t="s">
        <v>160</v>
      </c>
      <c r="G316">
        <f>'Baseline (June to Sep)'!Y18+'Baseline (June to Sep)'!Z18</f>
        <v>0</v>
      </c>
      <c r="H316">
        <f>'Baseline (June to Sep)'!AA18</f>
        <v>42</v>
      </c>
      <c r="I316">
        <v>0</v>
      </c>
      <c r="J316">
        <f>G316*Parameters!$B$2*Parameters!$B$5</f>
        <v>0</v>
      </c>
      <c r="K316">
        <f>H316*Parameters!$B$3*Parameters!$B$6</f>
        <v>263.37359999999995</v>
      </c>
      <c r="L316">
        <f>I316*Parameters!$B$4*Parameters!$B$7</f>
        <v>0</v>
      </c>
      <c r="M316">
        <f t="shared" si="4"/>
        <v>263.37359999999995</v>
      </c>
      <c r="N316">
        <v>0</v>
      </c>
      <c r="O316">
        <v>0</v>
      </c>
      <c r="P316">
        <v>12600</v>
      </c>
      <c r="Q316">
        <v>0</v>
      </c>
    </row>
    <row r="317" spans="1:17">
      <c r="A317" t="s">
        <v>37</v>
      </c>
      <c r="B317" t="s">
        <v>38</v>
      </c>
      <c r="C317">
        <v>7</v>
      </c>
      <c r="D317">
        <v>2021</v>
      </c>
      <c r="E317" s="49" t="s">
        <v>3</v>
      </c>
      <c r="F317" s="49" t="s">
        <v>160</v>
      </c>
      <c r="G317">
        <f>'Baseline (June to Sep)'!Y19+'Baseline (June to Sep)'!Z19</f>
        <v>40</v>
      </c>
      <c r="H317">
        <f>'Baseline (June to Sep)'!AA19</f>
        <v>38</v>
      </c>
      <c r="I317">
        <v>0</v>
      </c>
      <c r="J317">
        <f>G317*Parameters!$B$2*Parameters!$B$5</f>
        <v>85.163999999999987</v>
      </c>
      <c r="K317">
        <f>H317*Parameters!$B$3*Parameters!$B$6</f>
        <v>238.29040000000001</v>
      </c>
      <c r="L317">
        <f>I317*Parameters!$B$4*Parameters!$B$7</f>
        <v>0</v>
      </c>
      <c r="M317">
        <f t="shared" si="4"/>
        <v>323.45439999999996</v>
      </c>
      <c r="N317">
        <v>0</v>
      </c>
      <c r="O317">
        <v>4000</v>
      </c>
      <c r="P317">
        <v>11400</v>
      </c>
      <c r="Q317">
        <v>0</v>
      </c>
    </row>
    <row r="318" spans="1:17">
      <c r="A318" t="s">
        <v>39</v>
      </c>
      <c r="B318" t="s">
        <v>40</v>
      </c>
      <c r="C318">
        <v>6</v>
      </c>
      <c r="D318">
        <v>2021</v>
      </c>
      <c r="E318" s="49" t="s">
        <v>3</v>
      </c>
      <c r="F318" s="49" t="s">
        <v>160</v>
      </c>
      <c r="G318">
        <f>'Baseline (June to Sep)'!Y20+'Baseline (June to Sep)'!Z20</f>
        <v>20</v>
      </c>
      <c r="H318">
        <f>'Baseline (June to Sep)'!AA20</f>
        <v>20</v>
      </c>
      <c r="I318">
        <v>0</v>
      </c>
      <c r="J318">
        <f>G318*Parameters!$B$2*Parameters!$B$5</f>
        <v>42.581999999999994</v>
      </c>
      <c r="K318">
        <f>H318*Parameters!$B$3*Parameters!$B$6</f>
        <v>125.416</v>
      </c>
      <c r="L318">
        <f>I318*Parameters!$B$4*Parameters!$B$7</f>
        <v>0</v>
      </c>
      <c r="M318">
        <f t="shared" si="4"/>
        <v>167.99799999999999</v>
      </c>
      <c r="N318">
        <v>0</v>
      </c>
      <c r="O318">
        <v>2000</v>
      </c>
      <c r="P318">
        <v>6000</v>
      </c>
      <c r="Q318">
        <v>0</v>
      </c>
    </row>
    <row r="319" spans="1:17">
      <c r="A319" t="s">
        <v>41</v>
      </c>
      <c r="B319" t="s">
        <v>26</v>
      </c>
      <c r="C319">
        <v>5</v>
      </c>
      <c r="D319">
        <v>2021</v>
      </c>
      <c r="E319" s="49" t="s">
        <v>3</v>
      </c>
      <c r="F319" s="49" t="s">
        <v>160</v>
      </c>
      <c r="G319">
        <f>'Baseline (June to Sep)'!Y21+'Baseline (June to Sep)'!Z21</f>
        <v>40</v>
      </c>
      <c r="H319">
        <f>'Baseline (June to Sep)'!AA21</f>
        <v>10</v>
      </c>
      <c r="I319">
        <v>0</v>
      </c>
      <c r="J319">
        <f>G319*Parameters!$B$2*Parameters!$B$5</f>
        <v>85.163999999999987</v>
      </c>
      <c r="K319">
        <f>H319*Parameters!$B$3*Parameters!$B$6</f>
        <v>62.707999999999998</v>
      </c>
      <c r="L319">
        <f>I319*Parameters!$B$4*Parameters!$B$7</f>
        <v>0</v>
      </c>
      <c r="M319">
        <f t="shared" si="4"/>
        <v>147.87199999999999</v>
      </c>
      <c r="N319">
        <v>0</v>
      </c>
      <c r="O319">
        <v>4000</v>
      </c>
      <c r="P319">
        <v>3000</v>
      </c>
      <c r="Q319">
        <v>0</v>
      </c>
    </row>
    <row r="320" spans="1:17">
      <c r="A320" t="s">
        <v>42</v>
      </c>
      <c r="B320" t="s">
        <v>24</v>
      </c>
      <c r="C320">
        <v>5</v>
      </c>
      <c r="D320">
        <v>2021</v>
      </c>
      <c r="E320" s="49" t="s">
        <v>3</v>
      </c>
      <c r="F320" s="49" t="s">
        <v>160</v>
      </c>
      <c r="G320">
        <f>'Baseline (June to Sep)'!Y22+'Baseline (June to Sep)'!Z22</f>
        <v>40</v>
      </c>
      <c r="H320">
        <f>'Baseline (June to Sep)'!AA22</f>
        <v>10</v>
      </c>
      <c r="I320">
        <v>0</v>
      </c>
      <c r="J320">
        <f>G320*Parameters!$B$2*Parameters!$B$5</f>
        <v>85.163999999999987</v>
      </c>
      <c r="K320">
        <f>H320*Parameters!$B$3*Parameters!$B$6</f>
        <v>62.707999999999998</v>
      </c>
      <c r="L320">
        <f>I320*Parameters!$B$4*Parameters!$B$7</f>
        <v>0</v>
      </c>
      <c r="M320">
        <f t="shared" si="4"/>
        <v>147.87199999999999</v>
      </c>
      <c r="N320">
        <v>0</v>
      </c>
      <c r="O320">
        <v>4000</v>
      </c>
      <c r="P320">
        <v>3000</v>
      </c>
      <c r="Q320">
        <v>0</v>
      </c>
    </row>
    <row r="321" spans="1:17">
      <c r="A321" t="s">
        <v>43</v>
      </c>
      <c r="B321" t="s">
        <v>19</v>
      </c>
      <c r="C321">
        <v>8</v>
      </c>
      <c r="D321">
        <v>2021</v>
      </c>
      <c r="E321" s="49" t="s">
        <v>3</v>
      </c>
      <c r="F321" s="49" t="s">
        <v>160</v>
      </c>
      <c r="G321">
        <f>'Baseline (June to Sep)'!Y23+'Baseline (June to Sep)'!Z23</f>
        <v>20</v>
      </c>
      <c r="H321">
        <f>'Baseline (June to Sep)'!AA23</f>
        <v>10</v>
      </c>
      <c r="I321">
        <v>0</v>
      </c>
      <c r="J321">
        <f>G321*Parameters!$B$2*Parameters!$B$5</f>
        <v>42.581999999999994</v>
      </c>
      <c r="K321">
        <f>H321*Parameters!$B$3*Parameters!$B$6</f>
        <v>62.707999999999998</v>
      </c>
      <c r="L321">
        <f>I321*Parameters!$B$4*Parameters!$B$7</f>
        <v>0</v>
      </c>
      <c r="M321">
        <f t="shared" si="4"/>
        <v>105.28999999999999</v>
      </c>
      <c r="N321">
        <v>0</v>
      </c>
      <c r="O321">
        <v>2000</v>
      </c>
      <c r="P321">
        <v>3000</v>
      </c>
      <c r="Q321">
        <v>0</v>
      </c>
    </row>
    <row r="322" spans="1:17">
      <c r="A322" t="s">
        <v>44</v>
      </c>
      <c r="B322" t="s">
        <v>40</v>
      </c>
      <c r="C322">
        <v>10</v>
      </c>
      <c r="D322">
        <v>2021</v>
      </c>
      <c r="E322" s="49" t="s">
        <v>3</v>
      </c>
      <c r="F322" s="49" t="s">
        <v>160</v>
      </c>
      <c r="G322">
        <f>'Baseline (June to Sep)'!Y24+'Baseline (June to Sep)'!Z24</f>
        <v>40</v>
      </c>
      <c r="H322">
        <f>'Baseline (June to Sep)'!AA24</f>
        <v>27</v>
      </c>
      <c r="I322">
        <v>0</v>
      </c>
      <c r="J322">
        <f>G322*Parameters!$B$2*Parameters!$B$5</f>
        <v>85.163999999999987</v>
      </c>
      <c r="K322">
        <f>H322*Parameters!$B$3*Parameters!$B$6</f>
        <v>169.3116</v>
      </c>
      <c r="L322">
        <f>I322*Parameters!$B$4*Parameters!$B$7</f>
        <v>0</v>
      </c>
      <c r="M322">
        <f t="shared" si="4"/>
        <v>254.47559999999999</v>
      </c>
      <c r="N322">
        <v>0</v>
      </c>
      <c r="O322">
        <v>4000</v>
      </c>
      <c r="P322">
        <v>8100</v>
      </c>
      <c r="Q322">
        <v>0</v>
      </c>
    </row>
    <row r="323" spans="1:17">
      <c r="A323" t="s">
        <v>45</v>
      </c>
      <c r="B323" t="s">
        <v>24</v>
      </c>
      <c r="C323">
        <v>8</v>
      </c>
      <c r="D323">
        <v>2021</v>
      </c>
      <c r="E323" s="49" t="s">
        <v>3</v>
      </c>
      <c r="F323" s="49" t="s">
        <v>160</v>
      </c>
      <c r="G323">
        <f>'Baseline (June to Sep)'!Y25+'Baseline (June to Sep)'!Z25</f>
        <v>40</v>
      </c>
      <c r="H323">
        <f>'Baseline (June to Sep)'!AA25</f>
        <v>30</v>
      </c>
      <c r="I323">
        <v>0</v>
      </c>
      <c r="J323">
        <f>G323*Parameters!$B$2*Parameters!$B$5</f>
        <v>85.163999999999987</v>
      </c>
      <c r="K323">
        <f>H323*Parameters!$B$3*Parameters!$B$6</f>
        <v>188.124</v>
      </c>
      <c r="L323">
        <f>I323*Parameters!$B$4*Parameters!$B$7</f>
        <v>0</v>
      </c>
      <c r="M323">
        <f t="shared" ref="M323:M386" si="5">SUM(J323:L323)</f>
        <v>273.28800000000001</v>
      </c>
      <c r="N323">
        <v>0</v>
      </c>
      <c r="O323">
        <v>4000</v>
      </c>
      <c r="P323">
        <v>9000</v>
      </c>
      <c r="Q323">
        <v>0</v>
      </c>
    </row>
    <row r="324" spans="1:17">
      <c r="A324" t="s">
        <v>46</v>
      </c>
      <c r="B324" t="s">
        <v>24</v>
      </c>
      <c r="C324">
        <v>4</v>
      </c>
      <c r="D324">
        <v>2021</v>
      </c>
      <c r="E324" s="49" t="s">
        <v>3</v>
      </c>
      <c r="F324" s="49" t="s">
        <v>160</v>
      </c>
      <c r="G324">
        <f>'Baseline (June to Sep)'!Y26+'Baseline (June to Sep)'!Z26</f>
        <v>25</v>
      </c>
      <c r="H324">
        <f>'Baseline (June to Sep)'!AA26</f>
        <v>10</v>
      </c>
      <c r="I324">
        <v>0</v>
      </c>
      <c r="J324">
        <f>G324*Parameters!$B$2*Parameters!$B$5</f>
        <v>53.227499999999992</v>
      </c>
      <c r="K324">
        <f>H324*Parameters!$B$3*Parameters!$B$6</f>
        <v>62.707999999999998</v>
      </c>
      <c r="L324">
        <f>I324*Parameters!$B$4*Parameters!$B$7</f>
        <v>0</v>
      </c>
      <c r="M324">
        <f t="shared" si="5"/>
        <v>115.93549999999999</v>
      </c>
      <c r="N324">
        <v>0</v>
      </c>
      <c r="O324">
        <v>2500</v>
      </c>
      <c r="P324">
        <v>3000</v>
      </c>
      <c r="Q324">
        <v>0</v>
      </c>
    </row>
    <row r="325" spans="1:17">
      <c r="A325" t="s">
        <v>47</v>
      </c>
      <c r="B325" t="s">
        <v>19</v>
      </c>
      <c r="C325">
        <v>6</v>
      </c>
      <c r="D325">
        <v>2021</v>
      </c>
      <c r="E325" s="49" t="s">
        <v>3</v>
      </c>
      <c r="F325" s="49" t="s">
        <v>160</v>
      </c>
      <c r="G325">
        <f>'Baseline (June to Sep)'!Y27+'Baseline (June to Sep)'!Z27</f>
        <v>36</v>
      </c>
      <c r="H325">
        <f>'Baseline (June to Sep)'!AA27</f>
        <v>15</v>
      </c>
      <c r="I325">
        <v>0</v>
      </c>
      <c r="J325">
        <f>G325*Parameters!$B$2*Parameters!$B$5</f>
        <v>76.647599999999997</v>
      </c>
      <c r="K325">
        <f>H325*Parameters!$B$3*Parameters!$B$6</f>
        <v>94.061999999999998</v>
      </c>
      <c r="L325">
        <f>I325*Parameters!$B$4*Parameters!$B$7</f>
        <v>0</v>
      </c>
      <c r="M325">
        <f t="shared" si="5"/>
        <v>170.70959999999999</v>
      </c>
      <c r="N325">
        <v>0</v>
      </c>
      <c r="O325">
        <v>3600</v>
      </c>
      <c r="P325">
        <v>4500</v>
      </c>
      <c r="Q325">
        <v>0</v>
      </c>
    </row>
    <row r="326" spans="1:17">
      <c r="A326" t="s">
        <v>48</v>
      </c>
      <c r="B326" t="s">
        <v>24</v>
      </c>
      <c r="C326">
        <v>4</v>
      </c>
      <c r="D326">
        <v>2021</v>
      </c>
      <c r="E326" s="49" t="s">
        <v>3</v>
      </c>
      <c r="F326" s="49" t="s">
        <v>160</v>
      </c>
      <c r="G326">
        <f>'Baseline (June to Sep)'!Y28+'Baseline (June to Sep)'!Z28</f>
        <v>30</v>
      </c>
      <c r="H326">
        <f>'Baseline (June to Sep)'!AA28</f>
        <v>10</v>
      </c>
      <c r="I326">
        <v>0</v>
      </c>
      <c r="J326">
        <f>G326*Parameters!$B$2*Parameters!$B$5</f>
        <v>63.87299999999999</v>
      </c>
      <c r="K326">
        <f>H326*Parameters!$B$3*Parameters!$B$6</f>
        <v>62.707999999999998</v>
      </c>
      <c r="L326">
        <f>I326*Parameters!$B$4*Parameters!$B$7</f>
        <v>0</v>
      </c>
      <c r="M326">
        <f t="shared" si="5"/>
        <v>126.58099999999999</v>
      </c>
      <c r="N326">
        <v>0</v>
      </c>
      <c r="O326">
        <v>3000</v>
      </c>
      <c r="P326">
        <v>3000</v>
      </c>
      <c r="Q326">
        <v>0</v>
      </c>
    </row>
    <row r="327" spans="1:17">
      <c r="A327" t="s">
        <v>49</v>
      </c>
      <c r="B327" t="s">
        <v>38</v>
      </c>
      <c r="C327">
        <v>2</v>
      </c>
      <c r="D327">
        <v>2021</v>
      </c>
      <c r="E327" s="49" t="s">
        <v>3</v>
      </c>
      <c r="F327" s="49" t="s">
        <v>160</v>
      </c>
      <c r="G327">
        <f>'Baseline (June to Sep)'!Y29+'Baseline (June to Sep)'!Z29</f>
        <v>30</v>
      </c>
      <c r="H327">
        <f>'Baseline (June to Sep)'!AA29</f>
        <v>10</v>
      </c>
      <c r="I327">
        <v>0</v>
      </c>
      <c r="J327">
        <f>G327*Parameters!$B$2*Parameters!$B$5</f>
        <v>63.87299999999999</v>
      </c>
      <c r="K327">
        <f>H327*Parameters!$B$3*Parameters!$B$6</f>
        <v>62.707999999999998</v>
      </c>
      <c r="L327">
        <f>I327*Parameters!$B$4*Parameters!$B$7</f>
        <v>0</v>
      </c>
      <c r="M327">
        <f t="shared" si="5"/>
        <v>126.58099999999999</v>
      </c>
      <c r="N327">
        <v>0</v>
      </c>
      <c r="O327">
        <v>3000</v>
      </c>
      <c r="P327">
        <v>3000</v>
      </c>
      <c r="Q327">
        <v>0</v>
      </c>
    </row>
    <row r="328" spans="1:17">
      <c r="A328" t="s">
        <v>50</v>
      </c>
      <c r="B328" t="s">
        <v>19</v>
      </c>
      <c r="C328">
        <v>8</v>
      </c>
      <c r="D328">
        <v>2021</v>
      </c>
      <c r="E328" s="49" t="s">
        <v>3</v>
      </c>
      <c r="F328" s="49" t="s">
        <v>160</v>
      </c>
      <c r="G328">
        <f>'Baseline (June to Sep)'!Y30+'Baseline (June to Sep)'!Z30</f>
        <v>10</v>
      </c>
      <c r="H328">
        <f>'Baseline (June to Sep)'!AA30</f>
        <v>10</v>
      </c>
      <c r="I328">
        <v>0</v>
      </c>
      <c r="J328">
        <f>G328*Parameters!$B$2*Parameters!$B$5</f>
        <v>21.290999999999997</v>
      </c>
      <c r="K328">
        <f>H328*Parameters!$B$3*Parameters!$B$6</f>
        <v>62.707999999999998</v>
      </c>
      <c r="L328">
        <f>I328*Parameters!$B$4*Parameters!$B$7</f>
        <v>0</v>
      </c>
      <c r="M328">
        <f t="shared" si="5"/>
        <v>83.998999999999995</v>
      </c>
      <c r="N328">
        <v>0</v>
      </c>
      <c r="O328">
        <v>1000</v>
      </c>
      <c r="P328">
        <v>3000</v>
      </c>
      <c r="Q328">
        <v>0</v>
      </c>
    </row>
    <row r="329" spans="1:17">
      <c r="A329" t="s">
        <v>51</v>
      </c>
      <c r="B329" t="s">
        <v>19</v>
      </c>
      <c r="C329">
        <v>6</v>
      </c>
      <c r="D329">
        <v>2021</v>
      </c>
      <c r="E329" s="49" t="s">
        <v>3</v>
      </c>
      <c r="F329" s="49" t="s">
        <v>160</v>
      </c>
      <c r="G329">
        <f>'Baseline (June to Sep)'!Y31+'Baseline (June to Sep)'!Z31</f>
        <v>35</v>
      </c>
      <c r="H329">
        <f>'Baseline (June to Sep)'!AA31</f>
        <v>5</v>
      </c>
      <c r="I329">
        <v>0</v>
      </c>
      <c r="J329">
        <f>G329*Parameters!$B$2*Parameters!$B$5</f>
        <v>74.518499999999989</v>
      </c>
      <c r="K329">
        <f>H329*Parameters!$B$3*Parameters!$B$6</f>
        <v>31.353999999999999</v>
      </c>
      <c r="L329">
        <f>I329*Parameters!$B$4*Parameters!$B$7</f>
        <v>0</v>
      </c>
      <c r="M329">
        <f t="shared" si="5"/>
        <v>105.87249999999999</v>
      </c>
      <c r="N329">
        <v>0</v>
      </c>
      <c r="O329">
        <v>3500</v>
      </c>
      <c r="P329">
        <v>1500</v>
      </c>
      <c r="Q329">
        <v>0</v>
      </c>
    </row>
    <row r="330" spans="1:17">
      <c r="A330" t="s">
        <v>52</v>
      </c>
      <c r="B330" t="s">
        <v>38</v>
      </c>
      <c r="C330">
        <v>12</v>
      </c>
      <c r="D330">
        <v>2021</v>
      </c>
      <c r="E330" s="49" t="s">
        <v>3</v>
      </c>
      <c r="F330" s="49" t="s">
        <v>160</v>
      </c>
      <c r="G330">
        <f>'Baseline (June to Sep)'!Y32+'Baseline (June to Sep)'!Z32</f>
        <v>35</v>
      </c>
      <c r="H330">
        <f>'Baseline (June to Sep)'!AA32</f>
        <v>20</v>
      </c>
      <c r="I330">
        <v>0</v>
      </c>
      <c r="J330">
        <f>G330*Parameters!$B$2*Parameters!$B$5</f>
        <v>74.518499999999989</v>
      </c>
      <c r="K330">
        <f>H330*Parameters!$B$3*Parameters!$B$6</f>
        <v>125.416</v>
      </c>
      <c r="L330">
        <f>I330*Parameters!$B$4*Parameters!$B$7</f>
        <v>0</v>
      </c>
      <c r="M330">
        <f t="shared" si="5"/>
        <v>199.93449999999999</v>
      </c>
      <c r="N330">
        <v>0</v>
      </c>
      <c r="O330">
        <v>3500</v>
      </c>
      <c r="P330">
        <v>6000</v>
      </c>
      <c r="Q330">
        <v>0</v>
      </c>
    </row>
    <row r="331" spans="1:17">
      <c r="A331" t="s">
        <v>53</v>
      </c>
      <c r="B331" t="s">
        <v>40</v>
      </c>
      <c r="C331">
        <v>8</v>
      </c>
      <c r="D331">
        <v>2021</v>
      </c>
      <c r="E331" s="49" t="s">
        <v>3</v>
      </c>
      <c r="F331" s="49" t="s">
        <v>160</v>
      </c>
      <c r="G331">
        <f>'Baseline (June to Sep)'!Y33+'Baseline (June to Sep)'!Z33</f>
        <v>38</v>
      </c>
      <c r="H331">
        <f>'Baseline (June to Sep)'!AA33</f>
        <v>15</v>
      </c>
      <c r="I331">
        <v>0</v>
      </c>
      <c r="J331">
        <f>G331*Parameters!$B$2*Parameters!$B$5</f>
        <v>80.905799999999985</v>
      </c>
      <c r="K331">
        <f>H331*Parameters!$B$3*Parameters!$B$6</f>
        <v>94.061999999999998</v>
      </c>
      <c r="L331">
        <f>I331*Parameters!$B$4*Parameters!$B$7</f>
        <v>0</v>
      </c>
      <c r="M331">
        <f t="shared" si="5"/>
        <v>174.96779999999998</v>
      </c>
      <c r="N331">
        <v>0</v>
      </c>
      <c r="O331">
        <v>3800</v>
      </c>
      <c r="P331">
        <v>4500</v>
      </c>
      <c r="Q331">
        <v>0</v>
      </c>
    </row>
    <row r="332" spans="1:17">
      <c r="A332" t="s">
        <v>54</v>
      </c>
      <c r="B332" t="s">
        <v>40</v>
      </c>
      <c r="C332">
        <v>6</v>
      </c>
      <c r="D332">
        <v>2021</v>
      </c>
      <c r="E332" s="49" t="s">
        <v>3</v>
      </c>
      <c r="F332" s="49" t="s">
        <v>160</v>
      </c>
      <c r="G332">
        <f>'Baseline (June to Sep)'!Y34+'Baseline (June to Sep)'!Z34</f>
        <v>30</v>
      </c>
      <c r="H332">
        <f>'Baseline (June to Sep)'!AA34</f>
        <v>5</v>
      </c>
      <c r="I332">
        <v>0</v>
      </c>
      <c r="J332">
        <f>G332*Parameters!$B$2*Parameters!$B$5</f>
        <v>63.87299999999999</v>
      </c>
      <c r="K332">
        <f>H332*Parameters!$B$3*Parameters!$B$6</f>
        <v>31.353999999999999</v>
      </c>
      <c r="L332">
        <f>I332*Parameters!$B$4*Parameters!$B$7</f>
        <v>0</v>
      </c>
      <c r="M332">
        <f t="shared" si="5"/>
        <v>95.22699999999999</v>
      </c>
      <c r="N332">
        <v>0</v>
      </c>
      <c r="O332">
        <v>3000</v>
      </c>
      <c r="P332">
        <v>1500</v>
      </c>
      <c r="Q332">
        <v>0</v>
      </c>
    </row>
    <row r="333" spans="1:17">
      <c r="A333" t="s">
        <v>55</v>
      </c>
      <c r="B333" t="s">
        <v>56</v>
      </c>
      <c r="C333">
        <v>4</v>
      </c>
      <c r="D333">
        <v>2021</v>
      </c>
      <c r="E333" s="49" t="s">
        <v>3</v>
      </c>
      <c r="F333" s="49" t="s">
        <v>160</v>
      </c>
      <c r="G333">
        <f>'Baseline (June to Sep)'!Y35+'Baseline (June to Sep)'!Z35</f>
        <v>45</v>
      </c>
      <c r="H333">
        <f>'Baseline (June to Sep)'!AA35</f>
        <v>10</v>
      </c>
      <c r="I333">
        <v>0</v>
      </c>
      <c r="J333">
        <f>G333*Parameters!$B$2*Parameters!$B$5</f>
        <v>95.809499999999986</v>
      </c>
      <c r="K333">
        <f>H333*Parameters!$B$3*Parameters!$B$6</f>
        <v>62.707999999999998</v>
      </c>
      <c r="L333">
        <f>I333*Parameters!$B$4*Parameters!$B$7</f>
        <v>0</v>
      </c>
      <c r="M333">
        <f t="shared" si="5"/>
        <v>158.51749999999998</v>
      </c>
      <c r="N333">
        <v>0</v>
      </c>
      <c r="O333">
        <v>4500</v>
      </c>
      <c r="P333">
        <v>3000</v>
      </c>
      <c r="Q333">
        <v>0</v>
      </c>
    </row>
    <row r="334" spans="1:17">
      <c r="A334" t="s">
        <v>57</v>
      </c>
      <c r="B334" t="s">
        <v>40</v>
      </c>
      <c r="C334">
        <v>4</v>
      </c>
      <c r="D334">
        <v>2021</v>
      </c>
      <c r="E334" s="49" t="s">
        <v>3</v>
      </c>
      <c r="F334" s="49" t="s">
        <v>160</v>
      </c>
      <c r="G334">
        <f>'Baseline (June to Sep)'!Y36+'Baseline (June to Sep)'!Z36</f>
        <v>20</v>
      </c>
      <c r="H334">
        <f>'Baseline (June to Sep)'!AA36</f>
        <v>15</v>
      </c>
      <c r="I334">
        <v>0</v>
      </c>
      <c r="J334">
        <f>G334*Parameters!$B$2*Parameters!$B$5</f>
        <v>42.581999999999994</v>
      </c>
      <c r="K334">
        <f>H334*Parameters!$B$3*Parameters!$B$6</f>
        <v>94.061999999999998</v>
      </c>
      <c r="L334">
        <f>I334*Parameters!$B$4*Parameters!$B$7</f>
        <v>0</v>
      </c>
      <c r="M334">
        <f t="shared" si="5"/>
        <v>136.64400000000001</v>
      </c>
      <c r="N334">
        <v>0</v>
      </c>
      <c r="O334">
        <v>2000</v>
      </c>
      <c r="P334">
        <v>4500</v>
      </c>
      <c r="Q334">
        <v>0</v>
      </c>
    </row>
    <row r="335" spans="1:17">
      <c r="A335" t="s">
        <v>58</v>
      </c>
      <c r="B335" t="s">
        <v>26</v>
      </c>
      <c r="C335">
        <v>6</v>
      </c>
      <c r="D335">
        <v>2021</v>
      </c>
      <c r="E335" s="49" t="s">
        <v>3</v>
      </c>
      <c r="F335" s="49" t="s">
        <v>160</v>
      </c>
      <c r="G335">
        <f>'Baseline (June to Sep)'!Y37+'Baseline (June to Sep)'!Z37</f>
        <v>30</v>
      </c>
      <c r="H335">
        <f>'Baseline (June to Sep)'!AA37</f>
        <v>20</v>
      </c>
      <c r="I335">
        <v>0</v>
      </c>
      <c r="J335">
        <f>G335*Parameters!$B$2*Parameters!$B$5</f>
        <v>63.87299999999999</v>
      </c>
      <c r="K335">
        <f>H335*Parameters!$B$3*Parameters!$B$6</f>
        <v>125.416</v>
      </c>
      <c r="L335">
        <f>I335*Parameters!$B$4*Parameters!$B$7</f>
        <v>0</v>
      </c>
      <c r="M335">
        <f t="shared" si="5"/>
        <v>189.28899999999999</v>
      </c>
      <c r="N335">
        <v>0</v>
      </c>
      <c r="O335">
        <v>3000</v>
      </c>
      <c r="P335">
        <v>6000</v>
      </c>
      <c r="Q335">
        <v>0</v>
      </c>
    </row>
    <row r="336" spans="1:17">
      <c r="A336" t="s">
        <v>59</v>
      </c>
      <c r="B336" t="s">
        <v>26</v>
      </c>
      <c r="C336">
        <v>7</v>
      </c>
      <c r="D336">
        <v>2021</v>
      </c>
      <c r="E336" s="49" t="s">
        <v>3</v>
      </c>
      <c r="F336" s="49" t="s">
        <v>160</v>
      </c>
      <c r="G336">
        <f>'Baseline (June to Sep)'!Y38+'Baseline (June to Sep)'!Z38</f>
        <v>50</v>
      </c>
      <c r="H336">
        <f>'Baseline (June to Sep)'!AA38</f>
        <v>0</v>
      </c>
      <c r="I336">
        <v>0</v>
      </c>
      <c r="J336">
        <f>G336*Parameters!$B$2*Parameters!$B$5</f>
        <v>106.45499999999998</v>
      </c>
      <c r="K336">
        <f>H336*Parameters!$B$3*Parameters!$B$6</f>
        <v>0</v>
      </c>
      <c r="L336">
        <f>I336*Parameters!$B$4*Parameters!$B$7</f>
        <v>0</v>
      </c>
      <c r="M336">
        <f t="shared" si="5"/>
        <v>106.45499999999998</v>
      </c>
      <c r="N336">
        <v>0</v>
      </c>
      <c r="O336">
        <v>5000</v>
      </c>
      <c r="P336">
        <v>0</v>
      </c>
      <c r="Q336">
        <v>0</v>
      </c>
    </row>
    <row r="337" spans="1:17">
      <c r="A337" t="s">
        <v>60</v>
      </c>
      <c r="B337" t="s">
        <v>26</v>
      </c>
      <c r="C337">
        <v>8</v>
      </c>
      <c r="D337">
        <v>2021</v>
      </c>
      <c r="E337" s="49" t="s">
        <v>3</v>
      </c>
      <c r="F337" s="49" t="s">
        <v>160</v>
      </c>
      <c r="G337">
        <f>'Baseline (June to Sep)'!Y39+'Baseline (June to Sep)'!Z39</f>
        <v>40</v>
      </c>
      <c r="H337">
        <f>'Baseline (June to Sep)'!AA39</f>
        <v>0</v>
      </c>
      <c r="I337">
        <v>0</v>
      </c>
      <c r="J337">
        <f>G337*Parameters!$B$2*Parameters!$B$5</f>
        <v>85.163999999999987</v>
      </c>
      <c r="K337">
        <f>H337*Parameters!$B$3*Parameters!$B$6</f>
        <v>0</v>
      </c>
      <c r="L337">
        <f>I337*Parameters!$B$4*Parameters!$B$7</f>
        <v>0</v>
      </c>
      <c r="M337">
        <f t="shared" si="5"/>
        <v>85.163999999999987</v>
      </c>
      <c r="N337">
        <v>0</v>
      </c>
      <c r="O337">
        <v>4000</v>
      </c>
      <c r="P337">
        <v>0</v>
      </c>
      <c r="Q337">
        <v>0</v>
      </c>
    </row>
    <row r="338" spans="1:17">
      <c r="A338" t="s">
        <v>61</v>
      </c>
      <c r="B338" t="s">
        <v>56</v>
      </c>
      <c r="C338">
        <v>5</v>
      </c>
      <c r="D338">
        <v>2021</v>
      </c>
      <c r="E338" s="49" t="s">
        <v>3</v>
      </c>
      <c r="F338" s="49" t="s">
        <v>160</v>
      </c>
      <c r="G338">
        <f>'Baseline (June to Sep)'!Y40+'Baseline (June to Sep)'!Z40</f>
        <v>35</v>
      </c>
      <c r="H338">
        <f>'Baseline (June to Sep)'!AA40</f>
        <v>0</v>
      </c>
      <c r="I338">
        <v>0</v>
      </c>
      <c r="J338">
        <f>G338*Parameters!$B$2*Parameters!$B$5</f>
        <v>74.518499999999989</v>
      </c>
      <c r="K338">
        <f>H338*Parameters!$B$3*Parameters!$B$6</f>
        <v>0</v>
      </c>
      <c r="L338">
        <f>I338*Parameters!$B$4*Parameters!$B$7</f>
        <v>0</v>
      </c>
      <c r="M338">
        <f t="shared" si="5"/>
        <v>74.518499999999989</v>
      </c>
      <c r="N338">
        <v>0</v>
      </c>
      <c r="O338">
        <v>3500</v>
      </c>
      <c r="P338">
        <v>0</v>
      </c>
      <c r="Q338">
        <v>0</v>
      </c>
    </row>
    <row r="339" spans="1:17">
      <c r="A339" t="s">
        <v>62</v>
      </c>
      <c r="B339" t="s">
        <v>21</v>
      </c>
      <c r="C339">
        <v>6</v>
      </c>
      <c r="D339">
        <v>2021</v>
      </c>
      <c r="E339" s="49" t="s">
        <v>3</v>
      </c>
      <c r="F339" s="49" t="s">
        <v>160</v>
      </c>
      <c r="G339">
        <f>'Baseline (June to Sep)'!Y41+'Baseline (June to Sep)'!Z41</f>
        <v>45</v>
      </c>
      <c r="H339">
        <f>'Baseline (June to Sep)'!AA41</f>
        <v>15</v>
      </c>
      <c r="I339">
        <v>0</v>
      </c>
      <c r="J339">
        <f>G339*Parameters!$B$2*Parameters!$B$5</f>
        <v>95.809499999999986</v>
      </c>
      <c r="K339">
        <f>H339*Parameters!$B$3*Parameters!$B$6</f>
        <v>94.061999999999998</v>
      </c>
      <c r="L339">
        <f>I339*Parameters!$B$4*Parameters!$B$7</f>
        <v>0</v>
      </c>
      <c r="M339">
        <f t="shared" si="5"/>
        <v>189.87149999999997</v>
      </c>
      <c r="N339">
        <v>0</v>
      </c>
      <c r="O339">
        <v>4500</v>
      </c>
      <c r="P339">
        <v>4500</v>
      </c>
      <c r="Q339">
        <v>0</v>
      </c>
    </row>
    <row r="340" spans="1:17">
      <c r="A340" t="s">
        <v>63</v>
      </c>
      <c r="B340" t="s">
        <v>21</v>
      </c>
      <c r="C340">
        <v>9</v>
      </c>
      <c r="D340">
        <v>2021</v>
      </c>
      <c r="E340" s="49" t="s">
        <v>3</v>
      </c>
      <c r="F340" s="49" t="s">
        <v>160</v>
      </c>
      <c r="G340">
        <f>'Baseline (June to Sep)'!Y42+'Baseline (June to Sep)'!Z42</f>
        <v>35</v>
      </c>
      <c r="H340">
        <f>'Baseline (June to Sep)'!AA42</f>
        <v>22</v>
      </c>
      <c r="I340">
        <v>0</v>
      </c>
      <c r="J340">
        <f>G340*Parameters!$B$2*Parameters!$B$5</f>
        <v>74.518499999999989</v>
      </c>
      <c r="K340">
        <f>H340*Parameters!$B$3*Parameters!$B$6</f>
        <v>137.95759999999999</v>
      </c>
      <c r="L340">
        <f>I340*Parameters!$B$4*Parameters!$B$7</f>
        <v>0</v>
      </c>
      <c r="M340">
        <f t="shared" si="5"/>
        <v>212.47609999999997</v>
      </c>
      <c r="N340">
        <v>0</v>
      </c>
      <c r="O340">
        <v>3500</v>
      </c>
      <c r="P340">
        <v>6600</v>
      </c>
      <c r="Q340">
        <v>0</v>
      </c>
    </row>
    <row r="341" spans="1:17">
      <c r="A341" t="s">
        <v>64</v>
      </c>
      <c r="B341" t="s">
        <v>65</v>
      </c>
      <c r="C341">
        <v>3</v>
      </c>
      <c r="D341">
        <v>2021</v>
      </c>
      <c r="E341" s="49" t="s">
        <v>3</v>
      </c>
      <c r="F341" s="49" t="s">
        <v>160</v>
      </c>
      <c r="G341">
        <f>'Baseline (June to Sep)'!Y43+'Baseline (June to Sep)'!Z43</f>
        <v>38</v>
      </c>
      <c r="H341">
        <f>'Baseline (June to Sep)'!AA43</f>
        <v>13</v>
      </c>
      <c r="I341">
        <v>0</v>
      </c>
      <c r="J341">
        <f>G341*Parameters!$B$2*Parameters!$B$5</f>
        <v>80.905799999999985</v>
      </c>
      <c r="K341">
        <f>H341*Parameters!$B$3*Parameters!$B$6</f>
        <v>81.520399999999995</v>
      </c>
      <c r="L341">
        <f>I341*Parameters!$B$4*Parameters!$B$7</f>
        <v>0</v>
      </c>
      <c r="M341">
        <f t="shared" si="5"/>
        <v>162.42619999999999</v>
      </c>
      <c r="N341">
        <v>0</v>
      </c>
      <c r="O341">
        <v>3800</v>
      </c>
      <c r="P341">
        <v>3900</v>
      </c>
      <c r="Q341">
        <v>0</v>
      </c>
    </row>
    <row r="342" spans="1:17">
      <c r="A342" t="s">
        <v>66</v>
      </c>
      <c r="B342" t="s">
        <v>24</v>
      </c>
      <c r="C342">
        <v>4</v>
      </c>
      <c r="D342">
        <v>2021</v>
      </c>
      <c r="E342" s="49" t="s">
        <v>3</v>
      </c>
      <c r="F342" s="49" t="s">
        <v>160</v>
      </c>
      <c r="G342">
        <f>'Baseline (June to Sep)'!Y44+'Baseline (June to Sep)'!Z44</f>
        <v>35</v>
      </c>
      <c r="H342">
        <f>'Baseline (June to Sep)'!AA44</f>
        <v>0</v>
      </c>
      <c r="I342">
        <v>0</v>
      </c>
      <c r="J342">
        <f>G342*Parameters!$B$2*Parameters!$B$5</f>
        <v>74.518499999999989</v>
      </c>
      <c r="K342">
        <f>H342*Parameters!$B$3*Parameters!$B$6</f>
        <v>0</v>
      </c>
      <c r="L342">
        <f>I342*Parameters!$B$4*Parameters!$B$7</f>
        <v>0</v>
      </c>
      <c r="M342">
        <f t="shared" si="5"/>
        <v>74.518499999999989</v>
      </c>
      <c r="N342">
        <v>0</v>
      </c>
      <c r="O342">
        <v>3500</v>
      </c>
      <c r="P342">
        <v>0</v>
      </c>
      <c r="Q342">
        <v>0</v>
      </c>
    </row>
    <row r="343" spans="1:17">
      <c r="A343" t="s">
        <v>67</v>
      </c>
      <c r="B343" t="s">
        <v>56</v>
      </c>
      <c r="C343">
        <v>6</v>
      </c>
      <c r="D343">
        <v>2021</v>
      </c>
      <c r="E343" s="49" t="s">
        <v>3</v>
      </c>
      <c r="F343" s="49" t="s">
        <v>160</v>
      </c>
      <c r="G343">
        <f>'Baseline (June to Sep)'!Y45+'Baseline (June to Sep)'!Z45</f>
        <v>35</v>
      </c>
      <c r="H343">
        <f>'Baseline (June to Sep)'!AA45</f>
        <v>5</v>
      </c>
      <c r="I343">
        <v>0</v>
      </c>
      <c r="J343">
        <f>G343*Parameters!$B$2*Parameters!$B$5</f>
        <v>74.518499999999989</v>
      </c>
      <c r="K343">
        <f>H343*Parameters!$B$3*Parameters!$B$6</f>
        <v>31.353999999999999</v>
      </c>
      <c r="L343">
        <f>I343*Parameters!$B$4*Parameters!$B$7</f>
        <v>0</v>
      </c>
      <c r="M343">
        <f t="shared" si="5"/>
        <v>105.87249999999999</v>
      </c>
      <c r="N343">
        <v>0</v>
      </c>
      <c r="O343">
        <v>3500</v>
      </c>
      <c r="P343">
        <v>1500</v>
      </c>
      <c r="Q343">
        <v>0</v>
      </c>
    </row>
    <row r="344" spans="1:17">
      <c r="A344" t="s">
        <v>68</v>
      </c>
      <c r="B344" t="s">
        <v>21</v>
      </c>
      <c r="C344">
        <v>4</v>
      </c>
      <c r="D344">
        <v>2021</v>
      </c>
      <c r="E344" s="49" t="s">
        <v>3</v>
      </c>
      <c r="F344" s="49" t="s">
        <v>160</v>
      </c>
      <c r="G344">
        <f>'Baseline (June to Sep)'!Y46+'Baseline (June to Sep)'!Z46</f>
        <v>45</v>
      </c>
      <c r="H344">
        <f>'Baseline (June to Sep)'!AA46</f>
        <v>10</v>
      </c>
      <c r="I344">
        <v>0</v>
      </c>
      <c r="J344">
        <f>G344*Parameters!$B$2*Parameters!$B$5</f>
        <v>95.809499999999986</v>
      </c>
      <c r="K344">
        <f>H344*Parameters!$B$3*Parameters!$B$6</f>
        <v>62.707999999999998</v>
      </c>
      <c r="L344">
        <f>I344*Parameters!$B$4*Parameters!$B$7</f>
        <v>0</v>
      </c>
      <c r="M344">
        <f t="shared" si="5"/>
        <v>158.51749999999998</v>
      </c>
      <c r="N344">
        <v>0</v>
      </c>
      <c r="O344">
        <v>4500</v>
      </c>
      <c r="P344">
        <v>3000</v>
      </c>
      <c r="Q344">
        <v>0</v>
      </c>
    </row>
    <row r="345" spans="1:17">
      <c r="A345" t="s">
        <v>69</v>
      </c>
      <c r="B345" t="s">
        <v>24</v>
      </c>
      <c r="C345">
        <v>6</v>
      </c>
      <c r="D345">
        <v>2021</v>
      </c>
      <c r="E345" s="49" t="s">
        <v>3</v>
      </c>
      <c r="F345" s="49" t="s">
        <v>160</v>
      </c>
      <c r="G345">
        <f>'Baseline (June to Sep)'!Y47+'Baseline (June to Sep)'!Z47</f>
        <v>42</v>
      </c>
      <c r="H345">
        <f>'Baseline (June to Sep)'!AA47</f>
        <v>0</v>
      </c>
      <c r="I345">
        <v>0</v>
      </c>
      <c r="J345">
        <f>G345*Parameters!$B$2*Parameters!$B$5</f>
        <v>89.422199999999975</v>
      </c>
      <c r="K345">
        <f>H345*Parameters!$B$3*Parameters!$B$6</f>
        <v>0</v>
      </c>
      <c r="L345">
        <f>I345*Parameters!$B$4*Parameters!$B$7</f>
        <v>0</v>
      </c>
      <c r="M345">
        <f t="shared" si="5"/>
        <v>89.422199999999975</v>
      </c>
      <c r="N345">
        <v>0</v>
      </c>
      <c r="O345">
        <v>4200</v>
      </c>
      <c r="P345">
        <v>0</v>
      </c>
      <c r="Q345">
        <v>0</v>
      </c>
    </row>
    <row r="346" spans="1:17">
      <c r="A346" t="s">
        <v>70</v>
      </c>
      <c r="B346" t="s">
        <v>26</v>
      </c>
      <c r="C346">
        <v>6</v>
      </c>
      <c r="D346">
        <v>2021</v>
      </c>
      <c r="E346" s="49" t="s">
        <v>3</v>
      </c>
      <c r="F346" s="49" t="s">
        <v>160</v>
      </c>
      <c r="G346">
        <f>'Baseline (June to Sep)'!Y48+'Baseline (June to Sep)'!Z48</f>
        <v>30</v>
      </c>
      <c r="H346">
        <f>'Baseline (June to Sep)'!AA48</f>
        <v>10</v>
      </c>
      <c r="I346">
        <v>0</v>
      </c>
      <c r="J346">
        <f>G346*Parameters!$B$2*Parameters!$B$5</f>
        <v>63.87299999999999</v>
      </c>
      <c r="K346">
        <f>H346*Parameters!$B$3*Parameters!$B$6</f>
        <v>62.707999999999998</v>
      </c>
      <c r="L346">
        <f>I346*Parameters!$B$4*Parameters!$B$7</f>
        <v>0</v>
      </c>
      <c r="M346">
        <f t="shared" si="5"/>
        <v>126.58099999999999</v>
      </c>
      <c r="N346">
        <v>0</v>
      </c>
      <c r="O346">
        <v>3000</v>
      </c>
      <c r="P346">
        <v>3000</v>
      </c>
      <c r="Q346">
        <v>0</v>
      </c>
    </row>
    <row r="347" spans="1:17">
      <c r="A347" t="s">
        <v>71</v>
      </c>
      <c r="B347" t="s">
        <v>26</v>
      </c>
      <c r="C347">
        <v>5</v>
      </c>
      <c r="D347">
        <v>2021</v>
      </c>
      <c r="E347" s="49" t="s">
        <v>3</v>
      </c>
      <c r="F347" s="49" t="s">
        <v>160</v>
      </c>
      <c r="G347">
        <f>'Baseline (June to Sep)'!Y49+'Baseline (June to Sep)'!Z49</f>
        <v>25</v>
      </c>
      <c r="H347">
        <f>'Baseline (June to Sep)'!AA49</f>
        <v>15</v>
      </c>
      <c r="I347">
        <v>0</v>
      </c>
      <c r="J347">
        <f>G347*Parameters!$B$2*Parameters!$B$5</f>
        <v>53.227499999999992</v>
      </c>
      <c r="K347">
        <f>H347*Parameters!$B$3*Parameters!$B$6</f>
        <v>94.061999999999998</v>
      </c>
      <c r="L347">
        <f>I347*Parameters!$B$4*Parameters!$B$7</f>
        <v>0</v>
      </c>
      <c r="M347">
        <f t="shared" si="5"/>
        <v>147.28949999999998</v>
      </c>
      <c r="N347">
        <v>0</v>
      </c>
      <c r="O347">
        <v>2500</v>
      </c>
      <c r="P347">
        <v>4500</v>
      </c>
      <c r="Q347">
        <v>0</v>
      </c>
    </row>
    <row r="348" spans="1:17">
      <c r="A348" t="s">
        <v>72</v>
      </c>
      <c r="B348" t="s">
        <v>26</v>
      </c>
      <c r="C348">
        <v>8</v>
      </c>
      <c r="D348">
        <v>2021</v>
      </c>
      <c r="E348" s="49" t="s">
        <v>3</v>
      </c>
      <c r="F348" s="49" t="s">
        <v>160</v>
      </c>
      <c r="G348">
        <f>'Baseline (June to Sep)'!Y50+'Baseline (June to Sep)'!Z50</f>
        <v>20</v>
      </c>
      <c r="H348">
        <f>'Baseline (June to Sep)'!AA50</f>
        <v>10</v>
      </c>
      <c r="I348">
        <v>0</v>
      </c>
      <c r="J348">
        <f>G348*Parameters!$B$2*Parameters!$B$5</f>
        <v>42.581999999999994</v>
      </c>
      <c r="K348">
        <f>H348*Parameters!$B$3*Parameters!$B$6</f>
        <v>62.707999999999998</v>
      </c>
      <c r="L348">
        <f>I348*Parameters!$B$4*Parameters!$B$7</f>
        <v>0</v>
      </c>
      <c r="M348">
        <f t="shared" si="5"/>
        <v>105.28999999999999</v>
      </c>
      <c r="N348">
        <v>0</v>
      </c>
      <c r="O348">
        <v>2000</v>
      </c>
      <c r="P348">
        <v>3000</v>
      </c>
      <c r="Q348">
        <v>0</v>
      </c>
    </row>
    <row r="349" spans="1:17">
      <c r="A349" t="s">
        <v>73</v>
      </c>
      <c r="B349" t="s">
        <v>17</v>
      </c>
      <c r="C349">
        <v>4</v>
      </c>
      <c r="D349">
        <v>2021</v>
      </c>
      <c r="E349" s="49" t="s">
        <v>3</v>
      </c>
      <c r="F349" s="49" t="s">
        <v>160</v>
      </c>
      <c r="G349">
        <f>'Baseline (June to Sep)'!Y51+'Baseline (June to Sep)'!Z51</f>
        <v>18</v>
      </c>
      <c r="H349">
        <f>'Baseline (June to Sep)'!AA51</f>
        <v>11</v>
      </c>
      <c r="I349">
        <v>0</v>
      </c>
      <c r="J349">
        <f>G349*Parameters!$B$2*Parameters!$B$5</f>
        <v>38.323799999999999</v>
      </c>
      <c r="K349">
        <f>H349*Parameters!$B$3*Parameters!$B$6</f>
        <v>68.978799999999993</v>
      </c>
      <c r="L349">
        <f>I349*Parameters!$B$4*Parameters!$B$7</f>
        <v>0</v>
      </c>
      <c r="M349">
        <f t="shared" si="5"/>
        <v>107.30259999999998</v>
      </c>
      <c r="N349">
        <v>0</v>
      </c>
      <c r="O349">
        <v>1800</v>
      </c>
      <c r="P349">
        <v>3300</v>
      </c>
      <c r="Q349">
        <v>0</v>
      </c>
    </row>
    <row r="350" spans="1:17">
      <c r="A350" t="s">
        <v>74</v>
      </c>
      <c r="B350" t="s">
        <v>65</v>
      </c>
      <c r="C350">
        <v>8</v>
      </c>
      <c r="D350">
        <v>2021</v>
      </c>
      <c r="E350" s="49" t="s">
        <v>3</v>
      </c>
      <c r="F350" s="49" t="s">
        <v>160</v>
      </c>
      <c r="G350">
        <f>'Baseline (June to Sep)'!Y52+'Baseline (June to Sep)'!Z52</f>
        <v>25</v>
      </c>
      <c r="H350">
        <f>'Baseline (June to Sep)'!AA52</f>
        <v>10</v>
      </c>
      <c r="I350">
        <v>0</v>
      </c>
      <c r="J350">
        <f>G350*Parameters!$B$2*Parameters!$B$5</f>
        <v>53.227499999999992</v>
      </c>
      <c r="K350">
        <f>H350*Parameters!$B$3*Parameters!$B$6</f>
        <v>62.707999999999998</v>
      </c>
      <c r="L350">
        <f>I350*Parameters!$B$4*Parameters!$B$7</f>
        <v>0</v>
      </c>
      <c r="M350">
        <f t="shared" si="5"/>
        <v>115.93549999999999</v>
      </c>
      <c r="N350">
        <v>0</v>
      </c>
      <c r="O350">
        <v>2500</v>
      </c>
      <c r="P350">
        <v>3000</v>
      </c>
      <c r="Q350">
        <v>0</v>
      </c>
    </row>
    <row r="351" spans="1:17">
      <c r="A351" t="s">
        <v>75</v>
      </c>
      <c r="B351" t="s">
        <v>24</v>
      </c>
      <c r="C351">
        <v>4</v>
      </c>
      <c r="D351">
        <v>2021</v>
      </c>
      <c r="E351" s="49" t="s">
        <v>3</v>
      </c>
      <c r="F351" s="49" t="s">
        <v>160</v>
      </c>
      <c r="G351">
        <f>'Baseline (June to Sep)'!Y53+'Baseline (June to Sep)'!Z53</f>
        <v>40</v>
      </c>
      <c r="H351">
        <f>'Baseline (June to Sep)'!AA53</f>
        <v>10</v>
      </c>
      <c r="I351">
        <v>0</v>
      </c>
      <c r="J351">
        <f>G351*Parameters!$B$2*Parameters!$B$5</f>
        <v>85.163999999999987</v>
      </c>
      <c r="K351">
        <f>H351*Parameters!$B$3*Parameters!$B$6</f>
        <v>62.707999999999998</v>
      </c>
      <c r="L351">
        <f>I351*Parameters!$B$4*Parameters!$B$7</f>
        <v>0</v>
      </c>
      <c r="M351">
        <f t="shared" si="5"/>
        <v>147.87199999999999</v>
      </c>
      <c r="N351">
        <v>0</v>
      </c>
      <c r="O351">
        <v>4000</v>
      </c>
      <c r="P351">
        <v>3000</v>
      </c>
      <c r="Q351">
        <v>0</v>
      </c>
    </row>
    <row r="352" spans="1:17">
      <c r="A352" t="s">
        <v>76</v>
      </c>
      <c r="B352" t="s">
        <v>56</v>
      </c>
      <c r="C352">
        <v>4</v>
      </c>
      <c r="D352">
        <v>2021</v>
      </c>
      <c r="E352" s="49" t="s">
        <v>3</v>
      </c>
      <c r="F352" s="49" t="s">
        <v>160</v>
      </c>
      <c r="G352">
        <f>'Baseline (June to Sep)'!Y54+'Baseline (June to Sep)'!Z54</f>
        <v>42</v>
      </c>
      <c r="H352">
        <f>'Baseline (June to Sep)'!AA54</f>
        <v>0</v>
      </c>
      <c r="I352">
        <v>0</v>
      </c>
      <c r="J352">
        <f>G352*Parameters!$B$2*Parameters!$B$5</f>
        <v>89.422199999999975</v>
      </c>
      <c r="K352">
        <f>H352*Parameters!$B$3*Parameters!$B$6</f>
        <v>0</v>
      </c>
      <c r="L352">
        <f>I352*Parameters!$B$4*Parameters!$B$7</f>
        <v>0</v>
      </c>
      <c r="M352">
        <f t="shared" si="5"/>
        <v>89.422199999999975</v>
      </c>
      <c r="N352">
        <v>0</v>
      </c>
      <c r="O352">
        <v>4200</v>
      </c>
      <c r="P352">
        <v>0</v>
      </c>
      <c r="Q352">
        <v>0</v>
      </c>
    </row>
    <row r="353" spans="1:17">
      <c r="A353" t="s">
        <v>77</v>
      </c>
      <c r="B353" t="s">
        <v>40</v>
      </c>
      <c r="C353">
        <v>12</v>
      </c>
      <c r="D353">
        <v>2021</v>
      </c>
      <c r="E353" s="49" t="s">
        <v>3</v>
      </c>
      <c r="F353" s="49" t="s">
        <v>160</v>
      </c>
      <c r="G353">
        <f>'Baseline (June to Sep)'!Y55+'Baseline (June to Sep)'!Z55</f>
        <v>30</v>
      </c>
      <c r="H353">
        <f>'Baseline (June to Sep)'!AA55</f>
        <v>10</v>
      </c>
      <c r="I353">
        <v>0</v>
      </c>
      <c r="J353">
        <f>G353*Parameters!$B$2*Parameters!$B$5</f>
        <v>63.87299999999999</v>
      </c>
      <c r="K353">
        <f>H353*Parameters!$B$3*Parameters!$B$6</f>
        <v>62.707999999999998</v>
      </c>
      <c r="L353">
        <f>I353*Parameters!$B$4*Parameters!$B$7</f>
        <v>0</v>
      </c>
      <c r="M353">
        <f t="shared" si="5"/>
        <v>126.58099999999999</v>
      </c>
      <c r="N353">
        <v>0</v>
      </c>
      <c r="O353">
        <v>3000</v>
      </c>
      <c r="P353">
        <v>3000</v>
      </c>
      <c r="Q353">
        <v>0</v>
      </c>
    </row>
    <row r="354" spans="1:17">
      <c r="A354" t="s">
        <v>78</v>
      </c>
      <c r="B354" t="s">
        <v>32</v>
      </c>
      <c r="C354">
        <v>6</v>
      </c>
      <c r="D354">
        <v>2021</v>
      </c>
      <c r="E354" s="49" t="s">
        <v>3</v>
      </c>
      <c r="F354" s="49" t="s">
        <v>160</v>
      </c>
      <c r="G354">
        <f>'Baseline (June to Sep)'!Y56+'Baseline (June to Sep)'!Z56</f>
        <v>30</v>
      </c>
      <c r="H354">
        <f>'Baseline (June to Sep)'!AA56</f>
        <v>7</v>
      </c>
      <c r="I354">
        <v>0</v>
      </c>
      <c r="J354">
        <f>G354*Parameters!$B$2*Parameters!$B$5</f>
        <v>63.87299999999999</v>
      </c>
      <c r="K354">
        <f>H354*Parameters!$B$3*Parameters!$B$6</f>
        <v>43.895600000000002</v>
      </c>
      <c r="L354">
        <f>I354*Parameters!$B$4*Parameters!$B$7</f>
        <v>0</v>
      </c>
      <c r="M354">
        <f t="shared" si="5"/>
        <v>107.76859999999999</v>
      </c>
      <c r="N354">
        <v>0</v>
      </c>
      <c r="O354">
        <v>3000</v>
      </c>
      <c r="P354">
        <v>2100</v>
      </c>
      <c r="Q354">
        <v>0</v>
      </c>
    </row>
    <row r="355" spans="1:17">
      <c r="A355" t="s">
        <v>79</v>
      </c>
      <c r="B355" t="s">
        <v>40</v>
      </c>
      <c r="C355">
        <v>4</v>
      </c>
      <c r="D355">
        <v>2021</v>
      </c>
      <c r="E355" s="49" t="s">
        <v>3</v>
      </c>
      <c r="F355" s="49" t="s">
        <v>160</v>
      </c>
      <c r="G355">
        <f>'Baseline (June to Sep)'!Y57+'Baseline (June to Sep)'!Z57</f>
        <v>50</v>
      </c>
      <c r="H355">
        <f>'Baseline (June to Sep)'!AA57</f>
        <v>0</v>
      </c>
      <c r="I355">
        <v>0</v>
      </c>
      <c r="J355">
        <f>G355*Parameters!$B$2*Parameters!$B$5</f>
        <v>106.45499999999998</v>
      </c>
      <c r="K355">
        <f>H355*Parameters!$B$3*Parameters!$B$6</f>
        <v>0</v>
      </c>
      <c r="L355">
        <f>I355*Parameters!$B$4*Parameters!$B$7</f>
        <v>0</v>
      </c>
      <c r="M355">
        <f t="shared" si="5"/>
        <v>106.45499999999998</v>
      </c>
      <c r="N355">
        <v>0</v>
      </c>
      <c r="O355">
        <v>5000</v>
      </c>
      <c r="P355">
        <v>0</v>
      </c>
      <c r="Q355">
        <v>0</v>
      </c>
    </row>
    <row r="356" spans="1:17">
      <c r="A356" t="s">
        <v>80</v>
      </c>
      <c r="B356" t="s">
        <v>26</v>
      </c>
      <c r="C356">
        <v>7</v>
      </c>
      <c r="D356">
        <v>2021</v>
      </c>
      <c r="E356" s="49" t="s">
        <v>3</v>
      </c>
      <c r="F356" s="49" t="s">
        <v>160</v>
      </c>
      <c r="G356">
        <f>'Baseline (June to Sep)'!Y58+'Baseline (June to Sep)'!Z58</f>
        <v>38</v>
      </c>
      <c r="H356">
        <f>'Baseline (June to Sep)'!AA58</f>
        <v>12</v>
      </c>
      <c r="I356">
        <v>0</v>
      </c>
      <c r="J356">
        <f>G356*Parameters!$B$2*Parameters!$B$5</f>
        <v>80.905799999999985</v>
      </c>
      <c r="K356">
        <f>H356*Parameters!$B$3*Parameters!$B$6</f>
        <v>75.249599999999987</v>
      </c>
      <c r="L356">
        <f>I356*Parameters!$B$4*Parameters!$B$7</f>
        <v>0</v>
      </c>
      <c r="M356">
        <f t="shared" si="5"/>
        <v>156.15539999999999</v>
      </c>
      <c r="N356">
        <v>0</v>
      </c>
      <c r="O356">
        <v>3800</v>
      </c>
      <c r="P356">
        <v>3600</v>
      </c>
      <c r="Q356">
        <v>0</v>
      </c>
    </row>
    <row r="357" spans="1:17">
      <c r="A357" t="s">
        <v>81</v>
      </c>
      <c r="B357" t="s">
        <v>24</v>
      </c>
      <c r="C357">
        <v>6</v>
      </c>
      <c r="D357">
        <v>2021</v>
      </c>
      <c r="E357" s="49" t="s">
        <v>3</v>
      </c>
      <c r="F357" s="49" t="s">
        <v>160</v>
      </c>
      <c r="G357">
        <f>'Baseline (June to Sep)'!Y59+'Baseline (June to Sep)'!Z59</f>
        <v>60</v>
      </c>
      <c r="H357">
        <f>'Baseline (June to Sep)'!AA59</f>
        <v>5</v>
      </c>
      <c r="I357">
        <v>0</v>
      </c>
      <c r="J357">
        <f>G357*Parameters!$B$2*Parameters!$B$5</f>
        <v>127.74599999999998</v>
      </c>
      <c r="K357">
        <f>H357*Parameters!$B$3*Parameters!$B$6</f>
        <v>31.353999999999999</v>
      </c>
      <c r="L357">
        <f>I357*Parameters!$B$4*Parameters!$B$7</f>
        <v>0</v>
      </c>
      <c r="M357">
        <f t="shared" si="5"/>
        <v>159.09999999999997</v>
      </c>
      <c r="N357">
        <v>0</v>
      </c>
      <c r="O357">
        <v>6000</v>
      </c>
      <c r="P357">
        <v>1500</v>
      </c>
      <c r="Q357">
        <v>0</v>
      </c>
    </row>
    <row r="358" spans="1:17">
      <c r="A358" t="s">
        <v>82</v>
      </c>
      <c r="B358" t="s">
        <v>83</v>
      </c>
      <c r="C358">
        <v>4</v>
      </c>
      <c r="D358">
        <v>2021</v>
      </c>
      <c r="E358" s="49" t="s">
        <v>3</v>
      </c>
      <c r="F358" s="49" t="s">
        <v>160</v>
      </c>
      <c r="G358">
        <f>'Baseline (June to Sep)'!Y60+'Baseline (June to Sep)'!Z60</f>
        <v>40</v>
      </c>
      <c r="H358">
        <f>'Baseline (June to Sep)'!AA60</f>
        <v>10</v>
      </c>
      <c r="I358">
        <v>0</v>
      </c>
      <c r="J358">
        <f>G358*Parameters!$B$2*Parameters!$B$5</f>
        <v>85.163999999999987</v>
      </c>
      <c r="K358">
        <f>H358*Parameters!$B$3*Parameters!$B$6</f>
        <v>62.707999999999998</v>
      </c>
      <c r="L358">
        <f>I358*Parameters!$B$4*Parameters!$B$7</f>
        <v>0</v>
      </c>
      <c r="M358">
        <f t="shared" si="5"/>
        <v>147.87199999999999</v>
      </c>
      <c r="N358">
        <v>0</v>
      </c>
      <c r="O358">
        <v>4000</v>
      </c>
      <c r="P358">
        <v>3000</v>
      </c>
      <c r="Q358">
        <v>0</v>
      </c>
    </row>
    <row r="359" spans="1:17">
      <c r="A359" t="s">
        <v>84</v>
      </c>
      <c r="B359" t="s">
        <v>26</v>
      </c>
      <c r="C359">
        <v>7</v>
      </c>
      <c r="D359">
        <v>2021</v>
      </c>
      <c r="E359" s="49" t="s">
        <v>3</v>
      </c>
      <c r="F359" s="49" t="s">
        <v>160</v>
      </c>
      <c r="G359">
        <f>'Baseline (June to Sep)'!Y61+'Baseline (June to Sep)'!Z61</f>
        <v>62</v>
      </c>
      <c r="H359">
        <f>'Baseline (June to Sep)'!AA61</f>
        <v>10</v>
      </c>
      <c r="I359">
        <v>0</v>
      </c>
      <c r="J359">
        <f>G359*Parameters!$B$2*Parameters!$B$5</f>
        <v>132.00419999999997</v>
      </c>
      <c r="K359">
        <f>H359*Parameters!$B$3*Parameters!$B$6</f>
        <v>62.707999999999998</v>
      </c>
      <c r="L359">
        <f>I359*Parameters!$B$4*Parameters!$B$7</f>
        <v>0</v>
      </c>
      <c r="M359">
        <f t="shared" si="5"/>
        <v>194.71219999999997</v>
      </c>
      <c r="N359">
        <v>0</v>
      </c>
      <c r="O359">
        <v>6200</v>
      </c>
      <c r="P359">
        <v>3000</v>
      </c>
      <c r="Q359">
        <v>0</v>
      </c>
    </row>
    <row r="360" spans="1:17">
      <c r="A360" t="s">
        <v>85</v>
      </c>
      <c r="B360" t="s">
        <v>24</v>
      </c>
      <c r="C360">
        <v>6</v>
      </c>
      <c r="D360">
        <v>2021</v>
      </c>
      <c r="E360" s="49" t="s">
        <v>3</v>
      </c>
      <c r="F360" s="49" t="s">
        <v>160</v>
      </c>
      <c r="G360">
        <f>'Baseline (June to Sep)'!Y62+'Baseline (June to Sep)'!Z62</f>
        <v>40</v>
      </c>
      <c r="H360">
        <f>'Baseline (June to Sep)'!AA62</f>
        <v>15</v>
      </c>
      <c r="I360">
        <v>0</v>
      </c>
      <c r="J360">
        <f>G360*Parameters!$B$2*Parameters!$B$5</f>
        <v>85.163999999999987</v>
      </c>
      <c r="K360">
        <f>H360*Parameters!$B$3*Parameters!$B$6</f>
        <v>94.061999999999998</v>
      </c>
      <c r="L360">
        <f>I360*Parameters!$B$4*Parameters!$B$7</f>
        <v>0</v>
      </c>
      <c r="M360">
        <f t="shared" si="5"/>
        <v>179.226</v>
      </c>
      <c r="N360">
        <v>0</v>
      </c>
      <c r="O360">
        <v>4000</v>
      </c>
      <c r="P360">
        <v>4500</v>
      </c>
      <c r="Q360">
        <v>0</v>
      </c>
    </row>
    <row r="361" spans="1:17">
      <c r="A361" t="s">
        <v>86</v>
      </c>
      <c r="B361" t="s">
        <v>32</v>
      </c>
      <c r="C361">
        <v>4</v>
      </c>
      <c r="D361">
        <v>2021</v>
      </c>
      <c r="E361" s="49" t="s">
        <v>3</v>
      </c>
      <c r="F361" s="49" t="s">
        <v>160</v>
      </c>
      <c r="G361">
        <f>'Baseline (June to Sep)'!Y63+'Baseline (June to Sep)'!Z63</f>
        <v>30</v>
      </c>
      <c r="H361">
        <f>'Baseline (June to Sep)'!AA63</f>
        <v>10</v>
      </c>
      <c r="I361">
        <v>0</v>
      </c>
      <c r="J361">
        <f>G361*Parameters!$B$2*Parameters!$B$5</f>
        <v>63.87299999999999</v>
      </c>
      <c r="K361">
        <f>H361*Parameters!$B$3*Parameters!$B$6</f>
        <v>62.707999999999998</v>
      </c>
      <c r="L361">
        <f>I361*Parameters!$B$4*Parameters!$B$7</f>
        <v>0</v>
      </c>
      <c r="M361">
        <f t="shared" si="5"/>
        <v>126.58099999999999</v>
      </c>
      <c r="N361">
        <v>0</v>
      </c>
      <c r="O361">
        <v>3000</v>
      </c>
      <c r="P361">
        <v>3000</v>
      </c>
      <c r="Q361">
        <v>0</v>
      </c>
    </row>
    <row r="362" spans="1:17">
      <c r="A362" t="s">
        <v>87</v>
      </c>
      <c r="B362" t="s">
        <v>32</v>
      </c>
      <c r="C362">
        <v>8</v>
      </c>
      <c r="D362">
        <v>2021</v>
      </c>
      <c r="E362" s="49" t="s">
        <v>3</v>
      </c>
      <c r="F362" s="49" t="s">
        <v>160</v>
      </c>
      <c r="G362">
        <f>'Baseline (June to Sep)'!Y64+'Baseline (June to Sep)'!Z64</f>
        <v>25</v>
      </c>
      <c r="H362">
        <f>'Baseline (June to Sep)'!AA64</f>
        <v>15</v>
      </c>
      <c r="I362">
        <v>0</v>
      </c>
      <c r="J362">
        <f>G362*Parameters!$B$2*Parameters!$B$5</f>
        <v>53.227499999999992</v>
      </c>
      <c r="K362">
        <f>H362*Parameters!$B$3*Parameters!$B$6</f>
        <v>94.061999999999998</v>
      </c>
      <c r="L362">
        <f>I362*Parameters!$B$4*Parameters!$B$7</f>
        <v>0</v>
      </c>
      <c r="M362">
        <f t="shared" si="5"/>
        <v>147.28949999999998</v>
      </c>
      <c r="N362">
        <v>0</v>
      </c>
      <c r="O362">
        <v>2500</v>
      </c>
      <c r="P362">
        <v>4500</v>
      </c>
      <c r="Q362">
        <v>0</v>
      </c>
    </row>
    <row r="363" spans="1:17">
      <c r="A363" t="s">
        <v>88</v>
      </c>
      <c r="B363" t="s">
        <v>32</v>
      </c>
      <c r="C363">
        <v>7</v>
      </c>
      <c r="D363">
        <v>2021</v>
      </c>
      <c r="E363" s="49" t="s">
        <v>3</v>
      </c>
      <c r="F363" s="49" t="s">
        <v>160</v>
      </c>
      <c r="G363">
        <f>'Baseline (June to Sep)'!Y65+'Baseline (June to Sep)'!Z65</f>
        <v>40</v>
      </c>
      <c r="H363">
        <f>'Baseline (June to Sep)'!AA65</f>
        <v>15</v>
      </c>
      <c r="I363">
        <v>0</v>
      </c>
      <c r="J363">
        <f>G363*Parameters!$B$2*Parameters!$B$5</f>
        <v>85.163999999999987</v>
      </c>
      <c r="K363">
        <f>H363*Parameters!$B$3*Parameters!$B$6</f>
        <v>94.061999999999998</v>
      </c>
      <c r="L363">
        <f>I363*Parameters!$B$4*Parameters!$B$7</f>
        <v>0</v>
      </c>
      <c r="M363">
        <f t="shared" si="5"/>
        <v>179.226</v>
      </c>
      <c r="N363">
        <v>0</v>
      </c>
      <c r="O363">
        <v>4000</v>
      </c>
      <c r="P363">
        <v>4500</v>
      </c>
      <c r="Q363">
        <v>0</v>
      </c>
    </row>
    <row r="364" spans="1:17">
      <c r="A364" t="s">
        <v>89</v>
      </c>
      <c r="B364" t="s">
        <v>65</v>
      </c>
      <c r="C364">
        <v>8</v>
      </c>
      <c r="D364">
        <v>2021</v>
      </c>
      <c r="E364" s="49" t="s">
        <v>3</v>
      </c>
      <c r="F364" s="49" t="s">
        <v>160</v>
      </c>
      <c r="G364">
        <f>'Baseline (June to Sep)'!Y66+'Baseline (June to Sep)'!Z66</f>
        <v>55</v>
      </c>
      <c r="H364">
        <f>'Baseline (June to Sep)'!AA66</f>
        <v>5</v>
      </c>
      <c r="I364">
        <v>0</v>
      </c>
      <c r="J364">
        <f>G364*Parameters!$B$2*Parameters!$B$5</f>
        <v>117.10049999999998</v>
      </c>
      <c r="K364">
        <f>H364*Parameters!$B$3*Parameters!$B$6</f>
        <v>31.353999999999999</v>
      </c>
      <c r="L364">
        <f>I364*Parameters!$B$4*Parameters!$B$7</f>
        <v>0</v>
      </c>
      <c r="M364">
        <f t="shared" si="5"/>
        <v>148.4545</v>
      </c>
      <c r="N364">
        <v>0</v>
      </c>
      <c r="O364">
        <v>5500</v>
      </c>
      <c r="P364">
        <v>1500</v>
      </c>
      <c r="Q364">
        <v>0</v>
      </c>
    </row>
    <row r="365" spans="1:17">
      <c r="A365" t="s">
        <v>90</v>
      </c>
      <c r="B365" t="s">
        <v>32</v>
      </c>
      <c r="C365">
        <v>6</v>
      </c>
      <c r="D365">
        <v>2021</v>
      </c>
      <c r="E365" s="49" t="s">
        <v>3</v>
      </c>
      <c r="F365" s="49" t="s">
        <v>160</v>
      </c>
      <c r="G365">
        <f>'Baseline (June to Sep)'!Y67+'Baseline (June to Sep)'!Z67</f>
        <v>45</v>
      </c>
      <c r="H365">
        <f>'Baseline (June to Sep)'!AA67</f>
        <v>15</v>
      </c>
      <c r="I365">
        <v>0</v>
      </c>
      <c r="J365">
        <f>G365*Parameters!$B$2*Parameters!$B$5</f>
        <v>95.809499999999986</v>
      </c>
      <c r="K365">
        <f>H365*Parameters!$B$3*Parameters!$B$6</f>
        <v>94.061999999999998</v>
      </c>
      <c r="L365">
        <f>I365*Parameters!$B$4*Parameters!$B$7</f>
        <v>0</v>
      </c>
      <c r="M365">
        <f t="shared" si="5"/>
        <v>189.87149999999997</v>
      </c>
      <c r="N365">
        <v>0</v>
      </c>
      <c r="O365">
        <v>4500</v>
      </c>
      <c r="P365">
        <v>4500</v>
      </c>
      <c r="Q365">
        <v>0</v>
      </c>
    </row>
    <row r="366" spans="1:17">
      <c r="A366" t="s">
        <v>91</v>
      </c>
      <c r="B366" t="s">
        <v>24</v>
      </c>
      <c r="C366">
        <v>6</v>
      </c>
      <c r="D366">
        <v>2021</v>
      </c>
      <c r="E366" s="49" t="s">
        <v>3</v>
      </c>
      <c r="F366" s="49" t="s">
        <v>160</v>
      </c>
      <c r="G366">
        <f>'Baseline (June to Sep)'!Y68+'Baseline (June to Sep)'!Z68</f>
        <v>15</v>
      </c>
      <c r="H366">
        <f>'Baseline (June to Sep)'!AA68</f>
        <v>20</v>
      </c>
      <c r="I366">
        <v>0</v>
      </c>
      <c r="J366">
        <f>G366*Parameters!$B$2*Parameters!$B$5</f>
        <v>31.936499999999995</v>
      </c>
      <c r="K366">
        <f>H366*Parameters!$B$3*Parameters!$B$6</f>
        <v>125.416</v>
      </c>
      <c r="L366">
        <f>I366*Parameters!$B$4*Parameters!$B$7</f>
        <v>0</v>
      </c>
      <c r="M366">
        <f t="shared" si="5"/>
        <v>157.35249999999999</v>
      </c>
      <c r="N366">
        <v>0</v>
      </c>
      <c r="O366">
        <v>1500</v>
      </c>
      <c r="P366">
        <v>6000</v>
      </c>
      <c r="Q366">
        <v>0</v>
      </c>
    </row>
    <row r="367" spans="1:17">
      <c r="A367" t="s">
        <v>92</v>
      </c>
      <c r="B367" t="s">
        <v>17</v>
      </c>
      <c r="C367">
        <v>4</v>
      </c>
      <c r="D367">
        <v>2021</v>
      </c>
      <c r="E367" s="49" t="s">
        <v>3</v>
      </c>
      <c r="F367" s="49" t="s">
        <v>160</v>
      </c>
      <c r="G367">
        <f>'Baseline (June to Sep)'!Y69+'Baseline (June to Sep)'!Z69</f>
        <v>20</v>
      </c>
      <c r="H367">
        <f>'Baseline (June to Sep)'!AA69</f>
        <v>15</v>
      </c>
      <c r="I367">
        <v>0</v>
      </c>
      <c r="J367">
        <f>G367*Parameters!$B$2*Parameters!$B$5</f>
        <v>42.581999999999994</v>
      </c>
      <c r="K367">
        <f>H367*Parameters!$B$3*Parameters!$B$6</f>
        <v>94.061999999999998</v>
      </c>
      <c r="L367">
        <f>I367*Parameters!$B$4*Parameters!$B$7</f>
        <v>0</v>
      </c>
      <c r="M367">
        <f t="shared" si="5"/>
        <v>136.64400000000001</v>
      </c>
      <c r="N367">
        <v>0</v>
      </c>
      <c r="O367">
        <v>2000</v>
      </c>
      <c r="P367">
        <v>4500</v>
      </c>
      <c r="Q367">
        <v>0</v>
      </c>
    </row>
    <row r="368" spans="1:17">
      <c r="A368" t="s">
        <v>93</v>
      </c>
      <c r="B368" t="s">
        <v>19</v>
      </c>
      <c r="C368">
        <v>7</v>
      </c>
      <c r="D368">
        <v>2021</v>
      </c>
      <c r="E368" s="49" t="s">
        <v>3</v>
      </c>
      <c r="F368" s="49" t="s">
        <v>160</v>
      </c>
      <c r="G368">
        <f>'Baseline (June to Sep)'!Y70+'Baseline (June to Sep)'!Z70</f>
        <v>25</v>
      </c>
      <c r="H368">
        <f>'Baseline (June to Sep)'!AA70</f>
        <v>20</v>
      </c>
      <c r="I368">
        <v>0</v>
      </c>
      <c r="J368">
        <f>G368*Parameters!$B$2*Parameters!$B$5</f>
        <v>53.227499999999992</v>
      </c>
      <c r="K368">
        <f>H368*Parameters!$B$3*Parameters!$B$6</f>
        <v>125.416</v>
      </c>
      <c r="L368">
        <f>I368*Parameters!$B$4*Parameters!$B$7</f>
        <v>0</v>
      </c>
      <c r="M368">
        <f t="shared" si="5"/>
        <v>178.64349999999999</v>
      </c>
      <c r="N368">
        <v>0</v>
      </c>
      <c r="O368">
        <v>2500</v>
      </c>
      <c r="P368">
        <v>6000</v>
      </c>
      <c r="Q368">
        <v>0</v>
      </c>
    </row>
    <row r="369" spans="1:17">
      <c r="A369" t="s">
        <v>94</v>
      </c>
      <c r="B369" t="s">
        <v>19</v>
      </c>
      <c r="C369">
        <v>6</v>
      </c>
      <c r="D369">
        <v>2021</v>
      </c>
      <c r="E369" s="49" t="s">
        <v>3</v>
      </c>
      <c r="F369" s="49" t="s">
        <v>160</v>
      </c>
      <c r="G369">
        <f>'Baseline (June to Sep)'!Y71+'Baseline (June to Sep)'!Z71</f>
        <v>40</v>
      </c>
      <c r="H369">
        <f>'Baseline (June to Sep)'!AA71</f>
        <v>0</v>
      </c>
      <c r="I369">
        <v>0</v>
      </c>
      <c r="J369">
        <f>G369*Parameters!$B$2*Parameters!$B$5</f>
        <v>85.163999999999987</v>
      </c>
      <c r="K369">
        <f>H369*Parameters!$B$3*Parameters!$B$6</f>
        <v>0</v>
      </c>
      <c r="L369">
        <f>I369*Parameters!$B$4*Parameters!$B$7</f>
        <v>0</v>
      </c>
      <c r="M369">
        <f t="shared" si="5"/>
        <v>85.163999999999987</v>
      </c>
      <c r="N369">
        <v>0</v>
      </c>
      <c r="O369">
        <v>4000</v>
      </c>
      <c r="P369">
        <v>0</v>
      </c>
      <c r="Q369">
        <v>0</v>
      </c>
    </row>
    <row r="370" spans="1:17">
      <c r="A370" t="s">
        <v>95</v>
      </c>
      <c r="B370" t="s">
        <v>26</v>
      </c>
      <c r="C370">
        <v>8</v>
      </c>
      <c r="D370">
        <v>2021</v>
      </c>
      <c r="E370" s="49" t="s">
        <v>3</v>
      </c>
      <c r="F370" s="49" t="s">
        <v>160</v>
      </c>
      <c r="G370">
        <f>'Baseline (June to Sep)'!Y72+'Baseline (June to Sep)'!Z72</f>
        <v>25</v>
      </c>
      <c r="H370">
        <f>'Baseline (June to Sep)'!AA72</f>
        <v>5</v>
      </c>
      <c r="I370">
        <v>0</v>
      </c>
      <c r="J370">
        <f>G370*Parameters!$B$2*Parameters!$B$5</f>
        <v>53.227499999999992</v>
      </c>
      <c r="K370">
        <f>H370*Parameters!$B$3*Parameters!$B$6</f>
        <v>31.353999999999999</v>
      </c>
      <c r="L370">
        <f>I370*Parameters!$B$4*Parameters!$B$7</f>
        <v>0</v>
      </c>
      <c r="M370">
        <f t="shared" si="5"/>
        <v>84.581499999999991</v>
      </c>
      <c r="N370">
        <v>0</v>
      </c>
      <c r="O370">
        <v>2500</v>
      </c>
      <c r="P370">
        <v>1500</v>
      </c>
      <c r="Q370">
        <v>0</v>
      </c>
    </row>
    <row r="371" spans="1:17">
      <c r="A371" t="s">
        <v>96</v>
      </c>
      <c r="B371" t="s">
        <v>19</v>
      </c>
      <c r="C371">
        <v>8</v>
      </c>
      <c r="D371">
        <v>2021</v>
      </c>
      <c r="E371" s="49" t="s">
        <v>3</v>
      </c>
      <c r="F371" s="49" t="s">
        <v>160</v>
      </c>
      <c r="G371">
        <f>'Baseline (June to Sep)'!Y73+'Baseline (June to Sep)'!Z73</f>
        <v>35</v>
      </c>
      <c r="H371">
        <f>'Baseline (June to Sep)'!AA73</f>
        <v>20</v>
      </c>
      <c r="I371">
        <v>0</v>
      </c>
      <c r="J371">
        <f>G371*Parameters!$B$2*Parameters!$B$5</f>
        <v>74.518499999999989</v>
      </c>
      <c r="K371">
        <f>H371*Parameters!$B$3*Parameters!$B$6</f>
        <v>125.416</v>
      </c>
      <c r="L371">
        <f>I371*Parameters!$B$4*Parameters!$B$7</f>
        <v>0</v>
      </c>
      <c r="M371">
        <f t="shared" si="5"/>
        <v>199.93449999999999</v>
      </c>
      <c r="N371">
        <v>0</v>
      </c>
      <c r="O371">
        <v>3500</v>
      </c>
      <c r="P371">
        <v>6000</v>
      </c>
      <c r="Q371">
        <v>0</v>
      </c>
    </row>
    <row r="372" spans="1:17">
      <c r="A372" t="s">
        <v>97</v>
      </c>
      <c r="B372" t="s">
        <v>17</v>
      </c>
      <c r="C372">
        <v>4</v>
      </c>
      <c r="D372">
        <v>2021</v>
      </c>
      <c r="E372" s="49" t="s">
        <v>3</v>
      </c>
      <c r="F372" s="49" t="s">
        <v>160</v>
      </c>
      <c r="G372">
        <f>'Baseline (June to Sep)'!Y74+'Baseline (June to Sep)'!Z74</f>
        <v>50</v>
      </c>
      <c r="H372">
        <f>'Baseline (June to Sep)'!AA74</f>
        <v>0</v>
      </c>
      <c r="I372">
        <v>0</v>
      </c>
      <c r="J372">
        <f>G372*Parameters!$B$2*Parameters!$B$5</f>
        <v>106.45499999999998</v>
      </c>
      <c r="K372">
        <f>H372*Parameters!$B$3*Parameters!$B$6</f>
        <v>0</v>
      </c>
      <c r="L372">
        <f>I372*Parameters!$B$4*Parameters!$B$7</f>
        <v>0</v>
      </c>
      <c r="M372">
        <f t="shared" si="5"/>
        <v>106.45499999999998</v>
      </c>
      <c r="N372">
        <v>0</v>
      </c>
      <c r="O372">
        <v>5000</v>
      </c>
      <c r="P372">
        <v>0</v>
      </c>
      <c r="Q372">
        <v>0</v>
      </c>
    </row>
    <row r="373" spans="1:17">
      <c r="A373" t="s">
        <v>98</v>
      </c>
      <c r="B373" t="s">
        <v>65</v>
      </c>
      <c r="C373">
        <v>5</v>
      </c>
      <c r="D373">
        <v>2021</v>
      </c>
      <c r="E373" s="49" t="s">
        <v>3</v>
      </c>
      <c r="F373" s="49" t="s">
        <v>160</v>
      </c>
      <c r="G373">
        <f>'Baseline (June to Sep)'!Y75+'Baseline (June to Sep)'!Z75</f>
        <v>40</v>
      </c>
      <c r="H373">
        <f>'Baseline (June to Sep)'!AA75</f>
        <v>5</v>
      </c>
      <c r="I373">
        <v>0</v>
      </c>
      <c r="J373">
        <f>G373*Parameters!$B$2*Parameters!$B$5</f>
        <v>85.163999999999987</v>
      </c>
      <c r="K373">
        <f>H373*Parameters!$B$3*Parameters!$B$6</f>
        <v>31.353999999999999</v>
      </c>
      <c r="L373">
        <f>I373*Parameters!$B$4*Parameters!$B$7</f>
        <v>0</v>
      </c>
      <c r="M373">
        <f t="shared" si="5"/>
        <v>116.51799999999999</v>
      </c>
      <c r="N373">
        <v>0</v>
      </c>
      <c r="O373">
        <v>4000</v>
      </c>
      <c r="P373">
        <v>1500</v>
      </c>
      <c r="Q373">
        <v>0</v>
      </c>
    </row>
    <row r="374" spans="1:17">
      <c r="A374" t="s">
        <v>99</v>
      </c>
      <c r="B374" t="s">
        <v>32</v>
      </c>
      <c r="C374">
        <v>9</v>
      </c>
      <c r="D374">
        <v>2021</v>
      </c>
      <c r="E374" s="49" t="s">
        <v>3</v>
      </c>
      <c r="F374" s="49" t="s">
        <v>160</v>
      </c>
      <c r="G374">
        <f>'Baseline (June to Sep)'!Y76+'Baseline (June to Sep)'!Z76</f>
        <v>45</v>
      </c>
      <c r="H374">
        <f>'Baseline (June to Sep)'!AA76</f>
        <v>10</v>
      </c>
      <c r="I374">
        <v>0</v>
      </c>
      <c r="J374">
        <f>G374*Parameters!$B$2*Parameters!$B$5</f>
        <v>95.809499999999986</v>
      </c>
      <c r="K374">
        <f>H374*Parameters!$B$3*Parameters!$B$6</f>
        <v>62.707999999999998</v>
      </c>
      <c r="L374">
        <f>I374*Parameters!$B$4*Parameters!$B$7</f>
        <v>0</v>
      </c>
      <c r="M374">
        <f t="shared" si="5"/>
        <v>158.51749999999998</v>
      </c>
      <c r="N374">
        <v>0</v>
      </c>
      <c r="O374">
        <v>4500</v>
      </c>
      <c r="P374">
        <v>3000</v>
      </c>
      <c r="Q374">
        <v>0</v>
      </c>
    </row>
    <row r="375" spans="1:17">
      <c r="A375" t="s">
        <v>100</v>
      </c>
      <c r="B375" t="s">
        <v>40</v>
      </c>
      <c r="C375">
        <v>8</v>
      </c>
      <c r="D375">
        <v>2021</v>
      </c>
      <c r="E375" s="49" t="s">
        <v>3</v>
      </c>
      <c r="F375" s="49" t="s">
        <v>160</v>
      </c>
      <c r="G375">
        <f>'Baseline (June to Sep)'!Y77+'Baseline (June to Sep)'!Z77</f>
        <v>25</v>
      </c>
      <c r="H375">
        <f>'Baseline (June to Sep)'!AA77</f>
        <v>5</v>
      </c>
      <c r="I375">
        <v>0</v>
      </c>
      <c r="J375">
        <f>G375*Parameters!$B$2*Parameters!$B$5</f>
        <v>53.227499999999992</v>
      </c>
      <c r="K375">
        <f>H375*Parameters!$B$3*Parameters!$B$6</f>
        <v>31.353999999999999</v>
      </c>
      <c r="L375">
        <f>I375*Parameters!$B$4*Parameters!$B$7</f>
        <v>0</v>
      </c>
      <c r="M375">
        <f t="shared" si="5"/>
        <v>84.581499999999991</v>
      </c>
      <c r="N375">
        <v>0</v>
      </c>
      <c r="O375">
        <v>2500</v>
      </c>
      <c r="P375">
        <v>1500</v>
      </c>
      <c r="Q375">
        <v>0</v>
      </c>
    </row>
    <row r="376" spans="1:17">
      <c r="A376" t="s">
        <v>101</v>
      </c>
      <c r="B376" t="s">
        <v>38</v>
      </c>
      <c r="C376">
        <v>5</v>
      </c>
      <c r="D376">
        <v>2021</v>
      </c>
      <c r="E376" s="49" t="s">
        <v>3</v>
      </c>
      <c r="F376" s="49" t="s">
        <v>160</v>
      </c>
      <c r="G376">
        <f>'Baseline (June to Sep)'!Y78+'Baseline (June to Sep)'!Z78</f>
        <v>40</v>
      </c>
      <c r="H376">
        <f>'Baseline (June to Sep)'!AA78</f>
        <v>0</v>
      </c>
      <c r="I376">
        <v>0</v>
      </c>
      <c r="J376">
        <f>G376*Parameters!$B$2*Parameters!$B$5</f>
        <v>85.163999999999987</v>
      </c>
      <c r="K376">
        <f>H376*Parameters!$B$3*Parameters!$B$6</f>
        <v>0</v>
      </c>
      <c r="L376">
        <f>I376*Parameters!$B$4*Parameters!$B$7</f>
        <v>0</v>
      </c>
      <c r="M376">
        <f t="shared" si="5"/>
        <v>85.163999999999987</v>
      </c>
      <c r="N376">
        <v>0</v>
      </c>
      <c r="O376">
        <v>4000</v>
      </c>
      <c r="P376">
        <v>0</v>
      </c>
      <c r="Q376">
        <v>0</v>
      </c>
    </row>
    <row r="377" spans="1:17">
      <c r="A377" t="s">
        <v>102</v>
      </c>
      <c r="B377" t="s">
        <v>17</v>
      </c>
      <c r="C377">
        <v>4</v>
      </c>
      <c r="D377">
        <v>2021</v>
      </c>
      <c r="E377" s="49" t="s">
        <v>3</v>
      </c>
      <c r="F377" s="49" t="s">
        <v>160</v>
      </c>
      <c r="G377">
        <f>'Baseline (June to Sep)'!Y79+'Baseline (June to Sep)'!Z79</f>
        <v>20</v>
      </c>
      <c r="H377">
        <f>'Baseline (June to Sep)'!AA79</f>
        <v>25</v>
      </c>
      <c r="I377">
        <v>0</v>
      </c>
      <c r="J377">
        <f>G377*Parameters!$B$2*Parameters!$B$5</f>
        <v>42.581999999999994</v>
      </c>
      <c r="K377">
        <f>H377*Parameters!$B$3*Parameters!$B$6</f>
        <v>156.77000000000001</v>
      </c>
      <c r="L377">
        <f>I377*Parameters!$B$4*Parameters!$B$7</f>
        <v>0</v>
      </c>
      <c r="M377">
        <f t="shared" si="5"/>
        <v>199.352</v>
      </c>
      <c r="N377">
        <v>0</v>
      </c>
      <c r="O377">
        <v>2000</v>
      </c>
      <c r="P377">
        <v>7500</v>
      </c>
      <c r="Q377">
        <v>0</v>
      </c>
    </row>
    <row r="378" spans="1:17">
      <c r="A378" t="s">
        <v>103</v>
      </c>
      <c r="B378" t="s">
        <v>26</v>
      </c>
      <c r="C378">
        <v>6</v>
      </c>
      <c r="D378">
        <v>2021</v>
      </c>
      <c r="E378" s="49" t="s">
        <v>3</v>
      </c>
      <c r="F378" s="49" t="s">
        <v>160</v>
      </c>
      <c r="G378">
        <f>'Baseline (June to Sep)'!Y80+'Baseline (June to Sep)'!Z80</f>
        <v>40</v>
      </c>
      <c r="H378">
        <f>'Baseline (June to Sep)'!AA80</f>
        <v>5</v>
      </c>
      <c r="I378">
        <v>0</v>
      </c>
      <c r="J378">
        <f>G378*Parameters!$B$2*Parameters!$B$5</f>
        <v>85.163999999999987</v>
      </c>
      <c r="K378">
        <f>H378*Parameters!$B$3*Parameters!$B$6</f>
        <v>31.353999999999999</v>
      </c>
      <c r="L378">
        <f>I378*Parameters!$B$4*Parameters!$B$7</f>
        <v>0</v>
      </c>
      <c r="M378">
        <f t="shared" si="5"/>
        <v>116.51799999999999</v>
      </c>
      <c r="N378">
        <v>0</v>
      </c>
      <c r="O378">
        <v>4000</v>
      </c>
      <c r="P378">
        <v>1500</v>
      </c>
      <c r="Q378">
        <v>0</v>
      </c>
    </row>
    <row r="379" spans="1:17">
      <c r="A379" t="s">
        <v>104</v>
      </c>
      <c r="B379" t="s">
        <v>26</v>
      </c>
      <c r="C379">
        <v>7</v>
      </c>
      <c r="D379">
        <v>2021</v>
      </c>
      <c r="E379" s="49" t="s">
        <v>3</v>
      </c>
      <c r="F379" s="49" t="s">
        <v>160</v>
      </c>
      <c r="G379">
        <f>'Baseline (June to Sep)'!Y81+'Baseline (June to Sep)'!Z81</f>
        <v>25</v>
      </c>
      <c r="H379">
        <f>'Baseline (June to Sep)'!AA81</f>
        <v>8</v>
      </c>
      <c r="I379">
        <v>0</v>
      </c>
      <c r="J379">
        <f>G379*Parameters!$B$2*Parameters!$B$5</f>
        <v>53.227499999999992</v>
      </c>
      <c r="K379">
        <f>H379*Parameters!$B$3*Parameters!$B$6</f>
        <v>50.166399999999996</v>
      </c>
      <c r="L379">
        <f>I379*Parameters!$B$4*Parameters!$B$7</f>
        <v>0</v>
      </c>
      <c r="M379">
        <f t="shared" si="5"/>
        <v>103.39389999999999</v>
      </c>
      <c r="N379">
        <v>0</v>
      </c>
      <c r="O379">
        <v>2500</v>
      </c>
      <c r="P379">
        <v>2400</v>
      </c>
      <c r="Q379">
        <v>0</v>
      </c>
    </row>
    <row r="380" spans="1:17">
      <c r="A380" t="s">
        <v>105</v>
      </c>
      <c r="B380" t="s">
        <v>21</v>
      </c>
      <c r="C380">
        <v>5</v>
      </c>
      <c r="D380">
        <v>2021</v>
      </c>
      <c r="E380" s="49" t="s">
        <v>3</v>
      </c>
      <c r="F380" s="49" t="s">
        <v>160</v>
      </c>
      <c r="G380">
        <f>'Baseline (June to Sep)'!Y82+'Baseline (June to Sep)'!Z82</f>
        <v>30</v>
      </c>
      <c r="H380">
        <f>'Baseline (June to Sep)'!AA82</f>
        <v>15</v>
      </c>
      <c r="I380">
        <v>0</v>
      </c>
      <c r="J380">
        <f>G380*Parameters!$B$2*Parameters!$B$5</f>
        <v>63.87299999999999</v>
      </c>
      <c r="K380">
        <f>H380*Parameters!$B$3*Parameters!$B$6</f>
        <v>94.061999999999998</v>
      </c>
      <c r="L380">
        <f>I380*Parameters!$B$4*Parameters!$B$7</f>
        <v>0</v>
      </c>
      <c r="M380">
        <f t="shared" si="5"/>
        <v>157.935</v>
      </c>
      <c r="N380">
        <v>0</v>
      </c>
      <c r="O380">
        <v>3000</v>
      </c>
      <c r="P380">
        <v>4500</v>
      </c>
      <c r="Q380">
        <v>0</v>
      </c>
    </row>
    <row r="381" spans="1:17">
      <c r="A381" t="s">
        <v>106</v>
      </c>
      <c r="B381" t="s">
        <v>24</v>
      </c>
      <c r="C381">
        <v>6</v>
      </c>
      <c r="D381">
        <v>2021</v>
      </c>
      <c r="E381" s="49" t="s">
        <v>3</v>
      </c>
      <c r="F381" s="49" t="s">
        <v>160</v>
      </c>
      <c r="G381">
        <f>'Baseline (June to Sep)'!Y83+'Baseline (June to Sep)'!Z83</f>
        <v>45</v>
      </c>
      <c r="H381">
        <f>'Baseline (June to Sep)'!AA83</f>
        <v>0</v>
      </c>
      <c r="I381">
        <v>0</v>
      </c>
      <c r="J381">
        <f>G381*Parameters!$B$2*Parameters!$B$5</f>
        <v>95.809499999999986</v>
      </c>
      <c r="K381">
        <f>H381*Parameters!$B$3*Parameters!$B$6</f>
        <v>0</v>
      </c>
      <c r="L381">
        <f>I381*Parameters!$B$4*Parameters!$B$7</f>
        <v>0</v>
      </c>
      <c r="M381">
        <f t="shared" si="5"/>
        <v>95.809499999999986</v>
      </c>
      <c r="N381">
        <v>0</v>
      </c>
      <c r="O381">
        <v>4500</v>
      </c>
      <c r="P381">
        <v>0</v>
      </c>
      <c r="Q381">
        <v>0</v>
      </c>
    </row>
    <row r="382" spans="1:17">
      <c r="A382" t="s">
        <v>107</v>
      </c>
      <c r="B382" t="s">
        <v>21</v>
      </c>
      <c r="C382">
        <v>4</v>
      </c>
      <c r="D382">
        <v>2021</v>
      </c>
      <c r="E382" s="49" t="s">
        <v>3</v>
      </c>
      <c r="F382" s="49" t="s">
        <v>160</v>
      </c>
      <c r="G382">
        <f>'Baseline (June to Sep)'!Y84+'Baseline (June to Sep)'!Z84</f>
        <v>45</v>
      </c>
      <c r="H382">
        <f>'Baseline (June to Sep)'!AA84</f>
        <v>0</v>
      </c>
      <c r="I382">
        <v>0</v>
      </c>
      <c r="J382">
        <f>G382*Parameters!$B$2*Parameters!$B$5</f>
        <v>95.809499999999986</v>
      </c>
      <c r="K382">
        <f>H382*Parameters!$B$3*Parameters!$B$6</f>
        <v>0</v>
      </c>
      <c r="L382">
        <f>I382*Parameters!$B$4*Parameters!$B$7</f>
        <v>0</v>
      </c>
      <c r="M382">
        <f t="shared" si="5"/>
        <v>95.809499999999986</v>
      </c>
      <c r="N382">
        <v>0</v>
      </c>
      <c r="O382">
        <v>4500</v>
      </c>
      <c r="P382">
        <v>0</v>
      </c>
      <c r="Q382">
        <v>0</v>
      </c>
    </row>
    <row r="383" spans="1:17">
      <c r="A383" t="s">
        <v>108</v>
      </c>
      <c r="B383" t="s">
        <v>24</v>
      </c>
      <c r="C383">
        <v>5</v>
      </c>
      <c r="D383">
        <v>2021</v>
      </c>
      <c r="E383" s="49" t="s">
        <v>3</v>
      </c>
      <c r="F383" s="49" t="s">
        <v>160</v>
      </c>
      <c r="G383">
        <f>'Baseline (June to Sep)'!Y85+'Baseline (June to Sep)'!Z85</f>
        <v>45</v>
      </c>
      <c r="H383">
        <f>'Baseline (June to Sep)'!AA85</f>
        <v>12</v>
      </c>
      <c r="I383">
        <v>0</v>
      </c>
      <c r="J383">
        <f>G383*Parameters!$B$2*Parameters!$B$5</f>
        <v>95.809499999999986</v>
      </c>
      <c r="K383">
        <f>H383*Parameters!$B$3*Parameters!$B$6</f>
        <v>75.249599999999987</v>
      </c>
      <c r="L383">
        <f>I383*Parameters!$B$4*Parameters!$B$7</f>
        <v>0</v>
      </c>
      <c r="M383">
        <f t="shared" si="5"/>
        <v>171.05909999999997</v>
      </c>
      <c r="N383">
        <v>0</v>
      </c>
      <c r="O383">
        <v>4500</v>
      </c>
      <c r="P383">
        <v>3600</v>
      </c>
      <c r="Q383">
        <v>0</v>
      </c>
    </row>
    <row r="384" spans="1:17">
      <c r="A384" t="s">
        <v>109</v>
      </c>
      <c r="B384" t="s">
        <v>32</v>
      </c>
      <c r="C384">
        <v>6</v>
      </c>
      <c r="D384">
        <v>2021</v>
      </c>
      <c r="E384" s="49" t="s">
        <v>3</v>
      </c>
      <c r="F384" s="49" t="s">
        <v>160</v>
      </c>
      <c r="G384">
        <f>'Baseline (June to Sep)'!Y86+'Baseline (June to Sep)'!Z86</f>
        <v>35</v>
      </c>
      <c r="H384">
        <f>'Baseline (June to Sep)'!AA86</f>
        <v>10</v>
      </c>
      <c r="I384">
        <v>0</v>
      </c>
      <c r="J384">
        <f>G384*Parameters!$B$2*Parameters!$B$5</f>
        <v>74.518499999999989</v>
      </c>
      <c r="K384">
        <f>H384*Parameters!$B$3*Parameters!$B$6</f>
        <v>62.707999999999998</v>
      </c>
      <c r="L384">
        <f>I384*Parameters!$B$4*Parameters!$B$7</f>
        <v>0</v>
      </c>
      <c r="M384">
        <f t="shared" si="5"/>
        <v>137.22649999999999</v>
      </c>
      <c r="N384">
        <v>0</v>
      </c>
      <c r="O384">
        <v>3500</v>
      </c>
      <c r="P384">
        <v>3000</v>
      </c>
      <c r="Q384">
        <v>0</v>
      </c>
    </row>
    <row r="385" spans="1:17">
      <c r="A385" t="s">
        <v>110</v>
      </c>
      <c r="B385" t="s">
        <v>21</v>
      </c>
      <c r="C385">
        <v>3</v>
      </c>
      <c r="D385">
        <v>2021</v>
      </c>
      <c r="E385" s="49" t="s">
        <v>3</v>
      </c>
      <c r="F385" s="49" t="s">
        <v>160</v>
      </c>
      <c r="G385">
        <f>'Baseline (June to Sep)'!Y87+'Baseline (June to Sep)'!Z87</f>
        <v>30</v>
      </c>
      <c r="H385">
        <f>'Baseline (June to Sep)'!AA87</f>
        <v>5</v>
      </c>
      <c r="I385">
        <v>0</v>
      </c>
      <c r="J385">
        <f>G385*Parameters!$B$2*Parameters!$B$5</f>
        <v>63.87299999999999</v>
      </c>
      <c r="K385">
        <f>H385*Parameters!$B$3*Parameters!$B$6</f>
        <v>31.353999999999999</v>
      </c>
      <c r="L385">
        <f>I385*Parameters!$B$4*Parameters!$B$7</f>
        <v>0</v>
      </c>
      <c r="M385">
        <f t="shared" si="5"/>
        <v>95.22699999999999</v>
      </c>
      <c r="N385">
        <v>0</v>
      </c>
      <c r="O385">
        <v>3000</v>
      </c>
      <c r="P385">
        <v>1500</v>
      </c>
      <c r="Q385">
        <v>0</v>
      </c>
    </row>
    <row r="386" spans="1:17">
      <c r="A386" t="s">
        <v>111</v>
      </c>
      <c r="B386" t="s">
        <v>26</v>
      </c>
      <c r="C386">
        <v>6</v>
      </c>
      <c r="D386">
        <v>2021</v>
      </c>
      <c r="E386" s="49" t="s">
        <v>3</v>
      </c>
      <c r="F386" s="49" t="s">
        <v>160</v>
      </c>
      <c r="G386">
        <f>'Baseline (June to Sep)'!Y88+'Baseline (June to Sep)'!Z88</f>
        <v>40</v>
      </c>
      <c r="H386">
        <f>'Baseline (June to Sep)'!AA88</f>
        <v>10</v>
      </c>
      <c r="I386">
        <v>0</v>
      </c>
      <c r="J386">
        <f>G386*Parameters!$B$2*Parameters!$B$5</f>
        <v>85.163999999999987</v>
      </c>
      <c r="K386">
        <f>H386*Parameters!$B$3*Parameters!$B$6</f>
        <v>62.707999999999998</v>
      </c>
      <c r="L386">
        <f>I386*Parameters!$B$4*Parameters!$B$7</f>
        <v>0</v>
      </c>
      <c r="M386">
        <f t="shared" si="5"/>
        <v>147.87199999999999</v>
      </c>
      <c r="N386">
        <v>0</v>
      </c>
      <c r="O386">
        <v>4000</v>
      </c>
      <c r="P386">
        <v>3000</v>
      </c>
      <c r="Q386">
        <v>0</v>
      </c>
    </row>
    <row r="387" spans="1:17">
      <c r="A387" t="s">
        <v>112</v>
      </c>
      <c r="B387" t="s">
        <v>19</v>
      </c>
      <c r="C387">
        <v>7</v>
      </c>
      <c r="D387">
        <v>2021</v>
      </c>
      <c r="E387" s="49" t="s">
        <v>3</v>
      </c>
      <c r="F387" s="49" t="s">
        <v>160</v>
      </c>
      <c r="G387">
        <f>'Baseline (June to Sep)'!Y89+'Baseline (June to Sep)'!Z89</f>
        <v>30</v>
      </c>
      <c r="H387">
        <f>'Baseline (June to Sep)'!AA89</f>
        <v>15</v>
      </c>
      <c r="I387">
        <v>0</v>
      </c>
      <c r="J387">
        <f>G387*Parameters!$B$2*Parameters!$B$5</f>
        <v>63.87299999999999</v>
      </c>
      <c r="K387">
        <f>H387*Parameters!$B$3*Parameters!$B$6</f>
        <v>94.061999999999998</v>
      </c>
      <c r="L387">
        <f>I387*Parameters!$B$4*Parameters!$B$7</f>
        <v>0</v>
      </c>
      <c r="M387">
        <f t="shared" ref="M387:M450" si="6">SUM(J387:L387)</f>
        <v>157.935</v>
      </c>
      <c r="N387">
        <v>0</v>
      </c>
      <c r="O387">
        <v>3000</v>
      </c>
      <c r="P387">
        <v>4500</v>
      </c>
      <c r="Q387">
        <v>0</v>
      </c>
    </row>
    <row r="388" spans="1:17">
      <c r="A388" t="s">
        <v>113</v>
      </c>
      <c r="B388" t="s">
        <v>26</v>
      </c>
      <c r="C388">
        <v>4</v>
      </c>
      <c r="D388">
        <v>2021</v>
      </c>
      <c r="E388" s="49" t="s">
        <v>3</v>
      </c>
      <c r="F388" s="49" t="s">
        <v>160</v>
      </c>
      <c r="G388">
        <f>'Baseline (June to Sep)'!Y90+'Baseline (June to Sep)'!Z90</f>
        <v>40</v>
      </c>
      <c r="H388">
        <f>'Baseline (June to Sep)'!AA90</f>
        <v>5</v>
      </c>
      <c r="I388">
        <v>0</v>
      </c>
      <c r="J388">
        <f>G388*Parameters!$B$2*Parameters!$B$5</f>
        <v>85.163999999999987</v>
      </c>
      <c r="K388">
        <f>H388*Parameters!$B$3*Parameters!$B$6</f>
        <v>31.353999999999999</v>
      </c>
      <c r="L388">
        <f>I388*Parameters!$B$4*Parameters!$B$7</f>
        <v>0</v>
      </c>
      <c r="M388">
        <f t="shared" si="6"/>
        <v>116.51799999999999</v>
      </c>
      <c r="N388">
        <v>0</v>
      </c>
      <c r="O388">
        <v>4000</v>
      </c>
      <c r="P388">
        <v>1500</v>
      </c>
      <c r="Q388">
        <v>0</v>
      </c>
    </row>
    <row r="389" spans="1:17">
      <c r="A389" t="s">
        <v>114</v>
      </c>
      <c r="B389" t="s">
        <v>65</v>
      </c>
      <c r="C389">
        <v>8</v>
      </c>
      <c r="D389">
        <v>2021</v>
      </c>
      <c r="E389" s="49" t="s">
        <v>3</v>
      </c>
      <c r="F389" s="49" t="s">
        <v>160</v>
      </c>
      <c r="G389">
        <f>'Baseline (June to Sep)'!Y91+'Baseline (June to Sep)'!Z91</f>
        <v>45</v>
      </c>
      <c r="H389">
        <f>'Baseline (June to Sep)'!AA91</f>
        <v>23</v>
      </c>
      <c r="I389">
        <v>0</v>
      </c>
      <c r="J389">
        <f>G389*Parameters!$B$2*Parameters!$B$5</f>
        <v>95.809499999999986</v>
      </c>
      <c r="K389">
        <f>H389*Parameters!$B$3*Parameters!$B$6</f>
        <v>144.22839999999999</v>
      </c>
      <c r="L389">
        <f>I389*Parameters!$B$4*Parameters!$B$7</f>
        <v>0</v>
      </c>
      <c r="M389">
        <f t="shared" si="6"/>
        <v>240.03789999999998</v>
      </c>
      <c r="N389">
        <v>0</v>
      </c>
      <c r="O389">
        <v>4500</v>
      </c>
      <c r="P389">
        <v>6900</v>
      </c>
      <c r="Q389">
        <v>0</v>
      </c>
    </row>
    <row r="390" spans="1:17">
      <c r="A390" t="s">
        <v>115</v>
      </c>
      <c r="B390" t="s">
        <v>19</v>
      </c>
      <c r="C390">
        <v>8</v>
      </c>
      <c r="D390">
        <v>2021</v>
      </c>
      <c r="E390" s="49" t="s">
        <v>3</v>
      </c>
      <c r="F390" s="49" t="s">
        <v>160</v>
      </c>
      <c r="G390">
        <f>'Baseline (June to Sep)'!Y92+'Baseline (June to Sep)'!Z92</f>
        <v>35</v>
      </c>
      <c r="H390">
        <f>'Baseline (June to Sep)'!AA92</f>
        <v>5</v>
      </c>
      <c r="I390">
        <v>0</v>
      </c>
      <c r="J390">
        <f>G390*Parameters!$B$2*Parameters!$B$5</f>
        <v>74.518499999999989</v>
      </c>
      <c r="K390">
        <f>H390*Parameters!$B$3*Parameters!$B$6</f>
        <v>31.353999999999999</v>
      </c>
      <c r="L390">
        <f>I390*Parameters!$B$4*Parameters!$B$7</f>
        <v>0</v>
      </c>
      <c r="M390">
        <f t="shared" si="6"/>
        <v>105.87249999999999</v>
      </c>
      <c r="N390">
        <v>0</v>
      </c>
      <c r="O390">
        <v>3500</v>
      </c>
      <c r="P390">
        <v>1500</v>
      </c>
      <c r="Q390">
        <v>0</v>
      </c>
    </row>
    <row r="391" spans="1:17">
      <c r="A391" t="s">
        <v>116</v>
      </c>
      <c r="B391" t="s">
        <v>21</v>
      </c>
      <c r="C391">
        <v>4</v>
      </c>
      <c r="D391">
        <v>2021</v>
      </c>
      <c r="E391" s="49" t="s">
        <v>3</v>
      </c>
      <c r="F391" s="49" t="s">
        <v>160</v>
      </c>
      <c r="G391">
        <f>'Baseline (June to Sep)'!Y93+'Baseline (June to Sep)'!Z93</f>
        <v>45</v>
      </c>
      <c r="H391">
        <f>'Baseline (June to Sep)'!AA93</f>
        <v>0</v>
      </c>
      <c r="I391">
        <v>0</v>
      </c>
      <c r="J391">
        <f>G391*Parameters!$B$2*Parameters!$B$5</f>
        <v>95.809499999999986</v>
      </c>
      <c r="K391">
        <f>H391*Parameters!$B$3*Parameters!$B$6</f>
        <v>0</v>
      </c>
      <c r="L391">
        <f>I391*Parameters!$B$4*Parameters!$B$7</f>
        <v>0</v>
      </c>
      <c r="M391">
        <f t="shared" si="6"/>
        <v>95.809499999999986</v>
      </c>
      <c r="N391">
        <v>0</v>
      </c>
      <c r="O391">
        <v>4500</v>
      </c>
      <c r="P391">
        <v>0</v>
      </c>
      <c r="Q391">
        <v>0</v>
      </c>
    </row>
    <row r="392" spans="1:17">
      <c r="A392" t="s">
        <v>117</v>
      </c>
      <c r="B392" t="s">
        <v>17</v>
      </c>
      <c r="C392">
        <v>9</v>
      </c>
      <c r="D392">
        <v>2021</v>
      </c>
      <c r="E392" s="49" t="s">
        <v>3</v>
      </c>
      <c r="F392" s="49" t="s">
        <v>160</v>
      </c>
      <c r="G392">
        <f>'Baseline (June to Sep)'!Y94+'Baseline (June to Sep)'!Z94</f>
        <v>35</v>
      </c>
      <c r="H392">
        <f>'Baseline (June to Sep)'!AA94</f>
        <v>6</v>
      </c>
      <c r="I392">
        <v>0</v>
      </c>
      <c r="J392">
        <f>G392*Parameters!$B$2*Parameters!$B$5</f>
        <v>74.518499999999989</v>
      </c>
      <c r="K392">
        <f>H392*Parameters!$B$3*Parameters!$B$6</f>
        <v>37.624799999999993</v>
      </c>
      <c r="L392">
        <f>I392*Parameters!$B$4*Parameters!$B$7</f>
        <v>0</v>
      </c>
      <c r="M392">
        <f t="shared" si="6"/>
        <v>112.14329999999998</v>
      </c>
      <c r="N392">
        <v>0</v>
      </c>
      <c r="O392">
        <v>3500</v>
      </c>
      <c r="P392">
        <v>1800</v>
      </c>
      <c r="Q392">
        <v>0</v>
      </c>
    </row>
    <row r="393" spans="1:17">
      <c r="A393" t="s">
        <v>118</v>
      </c>
      <c r="B393" t="s">
        <v>19</v>
      </c>
      <c r="C393">
        <v>4</v>
      </c>
      <c r="D393">
        <v>2021</v>
      </c>
      <c r="E393" s="49" t="s">
        <v>3</v>
      </c>
      <c r="F393" s="49" t="s">
        <v>160</v>
      </c>
      <c r="G393">
        <f>'Baseline (June to Sep)'!Y95+'Baseline (June to Sep)'!Z95</f>
        <v>40</v>
      </c>
      <c r="H393">
        <f>'Baseline (June to Sep)'!AA95</f>
        <v>5</v>
      </c>
      <c r="I393">
        <v>0</v>
      </c>
      <c r="J393">
        <f>G393*Parameters!$B$2*Parameters!$B$5</f>
        <v>85.163999999999987</v>
      </c>
      <c r="K393">
        <f>H393*Parameters!$B$3*Parameters!$B$6</f>
        <v>31.353999999999999</v>
      </c>
      <c r="L393">
        <f>I393*Parameters!$B$4*Parameters!$B$7</f>
        <v>0</v>
      </c>
      <c r="M393">
        <f t="shared" si="6"/>
        <v>116.51799999999999</v>
      </c>
      <c r="N393">
        <v>0</v>
      </c>
      <c r="O393">
        <v>4000</v>
      </c>
      <c r="P393">
        <v>1500</v>
      </c>
      <c r="Q393">
        <v>0</v>
      </c>
    </row>
    <row r="394" spans="1:17">
      <c r="A394" t="s">
        <v>119</v>
      </c>
      <c r="B394" t="s">
        <v>40</v>
      </c>
      <c r="C394">
        <v>6</v>
      </c>
      <c r="D394">
        <v>2021</v>
      </c>
      <c r="E394" s="49" t="s">
        <v>3</v>
      </c>
      <c r="F394" s="49" t="s">
        <v>160</v>
      </c>
      <c r="G394">
        <f>'Baseline (June to Sep)'!Y96+'Baseline (June to Sep)'!Z96</f>
        <v>40</v>
      </c>
      <c r="H394">
        <f>'Baseline (June to Sep)'!AA96</f>
        <v>0</v>
      </c>
      <c r="I394">
        <v>0</v>
      </c>
      <c r="J394">
        <f>G394*Parameters!$B$2*Parameters!$B$5</f>
        <v>85.163999999999987</v>
      </c>
      <c r="K394">
        <f>H394*Parameters!$B$3*Parameters!$B$6</f>
        <v>0</v>
      </c>
      <c r="L394">
        <f>I394*Parameters!$B$4*Parameters!$B$7</f>
        <v>0</v>
      </c>
      <c r="M394">
        <f t="shared" si="6"/>
        <v>85.163999999999987</v>
      </c>
      <c r="N394">
        <v>0</v>
      </c>
      <c r="O394">
        <v>4000</v>
      </c>
      <c r="P394">
        <v>0</v>
      </c>
      <c r="Q394">
        <v>0</v>
      </c>
    </row>
    <row r="395" spans="1:17">
      <c r="A395" t="s">
        <v>120</v>
      </c>
      <c r="B395" t="s">
        <v>32</v>
      </c>
      <c r="C395">
        <v>8</v>
      </c>
      <c r="D395">
        <v>2021</v>
      </c>
      <c r="E395" s="49" t="s">
        <v>3</v>
      </c>
      <c r="F395" s="49" t="s">
        <v>160</v>
      </c>
      <c r="G395">
        <f>'Baseline (June to Sep)'!Y97+'Baseline (June to Sep)'!Z97</f>
        <v>45</v>
      </c>
      <c r="H395">
        <f>'Baseline (June to Sep)'!AA97</f>
        <v>5</v>
      </c>
      <c r="I395">
        <v>0</v>
      </c>
      <c r="J395">
        <f>G395*Parameters!$B$2*Parameters!$B$5</f>
        <v>95.809499999999986</v>
      </c>
      <c r="K395">
        <f>H395*Parameters!$B$3*Parameters!$B$6</f>
        <v>31.353999999999999</v>
      </c>
      <c r="L395">
        <f>I395*Parameters!$B$4*Parameters!$B$7</f>
        <v>0</v>
      </c>
      <c r="M395">
        <f t="shared" si="6"/>
        <v>127.16349999999998</v>
      </c>
      <c r="N395">
        <v>0</v>
      </c>
      <c r="O395">
        <v>4500</v>
      </c>
      <c r="P395">
        <v>1500</v>
      </c>
      <c r="Q395">
        <v>0</v>
      </c>
    </row>
    <row r="396" spans="1:17">
      <c r="A396" t="s">
        <v>121</v>
      </c>
      <c r="B396" t="s">
        <v>24</v>
      </c>
      <c r="C396">
        <v>5</v>
      </c>
      <c r="D396">
        <v>2021</v>
      </c>
      <c r="E396" s="49" t="s">
        <v>3</v>
      </c>
      <c r="F396" s="49" t="s">
        <v>160</v>
      </c>
      <c r="G396">
        <f>'Baseline (June to Sep)'!Y98+'Baseline (June to Sep)'!Z98</f>
        <v>35</v>
      </c>
      <c r="H396">
        <f>'Baseline (June to Sep)'!AA98</f>
        <v>5</v>
      </c>
      <c r="I396">
        <v>0</v>
      </c>
      <c r="J396">
        <f>G396*Parameters!$B$2*Parameters!$B$5</f>
        <v>74.518499999999989</v>
      </c>
      <c r="K396">
        <f>H396*Parameters!$B$3*Parameters!$B$6</f>
        <v>31.353999999999999</v>
      </c>
      <c r="L396">
        <f>I396*Parameters!$B$4*Parameters!$B$7</f>
        <v>0</v>
      </c>
      <c r="M396">
        <f t="shared" si="6"/>
        <v>105.87249999999999</v>
      </c>
      <c r="N396">
        <v>0</v>
      </c>
      <c r="O396">
        <v>3500</v>
      </c>
      <c r="P396">
        <v>1500</v>
      </c>
      <c r="Q396">
        <v>0</v>
      </c>
    </row>
    <row r="397" spans="1:17">
      <c r="A397" t="s">
        <v>122</v>
      </c>
      <c r="B397" t="s">
        <v>26</v>
      </c>
      <c r="C397">
        <v>6</v>
      </c>
      <c r="D397">
        <v>2021</v>
      </c>
      <c r="E397" s="49" t="s">
        <v>3</v>
      </c>
      <c r="F397" s="49" t="s">
        <v>160</v>
      </c>
      <c r="G397">
        <f>'Baseline (June to Sep)'!Y99+'Baseline (June to Sep)'!Z99</f>
        <v>20</v>
      </c>
      <c r="H397">
        <f>'Baseline (June to Sep)'!AA99</f>
        <v>10</v>
      </c>
      <c r="I397">
        <v>0</v>
      </c>
      <c r="J397">
        <f>G397*Parameters!$B$2*Parameters!$B$5</f>
        <v>42.581999999999994</v>
      </c>
      <c r="K397">
        <f>H397*Parameters!$B$3*Parameters!$B$6</f>
        <v>62.707999999999998</v>
      </c>
      <c r="L397">
        <f>I397*Parameters!$B$4*Parameters!$B$7</f>
        <v>0</v>
      </c>
      <c r="M397">
        <f t="shared" si="6"/>
        <v>105.28999999999999</v>
      </c>
      <c r="N397">
        <v>0</v>
      </c>
      <c r="O397">
        <v>2000</v>
      </c>
      <c r="P397">
        <v>3000</v>
      </c>
      <c r="Q397">
        <v>0</v>
      </c>
    </row>
    <row r="398" spans="1:17">
      <c r="A398" t="s">
        <v>123</v>
      </c>
      <c r="B398" t="s">
        <v>19</v>
      </c>
      <c r="C398">
        <v>8</v>
      </c>
      <c r="D398">
        <v>2021</v>
      </c>
      <c r="E398" s="49" t="s">
        <v>3</v>
      </c>
      <c r="F398" s="49" t="s">
        <v>160</v>
      </c>
      <c r="G398">
        <f>'Baseline (June to Sep)'!Y100+'Baseline (June to Sep)'!Z100</f>
        <v>40</v>
      </c>
      <c r="H398">
        <f>'Baseline (June to Sep)'!AA100</f>
        <v>5</v>
      </c>
      <c r="I398">
        <v>0</v>
      </c>
      <c r="J398">
        <f>G398*Parameters!$B$2*Parameters!$B$5</f>
        <v>85.163999999999987</v>
      </c>
      <c r="K398">
        <f>H398*Parameters!$B$3*Parameters!$B$6</f>
        <v>31.353999999999999</v>
      </c>
      <c r="L398">
        <f>I398*Parameters!$B$4*Parameters!$B$7</f>
        <v>0</v>
      </c>
      <c r="M398">
        <f t="shared" si="6"/>
        <v>116.51799999999999</v>
      </c>
      <c r="N398">
        <v>0</v>
      </c>
      <c r="O398">
        <v>4000</v>
      </c>
      <c r="P398">
        <v>1500</v>
      </c>
      <c r="Q398">
        <v>0</v>
      </c>
    </row>
    <row r="399" spans="1:17">
      <c r="A399" t="s">
        <v>124</v>
      </c>
      <c r="B399" t="s">
        <v>56</v>
      </c>
      <c r="C399">
        <v>9</v>
      </c>
      <c r="D399">
        <v>2021</v>
      </c>
      <c r="E399" s="49" t="s">
        <v>3</v>
      </c>
      <c r="F399" s="49" t="s">
        <v>160</v>
      </c>
      <c r="G399">
        <f>'Baseline (June to Sep)'!Y101+'Baseline (June to Sep)'!Z101</f>
        <v>45</v>
      </c>
      <c r="H399">
        <f>'Baseline (June to Sep)'!AA101</f>
        <v>15</v>
      </c>
      <c r="I399">
        <v>0</v>
      </c>
      <c r="J399">
        <f>G399*Parameters!$B$2*Parameters!$B$5</f>
        <v>95.809499999999986</v>
      </c>
      <c r="K399">
        <f>H399*Parameters!$B$3*Parameters!$B$6</f>
        <v>94.061999999999998</v>
      </c>
      <c r="L399">
        <f>I399*Parameters!$B$4*Parameters!$B$7</f>
        <v>0</v>
      </c>
      <c r="M399">
        <f t="shared" si="6"/>
        <v>189.87149999999997</v>
      </c>
      <c r="N399">
        <v>0</v>
      </c>
      <c r="O399">
        <v>4500</v>
      </c>
      <c r="P399">
        <v>4500</v>
      </c>
      <c r="Q399">
        <v>0</v>
      </c>
    </row>
    <row r="400" spans="1:17">
      <c r="A400" t="s">
        <v>125</v>
      </c>
      <c r="B400" t="s">
        <v>65</v>
      </c>
      <c r="C400">
        <v>7</v>
      </c>
      <c r="D400">
        <v>2021</v>
      </c>
      <c r="E400" s="49" t="s">
        <v>3</v>
      </c>
      <c r="F400" s="49" t="s">
        <v>160</v>
      </c>
      <c r="G400">
        <f>'Baseline (June to Sep)'!Y102+'Baseline (June to Sep)'!Z102</f>
        <v>20</v>
      </c>
      <c r="H400">
        <f>'Baseline (June to Sep)'!AA102</f>
        <v>10</v>
      </c>
      <c r="I400">
        <v>0</v>
      </c>
      <c r="J400">
        <f>G400*Parameters!$B$2*Parameters!$B$5</f>
        <v>42.581999999999994</v>
      </c>
      <c r="K400">
        <f>H400*Parameters!$B$3*Parameters!$B$6</f>
        <v>62.707999999999998</v>
      </c>
      <c r="L400">
        <f>I400*Parameters!$B$4*Parameters!$B$7</f>
        <v>0</v>
      </c>
      <c r="M400">
        <f t="shared" si="6"/>
        <v>105.28999999999999</v>
      </c>
      <c r="N400">
        <v>0</v>
      </c>
      <c r="O400">
        <v>2000</v>
      </c>
      <c r="P400">
        <v>3000</v>
      </c>
      <c r="Q400">
        <v>0</v>
      </c>
    </row>
    <row r="401" spans="1:17">
      <c r="A401" t="s">
        <v>126</v>
      </c>
      <c r="B401" t="s">
        <v>65</v>
      </c>
      <c r="C401">
        <v>6</v>
      </c>
      <c r="D401">
        <v>2021</v>
      </c>
      <c r="E401" s="49" t="s">
        <v>3</v>
      </c>
      <c r="F401" s="49" t="s">
        <v>160</v>
      </c>
      <c r="G401">
        <f>'Baseline (June to Sep)'!Y103+'Baseline (June to Sep)'!Z103</f>
        <v>28</v>
      </c>
      <c r="H401">
        <f>'Baseline (June to Sep)'!AA103</f>
        <v>13</v>
      </c>
      <c r="I401">
        <v>0</v>
      </c>
      <c r="J401">
        <f>G401*Parameters!$B$2*Parameters!$B$5</f>
        <v>59.614799999999995</v>
      </c>
      <c r="K401">
        <f>H401*Parameters!$B$3*Parameters!$B$6</f>
        <v>81.520399999999995</v>
      </c>
      <c r="L401">
        <f>I401*Parameters!$B$4*Parameters!$B$7</f>
        <v>0</v>
      </c>
      <c r="M401">
        <f t="shared" si="6"/>
        <v>141.1352</v>
      </c>
      <c r="N401">
        <v>0</v>
      </c>
      <c r="O401">
        <v>2800</v>
      </c>
      <c r="P401">
        <v>3900</v>
      </c>
      <c r="Q401">
        <v>0</v>
      </c>
    </row>
    <row r="402" spans="1:17">
      <c r="A402" t="s">
        <v>16</v>
      </c>
      <c r="B402" t="s">
        <v>17</v>
      </c>
      <c r="C402">
        <v>8</v>
      </c>
      <c r="D402">
        <v>2021</v>
      </c>
      <c r="E402" s="49" t="s">
        <v>144</v>
      </c>
      <c r="F402" s="49" t="s">
        <v>163</v>
      </c>
      <c r="G402">
        <f>'October to Jan, 2021 2022'!G4+'October to Jan, 2021 2022'!H4</f>
        <v>42</v>
      </c>
      <c r="H402">
        <f>'October to Jan, 2021 2022'!I4</f>
        <v>0</v>
      </c>
      <c r="I402">
        <f>'October to Jan, 2021 2022'!J4</f>
        <v>6</v>
      </c>
      <c r="J402">
        <f>G402*Parameters!$B$2*Parameters!$B$5</f>
        <v>89.422199999999975</v>
      </c>
      <c r="K402">
        <f>H402*Parameters!$B$3*Parameters!$B$6</f>
        <v>0</v>
      </c>
      <c r="L402">
        <f>I402*Parameters!$B$4*Parameters!$B$7</f>
        <v>48.578400000000009</v>
      </c>
      <c r="M402">
        <f t="shared" si="6"/>
        <v>138.00059999999999</v>
      </c>
      <c r="N402">
        <v>0</v>
      </c>
      <c r="O402">
        <v>4200</v>
      </c>
      <c r="P402">
        <v>0</v>
      </c>
      <c r="Q402">
        <v>1800</v>
      </c>
    </row>
    <row r="403" spans="1:17">
      <c r="A403" t="s">
        <v>18</v>
      </c>
      <c r="B403" t="s">
        <v>19</v>
      </c>
      <c r="C403">
        <v>7</v>
      </c>
      <c r="D403">
        <v>2021</v>
      </c>
      <c r="E403" s="49" t="s">
        <v>144</v>
      </c>
      <c r="F403" s="49" t="s">
        <v>163</v>
      </c>
      <c r="G403">
        <f>'October to Jan, 2021 2022'!G5+'October to Jan, 2021 2022'!H5</f>
        <v>25</v>
      </c>
      <c r="H403">
        <f>'October to Jan, 2021 2022'!I5</f>
        <v>0</v>
      </c>
      <c r="I403">
        <f>'October to Jan, 2021 2022'!J5</f>
        <v>10</v>
      </c>
      <c r="J403">
        <f>G403*Parameters!$B$2*Parameters!$B$5</f>
        <v>53.227499999999992</v>
      </c>
      <c r="K403">
        <f>H403*Parameters!$B$3*Parameters!$B$6</f>
        <v>0</v>
      </c>
      <c r="L403">
        <f>I403*Parameters!$B$4*Parameters!$B$7</f>
        <v>80.963999999999999</v>
      </c>
      <c r="M403">
        <f t="shared" si="6"/>
        <v>134.19149999999999</v>
      </c>
      <c r="N403">
        <v>0</v>
      </c>
      <c r="O403">
        <v>2500</v>
      </c>
      <c r="P403">
        <v>0</v>
      </c>
      <c r="Q403">
        <v>3000</v>
      </c>
    </row>
    <row r="404" spans="1:17">
      <c r="A404" t="s">
        <v>20</v>
      </c>
      <c r="B404" t="s">
        <v>21</v>
      </c>
      <c r="C404">
        <v>10</v>
      </c>
      <c r="D404">
        <v>2021</v>
      </c>
      <c r="E404" s="49" t="s">
        <v>144</v>
      </c>
      <c r="F404" s="49" t="s">
        <v>163</v>
      </c>
      <c r="G404">
        <f>'October to Jan, 2021 2022'!G6+'October to Jan, 2021 2022'!H6</f>
        <v>50</v>
      </c>
      <c r="H404">
        <f>'October to Jan, 2021 2022'!I6</f>
        <v>0</v>
      </c>
      <c r="I404">
        <f>'October to Jan, 2021 2022'!J6</f>
        <v>20</v>
      </c>
      <c r="J404">
        <f>G404*Parameters!$B$2*Parameters!$B$5</f>
        <v>106.45499999999998</v>
      </c>
      <c r="K404">
        <f>H404*Parameters!$B$3*Parameters!$B$6</f>
        <v>0</v>
      </c>
      <c r="L404">
        <f>I404*Parameters!$B$4*Parameters!$B$7</f>
        <v>161.928</v>
      </c>
      <c r="M404">
        <f t="shared" si="6"/>
        <v>268.38299999999998</v>
      </c>
      <c r="N404">
        <v>0</v>
      </c>
      <c r="O404">
        <v>5000</v>
      </c>
      <c r="P404">
        <v>0</v>
      </c>
      <c r="Q404">
        <v>6000</v>
      </c>
    </row>
    <row r="405" spans="1:17">
      <c r="A405" t="s">
        <v>22</v>
      </c>
      <c r="B405" t="s">
        <v>19</v>
      </c>
      <c r="C405">
        <v>7</v>
      </c>
      <c r="D405">
        <v>2021</v>
      </c>
      <c r="E405" s="49" t="s">
        <v>144</v>
      </c>
      <c r="F405" s="49" t="s">
        <v>163</v>
      </c>
      <c r="G405">
        <f>'October to Jan, 2021 2022'!G7+'October to Jan, 2021 2022'!H7</f>
        <v>10</v>
      </c>
      <c r="H405">
        <f>'October to Jan, 2021 2022'!I7</f>
        <v>0</v>
      </c>
      <c r="I405">
        <f>'October to Jan, 2021 2022'!J7</f>
        <v>10</v>
      </c>
      <c r="J405">
        <f>G405*Parameters!$B$2*Parameters!$B$5</f>
        <v>21.290999999999997</v>
      </c>
      <c r="K405">
        <f>H405*Parameters!$B$3*Parameters!$B$6</f>
        <v>0</v>
      </c>
      <c r="L405">
        <f>I405*Parameters!$B$4*Parameters!$B$7</f>
        <v>80.963999999999999</v>
      </c>
      <c r="M405">
        <f t="shared" si="6"/>
        <v>102.255</v>
      </c>
      <c r="N405">
        <v>0</v>
      </c>
      <c r="O405">
        <v>1000</v>
      </c>
      <c r="P405">
        <v>0</v>
      </c>
      <c r="Q405">
        <v>3000</v>
      </c>
    </row>
    <row r="406" spans="1:17">
      <c r="A406" t="s">
        <v>23</v>
      </c>
      <c r="B406" t="s">
        <v>24</v>
      </c>
      <c r="C406">
        <v>4</v>
      </c>
      <c r="D406">
        <v>2021</v>
      </c>
      <c r="E406" s="49" t="s">
        <v>144</v>
      </c>
      <c r="F406" s="49" t="s">
        <v>163</v>
      </c>
      <c r="G406">
        <f>'October to Jan, 2021 2022'!G8+'October to Jan, 2021 2022'!H8</f>
        <v>45</v>
      </c>
      <c r="H406">
        <f>'October to Jan, 2021 2022'!I8</f>
        <v>0</v>
      </c>
      <c r="I406">
        <f>'October to Jan, 2021 2022'!J8</f>
        <v>20</v>
      </c>
      <c r="J406">
        <f>G406*Parameters!$B$2*Parameters!$B$5</f>
        <v>95.809499999999986</v>
      </c>
      <c r="K406">
        <f>H406*Parameters!$B$3*Parameters!$B$6</f>
        <v>0</v>
      </c>
      <c r="L406">
        <f>I406*Parameters!$B$4*Parameters!$B$7</f>
        <v>161.928</v>
      </c>
      <c r="M406">
        <f t="shared" si="6"/>
        <v>257.73749999999995</v>
      </c>
      <c r="N406">
        <v>0</v>
      </c>
      <c r="O406">
        <v>4500</v>
      </c>
      <c r="P406">
        <v>0</v>
      </c>
      <c r="Q406">
        <v>6000</v>
      </c>
    </row>
    <row r="407" spans="1:17">
      <c r="A407" t="s">
        <v>25</v>
      </c>
      <c r="B407" t="s">
        <v>26</v>
      </c>
      <c r="C407">
        <v>3</v>
      </c>
      <c r="D407">
        <v>2021</v>
      </c>
      <c r="E407" s="49" t="s">
        <v>144</v>
      </c>
      <c r="F407" s="49" t="s">
        <v>163</v>
      </c>
      <c r="G407">
        <f>'October to Jan, 2021 2022'!G9+'October to Jan, 2021 2022'!H9</f>
        <v>20</v>
      </c>
      <c r="H407">
        <f>'October to Jan, 2021 2022'!I9</f>
        <v>0</v>
      </c>
      <c r="I407">
        <f>'October to Jan, 2021 2022'!J9</f>
        <v>10</v>
      </c>
      <c r="J407">
        <f>G407*Parameters!$B$2*Parameters!$B$5</f>
        <v>42.581999999999994</v>
      </c>
      <c r="K407">
        <f>H407*Parameters!$B$3*Parameters!$B$6</f>
        <v>0</v>
      </c>
      <c r="L407">
        <f>I407*Parameters!$B$4*Parameters!$B$7</f>
        <v>80.963999999999999</v>
      </c>
      <c r="M407">
        <f t="shared" si="6"/>
        <v>123.54599999999999</v>
      </c>
      <c r="N407">
        <v>0</v>
      </c>
      <c r="O407">
        <v>2000</v>
      </c>
      <c r="P407">
        <v>0</v>
      </c>
      <c r="Q407">
        <v>3000</v>
      </c>
    </row>
    <row r="408" spans="1:17">
      <c r="A408" t="s">
        <v>27</v>
      </c>
      <c r="B408" t="s">
        <v>21</v>
      </c>
      <c r="C408">
        <v>6</v>
      </c>
      <c r="D408">
        <v>2021</v>
      </c>
      <c r="E408" s="49" t="s">
        <v>144</v>
      </c>
      <c r="F408" s="49" t="s">
        <v>163</v>
      </c>
      <c r="G408">
        <f>'October to Jan, 2021 2022'!G10+'October to Jan, 2021 2022'!H10</f>
        <v>51</v>
      </c>
      <c r="H408">
        <f>'October to Jan, 2021 2022'!I10</f>
        <v>0</v>
      </c>
      <c r="I408">
        <f>'October to Jan, 2021 2022'!J10</f>
        <v>20</v>
      </c>
      <c r="J408">
        <f>G408*Parameters!$B$2*Parameters!$B$5</f>
        <v>108.58409999999999</v>
      </c>
      <c r="K408">
        <f>H408*Parameters!$B$3*Parameters!$B$6</f>
        <v>0</v>
      </c>
      <c r="L408">
        <f>I408*Parameters!$B$4*Parameters!$B$7</f>
        <v>161.928</v>
      </c>
      <c r="M408">
        <f t="shared" si="6"/>
        <v>270.51209999999998</v>
      </c>
      <c r="N408">
        <v>0</v>
      </c>
      <c r="O408">
        <v>5100</v>
      </c>
      <c r="P408">
        <v>0</v>
      </c>
      <c r="Q408">
        <v>6000</v>
      </c>
    </row>
    <row r="409" spans="1:17">
      <c r="A409" t="s">
        <v>28</v>
      </c>
      <c r="B409" t="s">
        <v>19</v>
      </c>
      <c r="C409">
        <v>9</v>
      </c>
      <c r="D409">
        <v>2021</v>
      </c>
      <c r="E409" s="49" t="s">
        <v>144</v>
      </c>
      <c r="F409" s="49" t="s">
        <v>163</v>
      </c>
      <c r="G409">
        <f>'October to Jan, 2021 2022'!G11+'October to Jan, 2021 2022'!H11</f>
        <v>45</v>
      </c>
      <c r="H409">
        <f>'October to Jan, 2021 2022'!I11</f>
        <v>0</v>
      </c>
      <c r="I409">
        <f>'October to Jan, 2021 2022'!J11</f>
        <v>10</v>
      </c>
      <c r="J409">
        <f>G409*Parameters!$B$2*Parameters!$B$5</f>
        <v>95.809499999999986</v>
      </c>
      <c r="K409">
        <f>H409*Parameters!$B$3*Parameters!$B$6</f>
        <v>0</v>
      </c>
      <c r="L409">
        <f>I409*Parameters!$B$4*Parameters!$B$7</f>
        <v>80.963999999999999</v>
      </c>
      <c r="M409">
        <f t="shared" si="6"/>
        <v>176.77349999999998</v>
      </c>
      <c r="N409">
        <v>0</v>
      </c>
      <c r="O409">
        <v>4500</v>
      </c>
      <c r="P409">
        <v>0</v>
      </c>
      <c r="Q409">
        <v>3000</v>
      </c>
    </row>
    <row r="410" spans="1:17">
      <c r="A410" t="s">
        <v>29</v>
      </c>
      <c r="B410" t="s">
        <v>24</v>
      </c>
      <c r="C410">
        <v>4</v>
      </c>
      <c r="D410">
        <v>2021</v>
      </c>
      <c r="E410" s="49" t="s">
        <v>144</v>
      </c>
      <c r="F410" s="49" t="s">
        <v>163</v>
      </c>
      <c r="G410">
        <f>'October to Jan, 2021 2022'!G12+'October to Jan, 2021 2022'!H12</f>
        <v>15</v>
      </c>
      <c r="H410">
        <f>'October to Jan, 2021 2022'!I12</f>
        <v>0</v>
      </c>
      <c r="I410">
        <f>'October to Jan, 2021 2022'!J12</f>
        <v>10</v>
      </c>
      <c r="J410">
        <f>G410*Parameters!$B$2*Parameters!$B$5</f>
        <v>31.936499999999995</v>
      </c>
      <c r="K410">
        <f>H410*Parameters!$B$3*Parameters!$B$6</f>
        <v>0</v>
      </c>
      <c r="L410">
        <f>I410*Parameters!$B$4*Parameters!$B$7</f>
        <v>80.963999999999999</v>
      </c>
      <c r="M410">
        <f t="shared" si="6"/>
        <v>112.90049999999999</v>
      </c>
      <c r="N410">
        <v>0</v>
      </c>
      <c r="O410">
        <v>1500</v>
      </c>
      <c r="P410">
        <v>0</v>
      </c>
      <c r="Q410">
        <v>3000</v>
      </c>
    </row>
    <row r="411" spans="1:17">
      <c r="A411" t="s">
        <v>30</v>
      </c>
      <c r="B411" t="s">
        <v>21</v>
      </c>
      <c r="C411">
        <v>6</v>
      </c>
      <c r="D411">
        <v>2021</v>
      </c>
      <c r="E411" s="49" t="s">
        <v>144</v>
      </c>
      <c r="F411" s="49" t="s">
        <v>163</v>
      </c>
      <c r="G411">
        <f>'October to Jan, 2021 2022'!G13+'October to Jan, 2021 2022'!H13</f>
        <v>24</v>
      </c>
      <c r="H411">
        <f>'October to Jan, 2021 2022'!I13</f>
        <v>0</v>
      </c>
      <c r="I411">
        <f>'October to Jan, 2021 2022'!J13</f>
        <v>20</v>
      </c>
      <c r="J411">
        <f>G411*Parameters!$B$2*Parameters!$B$5</f>
        <v>51.098399999999991</v>
      </c>
      <c r="K411">
        <f>H411*Parameters!$B$3*Parameters!$B$6</f>
        <v>0</v>
      </c>
      <c r="L411">
        <f>I411*Parameters!$B$4*Parameters!$B$7</f>
        <v>161.928</v>
      </c>
      <c r="M411">
        <f t="shared" si="6"/>
        <v>213.0264</v>
      </c>
      <c r="N411">
        <v>0</v>
      </c>
      <c r="O411">
        <v>2400</v>
      </c>
      <c r="P411">
        <v>0</v>
      </c>
      <c r="Q411">
        <v>6000</v>
      </c>
    </row>
    <row r="412" spans="1:17">
      <c r="A412" t="s">
        <v>31</v>
      </c>
      <c r="B412" t="s">
        <v>32</v>
      </c>
      <c r="C412">
        <v>4</v>
      </c>
      <c r="D412">
        <v>2021</v>
      </c>
      <c r="E412" s="49" t="s">
        <v>144</v>
      </c>
      <c r="F412" s="49" t="s">
        <v>163</v>
      </c>
      <c r="G412">
        <f>'October to Jan, 2021 2022'!G14+'October to Jan, 2021 2022'!H14</f>
        <v>68</v>
      </c>
      <c r="H412">
        <f>'October to Jan, 2021 2022'!I14</f>
        <v>0</v>
      </c>
      <c r="I412">
        <f>'October to Jan, 2021 2022'!J14</f>
        <v>0</v>
      </c>
      <c r="J412">
        <f>G412*Parameters!$B$2*Parameters!$B$5</f>
        <v>144.77879999999999</v>
      </c>
      <c r="K412">
        <f>H412*Parameters!$B$3*Parameters!$B$6</f>
        <v>0</v>
      </c>
      <c r="L412">
        <f>I412*Parameters!$B$4*Parameters!$B$7</f>
        <v>0</v>
      </c>
      <c r="M412">
        <f t="shared" si="6"/>
        <v>144.77879999999999</v>
      </c>
      <c r="N412">
        <v>0</v>
      </c>
      <c r="O412">
        <v>6800</v>
      </c>
      <c r="P412">
        <v>0</v>
      </c>
      <c r="Q412">
        <v>0</v>
      </c>
    </row>
    <row r="413" spans="1:17">
      <c r="A413" t="s">
        <v>33</v>
      </c>
      <c r="B413" t="s">
        <v>32</v>
      </c>
      <c r="C413">
        <v>6</v>
      </c>
      <c r="D413">
        <v>2021</v>
      </c>
      <c r="E413" s="49" t="s">
        <v>144</v>
      </c>
      <c r="F413" s="49" t="s">
        <v>163</v>
      </c>
      <c r="G413">
        <f>'October to Jan, 2021 2022'!G15+'October to Jan, 2021 2022'!H15</f>
        <v>25</v>
      </c>
      <c r="H413">
        <f>'October to Jan, 2021 2022'!I15</f>
        <v>10</v>
      </c>
      <c r="I413">
        <f>'October to Jan, 2021 2022'!J15</f>
        <v>10</v>
      </c>
      <c r="J413">
        <f>G413*Parameters!$B$2*Parameters!$B$5</f>
        <v>53.227499999999992</v>
      </c>
      <c r="K413">
        <f>H413*Parameters!$B$3*Parameters!$B$6</f>
        <v>62.707999999999998</v>
      </c>
      <c r="L413">
        <f>I413*Parameters!$B$4*Parameters!$B$7</f>
        <v>80.963999999999999</v>
      </c>
      <c r="M413">
        <f t="shared" si="6"/>
        <v>196.89949999999999</v>
      </c>
      <c r="N413">
        <v>0</v>
      </c>
      <c r="O413">
        <v>2500</v>
      </c>
      <c r="P413">
        <v>3000</v>
      </c>
      <c r="Q413">
        <v>3000</v>
      </c>
    </row>
    <row r="414" spans="1:17">
      <c r="A414" t="s">
        <v>34</v>
      </c>
      <c r="B414" t="s">
        <v>21</v>
      </c>
      <c r="C414">
        <v>9</v>
      </c>
      <c r="D414">
        <v>2021</v>
      </c>
      <c r="E414" s="49" t="s">
        <v>144</v>
      </c>
      <c r="F414" s="49" t="s">
        <v>163</v>
      </c>
      <c r="G414">
        <f>'October to Jan, 2021 2022'!G16+'October to Jan, 2021 2022'!H16</f>
        <v>30</v>
      </c>
      <c r="H414">
        <f>'October to Jan, 2021 2022'!I16</f>
        <v>0</v>
      </c>
      <c r="I414">
        <f>'October to Jan, 2021 2022'!J16</f>
        <v>20</v>
      </c>
      <c r="J414">
        <f>G414*Parameters!$B$2*Parameters!$B$5</f>
        <v>63.87299999999999</v>
      </c>
      <c r="K414">
        <f>H414*Parameters!$B$3*Parameters!$B$6</f>
        <v>0</v>
      </c>
      <c r="L414">
        <f>I414*Parameters!$B$4*Parameters!$B$7</f>
        <v>161.928</v>
      </c>
      <c r="M414">
        <f t="shared" si="6"/>
        <v>225.80099999999999</v>
      </c>
      <c r="N414">
        <v>0</v>
      </c>
      <c r="O414">
        <v>3000</v>
      </c>
      <c r="P414">
        <v>0</v>
      </c>
      <c r="Q414">
        <v>6000</v>
      </c>
    </row>
    <row r="415" spans="1:17">
      <c r="A415" t="s">
        <v>35</v>
      </c>
      <c r="B415" t="s">
        <v>21</v>
      </c>
      <c r="C415">
        <v>6</v>
      </c>
      <c r="D415">
        <v>2021</v>
      </c>
      <c r="E415" s="49" t="s">
        <v>144</v>
      </c>
      <c r="F415" s="49" t="s">
        <v>163</v>
      </c>
      <c r="G415">
        <f>'October to Jan, 2021 2022'!G17+'October to Jan, 2021 2022'!H17</f>
        <v>20</v>
      </c>
      <c r="H415">
        <f>'October to Jan, 2021 2022'!I17</f>
        <v>15</v>
      </c>
      <c r="I415">
        <f>'October to Jan, 2021 2022'!J17</f>
        <v>0</v>
      </c>
      <c r="J415">
        <f>G415*Parameters!$B$2*Parameters!$B$5</f>
        <v>42.581999999999994</v>
      </c>
      <c r="K415">
        <f>H415*Parameters!$B$3*Parameters!$B$6</f>
        <v>94.061999999999998</v>
      </c>
      <c r="L415">
        <f>I415*Parameters!$B$4*Parameters!$B$7</f>
        <v>0</v>
      </c>
      <c r="M415">
        <f t="shared" si="6"/>
        <v>136.64400000000001</v>
      </c>
      <c r="N415">
        <v>0</v>
      </c>
      <c r="O415">
        <v>2000</v>
      </c>
      <c r="P415">
        <v>4500</v>
      </c>
      <c r="Q415">
        <v>0</v>
      </c>
    </row>
    <row r="416" spans="1:17">
      <c r="A416" t="s">
        <v>36</v>
      </c>
      <c r="B416" t="s">
        <v>21</v>
      </c>
      <c r="C416">
        <v>12</v>
      </c>
      <c r="D416">
        <v>2021</v>
      </c>
      <c r="E416" s="49" t="s">
        <v>144</v>
      </c>
      <c r="F416" s="49" t="s">
        <v>163</v>
      </c>
      <c r="G416">
        <f>'October to Jan, 2021 2022'!G18+'October to Jan, 2021 2022'!H18</f>
        <v>10</v>
      </c>
      <c r="H416">
        <f>'October to Jan, 2021 2022'!I18</f>
        <v>0</v>
      </c>
      <c r="I416">
        <f>'October to Jan, 2021 2022'!J18</f>
        <v>20</v>
      </c>
      <c r="J416">
        <f>G416*Parameters!$B$2*Parameters!$B$5</f>
        <v>21.290999999999997</v>
      </c>
      <c r="K416">
        <f>H416*Parameters!$B$3*Parameters!$B$6</f>
        <v>0</v>
      </c>
      <c r="L416">
        <f>I416*Parameters!$B$4*Parameters!$B$7</f>
        <v>161.928</v>
      </c>
      <c r="M416">
        <f t="shared" si="6"/>
        <v>183.21899999999999</v>
      </c>
      <c r="N416">
        <v>0</v>
      </c>
      <c r="O416">
        <v>1000</v>
      </c>
      <c r="P416">
        <v>0</v>
      </c>
      <c r="Q416">
        <v>6000</v>
      </c>
    </row>
    <row r="417" spans="1:17">
      <c r="A417" t="s">
        <v>37</v>
      </c>
      <c r="B417" t="s">
        <v>38</v>
      </c>
      <c r="C417">
        <v>7</v>
      </c>
      <c r="D417">
        <v>2021</v>
      </c>
      <c r="E417" s="49" t="s">
        <v>144</v>
      </c>
      <c r="F417" s="49" t="s">
        <v>163</v>
      </c>
      <c r="G417">
        <f>'October to Jan, 2021 2022'!G19+'October to Jan, 2021 2022'!H19</f>
        <v>45</v>
      </c>
      <c r="H417">
        <f>'October to Jan, 2021 2022'!I19</f>
        <v>0</v>
      </c>
      <c r="I417">
        <f>'October to Jan, 2021 2022'!J19</f>
        <v>25</v>
      </c>
      <c r="J417">
        <f>G417*Parameters!$B$2*Parameters!$B$5</f>
        <v>95.809499999999986</v>
      </c>
      <c r="K417">
        <f>H417*Parameters!$B$3*Parameters!$B$6</f>
        <v>0</v>
      </c>
      <c r="L417">
        <f>I417*Parameters!$B$4*Parameters!$B$7</f>
        <v>202.41000000000003</v>
      </c>
      <c r="M417">
        <f t="shared" si="6"/>
        <v>298.21950000000004</v>
      </c>
      <c r="N417">
        <v>0</v>
      </c>
      <c r="O417">
        <v>4500</v>
      </c>
      <c r="P417">
        <v>0</v>
      </c>
      <c r="Q417">
        <v>7500</v>
      </c>
    </row>
    <row r="418" spans="1:17">
      <c r="A418" t="s">
        <v>39</v>
      </c>
      <c r="B418" t="s">
        <v>40</v>
      </c>
      <c r="C418">
        <v>6</v>
      </c>
      <c r="D418">
        <v>2021</v>
      </c>
      <c r="E418" s="49" t="s">
        <v>144</v>
      </c>
      <c r="F418" s="49" t="s">
        <v>163</v>
      </c>
      <c r="G418">
        <f>'October to Jan, 2021 2022'!G20+'October to Jan, 2021 2022'!H20</f>
        <v>10</v>
      </c>
      <c r="H418">
        <f>'October to Jan, 2021 2022'!I20</f>
        <v>0</v>
      </c>
      <c r="I418">
        <f>'October to Jan, 2021 2022'!J20</f>
        <v>10</v>
      </c>
      <c r="J418">
        <f>G418*Parameters!$B$2*Parameters!$B$5</f>
        <v>21.290999999999997</v>
      </c>
      <c r="K418">
        <f>H418*Parameters!$B$3*Parameters!$B$6</f>
        <v>0</v>
      </c>
      <c r="L418">
        <f>I418*Parameters!$B$4*Parameters!$B$7</f>
        <v>80.963999999999999</v>
      </c>
      <c r="M418">
        <f t="shared" si="6"/>
        <v>102.255</v>
      </c>
      <c r="N418">
        <v>0</v>
      </c>
      <c r="O418">
        <v>1000</v>
      </c>
      <c r="P418">
        <v>0</v>
      </c>
      <c r="Q418">
        <v>3000</v>
      </c>
    </row>
    <row r="419" spans="1:17">
      <c r="A419" t="s">
        <v>41</v>
      </c>
      <c r="B419" t="s">
        <v>26</v>
      </c>
      <c r="C419">
        <v>5</v>
      </c>
      <c r="D419">
        <v>2021</v>
      </c>
      <c r="E419" s="49" t="s">
        <v>144</v>
      </c>
      <c r="F419" s="49" t="s">
        <v>163</v>
      </c>
      <c r="G419">
        <f>'October to Jan, 2021 2022'!G21+'October to Jan, 2021 2022'!H21</f>
        <v>30</v>
      </c>
      <c r="H419">
        <f>'October to Jan, 2021 2022'!I21</f>
        <v>10</v>
      </c>
      <c r="I419">
        <f>'October to Jan, 2021 2022'!J21</f>
        <v>0</v>
      </c>
      <c r="J419">
        <f>G419*Parameters!$B$2*Parameters!$B$5</f>
        <v>63.87299999999999</v>
      </c>
      <c r="K419">
        <f>H419*Parameters!$B$3*Parameters!$B$6</f>
        <v>62.707999999999998</v>
      </c>
      <c r="L419">
        <f>I419*Parameters!$B$4*Parameters!$B$7</f>
        <v>0</v>
      </c>
      <c r="M419">
        <f t="shared" si="6"/>
        <v>126.58099999999999</v>
      </c>
      <c r="N419">
        <v>0</v>
      </c>
      <c r="O419">
        <v>3000</v>
      </c>
      <c r="P419">
        <v>3000</v>
      </c>
      <c r="Q419">
        <v>0</v>
      </c>
    </row>
    <row r="420" spans="1:17">
      <c r="A420" t="s">
        <v>42</v>
      </c>
      <c r="B420" t="s">
        <v>24</v>
      </c>
      <c r="C420">
        <v>5</v>
      </c>
      <c r="D420">
        <v>2021</v>
      </c>
      <c r="E420" s="49" t="s">
        <v>144</v>
      </c>
      <c r="F420" s="49" t="s">
        <v>163</v>
      </c>
      <c r="G420">
        <f>'October to Jan, 2021 2022'!G22+'October to Jan, 2021 2022'!H22</f>
        <v>35</v>
      </c>
      <c r="H420">
        <f>'October to Jan, 2021 2022'!I22</f>
        <v>0</v>
      </c>
      <c r="I420">
        <f>'October to Jan, 2021 2022'!J22</f>
        <v>5</v>
      </c>
      <c r="J420">
        <f>G420*Parameters!$B$2*Parameters!$B$5</f>
        <v>74.518499999999989</v>
      </c>
      <c r="K420">
        <f>H420*Parameters!$B$3*Parameters!$B$6</f>
        <v>0</v>
      </c>
      <c r="L420">
        <f>I420*Parameters!$B$4*Parameters!$B$7</f>
        <v>40.481999999999999</v>
      </c>
      <c r="M420">
        <f t="shared" si="6"/>
        <v>115.00049999999999</v>
      </c>
      <c r="N420">
        <v>0</v>
      </c>
      <c r="O420">
        <v>3500</v>
      </c>
      <c r="P420">
        <v>0</v>
      </c>
      <c r="Q420">
        <v>1500</v>
      </c>
    </row>
    <row r="421" spans="1:17">
      <c r="A421" t="s">
        <v>43</v>
      </c>
      <c r="B421" t="s">
        <v>19</v>
      </c>
      <c r="C421">
        <v>8</v>
      </c>
      <c r="D421">
        <v>2021</v>
      </c>
      <c r="E421" s="49" t="s">
        <v>144</v>
      </c>
      <c r="F421" s="49" t="s">
        <v>163</v>
      </c>
      <c r="G421">
        <f>'October to Jan, 2021 2022'!G23+'October to Jan, 2021 2022'!H23</f>
        <v>50</v>
      </c>
      <c r="H421">
        <f>'October to Jan, 2021 2022'!I23</f>
        <v>0</v>
      </c>
      <c r="I421">
        <f>'October to Jan, 2021 2022'!J23</f>
        <v>5</v>
      </c>
      <c r="J421">
        <f>G421*Parameters!$B$2*Parameters!$B$5</f>
        <v>106.45499999999998</v>
      </c>
      <c r="K421">
        <f>H421*Parameters!$B$3*Parameters!$B$6</f>
        <v>0</v>
      </c>
      <c r="L421">
        <f>I421*Parameters!$B$4*Parameters!$B$7</f>
        <v>40.481999999999999</v>
      </c>
      <c r="M421">
        <f t="shared" si="6"/>
        <v>146.93699999999998</v>
      </c>
      <c r="N421">
        <v>0</v>
      </c>
      <c r="O421">
        <v>5000</v>
      </c>
      <c r="P421">
        <v>0</v>
      </c>
      <c r="Q421">
        <v>1500</v>
      </c>
    </row>
    <row r="422" spans="1:17">
      <c r="A422" t="s">
        <v>44</v>
      </c>
      <c r="B422" t="s">
        <v>40</v>
      </c>
      <c r="C422">
        <v>10</v>
      </c>
      <c r="D422">
        <v>2021</v>
      </c>
      <c r="E422" s="49" t="s">
        <v>144</v>
      </c>
      <c r="F422" s="49" t="s">
        <v>163</v>
      </c>
      <c r="G422">
        <f>'October to Jan, 2021 2022'!G24+'October to Jan, 2021 2022'!H24</f>
        <v>20</v>
      </c>
      <c r="H422">
        <f>'October to Jan, 2021 2022'!I24</f>
        <v>0</v>
      </c>
      <c r="I422">
        <f>'October to Jan, 2021 2022'!J24</f>
        <v>10</v>
      </c>
      <c r="J422">
        <f>G422*Parameters!$B$2*Parameters!$B$5</f>
        <v>42.581999999999994</v>
      </c>
      <c r="K422">
        <f>H422*Parameters!$B$3*Parameters!$B$6</f>
        <v>0</v>
      </c>
      <c r="L422">
        <f>I422*Parameters!$B$4*Parameters!$B$7</f>
        <v>80.963999999999999</v>
      </c>
      <c r="M422">
        <f t="shared" si="6"/>
        <v>123.54599999999999</v>
      </c>
      <c r="N422">
        <v>0</v>
      </c>
      <c r="O422">
        <v>2000</v>
      </c>
      <c r="P422">
        <v>0</v>
      </c>
      <c r="Q422">
        <v>3000</v>
      </c>
    </row>
    <row r="423" spans="1:17">
      <c r="A423" t="s">
        <v>45</v>
      </c>
      <c r="B423" t="s">
        <v>24</v>
      </c>
      <c r="C423">
        <v>8</v>
      </c>
      <c r="D423">
        <v>2021</v>
      </c>
      <c r="E423" s="49" t="s">
        <v>144</v>
      </c>
      <c r="F423" s="49" t="s">
        <v>163</v>
      </c>
      <c r="G423">
        <f>'October to Jan, 2021 2022'!G25+'October to Jan, 2021 2022'!H25</f>
        <v>25</v>
      </c>
      <c r="H423">
        <f>'October to Jan, 2021 2022'!I25</f>
        <v>0</v>
      </c>
      <c r="I423">
        <f>'October to Jan, 2021 2022'!J25</f>
        <v>10</v>
      </c>
      <c r="J423">
        <f>G423*Parameters!$B$2*Parameters!$B$5</f>
        <v>53.227499999999992</v>
      </c>
      <c r="K423">
        <f>H423*Parameters!$B$3*Parameters!$B$6</f>
        <v>0</v>
      </c>
      <c r="L423">
        <f>I423*Parameters!$B$4*Parameters!$B$7</f>
        <v>80.963999999999999</v>
      </c>
      <c r="M423">
        <f t="shared" si="6"/>
        <v>134.19149999999999</v>
      </c>
      <c r="N423">
        <v>0</v>
      </c>
      <c r="O423">
        <v>2500</v>
      </c>
      <c r="P423">
        <v>0</v>
      </c>
      <c r="Q423">
        <v>3000</v>
      </c>
    </row>
    <row r="424" spans="1:17">
      <c r="A424" t="s">
        <v>46</v>
      </c>
      <c r="B424" t="s">
        <v>24</v>
      </c>
      <c r="C424">
        <v>4</v>
      </c>
      <c r="D424">
        <v>2021</v>
      </c>
      <c r="E424" s="49" t="s">
        <v>144</v>
      </c>
      <c r="F424" s="49" t="s">
        <v>163</v>
      </c>
      <c r="G424">
        <f>'October to Jan, 2021 2022'!G26+'October to Jan, 2021 2022'!H26</f>
        <v>30</v>
      </c>
      <c r="H424">
        <f>'October to Jan, 2021 2022'!I26</f>
        <v>0</v>
      </c>
      <c r="I424">
        <f>'October to Jan, 2021 2022'!J26</f>
        <v>10</v>
      </c>
      <c r="J424">
        <f>G424*Parameters!$B$2*Parameters!$B$5</f>
        <v>63.87299999999999</v>
      </c>
      <c r="K424">
        <f>H424*Parameters!$B$3*Parameters!$B$6</f>
        <v>0</v>
      </c>
      <c r="L424">
        <f>I424*Parameters!$B$4*Parameters!$B$7</f>
        <v>80.963999999999999</v>
      </c>
      <c r="M424">
        <f t="shared" si="6"/>
        <v>144.83699999999999</v>
      </c>
      <c r="N424">
        <v>0</v>
      </c>
      <c r="O424">
        <v>3000</v>
      </c>
      <c r="P424">
        <v>0</v>
      </c>
      <c r="Q424">
        <v>3000</v>
      </c>
    </row>
    <row r="425" spans="1:17">
      <c r="A425" t="s">
        <v>47</v>
      </c>
      <c r="B425" t="s">
        <v>19</v>
      </c>
      <c r="C425">
        <v>6</v>
      </c>
      <c r="D425">
        <v>2021</v>
      </c>
      <c r="E425" s="49" t="s">
        <v>144</v>
      </c>
      <c r="F425" s="49" t="s">
        <v>163</v>
      </c>
      <c r="G425">
        <f>'October to Jan, 2021 2022'!G27+'October to Jan, 2021 2022'!H27</f>
        <v>0</v>
      </c>
      <c r="H425">
        <f>'October to Jan, 2021 2022'!I27</f>
        <v>0</v>
      </c>
      <c r="I425">
        <f>'October to Jan, 2021 2022'!J27</f>
        <v>10</v>
      </c>
      <c r="J425">
        <f>G425*Parameters!$B$2*Parameters!$B$5</f>
        <v>0</v>
      </c>
      <c r="K425">
        <f>H425*Parameters!$B$3*Parameters!$B$6</f>
        <v>0</v>
      </c>
      <c r="L425">
        <f>I425*Parameters!$B$4*Parameters!$B$7</f>
        <v>80.963999999999999</v>
      </c>
      <c r="M425">
        <f t="shared" si="6"/>
        <v>80.963999999999999</v>
      </c>
      <c r="N425">
        <v>0</v>
      </c>
      <c r="O425">
        <v>0</v>
      </c>
      <c r="P425">
        <v>0</v>
      </c>
      <c r="Q425">
        <v>3000</v>
      </c>
    </row>
    <row r="426" spans="1:17">
      <c r="A426" t="s">
        <v>48</v>
      </c>
      <c r="B426" t="s">
        <v>24</v>
      </c>
      <c r="C426">
        <v>4</v>
      </c>
      <c r="D426">
        <v>2021</v>
      </c>
      <c r="E426" s="49" t="s">
        <v>144</v>
      </c>
      <c r="F426" s="49" t="s">
        <v>163</v>
      </c>
      <c r="G426">
        <f>'October to Jan, 2021 2022'!G28+'October to Jan, 2021 2022'!H28</f>
        <v>70</v>
      </c>
      <c r="H426">
        <f>'October to Jan, 2021 2022'!I28</f>
        <v>0</v>
      </c>
      <c r="I426">
        <f>'October to Jan, 2021 2022'!J28</f>
        <v>20</v>
      </c>
      <c r="J426">
        <f>G426*Parameters!$B$2*Parameters!$B$5</f>
        <v>149.03699999999998</v>
      </c>
      <c r="K426">
        <f>H426*Parameters!$B$3*Parameters!$B$6</f>
        <v>0</v>
      </c>
      <c r="L426">
        <f>I426*Parameters!$B$4*Parameters!$B$7</f>
        <v>161.928</v>
      </c>
      <c r="M426">
        <f t="shared" si="6"/>
        <v>310.96499999999997</v>
      </c>
      <c r="N426">
        <v>0</v>
      </c>
      <c r="O426">
        <v>7000</v>
      </c>
      <c r="P426">
        <v>0</v>
      </c>
      <c r="Q426">
        <v>6000</v>
      </c>
    </row>
    <row r="427" spans="1:17">
      <c r="A427" t="s">
        <v>49</v>
      </c>
      <c r="B427" t="s">
        <v>38</v>
      </c>
      <c r="C427">
        <v>2</v>
      </c>
      <c r="D427">
        <v>2021</v>
      </c>
      <c r="E427" s="49" t="s">
        <v>144</v>
      </c>
      <c r="F427" s="49" t="s">
        <v>163</v>
      </c>
      <c r="G427">
        <f>'October to Jan, 2021 2022'!G29+'October to Jan, 2021 2022'!H29</f>
        <v>40</v>
      </c>
      <c r="H427">
        <f>'October to Jan, 2021 2022'!I29</f>
        <v>5</v>
      </c>
      <c r="I427">
        <f>'October to Jan, 2021 2022'!J29</f>
        <v>0</v>
      </c>
      <c r="J427">
        <f>G427*Parameters!$B$2*Parameters!$B$5</f>
        <v>85.163999999999987</v>
      </c>
      <c r="K427">
        <f>H427*Parameters!$B$3*Parameters!$B$6</f>
        <v>31.353999999999999</v>
      </c>
      <c r="L427">
        <f>I427*Parameters!$B$4*Parameters!$B$7</f>
        <v>0</v>
      </c>
      <c r="M427">
        <f t="shared" si="6"/>
        <v>116.51799999999999</v>
      </c>
      <c r="N427">
        <v>0</v>
      </c>
      <c r="O427">
        <v>4000</v>
      </c>
      <c r="P427">
        <v>1500</v>
      </c>
      <c r="Q427">
        <v>0</v>
      </c>
    </row>
    <row r="428" spans="1:17">
      <c r="A428" t="s">
        <v>50</v>
      </c>
      <c r="B428" t="s">
        <v>19</v>
      </c>
      <c r="C428">
        <v>8</v>
      </c>
      <c r="D428">
        <v>2021</v>
      </c>
      <c r="E428" s="49" t="s">
        <v>144</v>
      </c>
      <c r="F428" s="49" t="s">
        <v>163</v>
      </c>
      <c r="G428">
        <f>'October to Jan, 2021 2022'!G30+'October to Jan, 2021 2022'!H30</f>
        <v>30</v>
      </c>
      <c r="H428">
        <f>'October to Jan, 2021 2022'!I30</f>
        <v>0</v>
      </c>
      <c r="I428">
        <f>'October to Jan, 2021 2022'!J30</f>
        <v>10</v>
      </c>
      <c r="J428">
        <f>G428*Parameters!$B$2*Parameters!$B$5</f>
        <v>63.87299999999999</v>
      </c>
      <c r="K428">
        <f>H428*Parameters!$B$3*Parameters!$B$6</f>
        <v>0</v>
      </c>
      <c r="L428">
        <f>I428*Parameters!$B$4*Parameters!$B$7</f>
        <v>80.963999999999999</v>
      </c>
      <c r="M428">
        <f t="shared" si="6"/>
        <v>144.83699999999999</v>
      </c>
      <c r="N428">
        <v>0</v>
      </c>
      <c r="O428">
        <v>3000</v>
      </c>
      <c r="P428">
        <v>0</v>
      </c>
      <c r="Q428">
        <v>3000</v>
      </c>
    </row>
    <row r="429" spans="1:17">
      <c r="A429" t="s">
        <v>51</v>
      </c>
      <c r="B429" t="s">
        <v>19</v>
      </c>
      <c r="C429">
        <v>6</v>
      </c>
      <c r="D429">
        <v>2021</v>
      </c>
      <c r="E429" s="49" t="s">
        <v>144</v>
      </c>
      <c r="F429" s="49" t="s">
        <v>163</v>
      </c>
      <c r="G429">
        <f>'October to Jan, 2021 2022'!G31+'October to Jan, 2021 2022'!H31</f>
        <v>34</v>
      </c>
      <c r="H429">
        <f>'October to Jan, 2021 2022'!I31</f>
        <v>0</v>
      </c>
      <c r="I429">
        <f>'October to Jan, 2021 2022'!J31</f>
        <v>10</v>
      </c>
      <c r="J429">
        <f>G429*Parameters!$B$2*Parameters!$B$5</f>
        <v>72.389399999999995</v>
      </c>
      <c r="K429">
        <f>H429*Parameters!$B$3*Parameters!$B$6</f>
        <v>0</v>
      </c>
      <c r="L429">
        <f>I429*Parameters!$B$4*Parameters!$B$7</f>
        <v>80.963999999999999</v>
      </c>
      <c r="M429">
        <f t="shared" si="6"/>
        <v>153.35339999999999</v>
      </c>
      <c r="N429">
        <v>0</v>
      </c>
      <c r="O429">
        <v>3400</v>
      </c>
      <c r="P429">
        <v>0</v>
      </c>
      <c r="Q429">
        <v>3000</v>
      </c>
    </row>
    <row r="430" spans="1:17">
      <c r="A430" t="s">
        <v>52</v>
      </c>
      <c r="B430" t="s">
        <v>38</v>
      </c>
      <c r="C430">
        <v>12</v>
      </c>
      <c r="D430">
        <v>2021</v>
      </c>
      <c r="E430" s="49" t="s">
        <v>144</v>
      </c>
      <c r="F430" s="49" t="s">
        <v>163</v>
      </c>
      <c r="G430">
        <f>'October to Jan, 2021 2022'!G32+'October to Jan, 2021 2022'!H32</f>
        <v>36</v>
      </c>
      <c r="H430">
        <f>'October to Jan, 2021 2022'!I32</f>
        <v>0</v>
      </c>
      <c r="I430">
        <f>'October to Jan, 2021 2022'!J32</f>
        <v>30</v>
      </c>
      <c r="J430">
        <f>G430*Parameters!$B$2*Parameters!$B$5</f>
        <v>76.647599999999997</v>
      </c>
      <c r="K430">
        <f>H430*Parameters!$B$3*Parameters!$B$6</f>
        <v>0</v>
      </c>
      <c r="L430">
        <f>I430*Parameters!$B$4*Parameters!$B$7</f>
        <v>242.89200000000002</v>
      </c>
      <c r="M430">
        <f t="shared" si="6"/>
        <v>319.53960000000001</v>
      </c>
      <c r="N430">
        <v>0</v>
      </c>
      <c r="O430">
        <v>3600</v>
      </c>
      <c r="P430">
        <v>0</v>
      </c>
      <c r="Q430">
        <v>9000</v>
      </c>
    </row>
    <row r="431" spans="1:17">
      <c r="A431" t="s">
        <v>53</v>
      </c>
      <c r="B431" t="s">
        <v>40</v>
      </c>
      <c r="C431">
        <v>8</v>
      </c>
      <c r="D431">
        <v>2021</v>
      </c>
      <c r="E431" s="49" t="s">
        <v>144</v>
      </c>
      <c r="F431" s="49" t="s">
        <v>163</v>
      </c>
      <c r="G431">
        <f>'October to Jan, 2021 2022'!G33+'October to Jan, 2021 2022'!H33</f>
        <v>70</v>
      </c>
      <c r="H431">
        <f>'October to Jan, 2021 2022'!I33</f>
        <v>0</v>
      </c>
      <c r="I431">
        <f>'October to Jan, 2021 2022'!J33</f>
        <v>5</v>
      </c>
      <c r="J431">
        <f>G431*Parameters!$B$2*Parameters!$B$5</f>
        <v>149.03699999999998</v>
      </c>
      <c r="K431">
        <f>H431*Parameters!$B$3*Parameters!$B$6</f>
        <v>0</v>
      </c>
      <c r="L431">
        <f>I431*Parameters!$B$4*Parameters!$B$7</f>
        <v>40.481999999999999</v>
      </c>
      <c r="M431">
        <f t="shared" si="6"/>
        <v>189.51899999999998</v>
      </c>
      <c r="N431">
        <v>0</v>
      </c>
      <c r="O431">
        <v>7000</v>
      </c>
      <c r="P431">
        <v>0</v>
      </c>
      <c r="Q431">
        <v>1500</v>
      </c>
    </row>
    <row r="432" spans="1:17">
      <c r="A432" t="s">
        <v>54</v>
      </c>
      <c r="B432" t="s">
        <v>40</v>
      </c>
      <c r="C432">
        <v>6</v>
      </c>
      <c r="D432">
        <v>2021</v>
      </c>
      <c r="E432" s="49" t="s">
        <v>144</v>
      </c>
      <c r="F432" s="49" t="s">
        <v>163</v>
      </c>
      <c r="G432">
        <f>'October to Jan, 2021 2022'!G34+'October to Jan, 2021 2022'!H34</f>
        <v>48</v>
      </c>
      <c r="H432">
        <f>'October to Jan, 2021 2022'!I34</f>
        <v>0</v>
      </c>
      <c r="I432">
        <f>'October to Jan, 2021 2022'!J34</f>
        <v>10</v>
      </c>
      <c r="J432">
        <f>G432*Parameters!$B$2*Parameters!$B$5</f>
        <v>102.19679999999998</v>
      </c>
      <c r="K432">
        <f>H432*Parameters!$B$3*Parameters!$B$6</f>
        <v>0</v>
      </c>
      <c r="L432">
        <f>I432*Parameters!$B$4*Parameters!$B$7</f>
        <v>80.963999999999999</v>
      </c>
      <c r="M432">
        <f t="shared" si="6"/>
        <v>183.16079999999999</v>
      </c>
      <c r="N432">
        <v>0</v>
      </c>
      <c r="O432">
        <v>4800</v>
      </c>
      <c r="P432">
        <v>0</v>
      </c>
      <c r="Q432">
        <v>3000</v>
      </c>
    </row>
    <row r="433" spans="1:17">
      <c r="A433" t="s">
        <v>55</v>
      </c>
      <c r="B433" t="s">
        <v>56</v>
      </c>
      <c r="C433">
        <v>4</v>
      </c>
      <c r="D433">
        <v>2021</v>
      </c>
      <c r="E433" s="49" t="s">
        <v>144</v>
      </c>
      <c r="F433" s="49" t="s">
        <v>163</v>
      </c>
      <c r="G433">
        <f>'October to Jan, 2021 2022'!G35+'October to Jan, 2021 2022'!H35</f>
        <v>0</v>
      </c>
      <c r="H433">
        <f>'October to Jan, 2021 2022'!I35</f>
        <v>0</v>
      </c>
      <c r="I433">
        <f>'October to Jan, 2021 2022'!J35</f>
        <v>10</v>
      </c>
      <c r="J433">
        <f>G433*Parameters!$B$2*Parameters!$B$5</f>
        <v>0</v>
      </c>
      <c r="K433">
        <f>H433*Parameters!$B$3*Parameters!$B$6</f>
        <v>0</v>
      </c>
      <c r="L433">
        <f>I433*Parameters!$B$4*Parameters!$B$7</f>
        <v>80.963999999999999</v>
      </c>
      <c r="M433">
        <f t="shared" si="6"/>
        <v>80.963999999999999</v>
      </c>
      <c r="N433">
        <v>0</v>
      </c>
      <c r="O433">
        <v>0</v>
      </c>
      <c r="P433">
        <v>0</v>
      </c>
      <c r="Q433">
        <v>3000</v>
      </c>
    </row>
    <row r="434" spans="1:17">
      <c r="A434" t="s">
        <v>57</v>
      </c>
      <c r="B434" t="s">
        <v>40</v>
      </c>
      <c r="C434">
        <v>4</v>
      </c>
      <c r="D434">
        <v>2021</v>
      </c>
      <c r="E434" s="49" t="s">
        <v>144</v>
      </c>
      <c r="F434" s="49" t="s">
        <v>163</v>
      </c>
      <c r="G434">
        <f>'October to Jan, 2021 2022'!G36+'October to Jan, 2021 2022'!H36</f>
        <v>25</v>
      </c>
      <c r="H434">
        <f>'October to Jan, 2021 2022'!I36</f>
        <v>0</v>
      </c>
      <c r="I434">
        <f>'October to Jan, 2021 2022'!J36</f>
        <v>10</v>
      </c>
      <c r="J434">
        <f>G434*Parameters!$B$2*Parameters!$B$5</f>
        <v>53.227499999999992</v>
      </c>
      <c r="K434">
        <f>H434*Parameters!$B$3*Parameters!$B$6</f>
        <v>0</v>
      </c>
      <c r="L434">
        <f>I434*Parameters!$B$4*Parameters!$B$7</f>
        <v>80.963999999999999</v>
      </c>
      <c r="M434">
        <f t="shared" si="6"/>
        <v>134.19149999999999</v>
      </c>
      <c r="N434">
        <v>0</v>
      </c>
      <c r="O434">
        <v>2500</v>
      </c>
      <c r="P434">
        <v>0</v>
      </c>
      <c r="Q434">
        <v>3000</v>
      </c>
    </row>
    <row r="435" spans="1:17">
      <c r="A435" t="s">
        <v>58</v>
      </c>
      <c r="B435" t="s">
        <v>26</v>
      </c>
      <c r="C435">
        <v>6</v>
      </c>
      <c r="D435">
        <v>2021</v>
      </c>
      <c r="E435" s="49" t="s">
        <v>144</v>
      </c>
      <c r="F435" s="49" t="s">
        <v>163</v>
      </c>
      <c r="G435">
        <f>'October to Jan, 2021 2022'!G37+'October to Jan, 2021 2022'!H37</f>
        <v>48</v>
      </c>
      <c r="H435">
        <f>'October to Jan, 2021 2022'!I37</f>
        <v>0</v>
      </c>
      <c r="I435">
        <f>'October to Jan, 2021 2022'!J37</f>
        <v>10</v>
      </c>
      <c r="J435">
        <f>G435*Parameters!$B$2*Parameters!$B$5</f>
        <v>102.19679999999998</v>
      </c>
      <c r="K435">
        <f>H435*Parameters!$B$3*Parameters!$B$6</f>
        <v>0</v>
      </c>
      <c r="L435">
        <f>I435*Parameters!$B$4*Parameters!$B$7</f>
        <v>80.963999999999999</v>
      </c>
      <c r="M435">
        <f t="shared" si="6"/>
        <v>183.16079999999999</v>
      </c>
      <c r="N435">
        <v>0</v>
      </c>
      <c r="O435">
        <v>4800</v>
      </c>
      <c r="P435">
        <v>0</v>
      </c>
      <c r="Q435">
        <v>3000</v>
      </c>
    </row>
    <row r="436" spans="1:17">
      <c r="A436" t="s">
        <v>59</v>
      </c>
      <c r="B436" t="s">
        <v>26</v>
      </c>
      <c r="C436">
        <v>7</v>
      </c>
      <c r="D436">
        <v>2021</v>
      </c>
      <c r="E436" s="49" t="s">
        <v>144</v>
      </c>
      <c r="F436" s="49" t="s">
        <v>163</v>
      </c>
      <c r="G436">
        <f>'October to Jan, 2021 2022'!G38+'October to Jan, 2021 2022'!H38</f>
        <v>25</v>
      </c>
      <c r="H436">
        <f>'October to Jan, 2021 2022'!I38</f>
        <v>0</v>
      </c>
      <c r="I436">
        <f>'October to Jan, 2021 2022'!J38</f>
        <v>20</v>
      </c>
      <c r="J436">
        <f>G436*Parameters!$B$2*Parameters!$B$5</f>
        <v>53.227499999999992</v>
      </c>
      <c r="K436">
        <f>H436*Parameters!$B$3*Parameters!$B$6</f>
        <v>0</v>
      </c>
      <c r="L436">
        <f>I436*Parameters!$B$4*Parameters!$B$7</f>
        <v>161.928</v>
      </c>
      <c r="M436">
        <f t="shared" si="6"/>
        <v>215.15549999999999</v>
      </c>
      <c r="N436">
        <v>0</v>
      </c>
      <c r="O436">
        <v>2500</v>
      </c>
      <c r="P436">
        <v>0</v>
      </c>
      <c r="Q436">
        <v>6000</v>
      </c>
    </row>
    <row r="437" spans="1:17">
      <c r="A437" t="s">
        <v>60</v>
      </c>
      <c r="B437" t="s">
        <v>26</v>
      </c>
      <c r="C437">
        <v>8</v>
      </c>
      <c r="D437">
        <v>2021</v>
      </c>
      <c r="E437" s="49" t="s">
        <v>144</v>
      </c>
      <c r="F437" s="49" t="s">
        <v>163</v>
      </c>
      <c r="G437">
        <f>'October to Jan, 2021 2022'!G39+'October to Jan, 2021 2022'!H39</f>
        <v>10</v>
      </c>
      <c r="H437">
        <f>'October to Jan, 2021 2022'!I39</f>
        <v>0</v>
      </c>
      <c r="I437">
        <f>'October to Jan, 2021 2022'!J39</f>
        <v>10</v>
      </c>
      <c r="J437">
        <f>G437*Parameters!$B$2*Parameters!$B$5</f>
        <v>21.290999999999997</v>
      </c>
      <c r="K437">
        <f>H437*Parameters!$B$3*Parameters!$B$6</f>
        <v>0</v>
      </c>
      <c r="L437">
        <f>I437*Parameters!$B$4*Parameters!$B$7</f>
        <v>80.963999999999999</v>
      </c>
      <c r="M437">
        <f t="shared" si="6"/>
        <v>102.255</v>
      </c>
      <c r="N437">
        <v>0</v>
      </c>
      <c r="O437">
        <v>1000</v>
      </c>
      <c r="P437">
        <v>0</v>
      </c>
      <c r="Q437">
        <v>3000</v>
      </c>
    </row>
    <row r="438" spans="1:17">
      <c r="A438" t="s">
        <v>61</v>
      </c>
      <c r="B438" t="s">
        <v>56</v>
      </c>
      <c r="C438">
        <v>5</v>
      </c>
      <c r="D438">
        <v>2021</v>
      </c>
      <c r="E438" s="49" t="s">
        <v>144</v>
      </c>
      <c r="F438" s="49" t="s">
        <v>163</v>
      </c>
      <c r="G438">
        <f>'October to Jan, 2021 2022'!G40+'October to Jan, 2021 2022'!H40</f>
        <v>25</v>
      </c>
      <c r="H438">
        <f>'October to Jan, 2021 2022'!I40</f>
        <v>0</v>
      </c>
      <c r="I438">
        <f>'October to Jan, 2021 2022'!J40</f>
        <v>5</v>
      </c>
      <c r="J438">
        <f>G438*Parameters!$B$2*Parameters!$B$5</f>
        <v>53.227499999999992</v>
      </c>
      <c r="K438">
        <f>H438*Parameters!$B$3*Parameters!$B$6</f>
        <v>0</v>
      </c>
      <c r="L438">
        <f>I438*Parameters!$B$4*Parameters!$B$7</f>
        <v>40.481999999999999</v>
      </c>
      <c r="M438">
        <f t="shared" si="6"/>
        <v>93.709499999999991</v>
      </c>
      <c r="N438">
        <v>0</v>
      </c>
      <c r="O438">
        <v>2500</v>
      </c>
      <c r="P438">
        <v>0</v>
      </c>
      <c r="Q438">
        <v>1500</v>
      </c>
    </row>
    <row r="439" spans="1:17">
      <c r="A439" t="s">
        <v>62</v>
      </c>
      <c r="B439" t="s">
        <v>21</v>
      </c>
      <c r="C439">
        <v>6</v>
      </c>
      <c r="D439">
        <v>2021</v>
      </c>
      <c r="E439" s="49" t="s">
        <v>144</v>
      </c>
      <c r="F439" s="49" t="s">
        <v>163</v>
      </c>
      <c r="G439">
        <f>'October to Jan, 2021 2022'!G41+'October to Jan, 2021 2022'!H41</f>
        <v>55</v>
      </c>
      <c r="H439">
        <f>'October to Jan, 2021 2022'!I41</f>
        <v>10</v>
      </c>
      <c r="I439">
        <f>'October to Jan, 2021 2022'!J41</f>
        <v>0</v>
      </c>
      <c r="J439">
        <f>G439*Parameters!$B$2*Parameters!$B$5</f>
        <v>117.10049999999998</v>
      </c>
      <c r="K439">
        <f>H439*Parameters!$B$3*Parameters!$B$6</f>
        <v>62.707999999999998</v>
      </c>
      <c r="L439">
        <f>I439*Parameters!$B$4*Parameters!$B$7</f>
        <v>0</v>
      </c>
      <c r="M439">
        <f t="shared" si="6"/>
        <v>179.80849999999998</v>
      </c>
      <c r="N439">
        <v>0</v>
      </c>
      <c r="O439">
        <v>5500</v>
      </c>
      <c r="P439">
        <v>3000</v>
      </c>
      <c r="Q439">
        <v>0</v>
      </c>
    </row>
    <row r="440" spans="1:17">
      <c r="A440" t="s">
        <v>63</v>
      </c>
      <c r="B440" t="s">
        <v>21</v>
      </c>
      <c r="C440">
        <v>9</v>
      </c>
      <c r="D440">
        <v>2021</v>
      </c>
      <c r="E440" s="49" t="s">
        <v>144</v>
      </c>
      <c r="F440" s="49" t="s">
        <v>163</v>
      </c>
      <c r="G440">
        <f>'October to Jan, 2021 2022'!G42+'October to Jan, 2021 2022'!H42</f>
        <v>45</v>
      </c>
      <c r="H440">
        <f>'October to Jan, 2021 2022'!I42</f>
        <v>0</v>
      </c>
      <c r="I440">
        <f>'October to Jan, 2021 2022'!J42</f>
        <v>10</v>
      </c>
      <c r="J440">
        <f>G440*Parameters!$B$2*Parameters!$B$5</f>
        <v>95.809499999999986</v>
      </c>
      <c r="K440">
        <f>H440*Parameters!$B$3*Parameters!$B$6</f>
        <v>0</v>
      </c>
      <c r="L440">
        <f>I440*Parameters!$B$4*Parameters!$B$7</f>
        <v>80.963999999999999</v>
      </c>
      <c r="M440">
        <f t="shared" si="6"/>
        <v>176.77349999999998</v>
      </c>
      <c r="N440">
        <v>0</v>
      </c>
      <c r="O440">
        <v>4500</v>
      </c>
      <c r="P440">
        <v>0</v>
      </c>
      <c r="Q440">
        <v>3000</v>
      </c>
    </row>
    <row r="441" spans="1:17">
      <c r="A441" t="s">
        <v>64</v>
      </c>
      <c r="B441" t="s">
        <v>65</v>
      </c>
      <c r="C441">
        <v>3</v>
      </c>
      <c r="D441">
        <v>2021</v>
      </c>
      <c r="E441" s="49" t="s">
        <v>144</v>
      </c>
      <c r="F441" s="49" t="s">
        <v>163</v>
      </c>
      <c r="G441">
        <f>'October to Jan, 2021 2022'!G43+'October to Jan, 2021 2022'!H43</f>
        <v>0</v>
      </c>
      <c r="H441">
        <f>'October to Jan, 2021 2022'!I43</f>
        <v>0</v>
      </c>
      <c r="I441">
        <f>'October to Jan, 2021 2022'!J43</f>
        <v>6</v>
      </c>
      <c r="J441">
        <f>G441*Parameters!$B$2*Parameters!$B$5</f>
        <v>0</v>
      </c>
      <c r="K441">
        <f>H441*Parameters!$B$3*Parameters!$B$6</f>
        <v>0</v>
      </c>
      <c r="L441">
        <f>I441*Parameters!$B$4*Parameters!$B$7</f>
        <v>48.578400000000009</v>
      </c>
      <c r="M441">
        <f t="shared" si="6"/>
        <v>48.578400000000009</v>
      </c>
      <c r="N441">
        <v>0</v>
      </c>
      <c r="O441">
        <v>0</v>
      </c>
      <c r="P441">
        <v>0</v>
      </c>
      <c r="Q441">
        <v>1800</v>
      </c>
    </row>
    <row r="442" spans="1:17">
      <c r="A442" t="s">
        <v>66</v>
      </c>
      <c r="B442" t="s">
        <v>24</v>
      </c>
      <c r="C442">
        <v>4</v>
      </c>
      <c r="D442">
        <v>2021</v>
      </c>
      <c r="E442" s="49" t="s">
        <v>144</v>
      </c>
      <c r="F442" s="49" t="s">
        <v>163</v>
      </c>
      <c r="G442">
        <f>'October to Jan, 2021 2022'!G44+'October to Jan, 2021 2022'!H44</f>
        <v>45</v>
      </c>
      <c r="H442">
        <f>'October to Jan, 2021 2022'!I44</f>
        <v>0</v>
      </c>
      <c r="I442">
        <f>'October to Jan, 2021 2022'!J44</f>
        <v>20</v>
      </c>
      <c r="J442">
        <f>G442*Parameters!$B$2*Parameters!$B$5</f>
        <v>95.809499999999986</v>
      </c>
      <c r="K442">
        <f>H442*Parameters!$B$3*Parameters!$B$6</f>
        <v>0</v>
      </c>
      <c r="L442">
        <f>I442*Parameters!$B$4*Parameters!$B$7</f>
        <v>161.928</v>
      </c>
      <c r="M442">
        <f t="shared" si="6"/>
        <v>257.73749999999995</v>
      </c>
      <c r="N442">
        <v>0</v>
      </c>
      <c r="O442">
        <v>4500</v>
      </c>
      <c r="P442">
        <v>0</v>
      </c>
      <c r="Q442">
        <v>6000</v>
      </c>
    </row>
    <row r="443" spans="1:17">
      <c r="A443" t="s">
        <v>67</v>
      </c>
      <c r="B443" t="s">
        <v>56</v>
      </c>
      <c r="C443">
        <v>6</v>
      </c>
      <c r="D443">
        <v>2021</v>
      </c>
      <c r="E443" s="49" t="s">
        <v>144</v>
      </c>
      <c r="F443" s="49" t="s">
        <v>163</v>
      </c>
      <c r="G443">
        <f>'October to Jan, 2021 2022'!G45+'October to Jan, 2021 2022'!H45</f>
        <v>65</v>
      </c>
      <c r="H443">
        <f>'October to Jan, 2021 2022'!I45</f>
        <v>0</v>
      </c>
      <c r="I443">
        <f>'October to Jan, 2021 2022'!J45</f>
        <v>0</v>
      </c>
      <c r="J443">
        <f>G443*Parameters!$B$2*Parameters!$B$5</f>
        <v>138.39149999999998</v>
      </c>
      <c r="K443">
        <f>H443*Parameters!$B$3*Parameters!$B$6</f>
        <v>0</v>
      </c>
      <c r="L443">
        <f>I443*Parameters!$B$4*Parameters!$B$7</f>
        <v>0</v>
      </c>
      <c r="M443">
        <f t="shared" si="6"/>
        <v>138.39149999999998</v>
      </c>
      <c r="N443">
        <v>0</v>
      </c>
      <c r="O443">
        <v>6500</v>
      </c>
      <c r="P443">
        <v>0</v>
      </c>
      <c r="Q443">
        <v>0</v>
      </c>
    </row>
    <row r="444" spans="1:17">
      <c r="A444" t="s">
        <v>68</v>
      </c>
      <c r="B444" t="s">
        <v>21</v>
      </c>
      <c r="C444">
        <v>4</v>
      </c>
      <c r="D444">
        <v>2021</v>
      </c>
      <c r="E444" s="49" t="s">
        <v>144</v>
      </c>
      <c r="F444" s="49" t="s">
        <v>163</v>
      </c>
      <c r="G444">
        <f>'October to Jan, 2021 2022'!G46+'October to Jan, 2021 2022'!H46</f>
        <v>40</v>
      </c>
      <c r="H444">
        <f>'October to Jan, 2021 2022'!I46</f>
        <v>0</v>
      </c>
      <c r="I444">
        <f>'October to Jan, 2021 2022'!J46</f>
        <v>10</v>
      </c>
      <c r="J444">
        <f>G444*Parameters!$B$2*Parameters!$B$5</f>
        <v>85.163999999999987</v>
      </c>
      <c r="K444">
        <f>H444*Parameters!$B$3*Parameters!$B$6</f>
        <v>0</v>
      </c>
      <c r="L444">
        <f>I444*Parameters!$B$4*Parameters!$B$7</f>
        <v>80.963999999999999</v>
      </c>
      <c r="M444">
        <f t="shared" si="6"/>
        <v>166.12799999999999</v>
      </c>
      <c r="N444">
        <v>0</v>
      </c>
      <c r="O444">
        <v>4000</v>
      </c>
      <c r="P444">
        <v>0</v>
      </c>
      <c r="Q444">
        <v>3000</v>
      </c>
    </row>
    <row r="445" spans="1:17">
      <c r="A445" t="s">
        <v>69</v>
      </c>
      <c r="B445" t="s">
        <v>24</v>
      </c>
      <c r="C445">
        <v>6</v>
      </c>
      <c r="D445">
        <v>2021</v>
      </c>
      <c r="E445" s="49" t="s">
        <v>144</v>
      </c>
      <c r="F445" s="49" t="s">
        <v>163</v>
      </c>
      <c r="G445">
        <f>'October to Jan, 2021 2022'!G47+'October to Jan, 2021 2022'!H47</f>
        <v>25</v>
      </c>
      <c r="H445">
        <f>'October to Jan, 2021 2022'!I47</f>
        <v>0</v>
      </c>
      <c r="I445">
        <f>'October to Jan, 2021 2022'!J47</f>
        <v>5</v>
      </c>
      <c r="J445">
        <f>G445*Parameters!$B$2*Parameters!$B$5</f>
        <v>53.227499999999992</v>
      </c>
      <c r="K445">
        <f>H445*Parameters!$B$3*Parameters!$B$6</f>
        <v>0</v>
      </c>
      <c r="L445">
        <f>I445*Parameters!$B$4*Parameters!$B$7</f>
        <v>40.481999999999999</v>
      </c>
      <c r="M445">
        <f t="shared" si="6"/>
        <v>93.709499999999991</v>
      </c>
      <c r="N445">
        <v>0</v>
      </c>
      <c r="O445">
        <v>2500</v>
      </c>
      <c r="P445">
        <v>0</v>
      </c>
      <c r="Q445">
        <v>1500</v>
      </c>
    </row>
    <row r="446" spans="1:17">
      <c r="A446" t="s">
        <v>70</v>
      </c>
      <c r="B446" t="s">
        <v>26</v>
      </c>
      <c r="C446">
        <v>6</v>
      </c>
      <c r="D446">
        <v>2021</v>
      </c>
      <c r="E446" s="49" t="s">
        <v>144</v>
      </c>
      <c r="F446" s="49" t="s">
        <v>163</v>
      </c>
      <c r="G446">
        <f>'October to Jan, 2021 2022'!G48+'October to Jan, 2021 2022'!H48</f>
        <v>44</v>
      </c>
      <c r="H446">
        <f>'October to Jan, 2021 2022'!I48</f>
        <v>0</v>
      </c>
      <c r="I446">
        <f>'October to Jan, 2021 2022'!J48</f>
        <v>10</v>
      </c>
      <c r="J446">
        <f>G446*Parameters!$B$2*Parameters!$B$5</f>
        <v>93.680399999999992</v>
      </c>
      <c r="K446">
        <f>H446*Parameters!$B$3*Parameters!$B$6</f>
        <v>0</v>
      </c>
      <c r="L446">
        <f>I446*Parameters!$B$4*Parameters!$B$7</f>
        <v>80.963999999999999</v>
      </c>
      <c r="M446">
        <f t="shared" si="6"/>
        <v>174.64439999999999</v>
      </c>
      <c r="N446">
        <v>0</v>
      </c>
      <c r="O446">
        <v>4400</v>
      </c>
      <c r="P446">
        <v>0</v>
      </c>
      <c r="Q446">
        <v>3000</v>
      </c>
    </row>
    <row r="447" spans="1:17">
      <c r="A447" t="s">
        <v>71</v>
      </c>
      <c r="B447" t="s">
        <v>26</v>
      </c>
      <c r="C447">
        <v>5</v>
      </c>
      <c r="D447">
        <v>2021</v>
      </c>
      <c r="E447" s="49" t="s">
        <v>144</v>
      </c>
      <c r="F447" s="49" t="s">
        <v>163</v>
      </c>
      <c r="G447">
        <f>'October to Jan, 2021 2022'!G49+'October to Jan, 2021 2022'!H49</f>
        <v>20</v>
      </c>
      <c r="H447">
        <f>'October to Jan, 2021 2022'!I49</f>
        <v>0</v>
      </c>
      <c r="I447">
        <f>'October to Jan, 2021 2022'!J49</f>
        <v>10</v>
      </c>
      <c r="J447">
        <f>G447*Parameters!$B$2*Parameters!$B$5</f>
        <v>42.581999999999994</v>
      </c>
      <c r="K447">
        <f>H447*Parameters!$B$3*Parameters!$B$6</f>
        <v>0</v>
      </c>
      <c r="L447">
        <f>I447*Parameters!$B$4*Parameters!$B$7</f>
        <v>80.963999999999999</v>
      </c>
      <c r="M447">
        <f t="shared" si="6"/>
        <v>123.54599999999999</v>
      </c>
      <c r="N447">
        <v>0</v>
      </c>
      <c r="O447">
        <v>2000</v>
      </c>
      <c r="P447">
        <v>0</v>
      </c>
      <c r="Q447">
        <v>3000</v>
      </c>
    </row>
    <row r="448" spans="1:17">
      <c r="A448" t="s">
        <v>72</v>
      </c>
      <c r="B448" t="s">
        <v>26</v>
      </c>
      <c r="C448">
        <v>8</v>
      </c>
      <c r="D448">
        <v>2021</v>
      </c>
      <c r="E448" s="49" t="s">
        <v>144</v>
      </c>
      <c r="F448" s="49" t="s">
        <v>163</v>
      </c>
      <c r="G448">
        <f>'October to Jan, 2021 2022'!G50+'October to Jan, 2021 2022'!H50</f>
        <v>56</v>
      </c>
      <c r="H448">
        <f>'October to Jan, 2021 2022'!I50</f>
        <v>0</v>
      </c>
      <c r="I448">
        <f>'October to Jan, 2021 2022'!J50</f>
        <v>10</v>
      </c>
      <c r="J448">
        <f>G448*Parameters!$B$2*Parameters!$B$5</f>
        <v>119.22959999999999</v>
      </c>
      <c r="K448">
        <f>H448*Parameters!$B$3*Parameters!$B$6</f>
        <v>0</v>
      </c>
      <c r="L448">
        <f>I448*Parameters!$B$4*Parameters!$B$7</f>
        <v>80.963999999999999</v>
      </c>
      <c r="M448">
        <f t="shared" si="6"/>
        <v>200.1936</v>
      </c>
      <c r="N448">
        <v>0</v>
      </c>
      <c r="O448">
        <v>5600</v>
      </c>
      <c r="P448">
        <v>0</v>
      </c>
      <c r="Q448">
        <v>3000</v>
      </c>
    </row>
    <row r="449" spans="1:17">
      <c r="A449" t="s">
        <v>73</v>
      </c>
      <c r="B449" t="s">
        <v>17</v>
      </c>
      <c r="C449">
        <v>4</v>
      </c>
      <c r="D449">
        <v>2021</v>
      </c>
      <c r="E449" s="49" t="s">
        <v>144</v>
      </c>
      <c r="F449" s="49" t="s">
        <v>163</v>
      </c>
      <c r="G449">
        <f>'October to Jan, 2021 2022'!G51+'October to Jan, 2021 2022'!H51</f>
        <v>20</v>
      </c>
      <c r="H449">
        <f>'October to Jan, 2021 2022'!I51</f>
        <v>0</v>
      </c>
      <c r="I449">
        <f>'October to Jan, 2021 2022'!J51</f>
        <v>20</v>
      </c>
      <c r="J449">
        <f>G449*Parameters!$B$2*Parameters!$B$5</f>
        <v>42.581999999999994</v>
      </c>
      <c r="K449">
        <f>H449*Parameters!$B$3*Parameters!$B$6</f>
        <v>0</v>
      </c>
      <c r="L449">
        <f>I449*Parameters!$B$4*Parameters!$B$7</f>
        <v>161.928</v>
      </c>
      <c r="M449">
        <f t="shared" si="6"/>
        <v>204.51</v>
      </c>
      <c r="N449">
        <v>0</v>
      </c>
      <c r="O449">
        <v>2000</v>
      </c>
      <c r="P449">
        <v>0</v>
      </c>
      <c r="Q449">
        <v>6000</v>
      </c>
    </row>
    <row r="450" spans="1:17">
      <c r="A450" t="s">
        <v>74</v>
      </c>
      <c r="B450" t="s">
        <v>65</v>
      </c>
      <c r="C450">
        <v>8</v>
      </c>
      <c r="D450">
        <v>2021</v>
      </c>
      <c r="E450" s="49" t="s">
        <v>144</v>
      </c>
      <c r="F450" s="49" t="s">
        <v>163</v>
      </c>
      <c r="G450">
        <f>'October to Jan, 2021 2022'!G52+'October to Jan, 2021 2022'!H52</f>
        <v>0</v>
      </c>
      <c r="H450">
        <f>'October to Jan, 2021 2022'!I52</f>
        <v>0</v>
      </c>
      <c r="I450">
        <f>'October to Jan, 2021 2022'!J52</f>
        <v>6</v>
      </c>
      <c r="J450">
        <f>G450*Parameters!$B$2*Parameters!$B$5</f>
        <v>0</v>
      </c>
      <c r="K450">
        <f>H450*Parameters!$B$3*Parameters!$B$6</f>
        <v>0</v>
      </c>
      <c r="L450">
        <f>I450*Parameters!$B$4*Parameters!$B$7</f>
        <v>48.578400000000009</v>
      </c>
      <c r="M450">
        <f t="shared" si="6"/>
        <v>48.578400000000009</v>
      </c>
      <c r="N450">
        <v>0</v>
      </c>
      <c r="O450">
        <v>0</v>
      </c>
      <c r="P450">
        <v>0</v>
      </c>
      <c r="Q450">
        <v>1800</v>
      </c>
    </row>
    <row r="451" spans="1:17">
      <c r="A451" t="s">
        <v>75</v>
      </c>
      <c r="B451" t="s">
        <v>24</v>
      </c>
      <c r="C451">
        <v>4</v>
      </c>
      <c r="D451">
        <v>2021</v>
      </c>
      <c r="E451" s="49" t="s">
        <v>144</v>
      </c>
      <c r="F451" s="49" t="s">
        <v>163</v>
      </c>
      <c r="G451">
        <f>'October to Jan, 2021 2022'!G53+'October to Jan, 2021 2022'!H53</f>
        <v>40</v>
      </c>
      <c r="H451">
        <f>'October to Jan, 2021 2022'!I53</f>
        <v>15</v>
      </c>
      <c r="I451">
        <f>'October to Jan, 2021 2022'!J53</f>
        <v>0</v>
      </c>
      <c r="J451">
        <f>G451*Parameters!$B$2*Parameters!$B$5</f>
        <v>85.163999999999987</v>
      </c>
      <c r="K451">
        <f>H451*Parameters!$B$3*Parameters!$B$6</f>
        <v>94.061999999999998</v>
      </c>
      <c r="L451">
        <f>I451*Parameters!$B$4*Parameters!$B$7</f>
        <v>0</v>
      </c>
      <c r="M451">
        <f t="shared" ref="M451:M514" si="7">SUM(J451:L451)</f>
        <v>179.226</v>
      </c>
      <c r="N451">
        <v>0</v>
      </c>
      <c r="O451">
        <v>4000</v>
      </c>
      <c r="P451">
        <v>4500</v>
      </c>
      <c r="Q451">
        <v>0</v>
      </c>
    </row>
    <row r="452" spans="1:17">
      <c r="A452" t="s">
        <v>76</v>
      </c>
      <c r="B452" t="s">
        <v>56</v>
      </c>
      <c r="C452">
        <v>4</v>
      </c>
      <c r="D452">
        <v>2021</v>
      </c>
      <c r="E452" s="49" t="s">
        <v>144</v>
      </c>
      <c r="F452" s="49" t="s">
        <v>163</v>
      </c>
      <c r="G452">
        <f>'October to Jan, 2021 2022'!G54+'October to Jan, 2021 2022'!H54</f>
        <v>25</v>
      </c>
      <c r="H452">
        <f>'October to Jan, 2021 2022'!I54</f>
        <v>0</v>
      </c>
      <c r="I452">
        <f>'October to Jan, 2021 2022'!J54</f>
        <v>20</v>
      </c>
      <c r="J452">
        <f>G452*Parameters!$B$2*Parameters!$B$5</f>
        <v>53.227499999999992</v>
      </c>
      <c r="K452">
        <f>H452*Parameters!$B$3*Parameters!$B$6</f>
        <v>0</v>
      </c>
      <c r="L452">
        <f>I452*Parameters!$B$4*Parameters!$B$7</f>
        <v>161.928</v>
      </c>
      <c r="M452">
        <f t="shared" si="7"/>
        <v>215.15549999999999</v>
      </c>
      <c r="N452">
        <v>0</v>
      </c>
      <c r="O452">
        <v>2500</v>
      </c>
      <c r="P452">
        <v>0</v>
      </c>
      <c r="Q452">
        <v>6000</v>
      </c>
    </row>
    <row r="453" spans="1:17">
      <c r="A453" t="s">
        <v>77</v>
      </c>
      <c r="B453" t="s">
        <v>40</v>
      </c>
      <c r="C453">
        <v>12</v>
      </c>
      <c r="D453">
        <v>2021</v>
      </c>
      <c r="E453" s="49" t="s">
        <v>144</v>
      </c>
      <c r="F453" s="49" t="s">
        <v>163</v>
      </c>
      <c r="G453">
        <f>'October to Jan, 2021 2022'!G55+'October to Jan, 2021 2022'!H55</f>
        <v>20</v>
      </c>
      <c r="H453">
        <f>'October to Jan, 2021 2022'!I55</f>
        <v>0</v>
      </c>
      <c r="I453">
        <f>'October to Jan, 2021 2022'!J55</f>
        <v>20</v>
      </c>
      <c r="J453">
        <f>G453*Parameters!$B$2*Parameters!$B$5</f>
        <v>42.581999999999994</v>
      </c>
      <c r="K453">
        <f>H453*Parameters!$B$3*Parameters!$B$6</f>
        <v>0</v>
      </c>
      <c r="L453">
        <f>I453*Parameters!$B$4*Parameters!$B$7</f>
        <v>161.928</v>
      </c>
      <c r="M453">
        <f t="shared" si="7"/>
        <v>204.51</v>
      </c>
      <c r="N453">
        <v>0</v>
      </c>
      <c r="O453">
        <v>2000</v>
      </c>
      <c r="P453">
        <v>0</v>
      </c>
      <c r="Q453">
        <v>6000</v>
      </c>
    </row>
    <row r="454" spans="1:17">
      <c r="A454" t="s">
        <v>78</v>
      </c>
      <c r="B454" t="s">
        <v>32</v>
      </c>
      <c r="C454">
        <v>6</v>
      </c>
      <c r="D454">
        <v>2021</v>
      </c>
      <c r="E454" s="49" t="s">
        <v>144</v>
      </c>
      <c r="F454" s="49" t="s">
        <v>163</v>
      </c>
      <c r="G454">
        <f>'October to Jan, 2021 2022'!G56+'October to Jan, 2021 2022'!H56</f>
        <v>25</v>
      </c>
      <c r="H454">
        <f>'October to Jan, 2021 2022'!I56</f>
        <v>0</v>
      </c>
      <c r="I454">
        <f>'October to Jan, 2021 2022'!J56</f>
        <v>5</v>
      </c>
      <c r="J454">
        <f>G454*Parameters!$B$2*Parameters!$B$5</f>
        <v>53.227499999999992</v>
      </c>
      <c r="K454">
        <f>H454*Parameters!$B$3*Parameters!$B$6</f>
        <v>0</v>
      </c>
      <c r="L454">
        <f>I454*Parameters!$B$4*Parameters!$B$7</f>
        <v>40.481999999999999</v>
      </c>
      <c r="M454">
        <f t="shared" si="7"/>
        <v>93.709499999999991</v>
      </c>
      <c r="N454">
        <v>0</v>
      </c>
      <c r="O454">
        <v>2500</v>
      </c>
      <c r="P454">
        <v>0</v>
      </c>
      <c r="Q454">
        <v>1500</v>
      </c>
    </row>
    <row r="455" spans="1:17">
      <c r="A455" t="s">
        <v>79</v>
      </c>
      <c r="B455" t="s">
        <v>40</v>
      </c>
      <c r="C455">
        <v>4</v>
      </c>
      <c r="D455">
        <v>2021</v>
      </c>
      <c r="E455" s="49" t="s">
        <v>144</v>
      </c>
      <c r="F455" s="49" t="s">
        <v>163</v>
      </c>
      <c r="G455">
        <f>'October to Jan, 2021 2022'!G57+'October to Jan, 2021 2022'!H57</f>
        <v>25</v>
      </c>
      <c r="H455">
        <f>'October to Jan, 2021 2022'!I57</f>
        <v>0</v>
      </c>
      <c r="I455">
        <f>'October to Jan, 2021 2022'!J57</f>
        <v>10</v>
      </c>
      <c r="J455">
        <f>G455*Parameters!$B$2*Parameters!$B$5</f>
        <v>53.227499999999992</v>
      </c>
      <c r="K455">
        <f>H455*Parameters!$B$3*Parameters!$B$6</f>
        <v>0</v>
      </c>
      <c r="L455">
        <f>I455*Parameters!$B$4*Parameters!$B$7</f>
        <v>80.963999999999999</v>
      </c>
      <c r="M455">
        <f t="shared" si="7"/>
        <v>134.19149999999999</v>
      </c>
      <c r="N455">
        <v>0</v>
      </c>
      <c r="O455">
        <v>2500</v>
      </c>
      <c r="P455">
        <v>0</v>
      </c>
      <c r="Q455">
        <v>3000</v>
      </c>
    </row>
    <row r="456" spans="1:17">
      <c r="A456" t="s">
        <v>80</v>
      </c>
      <c r="B456" t="s">
        <v>26</v>
      </c>
      <c r="C456">
        <v>7</v>
      </c>
      <c r="D456">
        <v>2021</v>
      </c>
      <c r="E456" s="49" t="s">
        <v>144</v>
      </c>
      <c r="F456" s="49" t="s">
        <v>163</v>
      </c>
      <c r="G456">
        <f>'October to Jan, 2021 2022'!G58+'October to Jan, 2021 2022'!H58</f>
        <v>30</v>
      </c>
      <c r="H456">
        <f>'October to Jan, 2021 2022'!I58</f>
        <v>0</v>
      </c>
      <c r="I456">
        <f>'October to Jan, 2021 2022'!J58</f>
        <v>10</v>
      </c>
      <c r="J456">
        <f>G456*Parameters!$B$2*Parameters!$B$5</f>
        <v>63.87299999999999</v>
      </c>
      <c r="K456">
        <f>H456*Parameters!$B$3*Parameters!$B$6</f>
        <v>0</v>
      </c>
      <c r="L456">
        <f>I456*Parameters!$B$4*Parameters!$B$7</f>
        <v>80.963999999999999</v>
      </c>
      <c r="M456">
        <f t="shared" si="7"/>
        <v>144.83699999999999</v>
      </c>
      <c r="N456">
        <v>0</v>
      </c>
      <c r="O456">
        <v>3000</v>
      </c>
      <c r="P456">
        <v>0</v>
      </c>
      <c r="Q456">
        <v>3000</v>
      </c>
    </row>
    <row r="457" spans="1:17">
      <c r="A457" t="s">
        <v>81</v>
      </c>
      <c r="B457" t="s">
        <v>24</v>
      </c>
      <c r="C457">
        <v>6</v>
      </c>
      <c r="D457">
        <v>2021</v>
      </c>
      <c r="E457" s="49" t="s">
        <v>144</v>
      </c>
      <c r="F457" s="49" t="s">
        <v>163</v>
      </c>
      <c r="G457">
        <f>'October to Jan, 2021 2022'!G59+'October to Jan, 2021 2022'!H59</f>
        <v>70</v>
      </c>
      <c r="H457">
        <f>'October to Jan, 2021 2022'!I59</f>
        <v>0</v>
      </c>
      <c r="I457">
        <f>'October to Jan, 2021 2022'!J59</f>
        <v>10</v>
      </c>
      <c r="J457">
        <f>G457*Parameters!$B$2*Parameters!$B$5</f>
        <v>149.03699999999998</v>
      </c>
      <c r="K457">
        <f>H457*Parameters!$B$3*Parameters!$B$6</f>
        <v>0</v>
      </c>
      <c r="L457">
        <f>I457*Parameters!$B$4*Parameters!$B$7</f>
        <v>80.963999999999999</v>
      </c>
      <c r="M457">
        <f t="shared" si="7"/>
        <v>230.00099999999998</v>
      </c>
      <c r="N457">
        <v>0</v>
      </c>
      <c r="O457">
        <v>7000</v>
      </c>
      <c r="P457">
        <v>0</v>
      </c>
      <c r="Q457">
        <v>3000</v>
      </c>
    </row>
    <row r="458" spans="1:17">
      <c r="A458" t="s">
        <v>82</v>
      </c>
      <c r="B458" t="s">
        <v>83</v>
      </c>
      <c r="C458">
        <v>4</v>
      </c>
      <c r="D458">
        <v>2021</v>
      </c>
      <c r="E458" s="49" t="s">
        <v>144</v>
      </c>
      <c r="F458" s="49" t="s">
        <v>163</v>
      </c>
      <c r="G458">
        <f>'October to Jan, 2021 2022'!G60+'October to Jan, 2021 2022'!H60</f>
        <v>35</v>
      </c>
      <c r="H458">
        <f>'October to Jan, 2021 2022'!I60</f>
        <v>0</v>
      </c>
      <c r="I458">
        <f>'October to Jan, 2021 2022'!J60</f>
        <v>20</v>
      </c>
      <c r="J458">
        <f>G458*Parameters!$B$2*Parameters!$B$5</f>
        <v>74.518499999999989</v>
      </c>
      <c r="K458">
        <f>H458*Parameters!$B$3*Parameters!$B$6</f>
        <v>0</v>
      </c>
      <c r="L458">
        <f>I458*Parameters!$B$4*Parameters!$B$7</f>
        <v>161.928</v>
      </c>
      <c r="M458">
        <f t="shared" si="7"/>
        <v>236.44649999999999</v>
      </c>
      <c r="N458">
        <v>0</v>
      </c>
      <c r="O458">
        <v>3500</v>
      </c>
      <c r="P458">
        <v>0</v>
      </c>
      <c r="Q458">
        <v>6000</v>
      </c>
    </row>
    <row r="459" spans="1:17">
      <c r="A459" t="s">
        <v>84</v>
      </c>
      <c r="B459" t="s">
        <v>26</v>
      </c>
      <c r="C459">
        <v>7</v>
      </c>
      <c r="D459">
        <v>2021</v>
      </c>
      <c r="E459" s="49" t="s">
        <v>144</v>
      </c>
      <c r="F459" s="49" t="s">
        <v>163</v>
      </c>
      <c r="G459">
        <f>'October to Jan, 2021 2022'!G61+'October to Jan, 2021 2022'!H61</f>
        <v>90</v>
      </c>
      <c r="H459">
        <f>'October to Jan, 2021 2022'!I61</f>
        <v>0</v>
      </c>
      <c r="I459">
        <f>'October to Jan, 2021 2022'!J61</f>
        <v>7</v>
      </c>
      <c r="J459">
        <f>G459*Parameters!$B$2*Parameters!$B$5</f>
        <v>191.61899999999997</v>
      </c>
      <c r="K459">
        <f>H459*Parameters!$B$3*Parameters!$B$6</f>
        <v>0</v>
      </c>
      <c r="L459">
        <f>I459*Parameters!$B$4*Parameters!$B$7</f>
        <v>56.674800000000005</v>
      </c>
      <c r="M459">
        <f t="shared" si="7"/>
        <v>248.29379999999998</v>
      </c>
      <c r="N459">
        <v>0</v>
      </c>
      <c r="O459">
        <v>9000</v>
      </c>
      <c r="P459">
        <v>0</v>
      </c>
      <c r="Q459">
        <v>2100</v>
      </c>
    </row>
    <row r="460" spans="1:17">
      <c r="A460" t="s">
        <v>85</v>
      </c>
      <c r="B460" t="s">
        <v>24</v>
      </c>
      <c r="C460">
        <v>6</v>
      </c>
      <c r="D460">
        <v>2021</v>
      </c>
      <c r="E460" s="49" t="s">
        <v>144</v>
      </c>
      <c r="F460" s="49" t="s">
        <v>163</v>
      </c>
      <c r="G460">
        <f>'October to Jan, 2021 2022'!G62+'October to Jan, 2021 2022'!H62</f>
        <v>80</v>
      </c>
      <c r="H460">
        <f>'October to Jan, 2021 2022'!I62</f>
        <v>0</v>
      </c>
      <c r="I460">
        <f>'October to Jan, 2021 2022'!J62</f>
        <v>20</v>
      </c>
      <c r="J460">
        <f>G460*Parameters!$B$2*Parameters!$B$5</f>
        <v>170.32799999999997</v>
      </c>
      <c r="K460">
        <f>H460*Parameters!$B$3*Parameters!$B$6</f>
        <v>0</v>
      </c>
      <c r="L460">
        <f>I460*Parameters!$B$4*Parameters!$B$7</f>
        <v>161.928</v>
      </c>
      <c r="M460">
        <f t="shared" si="7"/>
        <v>332.25599999999997</v>
      </c>
      <c r="N460">
        <v>0</v>
      </c>
      <c r="O460">
        <v>8000</v>
      </c>
      <c r="P460">
        <v>0</v>
      </c>
      <c r="Q460">
        <v>6000</v>
      </c>
    </row>
    <row r="461" spans="1:17">
      <c r="A461" t="s">
        <v>86</v>
      </c>
      <c r="B461" t="s">
        <v>32</v>
      </c>
      <c r="C461">
        <v>4</v>
      </c>
      <c r="D461">
        <v>2021</v>
      </c>
      <c r="E461" s="49" t="s">
        <v>144</v>
      </c>
      <c r="F461" s="49" t="s">
        <v>163</v>
      </c>
      <c r="G461">
        <f>'October to Jan, 2021 2022'!G63+'October to Jan, 2021 2022'!H63</f>
        <v>20</v>
      </c>
      <c r="H461">
        <f>'October to Jan, 2021 2022'!I63</f>
        <v>0</v>
      </c>
      <c r="I461">
        <f>'October to Jan, 2021 2022'!J63</f>
        <v>4</v>
      </c>
      <c r="J461">
        <f>G461*Parameters!$B$2*Parameters!$B$5</f>
        <v>42.581999999999994</v>
      </c>
      <c r="K461">
        <f>H461*Parameters!$B$3*Parameters!$B$6</f>
        <v>0</v>
      </c>
      <c r="L461">
        <f>I461*Parameters!$B$4*Parameters!$B$7</f>
        <v>32.385600000000004</v>
      </c>
      <c r="M461">
        <f t="shared" si="7"/>
        <v>74.967600000000004</v>
      </c>
      <c r="N461">
        <v>0</v>
      </c>
      <c r="O461">
        <v>2000</v>
      </c>
      <c r="P461">
        <v>0</v>
      </c>
      <c r="Q461">
        <v>1200</v>
      </c>
    </row>
    <row r="462" spans="1:17">
      <c r="A462" t="s">
        <v>87</v>
      </c>
      <c r="B462" t="s">
        <v>32</v>
      </c>
      <c r="C462">
        <v>8</v>
      </c>
      <c r="D462">
        <v>2021</v>
      </c>
      <c r="E462" s="49" t="s">
        <v>144</v>
      </c>
      <c r="F462" s="49" t="s">
        <v>163</v>
      </c>
      <c r="G462">
        <f>'October to Jan, 2021 2022'!G64+'October to Jan, 2021 2022'!H64</f>
        <v>25</v>
      </c>
      <c r="H462">
        <f>'October to Jan, 2021 2022'!I64</f>
        <v>0</v>
      </c>
      <c r="I462">
        <f>'October to Jan, 2021 2022'!J64</f>
        <v>20</v>
      </c>
      <c r="J462">
        <f>G462*Parameters!$B$2*Parameters!$B$5</f>
        <v>53.227499999999992</v>
      </c>
      <c r="K462">
        <f>H462*Parameters!$B$3*Parameters!$B$6</f>
        <v>0</v>
      </c>
      <c r="L462">
        <f>I462*Parameters!$B$4*Parameters!$B$7</f>
        <v>161.928</v>
      </c>
      <c r="M462">
        <f t="shared" si="7"/>
        <v>215.15549999999999</v>
      </c>
      <c r="N462">
        <v>0</v>
      </c>
      <c r="O462">
        <v>2500</v>
      </c>
      <c r="P462">
        <v>0</v>
      </c>
      <c r="Q462">
        <v>6000</v>
      </c>
    </row>
    <row r="463" spans="1:17">
      <c r="A463" t="s">
        <v>88</v>
      </c>
      <c r="B463" t="s">
        <v>32</v>
      </c>
      <c r="C463">
        <v>7</v>
      </c>
      <c r="D463">
        <v>2021</v>
      </c>
      <c r="E463" s="49" t="s">
        <v>144</v>
      </c>
      <c r="F463" s="49" t="s">
        <v>163</v>
      </c>
      <c r="G463">
        <f>'October to Jan, 2021 2022'!G65+'October to Jan, 2021 2022'!H65</f>
        <v>15</v>
      </c>
      <c r="H463">
        <f>'October to Jan, 2021 2022'!I65</f>
        <v>0</v>
      </c>
      <c r="I463">
        <f>'October to Jan, 2021 2022'!J65</f>
        <v>5</v>
      </c>
      <c r="J463">
        <f>G463*Parameters!$B$2*Parameters!$B$5</f>
        <v>31.936499999999995</v>
      </c>
      <c r="K463">
        <f>H463*Parameters!$B$3*Parameters!$B$6</f>
        <v>0</v>
      </c>
      <c r="L463">
        <f>I463*Parameters!$B$4*Parameters!$B$7</f>
        <v>40.481999999999999</v>
      </c>
      <c r="M463">
        <f t="shared" si="7"/>
        <v>72.418499999999995</v>
      </c>
      <c r="N463">
        <v>0</v>
      </c>
      <c r="O463">
        <v>1500</v>
      </c>
      <c r="P463">
        <v>0</v>
      </c>
      <c r="Q463">
        <v>1500</v>
      </c>
    </row>
    <row r="464" spans="1:17">
      <c r="A464" t="s">
        <v>89</v>
      </c>
      <c r="B464" t="s">
        <v>65</v>
      </c>
      <c r="C464">
        <v>8</v>
      </c>
      <c r="D464">
        <v>2021</v>
      </c>
      <c r="E464" s="49" t="s">
        <v>144</v>
      </c>
      <c r="F464" s="49" t="s">
        <v>163</v>
      </c>
      <c r="G464">
        <f>'October to Jan, 2021 2022'!G66+'October to Jan, 2021 2022'!H66</f>
        <v>35</v>
      </c>
      <c r="H464">
        <f>'October to Jan, 2021 2022'!I66</f>
        <v>0</v>
      </c>
      <c r="I464">
        <f>'October to Jan, 2021 2022'!J66</f>
        <v>6</v>
      </c>
      <c r="J464">
        <f>G464*Parameters!$B$2*Parameters!$B$5</f>
        <v>74.518499999999989</v>
      </c>
      <c r="K464">
        <f>H464*Parameters!$B$3*Parameters!$B$6</f>
        <v>0</v>
      </c>
      <c r="L464">
        <f>I464*Parameters!$B$4*Parameters!$B$7</f>
        <v>48.578400000000009</v>
      </c>
      <c r="M464">
        <f t="shared" si="7"/>
        <v>123.09690000000001</v>
      </c>
      <c r="N464">
        <v>0</v>
      </c>
      <c r="O464">
        <v>3500</v>
      </c>
      <c r="P464">
        <v>0</v>
      </c>
      <c r="Q464">
        <v>1800</v>
      </c>
    </row>
    <row r="465" spans="1:17">
      <c r="A465" t="s">
        <v>90</v>
      </c>
      <c r="B465" t="s">
        <v>32</v>
      </c>
      <c r="C465">
        <v>6</v>
      </c>
      <c r="D465">
        <v>2021</v>
      </c>
      <c r="E465" s="49" t="s">
        <v>144</v>
      </c>
      <c r="F465" s="49" t="s">
        <v>163</v>
      </c>
      <c r="G465">
        <f>'October to Jan, 2021 2022'!G67+'October to Jan, 2021 2022'!H67</f>
        <v>40</v>
      </c>
      <c r="H465">
        <f>'October to Jan, 2021 2022'!I67</f>
        <v>0</v>
      </c>
      <c r="I465">
        <f>'October to Jan, 2021 2022'!J67</f>
        <v>6</v>
      </c>
      <c r="J465">
        <f>G465*Parameters!$B$2*Parameters!$B$5</f>
        <v>85.163999999999987</v>
      </c>
      <c r="K465">
        <f>H465*Parameters!$B$3*Parameters!$B$6</f>
        <v>0</v>
      </c>
      <c r="L465">
        <f>I465*Parameters!$B$4*Parameters!$B$7</f>
        <v>48.578400000000009</v>
      </c>
      <c r="M465">
        <f t="shared" si="7"/>
        <v>133.7424</v>
      </c>
      <c r="N465">
        <v>0</v>
      </c>
      <c r="O465">
        <v>4000</v>
      </c>
      <c r="P465">
        <v>0</v>
      </c>
      <c r="Q465">
        <v>1800</v>
      </c>
    </row>
    <row r="466" spans="1:17">
      <c r="A466" t="s">
        <v>91</v>
      </c>
      <c r="B466" t="s">
        <v>24</v>
      </c>
      <c r="C466">
        <v>6</v>
      </c>
      <c r="D466">
        <v>2021</v>
      </c>
      <c r="E466" s="49" t="s">
        <v>144</v>
      </c>
      <c r="F466" s="49" t="s">
        <v>163</v>
      </c>
      <c r="G466">
        <f>'October to Jan, 2021 2022'!G68+'October to Jan, 2021 2022'!H68</f>
        <v>20</v>
      </c>
      <c r="H466">
        <f>'October to Jan, 2021 2022'!I68</f>
        <v>0</v>
      </c>
      <c r="I466">
        <f>'October to Jan, 2021 2022'!J68</f>
        <v>10</v>
      </c>
      <c r="J466">
        <f>G466*Parameters!$B$2*Parameters!$B$5</f>
        <v>42.581999999999994</v>
      </c>
      <c r="K466">
        <f>H466*Parameters!$B$3*Parameters!$B$6</f>
        <v>0</v>
      </c>
      <c r="L466">
        <f>I466*Parameters!$B$4*Parameters!$B$7</f>
        <v>80.963999999999999</v>
      </c>
      <c r="M466">
        <f t="shared" si="7"/>
        <v>123.54599999999999</v>
      </c>
      <c r="N466">
        <v>0</v>
      </c>
      <c r="O466">
        <v>2000</v>
      </c>
      <c r="P466">
        <v>0</v>
      </c>
      <c r="Q466">
        <v>3000</v>
      </c>
    </row>
    <row r="467" spans="1:17">
      <c r="A467" t="s">
        <v>92</v>
      </c>
      <c r="B467" t="s">
        <v>17</v>
      </c>
      <c r="C467">
        <v>4</v>
      </c>
      <c r="D467">
        <v>2021</v>
      </c>
      <c r="E467" s="49" t="s">
        <v>144</v>
      </c>
      <c r="F467" s="49" t="s">
        <v>163</v>
      </c>
      <c r="G467">
        <f>'October to Jan, 2021 2022'!G69+'October to Jan, 2021 2022'!H69</f>
        <v>0</v>
      </c>
      <c r="H467">
        <f>'October to Jan, 2021 2022'!I69</f>
        <v>0</v>
      </c>
      <c r="I467">
        <f>'October to Jan, 2021 2022'!J69</f>
        <v>0</v>
      </c>
      <c r="J467">
        <f>G467*Parameters!$B$2*Parameters!$B$5</f>
        <v>0</v>
      </c>
      <c r="K467">
        <f>H467*Parameters!$B$3*Parameters!$B$6</f>
        <v>0</v>
      </c>
      <c r="L467">
        <f>I467*Parameters!$B$4*Parameters!$B$7</f>
        <v>0</v>
      </c>
      <c r="M467">
        <f t="shared" si="7"/>
        <v>0</v>
      </c>
      <c r="N467">
        <v>0</v>
      </c>
      <c r="O467">
        <v>0</v>
      </c>
      <c r="P467">
        <v>0</v>
      </c>
      <c r="Q467">
        <v>0</v>
      </c>
    </row>
    <row r="468" spans="1:17">
      <c r="A468" t="s">
        <v>93</v>
      </c>
      <c r="B468" t="s">
        <v>19</v>
      </c>
      <c r="C468">
        <v>7</v>
      </c>
      <c r="D468">
        <v>2021</v>
      </c>
      <c r="E468" s="49" t="s">
        <v>144</v>
      </c>
      <c r="F468" s="49" t="s">
        <v>163</v>
      </c>
      <c r="G468">
        <f>'October to Jan, 2021 2022'!G70+'October to Jan, 2021 2022'!H70</f>
        <v>45</v>
      </c>
      <c r="H468">
        <f>'October to Jan, 2021 2022'!I70</f>
        <v>0</v>
      </c>
      <c r="I468">
        <f>'October to Jan, 2021 2022'!J70</f>
        <v>10</v>
      </c>
      <c r="J468">
        <f>G468*Parameters!$B$2*Parameters!$B$5</f>
        <v>95.809499999999986</v>
      </c>
      <c r="K468">
        <f>H468*Parameters!$B$3*Parameters!$B$6</f>
        <v>0</v>
      </c>
      <c r="L468">
        <f>I468*Parameters!$B$4*Parameters!$B$7</f>
        <v>80.963999999999999</v>
      </c>
      <c r="M468">
        <f t="shared" si="7"/>
        <v>176.77349999999998</v>
      </c>
      <c r="N468">
        <v>0</v>
      </c>
      <c r="O468">
        <v>4500</v>
      </c>
      <c r="P468">
        <v>0</v>
      </c>
      <c r="Q468">
        <v>3000</v>
      </c>
    </row>
    <row r="469" spans="1:17">
      <c r="A469" t="s">
        <v>94</v>
      </c>
      <c r="B469" t="s">
        <v>19</v>
      </c>
      <c r="C469">
        <v>6</v>
      </c>
      <c r="D469">
        <v>2021</v>
      </c>
      <c r="E469" s="49" t="s">
        <v>144</v>
      </c>
      <c r="F469" s="49" t="s">
        <v>163</v>
      </c>
      <c r="G469">
        <f>'October to Jan, 2021 2022'!G71+'October to Jan, 2021 2022'!H71</f>
        <v>40</v>
      </c>
      <c r="H469">
        <f>'October to Jan, 2021 2022'!I71</f>
        <v>0</v>
      </c>
      <c r="I469">
        <f>'October to Jan, 2021 2022'!J71</f>
        <v>10</v>
      </c>
      <c r="J469">
        <f>G469*Parameters!$B$2*Parameters!$B$5</f>
        <v>85.163999999999987</v>
      </c>
      <c r="K469">
        <f>H469*Parameters!$B$3*Parameters!$B$6</f>
        <v>0</v>
      </c>
      <c r="L469">
        <f>I469*Parameters!$B$4*Parameters!$B$7</f>
        <v>80.963999999999999</v>
      </c>
      <c r="M469">
        <f t="shared" si="7"/>
        <v>166.12799999999999</v>
      </c>
      <c r="N469">
        <v>0</v>
      </c>
      <c r="O469">
        <v>4000</v>
      </c>
      <c r="P469">
        <v>0</v>
      </c>
      <c r="Q469">
        <v>3000</v>
      </c>
    </row>
    <row r="470" spans="1:17">
      <c r="A470" t="s">
        <v>95</v>
      </c>
      <c r="B470" t="s">
        <v>26</v>
      </c>
      <c r="C470">
        <v>8</v>
      </c>
      <c r="D470">
        <v>2021</v>
      </c>
      <c r="E470" s="49" t="s">
        <v>144</v>
      </c>
      <c r="F470" s="49" t="s">
        <v>163</v>
      </c>
      <c r="G470">
        <f>'October to Jan, 2021 2022'!G72+'October to Jan, 2021 2022'!H72</f>
        <v>60</v>
      </c>
      <c r="H470">
        <f>'October to Jan, 2021 2022'!I72</f>
        <v>5</v>
      </c>
      <c r="I470">
        <f>'October to Jan, 2021 2022'!J72</f>
        <v>0</v>
      </c>
      <c r="J470">
        <f>G470*Parameters!$B$2*Parameters!$B$5</f>
        <v>127.74599999999998</v>
      </c>
      <c r="K470">
        <f>H470*Parameters!$B$3*Parameters!$B$6</f>
        <v>31.353999999999999</v>
      </c>
      <c r="L470">
        <f>I470*Parameters!$B$4*Parameters!$B$7</f>
        <v>0</v>
      </c>
      <c r="M470">
        <f t="shared" si="7"/>
        <v>159.09999999999997</v>
      </c>
      <c r="N470">
        <v>0</v>
      </c>
      <c r="O470">
        <v>6000</v>
      </c>
      <c r="P470">
        <v>1500</v>
      </c>
      <c r="Q470">
        <v>0</v>
      </c>
    </row>
    <row r="471" spans="1:17">
      <c r="A471" t="s">
        <v>96</v>
      </c>
      <c r="B471" t="s">
        <v>19</v>
      </c>
      <c r="C471">
        <v>8</v>
      </c>
      <c r="D471">
        <v>2021</v>
      </c>
      <c r="E471" s="49" t="s">
        <v>144</v>
      </c>
      <c r="F471" s="49" t="s">
        <v>163</v>
      </c>
      <c r="G471">
        <f>'October to Jan, 2021 2022'!G73+'October to Jan, 2021 2022'!H73</f>
        <v>0</v>
      </c>
      <c r="H471">
        <f>'October to Jan, 2021 2022'!I73</f>
        <v>40</v>
      </c>
      <c r="I471">
        <f>'October to Jan, 2021 2022'!J73</f>
        <v>0</v>
      </c>
      <c r="J471">
        <f>G471*Parameters!$B$2*Parameters!$B$5</f>
        <v>0</v>
      </c>
      <c r="K471">
        <f>H471*Parameters!$B$3*Parameters!$B$6</f>
        <v>250.83199999999999</v>
      </c>
      <c r="L471">
        <f>I471*Parameters!$B$4*Parameters!$B$7</f>
        <v>0</v>
      </c>
      <c r="M471">
        <f t="shared" si="7"/>
        <v>250.83199999999999</v>
      </c>
      <c r="N471">
        <v>0</v>
      </c>
      <c r="O471">
        <v>0</v>
      </c>
      <c r="P471">
        <v>12000</v>
      </c>
      <c r="Q471">
        <v>0</v>
      </c>
    </row>
    <row r="472" spans="1:17">
      <c r="A472" t="s">
        <v>97</v>
      </c>
      <c r="B472" t="s">
        <v>17</v>
      </c>
      <c r="C472">
        <v>4</v>
      </c>
      <c r="D472">
        <v>2021</v>
      </c>
      <c r="E472" s="49" t="s">
        <v>144</v>
      </c>
      <c r="F472" s="49" t="s">
        <v>163</v>
      </c>
      <c r="G472">
        <f>'October to Jan, 2021 2022'!G74+'October to Jan, 2021 2022'!H74</f>
        <v>35</v>
      </c>
      <c r="H472">
        <f>'October to Jan, 2021 2022'!I74</f>
        <v>0</v>
      </c>
      <c r="I472">
        <f>'October to Jan, 2021 2022'!J74</f>
        <v>20</v>
      </c>
      <c r="J472">
        <f>G472*Parameters!$B$2*Parameters!$B$5</f>
        <v>74.518499999999989</v>
      </c>
      <c r="K472">
        <f>H472*Parameters!$B$3*Parameters!$B$6</f>
        <v>0</v>
      </c>
      <c r="L472">
        <f>I472*Parameters!$B$4*Parameters!$B$7</f>
        <v>161.928</v>
      </c>
      <c r="M472">
        <f t="shared" si="7"/>
        <v>236.44649999999999</v>
      </c>
      <c r="N472">
        <v>0</v>
      </c>
      <c r="O472">
        <v>3500</v>
      </c>
      <c r="P472">
        <v>0</v>
      </c>
      <c r="Q472">
        <v>6000</v>
      </c>
    </row>
    <row r="473" spans="1:17">
      <c r="A473" t="s">
        <v>98</v>
      </c>
      <c r="B473" t="s">
        <v>65</v>
      </c>
      <c r="C473">
        <v>5</v>
      </c>
      <c r="D473">
        <v>2021</v>
      </c>
      <c r="E473" s="49" t="s">
        <v>144</v>
      </c>
      <c r="F473" s="49" t="s">
        <v>163</v>
      </c>
      <c r="G473">
        <f>'October to Jan, 2021 2022'!G75+'October to Jan, 2021 2022'!H75</f>
        <v>30</v>
      </c>
      <c r="H473">
        <f>'October to Jan, 2021 2022'!I75</f>
        <v>0</v>
      </c>
      <c r="I473">
        <f>'October to Jan, 2021 2022'!J75</f>
        <v>5</v>
      </c>
      <c r="J473">
        <f>G473*Parameters!$B$2*Parameters!$B$5</f>
        <v>63.87299999999999</v>
      </c>
      <c r="K473">
        <f>H473*Parameters!$B$3*Parameters!$B$6</f>
        <v>0</v>
      </c>
      <c r="L473">
        <f>I473*Parameters!$B$4*Parameters!$B$7</f>
        <v>40.481999999999999</v>
      </c>
      <c r="M473">
        <f t="shared" si="7"/>
        <v>104.35499999999999</v>
      </c>
      <c r="N473">
        <v>0</v>
      </c>
      <c r="O473">
        <v>3000</v>
      </c>
      <c r="P473">
        <v>0</v>
      </c>
      <c r="Q473">
        <v>1500</v>
      </c>
    </row>
    <row r="474" spans="1:17">
      <c r="A474" t="s">
        <v>99</v>
      </c>
      <c r="B474" t="s">
        <v>32</v>
      </c>
      <c r="C474">
        <v>9</v>
      </c>
      <c r="D474">
        <v>2021</v>
      </c>
      <c r="E474" s="49" t="s">
        <v>144</v>
      </c>
      <c r="F474" s="49" t="s">
        <v>163</v>
      </c>
      <c r="G474">
        <f>'October to Jan, 2021 2022'!G76+'October to Jan, 2021 2022'!H76</f>
        <v>85</v>
      </c>
      <c r="H474">
        <f>'October to Jan, 2021 2022'!I76</f>
        <v>0</v>
      </c>
      <c r="I474">
        <f>'October to Jan, 2021 2022'!J76</f>
        <v>0</v>
      </c>
      <c r="J474">
        <f>G474*Parameters!$B$2*Parameters!$B$5</f>
        <v>180.97349999999997</v>
      </c>
      <c r="K474">
        <f>H474*Parameters!$B$3*Parameters!$B$6</f>
        <v>0</v>
      </c>
      <c r="L474">
        <f>I474*Parameters!$B$4*Parameters!$B$7</f>
        <v>0</v>
      </c>
      <c r="M474">
        <f t="shared" si="7"/>
        <v>180.97349999999997</v>
      </c>
      <c r="N474">
        <v>0</v>
      </c>
      <c r="O474">
        <v>8500</v>
      </c>
      <c r="P474">
        <v>0</v>
      </c>
      <c r="Q474">
        <v>0</v>
      </c>
    </row>
    <row r="475" spans="1:17">
      <c r="A475" t="s">
        <v>100</v>
      </c>
      <c r="B475" t="s">
        <v>40</v>
      </c>
      <c r="C475">
        <v>8</v>
      </c>
      <c r="D475">
        <v>2021</v>
      </c>
      <c r="E475" s="49" t="s">
        <v>144</v>
      </c>
      <c r="F475" s="49" t="s">
        <v>163</v>
      </c>
      <c r="G475">
        <f>'October to Jan, 2021 2022'!G77+'October to Jan, 2021 2022'!H77</f>
        <v>32</v>
      </c>
      <c r="H475">
        <f>'October to Jan, 2021 2022'!I77</f>
        <v>0</v>
      </c>
      <c r="I475">
        <f>'October to Jan, 2021 2022'!J77</f>
        <v>5</v>
      </c>
      <c r="J475">
        <f>G475*Parameters!$B$2*Parameters!$B$5</f>
        <v>68.131199999999993</v>
      </c>
      <c r="K475">
        <f>H475*Parameters!$B$3*Parameters!$B$6</f>
        <v>0</v>
      </c>
      <c r="L475">
        <f>I475*Parameters!$B$4*Parameters!$B$7</f>
        <v>40.481999999999999</v>
      </c>
      <c r="M475">
        <f t="shared" si="7"/>
        <v>108.61319999999999</v>
      </c>
      <c r="N475">
        <v>0</v>
      </c>
      <c r="O475">
        <v>3200</v>
      </c>
      <c r="P475">
        <v>0</v>
      </c>
      <c r="Q475">
        <v>1500</v>
      </c>
    </row>
    <row r="476" spans="1:17">
      <c r="A476" t="s">
        <v>101</v>
      </c>
      <c r="B476" t="s">
        <v>38</v>
      </c>
      <c r="C476">
        <v>5</v>
      </c>
      <c r="D476">
        <v>2021</v>
      </c>
      <c r="E476" s="49" t="s">
        <v>144</v>
      </c>
      <c r="F476" s="49" t="s">
        <v>163</v>
      </c>
      <c r="G476">
        <f>'October to Jan, 2021 2022'!G78+'October to Jan, 2021 2022'!H78</f>
        <v>28</v>
      </c>
      <c r="H476">
        <f>'October to Jan, 2021 2022'!I78</f>
        <v>0</v>
      </c>
      <c r="I476">
        <f>'October to Jan, 2021 2022'!J78</f>
        <v>7</v>
      </c>
      <c r="J476">
        <f>G476*Parameters!$B$2*Parameters!$B$5</f>
        <v>59.614799999999995</v>
      </c>
      <c r="K476">
        <f>H476*Parameters!$B$3*Parameters!$B$6</f>
        <v>0</v>
      </c>
      <c r="L476">
        <f>I476*Parameters!$B$4*Parameters!$B$7</f>
        <v>56.674800000000005</v>
      </c>
      <c r="M476">
        <f t="shared" si="7"/>
        <v>116.28960000000001</v>
      </c>
      <c r="N476">
        <v>0</v>
      </c>
      <c r="O476">
        <v>2800</v>
      </c>
      <c r="P476">
        <v>0</v>
      </c>
      <c r="Q476">
        <v>2100</v>
      </c>
    </row>
    <row r="477" spans="1:17">
      <c r="A477" t="s">
        <v>102</v>
      </c>
      <c r="B477" t="s">
        <v>17</v>
      </c>
      <c r="C477">
        <v>4</v>
      </c>
      <c r="D477">
        <v>2021</v>
      </c>
      <c r="E477" s="49" t="s">
        <v>144</v>
      </c>
      <c r="F477" s="49" t="s">
        <v>163</v>
      </c>
      <c r="G477">
        <f>'October to Jan, 2021 2022'!G79+'October to Jan, 2021 2022'!H79</f>
        <v>32</v>
      </c>
      <c r="H477">
        <f>'October to Jan, 2021 2022'!I79</f>
        <v>0</v>
      </c>
      <c r="I477">
        <f>'October to Jan, 2021 2022'!J79</f>
        <v>20</v>
      </c>
      <c r="J477">
        <f>G477*Parameters!$B$2*Parameters!$B$5</f>
        <v>68.131199999999993</v>
      </c>
      <c r="K477">
        <f>H477*Parameters!$B$3*Parameters!$B$6</f>
        <v>0</v>
      </c>
      <c r="L477">
        <f>I477*Parameters!$B$4*Parameters!$B$7</f>
        <v>161.928</v>
      </c>
      <c r="M477">
        <f t="shared" si="7"/>
        <v>230.05919999999998</v>
      </c>
      <c r="N477">
        <v>0</v>
      </c>
      <c r="O477">
        <v>3200</v>
      </c>
      <c r="P477">
        <v>0</v>
      </c>
      <c r="Q477">
        <v>6000</v>
      </c>
    </row>
    <row r="478" spans="1:17">
      <c r="A478" t="s">
        <v>103</v>
      </c>
      <c r="B478" t="s">
        <v>26</v>
      </c>
      <c r="C478">
        <v>6</v>
      </c>
      <c r="D478">
        <v>2021</v>
      </c>
      <c r="E478" s="49" t="s">
        <v>144</v>
      </c>
      <c r="F478" s="49" t="s">
        <v>163</v>
      </c>
      <c r="G478">
        <f>'October to Jan, 2021 2022'!G80+'October to Jan, 2021 2022'!H80</f>
        <v>55</v>
      </c>
      <c r="H478">
        <f>'October to Jan, 2021 2022'!I80</f>
        <v>0</v>
      </c>
      <c r="I478">
        <f>'October to Jan, 2021 2022'!J80</f>
        <v>20</v>
      </c>
      <c r="J478">
        <f>G478*Parameters!$B$2*Parameters!$B$5</f>
        <v>117.10049999999998</v>
      </c>
      <c r="K478">
        <f>H478*Parameters!$B$3*Parameters!$B$6</f>
        <v>0</v>
      </c>
      <c r="L478">
        <f>I478*Parameters!$B$4*Parameters!$B$7</f>
        <v>161.928</v>
      </c>
      <c r="M478">
        <f t="shared" si="7"/>
        <v>279.02850000000001</v>
      </c>
      <c r="N478">
        <v>0</v>
      </c>
      <c r="O478">
        <v>5500</v>
      </c>
      <c r="P478">
        <v>0</v>
      </c>
      <c r="Q478">
        <v>6000</v>
      </c>
    </row>
    <row r="479" spans="1:17">
      <c r="A479" t="s">
        <v>104</v>
      </c>
      <c r="B479" t="s">
        <v>26</v>
      </c>
      <c r="C479">
        <v>7</v>
      </c>
      <c r="D479">
        <v>2021</v>
      </c>
      <c r="E479" s="49" t="s">
        <v>144</v>
      </c>
      <c r="F479" s="49" t="s">
        <v>163</v>
      </c>
      <c r="G479">
        <f>'October to Jan, 2021 2022'!G81+'October to Jan, 2021 2022'!H81</f>
        <v>30</v>
      </c>
      <c r="H479">
        <f>'October to Jan, 2021 2022'!I81</f>
        <v>0</v>
      </c>
      <c r="I479">
        <f>'October to Jan, 2021 2022'!J81</f>
        <v>10</v>
      </c>
      <c r="J479">
        <f>G479*Parameters!$B$2*Parameters!$B$5</f>
        <v>63.87299999999999</v>
      </c>
      <c r="K479">
        <f>H479*Parameters!$B$3*Parameters!$B$6</f>
        <v>0</v>
      </c>
      <c r="L479">
        <f>I479*Parameters!$B$4*Parameters!$B$7</f>
        <v>80.963999999999999</v>
      </c>
      <c r="M479">
        <f t="shared" si="7"/>
        <v>144.83699999999999</v>
      </c>
      <c r="N479">
        <v>0</v>
      </c>
      <c r="O479">
        <v>3000</v>
      </c>
      <c r="P479">
        <v>0</v>
      </c>
      <c r="Q479">
        <v>3000</v>
      </c>
    </row>
    <row r="480" spans="1:17">
      <c r="A480" t="s">
        <v>105</v>
      </c>
      <c r="B480" t="s">
        <v>21</v>
      </c>
      <c r="C480">
        <v>5</v>
      </c>
      <c r="D480">
        <v>2021</v>
      </c>
      <c r="E480" s="49" t="s">
        <v>144</v>
      </c>
      <c r="F480" s="49" t="s">
        <v>163</v>
      </c>
      <c r="G480">
        <f>'October to Jan, 2021 2022'!G82+'October to Jan, 2021 2022'!H82</f>
        <v>35</v>
      </c>
      <c r="H480">
        <f>'October to Jan, 2021 2022'!I82</f>
        <v>5</v>
      </c>
      <c r="I480">
        <f>'October to Jan, 2021 2022'!J82</f>
        <v>0</v>
      </c>
      <c r="J480">
        <f>G480*Parameters!$B$2*Parameters!$B$5</f>
        <v>74.518499999999989</v>
      </c>
      <c r="K480">
        <f>H480*Parameters!$B$3*Parameters!$B$6</f>
        <v>31.353999999999999</v>
      </c>
      <c r="L480">
        <f>I480*Parameters!$B$4*Parameters!$B$7</f>
        <v>0</v>
      </c>
      <c r="M480">
        <f t="shared" si="7"/>
        <v>105.87249999999999</v>
      </c>
      <c r="N480">
        <v>0</v>
      </c>
      <c r="O480">
        <v>3500</v>
      </c>
      <c r="P480">
        <v>1500</v>
      </c>
      <c r="Q480">
        <v>0</v>
      </c>
    </row>
    <row r="481" spans="1:17">
      <c r="A481" t="s">
        <v>106</v>
      </c>
      <c r="B481" t="s">
        <v>24</v>
      </c>
      <c r="C481">
        <v>6</v>
      </c>
      <c r="D481">
        <v>2021</v>
      </c>
      <c r="E481" s="49" t="s">
        <v>144</v>
      </c>
      <c r="F481" s="49" t="s">
        <v>163</v>
      </c>
      <c r="G481">
        <f>'October to Jan, 2021 2022'!G83+'October to Jan, 2021 2022'!H83</f>
        <v>45</v>
      </c>
      <c r="H481">
        <f>'October to Jan, 2021 2022'!I83</f>
        <v>0</v>
      </c>
      <c r="I481">
        <f>'October to Jan, 2021 2022'!J83</f>
        <v>10</v>
      </c>
      <c r="J481">
        <f>G481*Parameters!$B$2*Parameters!$B$5</f>
        <v>95.809499999999986</v>
      </c>
      <c r="K481">
        <f>H481*Parameters!$B$3*Parameters!$B$6</f>
        <v>0</v>
      </c>
      <c r="L481">
        <f>I481*Parameters!$B$4*Parameters!$B$7</f>
        <v>80.963999999999999</v>
      </c>
      <c r="M481">
        <f t="shared" si="7"/>
        <v>176.77349999999998</v>
      </c>
      <c r="N481">
        <v>0</v>
      </c>
      <c r="O481">
        <v>4500</v>
      </c>
      <c r="P481">
        <v>0</v>
      </c>
      <c r="Q481">
        <v>3000</v>
      </c>
    </row>
    <row r="482" spans="1:17">
      <c r="A482" t="s">
        <v>107</v>
      </c>
      <c r="B482" t="s">
        <v>21</v>
      </c>
      <c r="C482">
        <v>4</v>
      </c>
      <c r="D482">
        <v>2021</v>
      </c>
      <c r="E482" s="49" t="s">
        <v>144</v>
      </c>
      <c r="F482" s="49" t="s">
        <v>163</v>
      </c>
      <c r="G482">
        <f>'October to Jan, 2021 2022'!G84+'October to Jan, 2021 2022'!H84</f>
        <v>25</v>
      </c>
      <c r="H482">
        <f>'October to Jan, 2021 2022'!I84</f>
        <v>0</v>
      </c>
      <c r="I482">
        <f>'October to Jan, 2021 2022'!J84</f>
        <v>20</v>
      </c>
      <c r="J482">
        <f>G482*Parameters!$B$2*Parameters!$B$5</f>
        <v>53.227499999999992</v>
      </c>
      <c r="K482">
        <f>H482*Parameters!$B$3*Parameters!$B$6</f>
        <v>0</v>
      </c>
      <c r="L482">
        <f>I482*Parameters!$B$4*Parameters!$B$7</f>
        <v>161.928</v>
      </c>
      <c r="M482">
        <f t="shared" si="7"/>
        <v>215.15549999999999</v>
      </c>
      <c r="N482">
        <v>0</v>
      </c>
      <c r="O482">
        <v>2500</v>
      </c>
      <c r="P482">
        <v>0</v>
      </c>
      <c r="Q482">
        <v>6000</v>
      </c>
    </row>
    <row r="483" spans="1:17">
      <c r="A483" t="s">
        <v>108</v>
      </c>
      <c r="B483" t="s">
        <v>24</v>
      </c>
      <c r="C483">
        <v>5</v>
      </c>
      <c r="D483">
        <v>2021</v>
      </c>
      <c r="E483" s="49" t="s">
        <v>144</v>
      </c>
      <c r="F483" s="49" t="s">
        <v>163</v>
      </c>
      <c r="G483">
        <f>'October to Jan, 2021 2022'!G85+'October to Jan, 2021 2022'!H85</f>
        <v>25</v>
      </c>
      <c r="H483">
        <f>'October to Jan, 2021 2022'!I85</f>
        <v>0</v>
      </c>
      <c r="I483">
        <f>'October to Jan, 2021 2022'!J85</f>
        <v>20</v>
      </c>
      <c r="J483">
        <f>G483*Parameters!$B$2*Parameters!$B$5</f>
        <v>53.227499999999992</v>
      </c>
      <c r="K483">
        <f>H483*Parameters!$B$3*Parameters!$B$6</f>
        <v>0</v>
      </c>
      <c r="L483">
        <f>I483*Parameters!$B$4*Parameters!$B$7</f>
        <v>161.928</v>
      </c>
      <c r="M483">
        <f t="shared" si="7"/>
        <v>215.15549999999999</v>
      </c>
      <c r="N483">
        <v>0</v>
      </c>
      <c r="O483">
        <v>2500</v>
      </c>
      <c r="P483">
        <v>0</v>
      </c>
      <c r="Q483">
        <v>6000</v>
      </c>
    </row>
    <row r="484" spans="1:17">
      <c r="A484" t="s">
        <v>109</v>
      </c>
      <c r="B484" t="s">
        <v>32</v>
      </c>
      <c r="C484">
        <v>6</v>
      </c>
      <c r="D484">
        <v>2021</v>
      </c>
      <c r="E484" s="49" t="s">
        <v>144</v>
      </c>
      <c r="F484" s="49" t="s">
        <v>163</v>
      </c>
      <c r="G484">
        <f>'October to Jan, 2021 2022'!G86+'October to Jan, 2021 2022'!H86</f>
        <v>10</v>
      </c>
      <c r="H484">
        <f>'October to Jan, 2021 2022'!I86</f>
        <v>0</v>
      </c>
      <c r="I484">
        <f>'October to Jan, 2021 2022'!J86</f>
        <v>10</v>
      </c>
      <c r="J484">
        <f>G484*Parameters!$B$2*Parameters!$B$5</f>
        <v>21.290999999999997</v>
      </c>
      <c r="K484">
        <f>H484*Parameters!$B$3*Parameters!$B$6</f>
        <v>0</v>
      </c>
      <c r="L484">
        <f>I484*Parameters!$B$4*Parameters!$B$7</f>
        <v>80.963999999999999</v>
      </c>
      <c r="M484">
        <f t="shared" si="7"/>
        <v>102.255</v>
      </c>
      <c r="N484">
        <v>0</v>
      </c>
      <c r="O484">
        <v>1000</v>
      </c>
      <c r="P484">
        <v>0</v>
      </c>
      <c r="Q484">
        <v>3000</v>
      </c>
    </row>
    <row r="485" spans="1:17">
      <c r="A485" t="s">
        <v>110</v>
      </c>
      <c r="B485" t="s">
        <v>21</v>
      </c>
      <c r="C485">
        <v>3</v>
      </c>
      <c r="D485">
        <v>2021</v>
      </c>
      <c r="E485" s="49" t="s">
        <v>144</v>
      </c>
      <c r="F485" s="49" t="s">
        <v>163</v>
      </c>
      <c r="G485">
        <f>'October to Jan, 2021 2022'!G87+'October to Jan, 2021 2022'!H87</f>
        <v>45</v>
      </c>
      <c r="H485">
        <f>'October to Jan, 2021 2022'!I87</f>
        <v>10</v>
      </c>
      <c r="I485">
        <f>'October to Jan, 2021 2022'!J87</f>
        <v>0</v>
      </c>
      <c r="J485">
        <f>G485*Parameters!$B$2*Parameters!$B$5</f>
        <v>95.809499999999986</v>
      </c>
      <c r="K485">
        <f>H485*Parameters!$B$3*Parameters!$B$6</f>
        <v>62.707999999999998</v>
      </c>
      <c r="L485">
        <f>I485*Parameters!$B$4*Parameters!$B$7</f>
        <v>0</v>
      </c>
      <c r="M485">
        <f t="shared" si="7"/>
        <v>158.51749999999998</v>
      </c>
      <c r="N485">
        <v>0</v>
      </c>
      <c r="O485">
        <v>4500</v>
      </c>
      <c r="P485">
        <v>3000</v>
      </c>
      <c r="Q485">
        <v>0</v>
      </c>
    </row>
    <row r="486" spans="1:17">
      <c r="A486" t="s">
        <v>111</v>
      </c>
      <c r="B486" t="s">
        <v>26</v>
      </c>
      <c r="C486">
        <v>6</v>
      </c>
      <c r="D486">
        <v>2021</v>
      </c>
      <c r="E486" s="49" t="s">
        <v>144</v>
      </c>
      <c r="F486" s="49" t="s">
        <v>163</v>
      </c>
      <c r="G486">
        <f>'October to Jan, 2021 2022'!G88+'October to Jan, 2021 2022'!H88</f>
        <v>45</v>
      </c>
      <c r="H486">
        <f>'October to Jan, 2021 2022'!I88</f>
        <v>0</v>
      </c>
      <c r="I486">
        <f>'October to Jan, 2021 2022'!J88</f>
        <v>20</v>
      </c>
      <c r="J486">
        <f>G486*Parameters!$B$2*Parameters!$B$5</f>
        <v>95.809499999999986</v>
      </c>
      <c r="K486">
        <f>H486*Parameters!$B$3*Parameters!$B$6</f>
        <v>0</v>
      </c>
      <c r="L486">
        <f>I486*Parameters!$B$4*Parameters!$B$7</f>
        <v>161.928</v>
      </c>
      <c r="M486">
        <f t="shared" si="7"/>
        <v>257.73749999999995</v>
      </c>
      <c r="N486">
        <v>0</v>
      </c>
      <c r="O486">
        <v>4500</v>
      </c>
      <c r="P486">
        <v>0</v>
      </c>
      <c r="Q486">
        <v>6000</v>
      </c>
    </row>
    <row r="487" spans="1:17">
      <c r="A487" t="s">
        <v>112</v>
      </c>
      <c r="B487" t="s">
        <v>19</v>
      </c>
      <c r="C487">
        <v>7</v>
      </c>
      <c r="D487">
        <v>2021</v>
      </c>
      <c r="E487" s="49" t="s">
        <v>144</v>
      </c>
      <c r="F487" s="49" t="s">
        <v>163</v>
      </c>
      <c r="G487">
        <f>'October to Jan, 2021 2022'!G89+'October to Jan, 2021 2022'!H89</f>
        <v>0</v>
      </c>
      <c r="H487">
        <f>'October to Jan, 2021 2022'!I89</f>
        <v>0</v>
      </c>
      <c r="I487">
        <f>'October to Jan, 2021 2022'!J89</f>
        <v>10</v>
      </c>
      <c r="J487">
        <f>G487*Parameters!$B$2*Parameters!$B$5</f>
        <v>0</v>
      </c>
      <c r="K487">
        <f>H487*Parameters!$B$3*Parameters!$B$6</f>
        <v>0</v>
      </c>
      <c r="L487">
        <f>I487*Parameters!$B$4*Parameters!$B$7</f>
        <v>80.963999999999999</v>
      </c>
      <c r="M487">
        <f t="shared" si="7"/>
        <v>80.963999999999999</v>
      </c>
      <c r="N487">
        <v>0</v>
      </c>
      <c r="O487">
        <v>0</v>
      </c>
      <c r="P487">
        <v>0</v>
      </c>
      <c r="Q487">
        <v>3000</v>
      </c>
    </row>
    <row r="488" spans="1:17">
      <c r="A488" t="s">
        <v>113</v>
      </c>
      <c r="B488" t="s">
        <v>26</v>
      </c>
      <c r="C488">
        <v>4</v>
      </c>
      <c r="D488">
        <v>2021</v>
      </c>
      <c r="E488" s="49" t="s">
        <v>144</v>
      </c>
      <c r="F488" s="49" t="s">
        <v>163</v>
      </c>
      <c r="G488">
        <f>'October to Jan, 2021 2022'!G90+'October to Jan, 2021 2022'!H90</f>
        <v>50</v>
      </c>
      <c r="H488">
        <f>'October to Jan, 2021 2022'!I90</f>
        <v>0</v>
      </c>
      <c r="I488">
        <f>'October to Jan, 2021 2022'!J90</f>
        <v>10</v>
      </c>
      <c r="J488">
        <f>G488*Parameters!$B$2*Parameters!$B$5</f>
        <v>106.45499999999998</v>
      </c>
      <c r="K488">
        <f>H488*Parameters!$B$3*Parameters!$B$6</f>
        <v>0</v>
      </c>
      <c r="L488">
        <f>I488*Parameters!$B$4*Parameters!$B$7</f>
        <v>80.963999999999999</v>
      </c>
      <c r="M488">
        <f t="shared" si="7"/>
        <v>187.41899999999998</v>
      </c>
      <c r="N488">
        <v>0</v>
      </c>
      <c r="O488">
        <v>5000</v>
      </c>
      <c r="P488">
        <v>0</v>
      </c>
      <c r="Q488">
        <v>3000</v>
      </c>
    </row>
    <row r="489" spans="1:17">
      <c r="A489" t="s">
        <v>114</v>
      </c>
      <c r="B489" t="s">
        <v>65</v>
      </c>
      <c r="C489">
        <v>8</v>
      </c>
      <c r="D489">
        <v>2021</v>
      </c>
      <c r="E489" s="49" t="s">
        <v>144</v>
      </c>
      <c r="F489" s="49" t="s">
        <v>163</v>
      </c>
      <c r="G489">
        <f>'October to Jan, 2021 2022'!G91+'October to Jan, 2021 2022'!H91</f>
        <v>84</v>
      </c>
      <c r="H489">
        <f>'October to Jan, 2021 2022'!I91</f>
        <v>0</v>
      </c>
      <c r="I489">
        <f>'October to Jan, 2021 2022'!J91</f>
        <v>10</v>
      </c>
      <c r="J489">
        <f>G489*Parameters!$B$2*Parameters!$B$5</f>
        <v>178.84439999999995</v>
      </c>
      <c r="K489">
        <f>H489*Parameters!$B$3*Parameters!$B$6</f>
        <v>0</v>
      </c>
      <c r="L489">
        <f>I489*Parameters!$B$4*Parameters!$B$7</f>
        <v>80.963999999999999</v>
      </c>
      <c r="M489">
        <f t="shared" si="7"/>
        <v>259.80839999999995</v>
      </c>
      <c r="N489">
        <v>0</v>
      </c>
      <c r="O489">
        <v>8400</v>
      </c>
      <c r="P489">
        <v>0</v>
      </c>
      <c r="Q489">
        <v>3000</v>
      </c>
    </row>
    <row r="490" spans="1:17">
      <c r="A490" t="s">
        <v>115</v>
      </c>
      <c r="B490" t="s">
        <v>19</v>
      </c>
      <c r="C490">
        <v>8</v>
      </c>
      <c r="D490">
        <v>2021</v>
      </c>
      <c r="E490" s="49" t="s">
        <v>144</v>
      </c>
      <c r="F490" s="49" t="s">
        <v>163</v>
      </c>
      <c r="G490">
        <f>'October to Jan, 2021 2022'!G92+'October to Jan, 2021 2022'!H92</f>
        <v>50</v>
      </c>
      <c r="H490">
        <f>'October to Jan, 2021 2022'!I92</f>
        <v>0</v>
      </c>
      <c r="I490">
        <f>'October to Jan, 2021 2022'!J92</f>
        <v>15</v>
      </c>
      <c r="J490">
        <f>G490*Parameters!$B$2*Parameters!$B$5</f>
        <v>106.45499999999998</v>
      </c>
      <c r="K490">
        <f>H490*Parameters!$B$3*Parameters!$B$6</f>
        <v>0</v>
      </c>
      <c r="L490">
        <f>I490*Parameters!$B$4*Parameters!$B$7</f>
        <v>121.44600000000001</v>
      </c>
      <c r="M490">
        <f t="shared" si="7"/>
        <v>227.90100000000001</v>
      </c>
      <c r="N490">
        <v>0</v>
      </c>
      <c r="O490">
        <v>5000</v>
      </c>
      <c r="P490">
        <v>0</v>
      </c>
      <c r="Q490">
        <v>4500</v>
      </c>
    </row>
    <row r="491" spans="1:17">
      <c r="A491" t="s">
        <v>116</v>
      </c>
      <c r="B491" t="s">
        <v>21</v>
      </c>
      <c r="C491">
        <v>4</v>
      </c>
      <c r="D491">
        <v>2021</v>
      </c>
      <c r="E491" s="49" t="s">
        <v>144</v>
      </c>
      <c r="F491" s="49" t="s">
        <v>163</v>
      </c>
      <c r="G491">
        <f>'October to Jan, 2021 2022'!G93+'October to Jan, 2021 2022'!H93</f>
        <v>36</v>
      </c>
      <c r="H491">
        <f>'October to Jan, 2021 2022'!I93</f>
        <v>0</v>
      </c>
      <c r="I491">
        <f>'October to Jan, 2021 2022'!J93</f>
        <v>20</v>
      </c>
      <c r="J491">
        <f>G491*Parameters!$B$2*Parameters!$B$5</f>
        <v>76.647599999999997</v>
      </c>
      <c r="K491">
        <f>H491*Parameters!$B$3*Parameters!$B$6</f>
        <v>0</v>
      </c>
      <c r="L491">
        <f>I491*Parameters!$B$4*Parameters!$B$7</f>
        <v>161.928</v>
      </c>
      <c r="M491">
        <f t="shared" si="7"/>
        <v>238.57560000000001</v>
      </c>
      <c r="N491">
        <v>0</v>
      </c>
      <c r="O491">
        <v>3600</v>
      </c>
      <c r="P491">
        <v>0</v>
      </c>
      <c r="Q491">
        <v>6000</v>
      </c>
    </row>
    <row r="492" spans="1:17">
      <c r="A492" t="s">
        <v>117</v>
      </c>
      <c r="B492" t="s">
        <v>17</v>
      </c>
      <c r="C492">
        <v>9</v>
      </c>
      <c r="D492">
        <v>2021</v>
      </c>
      <c r="E492" s="49" t="s">
        <v>144</v>
      </c>
      <c r="F492" s="49" t="s">
        <v>163</v>
      </c>
      <c r="G492">
        <f>'October to Jan, 2021 2022'!G94+'October to Jan, 2021 2022'!H94</f>
        <v>45</v>
      </c>
      <c r="H492">
        <f>'October to Jan, 2021 2022'!I94</f>
        <v>0</v>
      </c>
      <c r="I492">
        <f>'October to Jan, 2021 2022'!J94</f>
        <v>10</v>
      </c>
      <c r="J492">
        <f>G492*Parameters!$B$2*Parameters!$B$5</f>
        <v>95.809499999999986</v>
      </c>
      <c r="K492">
        <f>H492*Parameters!$B$3*Parameters!$B$6</f>
        <v>0</v>
      </c>
      <c r="L492">
        <f>I492*Parameters!$B$4*Parameters!$B$7</f>
        <v>80.963999999999999</v>
      </c>
      <c r="M492">
        <f t="shared" si="7"/>
        <v>176.77349999999998</v>
      </c>
      <c r="N492">
        <v>0</v>
      </c>
      <c r="O492">
        <v>4500</v>
      </c>
      <c r="P492">
        <v>0</v>
      </c>
      <c r="Q492">
        <v>3000</v>
      </c>
    </row>
    <row r="493" spans="1:17">
      <c r="A493" t="s">
        <v>118</v>
      </c>
      <c r="B493" t="s">
        <v>19</v>
      </c>
      <c r="C493">
        <v>4</v>
      </c>
      <c r="D493">
        <v>2021</v>
      </c>
      <c r="E493" s="49" t="s">
        <v>144</v>
      </c>
      <c r="F493" s="49" t="s">
        <v>163</v>
      </c>
      <c r="G493">
        <f>'October to Jan, 2021 2022'!G95+'October to Jan, 2021 2022'!H95</f>
        <v>33</v>
      </c>
      <c r="H493">
        <f>'October to Jan, 2021 2022'!I95</f>
        <v>0</v>
      </c>
      <c r="I493">
        <f>'October to Jan, 2021 2022'!J95</f>
        <v>20</v>
      </c>
      <c r="J493">
        <f>G493*Parameters!$B$2*Parameters!$B$5</f>
        <v>70.260300000000001</v>
      </c>
      <c r="K493">
        <f>H493*Parameters!$B$3*Parameters!$B$6</f>
        <v>0</v>
      </c>
      <c r="L493">
        <f>I493*Parameters!$B$4*Parameters!$B$7</f>
        <v>161.928</v>
      </c>
      <c r="M493">
        <f t="shared" si="7"/>
        <v>232.1883</v>
      </c>
      <c r="N493">
        <v>0</v>
      </c>
      <c r="O493">
        <v>3300</v>
      </c>
      <c r="P493">
        <v>0</v>
      </c>
      <c r="Q493">
        <v>6000</v>
      </c>
    </row>
    <row r="494" spans="1:17">
      <c r="A494" t="s">
        <v>119</v>
      </c>
      <c r="B494" t="s">
        <v>40</v>
      </c>
      <c r="C494">
        <v>6</v>
      </c>
      <c r="D494">
        <v>2021</v>
      </c>
      <c r="E494" s="49" t="s">
        <v>144</v>
      </c>
      <c r="F494" s="49" t="s">
        <v>163</v>
      </c>
      <c r="G494">
        <f>'October to Jan, 2021 2022'!G96+'October to Jan, 2021 2022'!H96</f>
        <v>0</v>
      </c>
      <c r="H494">
        <f>'October to Jan, 2021 2022'!I96</f>
        <v>0</v>
      </c>
      <c r="I494">
        <f>'October to Jan, 2021 2022'!J96</f>
        <v>10</v>
      </c>
      <c r="J494">
        <f>G494*Parameters!$B$2*Parameters!$B$5</f>
        <v>0</v>
      </c>
      <c r="K494">
        <f>H494*Parameters!$B$3*Parameters!$B$6</f>
        <v>0</v>
      </c>
      <c r="L494">
        <f>I494*Parameters!$B$4*Parameters!$B$7</f>
        <v>80.963999999999999</v>
      </c>
      <c r="M494">
        <f t="shared" si="7"/>
        <v>80.963999999999999</v>
      </c>
      <c r="N494">
        <v>0</v>
      </c>
      <c r="O494">
        <v>0</v>
      </c>
      <c r="P494">
        <v>0</v>
      </c>
      <c r="Q494">
        <v>3000</v>
      </c>
    </row>
    <row r="495" spans="1:17">
      <c r="A495" t="s">
        <v>120</v>
      </c>
      <c r="B495" t="s">
        <v>32</v>
      </c>
      <c r="C495">
        <v>8</v>
      </c>
      <c r="D495">
        <v>2021</v>
      </c>
      <c r="E495" s="49" t="s">
        <v>144</v>
      </c>
      <c r="F495" s="49" t="s">
        <v>163</v>
      </c>
      <c r="G495">
        <f>'October to Jan, 2021 2022'!G97+'October to Jan, 2021 2022'!H97</f>
        <v>20</v>
      </c>
      <c r="H495">
        <f>'October to Jan, 2021 2022'!I97</f>
        <v>0</v>
      </c>
      <c r="I495">
        <f>'October to Jan, 2021 2022'!J97</f>
        <v>10</v>
      </c>
      <c r="J495">
        <f>G495*Parameters!$B$2*Parameters!$B$5</f>
        <v>42.581999999999994</v>
      </c>
      <c r="K495">
        <f>H495*Parameters!$B$3*Parameters!$B$6</f>
        <v>0</v>
      </c>
      <c r="L495">
        <f>I495*Parameters!$B$4*Parameters!$B$7</f>
        <v>80.963999999999999</v>
      </c>
      <c r="M495">
        <f t="shared" si="7"/>
        <v>123.54599999999999</v>
      </c>
      <c r="N495">
        <v>0</v>
      </c>
      <c r="O495">
        <v>2000</v>
      </c>
      <c r="P495">
        <v>0</v>
      </c>
      <c r="Q495">
        <v>3000</v>
      </c>
    </row>
    <row r="496" spans="1:17">
      <c r="A496" t="s">
        <v>121</v>
      </c>
      <c r="B496" t="s">
        <v>24</v>
      </c>
      <c r="C496">
        <v>5</v>
      </c>
      <c r="D496">
        <v>2021</v>
      </c>
      <c r="E496" s="49" t="s">
        <v>144</v>
      </c>
      <c r="F496" s="49" t="s">
        <v>163</v>
      </c>
      <c r="G496">
        <f>'October to Jan, 2021 2022'!G98+'October to Jan, 2021 2022'!H98</f>
        <v>35</v>
      </c>
      <c r="H496">
        <f>'October to Jan, 2021 2022'!I98</f>
        <v>0</v>
      </c>
      <c r="I496">
        <f>'October to Jan, 2021 2022'!J98</f>
        <v>20</v>
      </c>
      <c r="J496">
        <f>G496*Parameters!$B$2*Parameters!$B$5</f>
        <v>74.518499999999989</v>
      </c>
      <c r="K496">
        <f>H496*Parameters!$B$3*Parameters!$B$6</f>
        <v>0</v>
      </c>
      <c r="L496">
        <f>I496*Parameters!$B$4*Parameters!$B$7</f>
        <v>161.928</v>
      </c>
      <c r="M496">
        <f t="shared" si="7"/>
        <v>236.44649999999999</v>
      </c>
      <c r="N496">
        <v>0</v>
      </c>
      <c r="O496">
        <v>3500</v>
      </c>
      <c r="P496">
        <v>0</v>
      </c>
      <c r="Q496">
        <v>6000</v>
      </c>
    </row>
    <row r="497" spans="1:17">
      <c r="A497" t="s">
        <v>122</v>
      </c>
      <c r="B497" t="s">
        <v>26</v>
      </c>
      <c r="C497">
        <v>6</v>
      </c>
      <c r="D497">
        <v>2021</v>
      </c>
      <c r="E497" s="49" t="s">
        <v>144</v>
      </c>
      <c r="F497" s="49" t="s">
        <v>163</v>
      </c>
      <c r="G497">
        <f>'October to Jan, 2021 2022'!G99+'October to Jan, 2021 2022'!H99</f>
        <v>70</v>
      </c>
      <c r="H497">
        <f>'October to Jan, 2021 2022'!I99</f>
        <v>0</v>
      </c>
      <c r="I497">
        <f>'October to Jan, 2021 2022'!J99</f>
        <v>20</v>
      </c>
      <c r="J497">
        <f>G497*Parameters!$B$2*Parameters!$B$5</f>
        <v>149.03699999999998</v>
      </c>
      <c r="K497">
        <f>H497*Parameters!$B$3*Parameters!$B$6</f>
        <v>0</v>
      </c>
      <c r="L497">
        <f>I497*Parameters!$B$4*Parameters!$B$7</f>
        <v>161.928</v>
      </c>
      <c r="M497">
        <f t="shared" si="7"/>
        <v>310.96499999999997</v>
      </c>
      <c r="N497">
        <v>0</v>
      </c>
      <c r="O497">
        <v>7000</v>
      </c>
      <c r="P497">
        <v>0</v>
      </c>
      <c r="Q497">
        <v>6000</v>
      </c>
    </row>
    <row r="498" spans="1:17">
      <c r="A498" t="s">
        <v>123</v>
      </c>
      <c r="B498" t="s">
        <v>19</v>
      </c>
      <c r="C498">
        <v>8</v>
      </c>
      <c r="D498">
        <v>2021</v>
      </c>
      <c r="E498" s="49" t="s">
        <v>144</v>
      </c>
      <c r="F498" s="49" t="s">
        <v>163</v>
      </c>
      <c r="G498">
        <f>'October to Jan, 2021 2022'!G100+'October to Jan, 2021 2022'!H100</f>
        <v>50</v>
      </c>
      <c r="H498">
        <f>'October to Jan, 2021 2022'!I100</f>
        <v>0</v>
      </c>
      <c r="I498">
        <f>'October to Jan, 2021 2022'!J100</f>
        <v>20</v>
      </c>
      <c r="J498">
        <f>G498*Parameters!$B$2*Parameters!$B$5</f>
        <v>106.45499999999998</v>
      </c>
      <c r="K498">
        <f>H498*Parameters!$B$3*Parameters!$B$6</f>
        <v>0</v>
      </c>
      <c r="L498">
        <f>I498*Parameters!$B$4*Parameters!$B$7</f>
        <v>161.928</v>
      </c>
      <c r="M498">
        <f t="shared" si="7"/>
        <v>268.38299999999998</v>
      </c>
      <c r="N498">
        <v>0</v>
      </c>
      <c r="O498">
        <v>5000</v>
      </c>
      <c r="P498">
        <v>0</v>
      </c>
      <c r="Q498">
        <v>6000</v>
      </c>
    </row>
    <row r="499" spans="1:17">
      <c r="A499" t="s">
        <v>124</v>
      </c>
      <c r="B499" t="s">
        <v>56</v>
      </c>
      <c r="C499">
        <v>9</v>
      </c>
      <c r="D499">
        <v>2021</v>
      </c>
      <c r="E499" s="49" t="s">
        <v>144</v>
      </c>
      <c r="F499" s="49" t="s">
        <v>163</v>
      </c>
      <c r="G499">
        <f>'October to Jan, 2021 2022'!G101+'October to Jan, 2021 2022'!H101</f>
        <v>60</v>
      </c>
      <c r="H499">
        <f>'October to Jan, 2021 2022'!I101</f>
        <v>0</v>
      </c>
      <c r="I499">
        <f>'October to Jan, 2021 2022'!J101</f>
        <v>20</v>
      </c>
      <c r="J499">
        <f>G499*Parameters!$B$2*Parameters!$B$5</f>
        <v>127.74599999999998</v>
      </c>
      <c r="K499">
        <f>H499*Parameters!$B$3*Parameters!$B$6</f>
        <v>0</v>
      </c>
      <c r="L499">
        <f>I499*Parameters!$B$4*Parameters!$B$7</f>
        <v>161.928</v>
      </c>
      <c r="M499">
        <f t="shared" si="7"/>
        <v>289.67399999999998</v>
      </c>
      <c r="N499">
        <v>0</v>
      </c>
      <c r="O499">
        <v>6000</v>
      </c>
      <c r="P499">
        <v>0</v>
      </c>
      <c r="Q499">
        <v>6000</v>
      </c>
    </row>
    <row r="500" spans="1:17">
      <c r="A500" t="s">
        <v>125</v>
      </c>
      <c r="B500" t="s">
        <v>65</v>
      </c>
      <c r="C500">
        <v>7</v>
      </c>
      <c r="D500">
        <v>2021</v>
      </c>
      <c r="E500" s="49" t="s">
        <v>144</v>
      </c>
      <c r="F500" s="49" t="s">
        <v>163</v>
      </c>
      <c r="G500">
        <f>'October to Jan, 2021 2022'!G102+'October to Jan, 2021 2022'!H102</f>
        <v>45</v>
      </c>
      <c r="H500">
        <f>'October to Jan, 2021 2022'!I102</f>
        <v>0</v>
      </c>
      <c r="I500">
        <f>'October to Jan, 2021 2022'!J102</f>
        <v>0</v>
      </c>
      <c r="J500">
        <f>G500*Parameters!$B$2*Parameters!$B$5</f>
        <v>95.809499999999986</v>
      </c>
      <c r="K500">
        <f>H500*Parameters!$B$3*Parameters!$B$6</f>
        <v>0</v>
      </c>
      <c r="L500">
        <f>I500*Parameters!$B$4*Parameters!$B$7</f>
        <v>0</v>
      </c>
      <c r="M500">
        <f t="shared" si="7"/>
        <v>95.809499999999986</v>
      </c>
      <c r="N500">
        <v>0</v>
      </c>
      <c r="O500">
        <v>4500</v>
      </c>
      <c r="P500">
        <v>0</v>
      </c>
      <c r="Q500">
        <v>0</v>
      </c>
    </row>
    <row r="501" spans="1:17">
      <c r="A501" t="s">
        <v>126</v>
      </c>
      <c r="B501" t="s">
        <v>65</v>
      </c>
      <c r="C501">
        <v>6</v>
      </c>
      <c r="D501">
        <v>2021</v>
      </c>
      <c r="E501" s="49" t="s">
        <v>144</v>
      </c>
      <c r="F501" s="49" t="s">
        <v>163</v>
      </c>
      <c r="G501">
        <f>'October to Jan, 2021 2022'!G103+'October to Jan, 2021 2022'!H103</f>
        <v>10</v>
      </c>
      <c r="H501">
        <f>'October to Jan, 2021 2022'!I103</f>
        <v>0</v>
      </c>
      <c r="I501">
        <f>'October to Jan, 2021 2022'!J103</f>
        <v>5</v>
      </c>
      <c r="J501">
        <f>G501*Parameters!$B$2*Parameters!$B$5</f>
        <v>21.290999999999997</v>
      </c>
      <c r="K501">
        <f>H501*Parameters!$B$3*Parameters!$B$6</f>
        <v>0</v>
      </c>
      <c r="L501">
        <f>I501*Parameters!$B$4*Parameters!$B$7</f>
        <v>40.481999999999999</v>
      </c>
      <c r="M501">
        <f t="shared" si="7"/>
        <v>61.772999999999996</v>
      </c>
      <c r="N501">
        <v>0</v>
      </c>
      <c r="O501">
        <v>1000</v>
      </c>
      <c r="P501">
        <v>0</v>
      </c>
      <c r="Q501">
        <v>1500</v>
      </c>
    </row>
    <row r="502" spans="1:17">
      <c r="A502" t="s">
        <v>16</v>
      </c>
      <c r="B502" t="s">
        <v>17</v>
      </c>
      <c r="C502">
        <v>8</v>
      </c>
      <c r="D502">
        <v>2021</v>
      </c>
      <c r="E502" s="49" t="s">
        <v>145</v>
      </c>
      <c r="F502" s="49" t="s">
        <v>163</v>
      </c>
      <c r="G502">
        <f>'October to Jan, 2021 2022'!O4+'October to Jan, 2021 2022'!P4</f>
        <v>55</v>
      </c>
      <c r="H502">
        <f>'October to Jan, 2021 2022'!Q4</f>
        <v>0</v>
      </c>
      <c r="I502">
        <f>'October to Jan, 2021 2022'!R4</f>
        <v>0</v>
      </c>
      <c r="J502">
        <f>G502*Parameters!$B$2*Parameters!$B$5</f>
        <v>117.10049999999998</v>
      </c>
      <c r="K502">
        <f>H502*Parameters!$B$3*Parameters!$B$6</f>
        <v>0</v>
      </c>
      <c r="L502">
        <f>I502*Parameters!$B$4*Parameters!$B$7</f>
        <v>0</v>
      </c>
      <c r="M502">
        <f t="shared" si="7"/>
        <v>117.10049999999998</v>
      </c>
      <c r="N502">
        <v>0</v>
      </c>
      <c r="O502">
        <v>5500</v>
      </c>
      <c r="P502">
        <v>0</v>
      </c>
      <c r="Q502">
        <v>0</v>
      </c>
    </row>
    <row r="503" spans="1:17">
      <c r="A503" t="s">
        <v>18</v>
      </c>
      <c r="B503" t="s">
        <v>19</v>
      </c>
      <c r="C503">
        <v>7</v>
      </c>
      <c r="D503">
        <v>2021</v>
      </c>
      <c r="E503" s="49" t="s">
        <v>145</v>
      </c>
      <c r="F503" s="49" t="s">
        <v>163</v>
      </c>
      <c r="G503">
        <f>'October to Jan, 2021 2022'!O5+'October to Jan, 2021 2022'!P5</f>
        <v>30</v>
      </c>
      <c r="H503">
        <f>'October to Jan, 2021 2022'!Q5</f>
        <v>0</v>
      </c>
      <c r="I503">
        <f>'October to Jan, 2021 2022'!R5</f>
        <v>5</v>
      </c>
      <c r="J503">
        <f>G503*Parameters!$B$2*Parameters!$B$5</f>
        <v>63.87299999999999</v>
      </c>
      <c r="K503">
        <f>H503*Parameters!$B$3*Parameters!$B$6</f>
        <v>0</v>
      </c>
      <c r="L503">
        <f>I503*Parameters!$B$4*Parameters!$B$7</f>
        <v>40.481999999999999</v>
      </c>
      <c r="M503">
        <f t="shared" si="7"/>
        <v>104.35499999999999</v>
      </c>
      <c r="N503">
        <v>0</v>
      </c>
      <c r="O503">
        <v>3000</v>
      </c>
      <c r="P503">
        <v>0</v>
      </c>
      <c r="Q503">
        <v>1500</v>
      </c>
    </row>
    <row r="504" spans="1:17">
      <c r="A504" t="s">
        <v>20</v>
      </c>
      <c r="B504" t="s">
        <v>21</v>
      </c>
      <c r="C504">
        <v>10</v>
      </c>
      <c r="D504">
        <v>2021</v>
      </c>
      <c r="E504" s="49" t="s">
        <v>145</v>
      </c>
      <c r="F504" s="49" t="s">
        <v>163</v>
      </c>
      <c r="G504">
        <f>'October to Jan, 2021 2022'!O6+'October to Jan, 2021 2022'!P6</f>
        <v>60</v>
      </c>
      <c r="H504">
        <f>'October to Jan, 2021 2022'!Q6</f>
        <v>0</v>
      </c>
      <c r="I504">
        <f>'October to Jan, 2021 2022'!R6</f>
        <v>10</v>
      </c>
      <c r="J504">
        <f>G504*Parameters!$B$2*Parameters!$B$5</f>
        <v>127.74599999999998</v>
      </c>
      <c r="K504">
        <f>H504*Parameters!$B$3*Parameters!$B$6</f>
        <v>0</v>
      </c>
      <c r="L504">
        <f>I504*Parameters!$B$4*Parameters!$B$7</f>
        <v>80.963999999999999</v>
      </c>
      <c r="M504">
        <f t="shared" si="7"/>
        <v>208.70999999999998</v>
      </c>
      <c r="N504">
        <v>0</v>
      </c>
      <c r="O504">
        <v>6000</v>
      </c>
      <c r="P504">
        <v>0</v>
      </c>
      <c r="Q504">
        <v>3000</v>
      </c>
    </row>
    <row r="505" spans="1:17">
      <c r="A505" t="s">
        <v>22</v>
      </c>
      <c r="B505" t="s">
        <v>19</v>
      </c>
      <c r="C505">
        <v>7</v>
      </c>
      <c r="D505">
        <v>2021</v>
      </c>
      <c r="E505" s="49" t="s">
        <v>145</v>
      </c>
      <c r="F505" s="49" t="s">
        <v>163</v>
      </c>
      <c r="G505">
        <f>'October to Jan, 2021 2022'!O7+'October to Jan, 2021 2022'!P7</f>
        <v>35</v>
      </c>
      <c r="H505">
        <f>'October to Jan, 2021 2022'!Q7</f>
        <v>0</v>
      </c>
      <c r="I505">
        <f>'October to Jan, 2021 2022'!R7</f>
        <v>0</v>
      </c>
      <c r="J505">
        <f>G505*Parameters!$B$2*Parameters!$B$5</f>
        <v>74.518499999999989</v>
      </c>
      <c r="K505">
        <f>H505*Parameters!$B$3*Parameters!$B$6</f>
        <v>0</v>
      </c>
      <c r="L505">
        <f>I505*Parameters!$B$4*Parameters!$B$7</f>
        <v>0</v>
      </c>
      <c r="M505">
        <f t="shared" si="7"/>
        <v>74.518499999999989</v>
      </c>
      <c r="N505">
        <v>0</v>
      </c>
      <c r="O505">
        <v>3500</v>
      </c>
      <c r="P505">
        <v>0</v>
      </c>
      <c r="Q505">
        <v>0</v>
      </c>
    </row>
    <row r="506" spans="1:17">
      <c r="A506" t="s">
        <v>23</v>
      </c>
      <c r="B506" t="s">
        <v>24</v>
      </c>
      <c r="C506">
        <v>4</v>
      </c>
      <c r="D506">
        <v>2021</v>
      </c>
      <c r="E506" s="49" t="s">
        <v>145</v>
      </c>
      <c r="F506" s="49" t="s">
        <v>163</v>
      </c>
      <c r="G506">
        <f>'October to Jan, 2021 2022'!O8+'October to Jan, 2021 2022'!P8</f>
        <v>40</v>
      </c>
      <c r="H506">
        <f>'October to Jan, 2021 2022'!Q8</f>
        <v>0</v>
      </c>
      <c r="I506">
        <f>'October to Jan, 2021 2022'!R8</f>
        <v>10</v>
      </c>
      <c r="J506">
        <f>G506*Parameters!$B$2*Parameters!$B$5</f>
        <v>85.163999999999987</v>
      </c>
      <c r="K506">
        <f>H506*Parameters!$B$3*Parameters!$B$6</f>
        <v>0</v>
      </c>
      <c r="L506">
        <f>I506*Parameters!$B$4*Parameters!$B$7</f>
        <v>80.963999999999999</v>
      </c>
      <c r="M506">
        <f t="shared" si="7"/>
        <v>166.12799999999999</v>
      </c>
      <c r="N506">
        <v>0</v>
      </c>
      <c r="O506">
        <v>4000</v>
      </c>
      <c r="P506">
        <v>0</v>
      </c>
      <c r="Q506">
        <v>3000</v>
      </c>
    </row>
    <row r="507" spans="1:17">
      <c r="A507" t="s">
        <v>25</v>
      </c>
      <c r="B507" t="s">
        <v>26</v>
      </c>
      <c r="C507">
        <v>3</v>
      </c>
      <c r="D507">
        <v>2021</v>
      </c>
      <c r="E507" s="49" t="s">
        <v>145</v>
      </c>
      <c r="F507" s="49" t="s">
        <v>163</v>
      </c>
      <c r="G507">
        <f>'October to Jan, 2021 2022'!O9+'October to Jan, 2021 2022'!P9</f>
        <v>40</v>
      </c>
      <c r="H507">
        <f>'October to Jan, 2021 2022'!Q9</f>
        <v>0</v>
      </c>
      <c r="I507">
        <f>'October to Jan, 2021 2022'!R9</f>
        <v>0</v>
      </c>
      <c r="J507">
        <f>G507*Parameters!$B$2*Parameters!$B$5</f>
        <v>85.163999999999987</v>
      </c>
      <c r="K507">
        <f>H507*Parameters!$B$3*Parameters!$B$6</f>
        <v>0</v>
      </c>
      <c r="L507">
        <f>I507*Parameters!$B$4*Parameters!$B$7</f>
        <v>0</v>
      </c>
      <c r="M507">
        <f t="shared" si="7"/>
        <v>85.163999999999987</v>
      </c>
      <c r="N507">
        <v>0</v>
      </c>
      <c r="O507">
        <v>4000</v>
      </c>
      <c r="P507">
        <v>0</v>
      </c>
      <c r="Q507">
        <v>0</v>
      </c>
    </row>
    <row r="508" spans="1:17">
      <c r="A508" t="s">
        <v>27</v>
      </c>
      <c r="B508" t="s">
        <v>21</v>
      </c>
      <c r="C508">
        <v>6</v>
      </c>
      <c r="D508">
        <v>2021</v>
      </c>
      <c r="E508" s="49" t="s">
        <v>145</v>
      </c>
      <c r="F508" s="49" t="s">
        <v>163</v>
      </c>
      <c r="G508">
        <f>'October to Jan, 2021 2022'!O10+'October to Jan, 2021 2022'!P10</f>
        <v>45</v>
      </c>
      <c r="H508">
        <f>'October to Jan, 2021 2022'!Q10</f>
        <v>0</v>
      </c>
      <c r="I508">
        <f>'October to Jan, 2021 2022'!R10</f>
        <v>20</v>
      </c>
      <c r="J508">
        <f>G508*Parameters!$B$2*Parameters!$B$5</f>
        <v>95.809499999999986</v>
      </c>
      <c r="K508">
        <f>H508*Parameters!$B$3*Parameters!$B$6</f>
        <v>0</v>
      </c>
      <c r="L508">
        <f>I508*Parameters!$B$4*Parameters!$B$7</f>
        <v>161.928</v>
      </c>
      <c r="M508">
        <f t="shared" si="7"/>
        <v>257.73749999999995</v>
      </c>
      <c r="N508">
        <v>0</v>
      </c>
      <c r="O508">
        <v>4500</v>
      </c>
      <c r="P508">
        <v>0</v>
      </c>
      <c r="Q508">
        <v>6000</v>
      </c>
    </row>
    <row r="509" spans="1:17">
      <c r="A509" t="s">
        <v>28</v>
      </c>
      <c r="B509" t="s">
        <v>19</v>
      </c>
      <c r="C509">
        <v>9</v>
      </c>
      <c r="D509">
        <v>2021</v>
      </c>
      <c r="E509" s="49" t="s">
        <v>145</v>
      </c>
      <c r="F509" s="49" t="s">
        <v>163</v>
      </c>
      <c r="G509">
        <f>'October to Jan, 2021 2022'!O11+'October to Jan, 2021 2022'!P11</f>
        <v>60</v>
      </c>
      <c r="H509">
        <f>'October to Jan, 2021 2022'!Q11</f>
        <v>0</v>
      </c>
      <c r="I509">
        <f>'October to Jan, 2021 2022'!R11</f>
        <v>10</v>
      </c>
      <c r="J509">
        <f>G509*Parameters!$B$2*Parameters!$B$5</f>
        <v>127.74599999999998</v>
      </c>
      <c r="K509">
        <f>H509*Parameters!$B$3*Parameters!$B$6</f>
        <v>0</v>
      </c>
      <c r="L509">
        <f>I509*Parameters!$B$4*Parameters!$B$7</f>
        <v>80.963999999999999</v>
      </c>
      <c r="M509">
        <f t="shared" si="7"/>
        <v>208.70999999999998</v>
      </c>
      <c r="N509">
        <v>0</v>
      </c>
      <c r="O509">
        <v>6000</v>
      </c>
      <c r="P509">
        <v>0</v>
      </c>
      <c r="Q509">
        <v>3000</v>
      </c>
    </row>
    <row r="510" spans="1:17">
      <c r="A510" t="s">
        <v>29</v>
      </c>
      <c r="B510" t="s">
        <v>24</v>
      </c>
      <c r="C510">
        <v>4</v>
      </c>
      <c r="D510">
        <v>2021</v>
      </c>
      <c r="E510" s="49" t="s">
        <v>145</v>
      </c>
      <c r="F510" s="49" t="s">
        <v>163</v>
      </c>
      <c r="G510">
        <f>'October to Jan, 2021 2022'!O12+'October to Jan, 2021 2022'!P12</f>
        <v>20</v>
      </c>
      <c r="H510">
        <f>'October to Jan, 2021 2022'!Q12</f>
        <v>0</v>
      </c>
      <c r="I510">
        <f>'October to Jan, 2021 2022'!R12</f>
        <v>5</v>
      </c>
      <c r="J510">
        <f>G510*Parameters!$B$2*Parameters!$B$5</f>
        <v>42.581999999999994</v>
      </c>
      <c r="K510">
        <f>H510*Parameters!$B$3*Parameters!$B$6</f>
        <v>0</v>
      </c>
      <c r="L510">
        <f>I510*Parameters!$B$4*Parameters!$B$7</f>
        <v>40.481999999999999</v>
      </c>
      <c r="M510">
        <f t="shared" si="7"/>
        <v>83.063999999999993</v>
      </c>
      <c r="N510">
        <v>0</v>
      </c>
      <c r="O510">
        <v>2000</v>
      </c>
      <c r="P510">
        <v>0</v>
      </c>
      <c r="Q510">
        <v>1500</v>
      </c>
    </row>
    <row r="511" spans="1:17">
      <c r="A511" t="s">
        <v>30</v>
      </c>
      <c r="B511" t="s">
        <v>21</v>
      </c>
      <c r="C511">
        <v>6</v>
      </c>
      <c r="D511">
        <v>2021</v>
      </c>
      <c r="E511" s="49" t="s">
        <v>145</v>
      </c>
      <c r="F511" s="49" t="s">
        <v>163</v>
      </c>
      <c r="G511">
        <f>'October to Jan, 2021 2022'!O13+'October to Jan, 2021 2022'!P13</f>
        <v>30</v>
      </c>
      <c r="H511">
        <f>'October to Jan, 2021 2022'!Q13</f>
        <v>0</v>
      </c>
      <c r="I511">
        <f>'October to Jan, 2021 2022'!R13</f>
        <v>8</v>
      </c>
      <c r="J511">
        <f>G511*Parameters!$B$2*Parameters!$B$5</f>
        <v>63.87299999999999</v>
      </c>
      <c r="K511">
        <f>H511*Parameters!$B$3*Parameters!$B$6</f>
        <v>0</v>
      </c>
      <c r="L511">
        <f>I511*Parameters!$B$4*Parameters!$B$7</f>
        <v>64.771200000000007</v>
      </c>
      <c r="M511">
        <f t="shared" si="7"/>
        <v>128.64420000000001</v>
      </c>
      <c r="N511">
        <v>0</v>
      </c>
      <c r="O511">
        <v>3000</v>
      </c>
      <c r="P511">
        <v>0</v>
      </c>
      <c r="Q511">
        <v>2400</v>
      </c>
    </row>
    <row r="512" spans="1:17">
      <c r="A512" t="s">
        <v>31</v>
      </c>
      <c r="B512" t="s">
        <v>32</v>
      </c>
      <c r="C512">
        <v>4</v>
      </c>
      <c r="D512">
        <v>2021</v>
      </c>
      <c r="E512" s="49" t="s">
        <v>145</v>
      </c>
      <c r="F512" s="49" t="s">
        <v>163</v>
      </c>
      <c r="G512">
        <f>'October to Jan, 2021 2022'!O14+'October to Jan, 2021 2022'!P14</f>
        <v>60</v>
      </c>
      <c r="H512">
        <f>'October to Jan, 2021 2022'!Q14</f>
        <v>0</v>
      </c>
      <c r="I512">
        <f>'October to Jan, 2021 2022'!R14</f>
        <v>0</v>
      </c>
      <c r="J512">
        <f>G512*Parameters!$B$2*Parameters!$B$5</f>
        <v>127.74599999999998</v>
      </c>
      <c r="K512">
        <f>H512*Parameters!$B$3*Parameters!$B$6</f>
        <v>0</v>
      </c>
      <c r="L512">
        <f>I512*Parameters!$B$4*Parameters!$B$7</f>
        <v>0</v>
      </c>
      <c r="M512">
        <f t="shared" si="7"/>
        <v>127.74599999999998</v>
      </c>
      <c r="N512">
        <v>0</v>
      </c>
      <c r="O512">
        <v>6000</v>
      </c>
      <c r="P512">
        <v>0</v>
      </c>
      <c r="Q512">
        <v>0</v>
      </c>
    </row>
    <row r="513" spans="1:17">
      <c r="A513" t="s">
        <v>33</v>
      </c>
      <c r="B513" t="s">
        <v>32</v>
      </c>
      <c r="C513">
        <v>6</v>
      </c>
      <c r="D513">
        <v>2021</v>
      </c>
      <c r="E513" s="49" t="s">
        <v>145</v>
      </c>
      <c r="F513" s="49" t="s">
        <v>163</v>
      </c>
      <c r="G513">
        <f>'October to Jan, 2021 2022'!O15+'October to Jan, 2021 2022'!P15</f>
        <v>15</v>
      </c>
      <c r="H513">
        <f>'October to Jan, 2021 2022'!Q15</f>
        <v>0</v>
      </c>
      <c r="I513">
        <f>'October to Jan, 2021 2022'!R15</f>
        <v>20</v>
      </c>
      <c r="J513">
        <f>G513*Parameters!$B$2*Parameters!$B$5</f>
        <v>31.936499999999995</v>
      </c>
      <c r="K513">
        <f>H513*Parameters!$B$3*Parameters!$B$6</f>
        <v>0</v>
      </c>
      <c r="L513">
        <f>I513*Parameters!$B$4*Parameters!$B$7</f>
        <v>161.928</v>
      </c>
      <c r="M513">
        <f t="shared" si="7"/>
        <v>193.86449999999999</v>
      </c>
      <c r="N513">
        <v>0</v>
      </c>
      <c r="O513">
        <v>1500</v>
      </c>
      <c r="P513">
        <v>0</v>
      </c>
      <c r="Q513">
        <v>6000</v>
      </c>
    </row>
    <row r="514" spans="1:17">
      <c r="A514" t="s">
        <v>34</v>
      </c>
      <c r="B514" t="s">
        <v>21</v>
      </c>
      <c r="C514">
        <v>9</v>
      </c>
      <c r="D514">
        <v>2021</v>
      </c>
      <c r="E514" s="49" t="s">
        <v>145</v>
      </c>
      <c r="F514" s="49" t="s">
        <v>163</v>
      </c>
      <c r="G514">
        <f>'October to Jan, 2021 2022'!O16+'October to Jan, 2021 2022'!P16</f>
        <v>35</v>
      </c>
      <c r="H514">
        <f>'October to Jan, 2021 2022'!Q16</f>
        <v>0</v>
      </c>
      <c r="I514">
        <f>'October to Jan, 2021 2022'!R16</f>
        <v>10</v>
      </c>
      <c r="J514">
        <f>G514*Parameters!$B$2*Parameters!$B$5</f>
        <v>74.518499999999989</v>
      </c>
      <c r="K514">
        <f>H514*Parameters!$B$3*Parameters!$B$6</f>
        <v>0</v>
      </c>
      <c r="L514">
        <f>I514*Parameters!$B$4*Parameters!$B$7</f>
        <v>80.963999999999999</v>
      </c>
      <c r="M514">
        <f t="shared" si="7"/>
        <v>155.48249999999999</v>
      </c>
      <c r="N514">
        <v>0</v>
      </c>
      <c r="O514">
        <v>3500</v>
      </c>
      <c r="P514">
        <v>0</v>
      </c>
      <c r="Q514">
        <v>3000</v>
      </c>
    </row>
    <row r="515" spans="1:17">
      <c r="A515" t="s">
        <v>35</v>
      </c>
      <c r="B515" t="s">
        <v>21</v>
      </c>
      <c r="C515">
        <v>6</v>
      </c>
      <c r="D515">
        <v>2021</v>
      </c>
      <c r="E515" s="49" t="s">
        <v>145</v>
      </c>
      <c r="F515" s="49" t="s">
        <v>163</v>
      </c>
      <c r="G515">
        <f>'October to Jan, 2021 2022'!O17+'October to Jan, 2021 2022'!P17</f>
        <v>35</v>
      </c>
      <c r="H515">
        <f>'October to Jan, 2021 2022'!Q17</f>
        <v>0</v>
      </c>
      <c r="I515">
        <f>'October to Jan, 2021 2022'!R17</f>
        <v>10</v>
      </c>
      <c r="J515">
        <f>G515*Parameters!$B$2*Parameters!$B$5</f>
        <v>74.518499999999989</v>
      </c>
      <c r="K515">
        <f>H515*Parameters!$B$3*Parameters!$B$6</f>
        <v>0</v>
      </c>
      <c r="L515">
        <f>I515*Parameters!$B$4*Parameters!$B$7</f>
        <v>80.963999999999999</v>
      </c>
      <c r="M515">
        <f t="shared" ref="M515:M578" si="8">SUM(J515:L515)</f>
        <v>155.48249999999999</v>
      </c>
      <c r="N515">
        <v>0</v>
      </c>
      <c r="O515">
        <v>3500</v>
      </c>
      <c r="P515">
        <v>0</v>
      </c>
      <c r="Q515">
        <v>3000</v>
      </c>
    </row>
    <row r="516" spans="1:17">
      <c r="A516" t="s">
        <v>36</v>
      </c>
      <c r="B516" t="s">
        <v>21</v>
      </c>
      <c r="C516">
        <v>12</v>
      </c>
      <c r="D516">
        <v>2021</v>
      </c>
      <c r="E516" s="49" t="s">
        <v>145</v>
      </c>
      <c r="F516" s="49" t="s">
        <v>163</v>
      </c>
      <c r="G516">
        <f>'October to Jan, 2021 2022'!O18+'October to Jan, 2021 2022'!P18</f>
        <v>48</v>
      </c>
      <c r="H516">
        <f>'October to Jan, 2021 2022'!Q18</f>
        <v>0</v>
      </c>
      <c r="I516">
        <f>'October to Jan, 2021 2022'!R18</f>
        <v>8</v>
      </c>
      <c r="J516">
        <f>G516*Parameters!$B$2*Parameters!$B$5</f>
        <v>102.19679999999998</v>
      </c>
      <c r="K516">
        <f>H516*Parameters!$B$3*Parameters!$B$6</f>
        <v>0</v>
      </c>
      <c r="L516">
        <f>I516*Parameters!$B$4*Parameters!$B$7</f>
        <v>64.771200000000007</v>
      </c>
      <c r="M516">
        <f t="shared" si="8"/>
        <v>166.96799999999999</v>
      </c>
      <c r="N516">
        <v>0</v>
      </c>
      <c r="O516">
        <v>4800</v>
      </c>
      <c r="P516">
        <v>0</v>
      </c>
      <c r="Q516">
        <v>2400</v>
      </c>
    </row>
    <row r="517" spans="1:17">
      <c r="A517" t="s">
        <v>37</v>
      </c>
      <c r="B517" t="s">
        <v>38</v>
      </c>
      <c r="C517">
        <v>7</v>
      </c>
      <c r="D517">
        <v>2021</v>
      </c>
      <c r="E517" s="49" t="s">
        <v>145</v>
      </c>
      <c r="F517" s="49" t="s">
        <v>163</v>
      </c>
      <c r="G517">
        <f>'October to Jan, 2021 2022'!O19+'October to Jan, 2021 2022'!P19</f>
        <v>45</v>
      </c>
      <c r="H517">
        <f>'October to Jan, 2021 2022'!Q19</f>
        <v>0</v>
      </c>
      <c r="I517">
        <f>'October to Jan, 2021 2022'!R19</f>
        <v>20</v>
      </c>
      <c r="J517">
        <f>G517*Parameters!$B$2*Parameters!$B$5</f>
        <v>95.809499999999986</v>
      </c>
      <c r="K517">
        <f>H517*Parameters!$B$3*Parameters!$B$6</f>
        <v>0</v>
      </c>
      <c r="L517">
        <f>I517*Parameters!$B$4*Parameters!$B$7</f>
        <v>161.928</v>
      </c>
      <c r="M517">
        <f t="shared" si="8"/>
        <v>257.73749999999995</v>
      </c>
      <c r="N517">
        <v>0</v>
      </c>
      <c r="O517">
        <v>4500</v>
      </c>
      <c r="P517">
        <v>0</v>
      </c>
      <c r="Q517">
        <v>6000</v>
      </c>
    </row>
    <row r="518" spans="1:17">
      <c r="A518" t="s">
        <v>39</v>
      </c>
      <c r="B518" t="s">
        <v>40</v>
      </c>
      <c r="C518">
        <v>6</v>
      </c>
      <c r="D518">
        <v>2021</v>
      </c>
      <c r="E518" s="49" t="s">
        <v>145</v>
      </c>
      <c r="F518" s="49" t="s">
        <v>163</v>
      </c>
      <c r="G518">
        <f>'October to Jan, 2021 2022'!O20+'October to Jan, 2021 2022'!P20</f>
        <v>40</v>
      </c>
      <c r="H518">
        <f>'October to Jan, 2021 2022'!Q20</f>
        <v>0</v>
      </c>
      <c r="I518">
        <f>'October to Jan, 2021 2022'!R20</f>
        <v>0</v>
      </c>
      <c r="J518">
        <f>G518*Parameters!$B$2*Parameters!$B$5</f>
        <v>85.163999999999987</v>
      </c>
      <c r="K518">
        <f>H518*Parameters!$B$3*Parameters!$B$6</f>
        <v>0</v>
      </c>
      <c r="L518">
        <f>I518*Parameters!$B$4*Parameters!$B$7</f>
        <v>0</v>
      </c>
      <c r="M518">
        <f t="shared" si="8"/>
        <v>85.163999999999987</v>
      </c>
      <c r="N518">
        <v>0</v>
      </c>
      <c r="O518">
        <v>4000</v>
      </c>
      <c r="P518">
        <v>0</v>
      </c>
      <c r="Q518">
        <v>0</v>
      </c>
    </row>
    <row r="519" spans="1:17">
      <c r="A519" t="s">
        <v>41</v>
      </c>
      <c r="B519" t="s">
        <v>26</v>
      </c>
      <c r="C519">
        <v>5</v>
      </c>
      <c r="D519">
        <v>2021</v>
      </c>
      <c r="E519" s="49" t="s">
        <v>145</v>
      </c>
      <c r="F519" s="49" t="s">
        <v>163</v>
      </c>
      <c r="G519">
        <f>'October to Jan, 2021 2022'!O21+'October to Jan, 2021 2022'!P21</f>
        <v>30</v>
      </c>
      <c r="H519">
        <f>'October to Jan, 2021 2022'!Q21</f>
        <v>0</v>
      </c>
      <c r="I519">
        <f>'October to Jan, 2021 2022'!R21</f>
        <v>10</v>
      </c>
      <c r="J519">
        <f>G519*Parameters!$B$2*Parameters!$B$5</f>
        <v>63.87299999999999</v>
      </c>
      <c r="K519">
        <f>H519*Parameters!$B$3*Parameters!$B$6</f>
        <v>0</v>
      </c>
      <c r="L519">
        <f>I519*Parameters!$B$4*Parameters!$B$7</f>
        <v>80.963999999999999</v>
      </c>
      <c r="M519">
        <f t="shared" si="8"/>
        <v>144.83699999999999</v>
      </c>
      <c r="N519">
        <v>0</v>
      </c>
      <c r="O519">
        <v>3000</v>
      </c>
      <c r="P519">
        <v>0</v>
      </c>
      <c r="Q519">
        <v>3000</v>
      </c>
    </row>
    <row r="520" spans="1:17">
      <c r="A520" t="s">
        <v>42</v>
      </c>
      <c r="B520" t="s">
        <v>24</v>
      </c>
      <c r="C520">
        <v>5</v>
      </c>
      <c r="D520">
        <v>2021</v>
      </c>
      <c r="E520" s="49" t="s">
        <v>145</v>
      </c>
      <c r="F520" s="49" t="s">
        <v>163</v>
      </c>
      <c r="G520">
        <f>'October to Jan, 2021 2022'!O22+'October to Jan, 2021 2022'!P22</f>
        <v>35</v>
      </c>
      <c r="H520">
        <f>'October to Jan, 2021 2022'!Q22</f>
        <v>0</v>
      </c>
      <c r="I520">
        <f>'October to Jan, 2021 2022'!R22</f>
        <v>10</v>
      </c>
      <c r="J520">
        <f>G520*Parameters!$B$2*Parameters!$B$5</f>
        <v>74.518499999999989</v>
      </c>
      <c r="K520">
        <f>H520*Parameters!$B$3*Parameters!$B$6</f>
        <v>0</v>
      </c>
      <c r="L520">
        <f>I520*Parameters!$B$4*Parameters!$B$7</f>
        <v>80.963999999999999</v>
      </c>
      <c r="M520">
        <f t="shared" si="8"/>
        <v>155.48249999999999</v>
      </c>
      <c r="N520">
        <v>0</v>
      </c>
      <c r="O520">
        <v>3500</v>
      </c>
      <c r="P520">
        <v>0</v>
      </c>
      <c r="Q520">
        <v>3000</v>
      </c>
    </row>
    <row r="521" spans="1:17">
      <c r="A521" t="s">
        <v>43</v>
      </c>
      <c r="B521" t="s">
        <v>19</v>
      </c>
      <c r="C521">
        <v>8</v>
      </c>
      <c r="D521">
        <v>2021</v>
      </c>
      <c r="E521" s="49" t="s">
        <v>145</v>
      </c>
      <c r="F521" s="49" t="s">
        <v>163</v>
      </c>
      <c r="G521">
        <f>'October to Jan, 2021 2022'!O23+'October to Jan, 2021 2022'!P23</f>
        <v>50</v>
      </c>
      <c r="H521">
        <f>'October to Jan, 2021 2022'!Q23</f>
        <v>0</v>
      </c>
      <c r="I521">
        <f>'October to Jan, 2021 2022'!R23</f>
        <v>0</v>
      </c>
      <c r="J521">
        <f>G521*Parameters!$B$2*Parameters!$B$5</f>
        <v>106.45499999999998</v>
      </c>
      <c r="K521">
        <f>H521*Parameters!$B$3*Parameters!$B$6</f>
        <v>0</v>
      </c>
      <c r="L521">
        <f>I521*Parameters!$B$4*Parameters!$B$7</f>
        <v>0</v>
      </c>
      <c r="M521">
        <f t="shared" si="8"/>
        <v>106.45499999999998</v>
      </c>
      <c r="N521">
        <v>0</v>
      </c>
      <c r="O521">
        <v>5000</v>
      </c>
      <c r="P521">
        <v>0</v>
      </c>
      <c r="Q521">
        <v>0</v>
      </c>
    </row>
    <row r="522" spans="1:17">
      <c r="A522" t="s">
        <v>44</v>
      </c>
      <c r="B522" t="s">
        <v>40</v>
      </c>
      <c r="C522">
        <v>10</v>
      </c>
      <c r="D522">
        <v>2021</v>
      </c>
      <c r="E522" s="49" t="s">
        <v>145</v>
      </c>
      <c r="F522" s="49" t="s">
        <v>163</v>
      </c>
      <c r="G522">
        <f>'October to Jan, 2021 2022'!O24+'October to Jan, 2021 2022'!P24</f>
        <v>20</v>
      </c>
      <c r="H522">
        <f>'October to Jan, 2021 2022'!Q24</f>
        <v>0</v>
      </c>
      <c r="I522">
        <f>'October to Jan, 2021 2022'!R24</f>
        <v>15</v>
      </c>
      <c r="J522">
        <f>G522*Parameters!$B$2*Parameters!$B$5</f>
        <v>42.581999999999994</v>
      </c>
      <c r="K522">
        <f>H522*Parameters!$B$3*Parameters!$B$6</f>
        <v>0</v>
      </c>
      <c r="L522">
        <f>I522*Parameters!$B$4*Parameters!$B$7</f>
        <v>121.44600000000001</v>
      </c>
      <c r="M522">
        <f t="shared" si="8"/>
        <v>164.02800000000002</v>
      </c>
      <c r="N522">
        <v>0</v>
      </c>
      <c r="O522">
        <v>2000</v>
      </c>
      <c r="P522">
        <v>0</v>
      </c>
      <c r="Q522">
        <v>4500</v>
      </c>
    </row>
    <row r="523" spans="1:17">
      <c r="A523" t="s">
        <v>45</v>
      </c>
      <c r="B523" t="s">
        <v>24</v>
      </c>
      <c r="C523">
        <v>8</v>
      </c>
      <c r="D523">
        <v>2021</v>
      </c>
      <c r="E523" s="49" t="s">
        <v>145</v>
      </c>
      <c r="F523" s="49" t="s">
        <v>163</v>
      </c>
      <c r="G523">
        <f>'October to Jan, 2021 2022'!O25+'October to Jan, 2021 2022'!P25</f>
        <v>25</v>
      </c>
      <c r="H523">
        <f>'October to Jan, 2021 2022'!Q25</f>
        <v>0</v>
      </c>
      <c r="I523">
        <f>'October to Jan, 2021 2022'!R25</f>
        <v>10</v>
      </c>
      <c r="J523">
        <f>G523*Parameters!$B$2*Parameters!$B$5</f>
        <v>53.227499999999992</v>
      </c>
      <c r="K523">
        <f>H523*Parameters!$B$3*Parameters!$B$6</f>
        <v>0</v>
      </c>
      <c r="L523">
        <f>I523*Parameters!$B$4*Parameters!$B$7</f>
        <v>80.963999999999999</v>
      </c>
      <c r="M523">
        <f t="shared" si="8"/>
        <v>134.19149999999999</v>
      </c>
      <c r="N523">
        <v>0</v>
      </c>
      <c r="O523">
        <v>2500</v>
      </c>
      <c r="P523">
        <v>0</v>
      </c>
      <c r="Q523">
        <v>3000</v>
      </c>
    </row>
    <row r="524" spans="1:17">
      <c r="A524" t="s">
        <v>46</v>
      </c>
      <c r="B524" t="s">
        <v>24</v>
      </c>
      <c r="C524">
        <v>4</v>
      </c>
      <c r="D524">
        <v>2021</v>
      </c>
      <c r="E524" s="49" t="s">
        <v>145</v>
      </c>
      <c r="F524" s="49" t="s">
        <v>163</v>
      </c>
      <c r="G524">
        <f>'October to Jan, 2021 2022'!O26+'October to Jan, 2021 2022'!P26</f>
        <v>30</v>
      </c>
      <c r="H524">
        <f>'October to Jan, 2021 2022'!Q26</f>
        <v>0</v>
      </c>
      <c r="I524">
        <f>'October to Jan, 2021 2022'!R26</f>
        <v>10</v>
      </c>
      <c r="J524">
        <f>G524*Parameters!$B$2*Parameters!$B$5</f>
        <v>63.87299999999999</v>
      </c>
      <c r="K524">
        <f>H524*Parameters!$B$3*Parameters!$B$6</f>
        <v>0</v>
      </c>
      <c r="L524">
        <f>I524*Parameters!$B$4*Parameters!$B$7</f>
        <v>80.963999999999999</v>
      </c>
      <c r="M524">
        <f t="shared" si="8"/>
        <v>144.83699999999999</v>
      </c>
      <c r="N524">
        <v>0</v>
      </c>
      <c r="O524">
        <v>3000</v>
      </c>
      <c r="P524">
        <v>0</v>
      </c>
      <c r="Q524">
        <v>3000</v>
      </c>
    </row>
    <row r="525" spans="1:17">
      <c r="A525" t="s">
        <v>47</v>
      </c>
      <c r="B525" t="s">
        <v>19</v>
      </c>
      <c r="C525">
        <v>6</v>
      </c>
      <c r="D525">
        <v>2021</v>
      </c>
      <c r="E525" s="49" t="s">
        <v>145</v>
      </c>
      <c r="F525" s="49" t="s">
        <v>163</v>
      </c>
      <c r="G525">
        <f>'October to Jan, 2021 2022'!O27+'October to Jan, 2021 2022'!P27</f>
        <v>0</v>
      </c>
      <c r="H525">
        <f>'October to Jan, 2021 2022'!Q27</f>
        <v>0</v>
      </c>
      <c r="I525">
        <f>'October to Jan, 2021 2022'!R27</f>
        <v>10</v>
      </c>
      <c r="J525">
        <f>G525*Parameters!$B$2*Parameters!$B$5</f>
        <v>0</v>
      </c>
      <c r="K525">
        <f>H525*Parameters!$B$3*Parameters!$B$6</f>
        <v>0</v>
      </c>
      <c r="L525">
        <f>I525*Parameters!$B$4*Parameters!$B$7</f>
        <v>80.963999999999999</v>
      </c>
      <c r="M525">
        <f t="shared" si="8"/>
        <v>80.963999999999999</v>
      </c>
      <c r="N525">
        <v>0</v>
      </c>
      <c r="O525">
        <v>0</v>
      </c>
      <c r="P525">
        <v>0</v>
      </c>
      <c r="Q525">
        <v>3000</v>
      </c>
    </row>
    <row r="526" spans="1:17">
      <c r="A526" t="s">
        <v>48</v>
      </c>
      <c r="B526" t="s">
        <v>24</v>
      </c>
      <c r="C526">
        <v>4</v>
      </c>
      <c r="D526">
        <v>2021</v>
      </c>
      <c r="E526" s="49" t="s">
        <v>145</v>
      </c>
      <c r="F526" s="49" t="s">
        <v>163</v>
      </c>
      <c r="G526">
        <f>'October to Jan, 2021 2022'!O28+'October to Jan, 2021 2022'!P28</f>
        <v>50</v>
      </c>
      <c r="H526">
        <f>'October to Jan, 2021 2022'!Q28</f>
        <v>0</v>
      </c>
      <c r="I526">
        <f>'October to Jan, 2021 2022'!R28</f>
        <v>10</v>
      </c>
      <c r="J526">
        <f>G526*Parameters!$B$2*Parameters!$B$5</f>
        <v>106.45499999999998</v>
      </c>
      <c r="K526">
        <f>H526*Parameters!$B$3*Parameters!$B$6</f>
        <v>0</v>
      </c>
      <c r="L526">
        <f>I526*Parameters!$B$4*Parameters!$B$7</f>
        <v>80.963999999999999</v>
      </c>
      <c r="M526">
        <f t="shared" si="8"/>
        <v>187.41899999999998</v>
      </c>
      <c r="N526">
        <v>0</v>
      </c>
      <c r="O526">
        <v>5000</v>
      </c>
      <c r="P526">
        <v>0</v>
      </c>
      <c r="Q526">
        <v>3000</v>
      </c>
    </row>
    <row r="527" spans="1:17">
      <c r="A527" t="s">
        <v>49</v>
      </c>
      <c r="B527" t="s">
        <v>38</v>
      </c>
      <c r="C527">
        <v>2</v>
      </c>
      <c r="D527">
        <v>2021</v>
      </c>
      <c r="E527" s="49" t="s">
        <v>145</v>
      </c>
      <c r="F527" s="49" t="s">
        <v>163</v>
      </c>
      <c r="G527">
        <f>'October to Jan, 2021 2022'!O29+'October to Jan, 2021 2022'!P29</f>
        <v>45</v>
      </c>
      <c r="H527">
        <f>'October to Jan, 2021 2022'!Q29</f>
        <v>0</v>
      </c>
      <c r="I527">
        <f>'October to Jan, 2021 2022'!R29</f>
        <v>5</v>
      </c>
      <c r="J527">
        <f>G527*Parameters!$B$2*Parameters!$B$5</f>
        <v>95.809499999999986</v>
      </c>
      <c r="K527">
        <f>H527*Parameters!$B$3*Parameters!$B$6</f>
        <v>0</v>
      </c>
      <c r="L527">
        <f>I527*Parameters!$B$4*Parameters!$B$7</f>
        <v>40.481999999999999</v>
      </c>
      <c r="M527">
        <f t="shared" si="8"/>
        <v>136.29149999999998</v>
      </c>
      <c r="N527">
        <v>0</v>
      </c>
      <c r="O527">
        <v>4500</v>
      </c>
      <c r="P527">
        <v>0</v>
      </c>
      <c r="Q527">
        <v>1500</v>
      </c>
    </row>
    <row r="528" spans="1:17">
      <c r="A528" t="s">
        <v>50</v>
      </c>
      <c r="B528" t="s">
        <v>19</v>
      </c>
      <c r="C528">
        <v>8</v>
      </c>
      <c r="D528">
        <v>2021</v>
      </c>
      <c r="E528" s="49" t="s">
        <v>145</v>
      </c>
      <c r="F528" s="49" t="s">
        <v>163</v>
      </c>
      <c r="G528">
        <f>'October to Jan, 2021 2022'!O30+'October to Jan, 2021 2022'!P30</f>
        <v>20</v>
      </c>
      <c r="H528">
        <f>'October to Jan, 2021 2022'!Q30</f>
        <v>0</v>
      </c>
      <c r="I528">
        <f>'October to Jan, 2021 2022'!R30</f>
        <v>10</v>
      </c>
      <c r="J528">
        <f>G528*Parameters!$B$2*Parameters!$B$5</f>
        <v>42.581999999999994</v>
      </c>
      <c r="K528">
        <f>H528*Parameters!$B$3*Parameters!$B$6</f>
        <v>0</v>
      </c>
      <c r="L528">
        <f>I528*Parameters!$B$4*Parameters!$B$7</f>
        <v>80.963999999999999</v>
      </c>
      <c r="M528">
        <f t="shared" si="8"/>
        <v>123.54599999999999</v>
      </c>
      <c r="N528">
        <v>0</v>
      </c>
      <c r="O528">
        <v>2000</v>
      </c>
      <c r="P528">
        <v>0</v>
      </c>
      <c r="Q528">
        <v>3000</v>
      </c>
    </row>
    <row r="529" spans="1:17">
      <c r="A529" t="s">
        <v>51</v>
      </c>
      <c r="B529" t="s">
        <v>19</v>
      </c>
      <c r="C529">
        <v>6</v>
      </c>
      <c r="D529">
        <v>2021</v>
      </c>
      <c r="E529" s="49" t="s">
        <v>145</v>
      </c>
      <c r="F529" s="49" t="s">
        <v>163</v>
      </c>
      <c r="G529">
        <f>'October to Jan, 2021 2022'!O31+'October to Jan, 2021 2022'!P31</f>
        <v>30</v>
      </c>
      <c r="H529">
        <f>'October to Jan, 2021 2022'!Q31</f>
        <v>0</v>
      </c>
      <c r="I529">
        <f>'October to Jan, 2021 2022'!R31</f>
        <v>15</v>
      </c>
      <c r="J529">
        <f>G529*Parameters!$B$2*Parameters!$B$5</f>
        <v>63.87299999999999</v>
      </c>
      <c r="K529">
        <f>H529*Parameters!$B$3*Parameters!$B$6</f>
        <v>0</v>
      </c>
      <c r="L529">
        <f>I529*Parameters!$B$4*Parameters!$B$7</f>
        <v>121.44600000000001</v>
      </c>
      <c r="M529">
        <f t="shared" si="8"/>
        <v>185.31900000000002</v>
      </c>
      <c r="N529">
        <v>0</v>
      </c>
      <c r="O529">
        <v>3000</v>
      </c>
      <c r="P529">
        <v>0</v>
      </c>
      <c r="Q529">
        <v>4500</v>
      </c>
    </row>
    <row r="530" spans="1:17">
      <c r="A530" t="s">
        <v>52</v>
      </c>
      <c r="B530" t="s">
        <v>38</v>
      </c>
      <c r="C530">
        <v>12</v>
      </c>
      <c r="D530">
        <v>2021</v>
      </c>
      <c r="E530" s="49" t="s">
        <v>145</v>
      </c>
      <c r="F530" s="49" t="s">
        <v>163</v>
      </c>
      <c r="G530">
        <f>'October to Jan, 2021 2022'!O32+'October to Jan, 2021 2022'!P32</f>
        <v>40</v>
      </c>
      <c r="H530">
        <f>'October to Jan, 2021 2022'!Q32</f>
        <v>0</v>
      </c>
      <c r="I530">
        <f>'October to Jan, 2021 2022'!R32</f>
        <v>20</v>
      </c>
      <c r="J530">
        <f>G530*Parameters!$B$2*Parameters!$B$5</f>
        <v>85.163999999999987</v>
      </c>
      <c r="K530">
        <f>H530*Parameters!$B$3*Parameters!$B$6</f>
        <v>0</v>
      </c>
      <c r="L530">
        <f>I530*Parameters!$B$4*Parameters!$B$7</f>
        <v>161.928</v>
      </c>
      <c r="M530">
        <f t="shared" si="8"/>
        <v>247.09199999999998</v>
      </c>
      <c r="N530">
        <v>0</v>
      </c>
      <c r="O530">
        <v>4000</v>
      </c>
      <c r="P530">
        <v>0</v>
      </c>
      <c r="Q530">
        <v>6000</v>
      </c>
    </row>
    <row r="531" spans="1:17">
      <c r="A531" t="s">
        <v>53</v>
      </c>
      <c r="B531" t="s">
        <v>40</v>
      </c>
      <c r="C531">
        <v>8</v>
      </c>
      <c r="D531">
        <v>2021</v>
      </c>
      <c r="E531" s="49" t="s">
        <v>145</v>
      </c>
      <c r="F531" s="49" t="s">
        <v>163</v>
      </c>
      <c r="G531">
        <f>'October to Jan, 2021 2022'!O33+'October to Jan, 2021 2022'!P33</f>
        <v>45</v>
      </c>
      <c r="H531">
        <f>'October to Jan, 2021 2022'!Q33</f>
        <v>0</v>
      </c>
      <c r="I531">
        <f>'October to Jan, 2021 2022'!R33</f>
        <v>20</v>
      </c>
      <c r="J531">
        <f>G531*Parameters!$B$2*Parameters!$B$5</f>
        <v>95.809499999999986</v>
      </c>
      <c r="K531">
        <f>H531*Parameters!$B$3*Parameters!$B$6</f>
        <v>0</v>
      </c>
      <c r="L531">
        <f>I531*Parameters!$B$4*Parameters!$B$7</f>
        <v>161.928</v>
      </c>
      <c r="M531">
        <f t="shared" si="8"/>
        <v>257.73749999999995</v>
      </c>
      <c r="N531">
        <v>0</v>
      </c>
      <c r="O531">
        <v>4500</v>
      </c>
      <c r="P531">
        <v>0</v>
      </c>
      <c r="Q531">
        <v>6000</v>
      </c>
    </row>
    <row r="532" spans="1:17">
      <c r="A532" t="s">
        <v>54</v>
      </c>
      <c r="B532" t="s">
        <v>40</v>
      </c>
      <c r="C532">
        <v>6</v>
      </c>
      <c r="D532">
        <v>2021</v>
      </c>
      <c r="E532" s="49" t="s">
        <v>145</v>
      </c>
      <c r="F532" s="49" t="s">
        <v>163</v>
      </c>
      <c r="G532">
        <f>'October to Jan, 2021 2022'!O34+'October to Jan, 2021 2022'!P34</f>
        <v>40</v>
      </c>
      <c r="H532">
        <f>'October to Jan, 2021 2022'!Q34</f>
        <v>0</v>
      </c>
      <c r="I532">
        <f>'October to Jan, 2021 2022'!R34</f>
        <v>15</v>
      </c>
      <c r="J532">
        <f>G532*Parameters!$B$2*Parameters!$B$5</f>
        <v>85.163999999999987</v>
      </c>
      <c r="K532">
        <f>H532*Parameters!$B$3*Parameters!$B$6</f>
        <v>0</v>
      </c>
      <c r="L532">
        <f>I532*Parameters!$B$4*Parameters!$B$7</f>
        <v>121.44600000000001</v>
      </c>
      <c r="M532">
        <f t="shared" si="8"/>
        <v>206.61</v>
      </c>
      <c r="N532">
        <v>0</v>
      </c>
      <c r="O532">
        <v>4000</v>
      </c>
      <c r="P532">
        <v>0</v>
      </c>
      <c r="Q532">
        <v>4500</v>
      </c>
    </row>
    <row r="533" spans="1:17">
      <c r="A533" t="s">
        <v>55</v>
      </c>
      <c r="B533" t="s">
        <v>56</v>
      </c>
      <c r="C533">
        <v>4</v>
      </c>
      <c r="D533">
        <v>2021</v>
      </c>
      <c r="E533" s="49" t="s">
        <v>145</v>
      </c>
      <c r="F533" s="49" t="s">
        <v>163</v>
      </c>
      <c r="G533">
        <f>'October to Jan, 2021 2022'!O35+'October to Jan, 2021 2022'!P35</f>
        <v>0</v>
      </c>
      <c r="H533">
        <f>'October to Jan, 2021 2022'!Q35</f>
        <v>0</v>
      </c>
      <c r="I533">
        <f>'October to Jan, 2021 2022'!R35</f>
        <v>20</v>
      </c>
      <c r="J533">
        <f>G533*Parameters!$B$2*Parameters!$B$5</f>
        <v>0</v>
      </c>
      <c r="K533">
        <f>H533*Parameters!$B$3*Parameters!$B$6</f>
        <v>0</v>
      </c>
      <c r="L533">
        <f>I533*Parameters!$B$4*Parameters!$B$7</f>
        <v>161.928</v>
      </c>
      <c r="M533">
        <f t="shared" si="8"/>
        <v>161.928</v>
      </c>
      <c r="N533">
        <v>0</v>
      </c>
      <c r="O533">
        <v>0</v>
      </c>
      <c r="P533">
        <v>0</v>
      </c>
      <c r="Q533">
        <v>6000</v>
      </c>
    </row>
    <row r="534" spans="1:17">
      <c r="A534" t="s">
        <v>57</v>
      </c>
      <c r="B534" t="s">
        <v>40</v>
      </c>
      <c r="C534">
        <v>4</v>
      </c>
      <c r="D534">
        <v>2021</v>
      </c>
      <c r="E534" s="49" t="s">
        <v>145</v>
      </c>
      <c r="F534" s="49" t="s">
        <v>163</v>
      </c>
      <c r="G534">
        <f>'October to Jan, 2021 2022'!O36+'October to Jan, 2021 2022'!P36</f>
        <v>30</v>
      </c>
      <c r="H534">
        <f>'October to Jan, 2021 2022'!Q36</f>
        <v>0</v>
      </c>
      <c r="I534">
        <f>'October to Jan, 2021 2022'!R36</f>
        <v>8</v>
      </c>
      <c r="J534">
        <f>G534*Parameters!$B$2*Parameters!$B$5</f>
        <v>63.87299999999999</v>
      </c>
      <c r="K534">
        <f>H534*Parameters!$B$3*Parameters!$B$6</f>
        <v>0</v>
      </c>
      <c r="L534">
        <f>I534*Parameters!$B$4*Parameters!$B$7</f>
        <v>64.771200000000007</v>
      </c>
      <c r="M534">
        <f t="shared" si="8"/>
        <v>128.64420000000001</v>
      </c>
      <c r="N534">
        <v>0</v>
      </c>
      <c r="O534">
        <v>3000</v>
      </c>
      <c r="P534">
        <v>0</v>
      </c>
      <c r="Q534">
        <v>2400</v>
      </c>
    </row>
    <row r="535" spans="1:17">
      <c r="A535" t="s">
        <v>58</v>
      </c>
      <c r="B535" t="s">
        <v>26</v>
      </c>
      <c r="C535">
        <v>6</v>
      </c>
      <c r="D535">
        <v>2021</v>
      </c>
      <c r="E535" s="49" t="s">
        <v>145</v>
      </c>
      <c r="F535" s="49" t="s">
        <v>163</v>
      </c>
      <c r="G535">
        <f>'October to Jan, 2021 2022'!O37+'October to Jan, 2021 2022'!P37</f>
        <v>0</v>
      </c>
      <c r="H535">
        <f>'October to Jan, 2021 2022'!Q37</f>
        <v>0</v>
      </c>
      <c r="I535">
        <f>'October to Jan, 2021 2022'!R37</f>
        <v>20</v>
      </c>
      <c r="J535">
        <f>G535*Parameters!$B$2*Parameters!$B$5</f>
        <v>0</v>
      </c>
      <c r="K535">
        <f>H535*Parameters!$B$3*Parameters!$B$6</f>
        <v>0</v>
      </c>
      <c r="L535">
        <f>I535*Parameters!$B$4*Parameters!$B$7</f>
        <v>161.928</v>
      </c>
      <c r="M535">
        <f t="shared" si="8"/>
        <v>161.928</v>
      </c>
      <c r="N535">
        <v>0</v>
      </c>
      <c r="O535">
        <v>0</v>
      </c>
      <c r="P535">
        <v>0</v>
      </c>
      <c r="Q535">
        <v>6000</v>
      </c>
    </row>
    <row r="536" spans="1:17">
      <c r="A536" t="s">
        <v>59</v>
      </c>
      <c r="B536" t="s">
        <v>26</v>
      </c>
      <c r="C536">
        <v>7</v>
      </c>
      <c r="D536">
        <v>2021</v>
      </c>
      <c r="E536" s="49" t="s">
        <v>145</v>
      </c>
      <c r="F536" s="49" t="s">
        <v>163</v>
      </c>
      <c r="G536">
        <f>'October to Jan, 2021 2022'!O38+'October to Jan, 2021 2022'!P38</f>
        <v>20</v>
      </c>
      <c r="H536">
        <f>'October to Jan, 2021 2022'!Q38</f>
        <v>0</v>
      </c>
      <c r="I536">
        <f>'October to Jan, 2021 2022'!R38</f>
        <v>15</v>
      </c>
      <c r="J536">
        <f>G536*Parameters!$B$2*Parameters!$B$5</f>
        <v>42.581999999999994</v>
      </c>
      <c r="K536">
        <f>H536*Parameters!$B$3*Parameters!$B$6</f>
        <v>0</v>
      </c>
      <c r="L536">
        <f>I536*Parameters!$B$4*Parameters!$B$7</f>
        <v>121.44600000000001</v>
      </c>
      <c r="M536">
        <f t="shared" si="8"/>
        <v>164.02800000000002</v>
      </c>
      <c r="N536">
        <v>0</v>
      </c>
      <c r="O536">
        <v>2000</v>
      </c>
      <c r="P536">
        <v>0</v>
      </c>
      <c r="Q536">
        <v>4500</v>
      </c>
    </row>
    <row r="537" spans="1:17">
      <c r="A537" t="s">
        <v>60</v>
      </c>
      <c r="B537" t="s">
        <v>26</v>
      </c>
      <c r="C537">
        <v>8</v>
      </c>
      <c r="D537">
        <v>2021</v>
      </c>
      <c r="E537" s="49" t="s">
        <v>145</v>
      </c>
      <c r="F537" s="49" t="s">
        <v>163</v>
      </c>
      <c r="G537">
        <f>'October to Jan, 2021 2022'!O39+'October to Jan, 2021 2022'!P39</f>
        <v>10</v>
      </c>
      <c r="H537">
        <f>'October to Jan, 2021 2022'!Q39</f>
        <v>0</v>
      </c>
      <c r="I537">
        <f>'October to Jan, 2021 2022'!R39</f>
        <v>10</v>
      </c>
      <c r="J537">
        <f>G537*Parameters!$B$2*Parameters!$B$5</f>
        <v>21.290999999999997</v>
      </c>
      <c r="K537">
        <f>H537*Parameters!$B$3*Parameters!$B$6</f>
        <v>0</v>
      </c>
      <c r="L537">
        <f>I537*Parameters!$B$4*Parameters!$B$7</f>
        <v>80.963999999999999</v>
      </c>
      <c r="M537">
        <f t="shared" si="8"/>
        <v>102.255</v>
      </c>
      <c r="N537">
        <v>0</v>
      </c>
      <c r="O537">
        <v>1000</v>
      </c>
      <c r="P537">
        <v>0</v>
      </c>
      <c r="Q537">
        <v>3000</v>
      </c>
    </row>
    <row r="538" spans="1:17">
      <c r="A538" t="s">
        <v>61</v>
      </c>
      <c r="B538" t="s">
        <v>56</v>
      </c>
      <c r="C538">
        <v>5</v>
      </c>
      <c r="D538">
        <v>2021</v>
      </c>
      <c r="E538" s="49" t="s">
        <v>145</v>
      </c>
      <c r="F538" s="49" t="s">
        <v>163</v>
      </c>
      <c r="G538">
        <f>'October to Jan, 2021 2022'!O40+'October to Jan, 2021 2022'!P40</f>
        <v>15</v>
      </c>
      <c r="H538">
        <f>'October to Jan, 2021 2022'!Q40</f>
        <v>0</v>
      </c>
      <c r="I538">
        <f>'October to Jan, 2021 2022'!R40</f>
        <v>20</v>
      </c>
      <c r="J538">
        <f>G538*Parameters!$B$2*Parameters!$B$5</f>
        <v>31.936499999999995</v>
      </c>
      <c r="K538">
        <f>H538*Parameters!$B$3*Parameters!$B$6</f>
        <v>0</v>
      </c>
      <c r="L538">
        <f>I538*Parameters!$B$4*Parameters!$B$7</f>
        <v>161.928</v>
      </c>
      <c r="M538">
        <f t="shared" si="8"/>
        <v>193.86449999999999</v>
      </c>
      <c r="N538">
        <v>0</v>
      </c>
      <c r="O538">
        <v>1500</v>
      </c>
      <c r="P538">
        <v>0</v>
      </c>
      <c r="Q538">
        <v>6000</v>
      </c>
    </row>
    <row r="539" spans="1:17">
      <c r="A539" t="s">
        <v>62</v>
      </c>
      <c r="B539" t="s">
        <v>21</v>
      </c>
      <c r="C539">
        <v>6</v>
      </c>
      <c r="D539">
        <v>2021</v>
      </c>
      <c r="E539" s="49" t="s">
        <v>145</v>
      </c>
      <c r="F539" s="49" t="s">
        <v>163</v>
      </c>
      <c r="G539">
        <f>'October to Jan, 2021 2022'!O41+'October to Jan, 2021 2022'!P41</f>
        <v>50</v>
      </c>
      <c r="H539">
        <f>'October to Jan, 2021 2022'!Q41</f>
        <v>0</v>
      </c>
      <c r="I539">
        <f>'October to Jan, 2021 2022'!R41</f>
        <v>5</v>
      </c>
      <c r="J539">
        <f>G539*Parameters!$B$2*Parameters!$B$5</f>
        <v>106.45499999999998</v>
      </c>
      <c r="K539">
        <f>H539*Parameters!$B$3*Parameters!$B$6</f>
        <v>0</v>
      </c>
      <c r="L539">
        <f>I539*Parameters!$B$4*Parameters!$B$7</f>
        <v>40.481999999999999</v>
      </c>
      <c r="M539">
        <f t="shared" si="8"/>
        <v>146.93699999999998</v>
      </c>
      <c r="N539">
        <v>0</v>
      </c>
      <c r="O539">
        <v>5000</v>
      </c>
      <c r="P539">
        <v>0</v>
      </c>
      <c r="Q539">
        <v>1500</v>
      </c>
    </row>
    <row r="540" spans="1:17">
      <c r="A540" t="s">
        <v>63</v>
      </c>
      <c r="B540" t="s">
        <v>21</v>
      </c>
      <c r="C540">
        <v>9</v>
      </c>
      <c r="D540">
        <v>2021</v>
      </c>
      <c r="E540" s="49" t="s">
        <v>145</v>
      </c>
      <c r="F540" s="49" t="s">
        <v>163</v>
      </c>
      <c r="G540">
        <f>'October to Jan, 2021 2022'!O42+'October to Jan, 2021 2022'!P42</f>
        <v>35</v>
      </c>
      <c r="H540">
        <f>'October to Jan, 2021 2022'!Q42</f>
        <v>0</v>
      </c>
      <c r="I540">
        <f>'October to Jan, 2021 2022'!R42</f>
        <v>10</v>
      </c>
      <c r="J540">
        <f>G540*Parameters!$B$2*Parameters!$B$5</f>
        <v>74.518499999999989</v>
      </c>
      <c r="K540">
        <f>H540*Parameters!$B$3*Parameters!$B$6</f>
        <v>0</v>
      </c>
      <c r="L540">
        <f>I540*Parameters!$B$4*Parameters!$B$7</f>
        <v>80.963999999999999</v>
      </c>
      <c r="M540">
        <f t="shared" si="8"/>
        <v>155.48249999999999</v>
      </c>
      <c r="N540">
        <v>0</v>
      </c>
      <c r="O540">
        <v>3500</v>
      </c>
      <c r="P540">
        <v>0</v>
      </c>
      <c r="Q540">
        <v>3000</v>
      </c>
    </row>
    <row r="541" spans="1:17">
      <c r="A541" t="s">
        <v>64</v>
      </c>
      <c r="B541" t="s">
        <v>65</v>
      </c>
      <c r="C541">
        <v>3</v>
      </c>
      <c r="D541">
        <v>2021</v>
      </c>
      <c r="E541" s="49" t="s">
        <v>145</v>
      </c>
      <c r="F541" s="49" t="s">
        <v>163</v>
      </c>
      <c r="G541">
        <f>'October to Jan, 2021 2022'!O43+'October to Jan, 2021 2022'!P43</f>
        <v>0</v>
      </c>
      <c r="H541">
        <f>'October to Jan, 2021 2022'!Q43</f>
        <v>0</v>
      </c>
      <c r="I541">
        <f>'October to Jan, 2021 2022'!R43</f>
        <v>10</v>
      </c>
      <c r="J541">
        <f>G541*Parameters!$B$2*Parameters!$B$5</f>
        <v>0</v>
      </c>
      <c r="K541">
        <f>H541*Parameters!$B$3*Parameters!$B$6</f>
        <v>0</v>
      </c>
      <c r="L541">
        <f>I541*Parameters!$B$4*Parameters!$B$7</f>
        <v>80.963999999999999</v>
      </c>
      <c r="M541">
        <f t="shared" si="8"/>
        <v>80.963999999999999</v>
      </c>
      <c r="N541">
        <v>0</v>
      </c>
      <c r="O541">
        <v>0</v>
      </c>
      <c r="P541">
        <v>0</v>
      </c>
      <c r="Q541">
        <v>3000</v>
      </c>
    </row>
    <row r="542" spans="1:17">
      <c r="A542" t="s">
        <v>66</v>
      </c>
      <c r="B542" t="s">
        <v>24</v>
      </c>
      <c r="C542">
        <v>4</v>
      </c>
      <c r="D542">
        <v>2021</v>
      </c>
      <c r="E542" s="49" t="s">
        <v>145</v>
      </c>
      <c r="F542" s="49" t="s">
        <v>163</v>
      </c>
      <c r="G542">
        <f>'October to Jan, 2021 2022'!O44+'October to Jan, 2021 2022'!P44</f>
        <v>50</v>
      </c>
      <c r="H542">
        <f>'October to Jan, 2021 2022'!Q44</f>
        <v>0</v>
      </c>
      <c r="I542">
        <f>'October to Jan, 2021 2022'!R44</f>
        <v>10</v>
      </c>
      <c r="J542">
        <f>G542*Parameters!$B$2*Parameters!$B$5</f>
        <v>106.45499999999998</v>
      </c>
      <c r="K542">
        <f>H542*Parameters!$B$3*Parameters!$B$6</f>
        <v>0</v>
      </c>
      <c r="L542">
        <f>I542*Parameters!$B$4*Parameters!$B$7</f>
        <v>80.963999999999999</v>
      </c>
      <c r="M542">
        <f t="shared" si="8"/>
        <v>187.41899999999998</v>
      </c>
      <c r="N542">
        <v>0</v>
      </c>
      <c r="O542">
        <v>5000</v>
      </c>
      <c r="P542">
        <v>0</v>
      </c>
      <c r="Q542">
        <v>3000</v>
      </c>
    </row>
    <row r="543" spans="1:17">
      <c r="A543" t="s">
        <v>67</v>
      </c>
      <c r="B543" t="s">
        <v>56</v>
      </c>
      <c r="C543">
        <v>6</v>
      </c>
      <c r="D543">
        <v>2021</v>
      </c>
      <c r="E543" s="49" t="s">
        <v>145</v>
      </c>
      <c r="F543" s="49" t="s">
        <v>163</v>
      </c>
      <c r="G543">
        <f>'October to Jan, 2021 2022'!O45+'October to Jan, 2021 2022'!P45</f>
        <v>35</v>
      </c>
      <c r="H543">
        <f>'October to Jan, 2021 2022'!Q45</f>
        <v>0</v>
      </c>
      <c r="I543">
        <f>'October to Jan, 2021 2022'!R45</f>
        <v>15</v>
      </c>
      <c r="J543">
        <f>G543*Parameters!$B$2*Parameters!$B$5</f>
        <v>74.518499999999989</v>
      </c>
      <c r="K543">
        <f>H543*Parameters!$B$3*Parameters!$B$6</f>
        <v>0</v>
      </c>
      <c r="L543">
        <f>I543*Parameters!$B$4*Parameters!$B$7</f>
        <v>121.44600000000001</v>
      </c>
      <c r="M543">
        <f t="shared" si="8"/>
        <v>195.96449999999999</v>
      </c>
      <c r="N543">
        <v>0</v>
      </c>
      <c r="O543">
        <v>3500</v>
      </c>
      <c r="P543">
        <v>0</v>
      </c>
      <c r="Q543">
        <v>4500</v>
      </c>
    </row>
    <row r="544" spans="1:17">
      <c r="A544" t="s">
        <v>68</v>
      </c>
      <c r="B544" t="s">
        <v>21</v>
      </c>
      <c r="C544">
        <v>4</v>
      </c>
      <c r="D544">
        <v>2021</v>
      </c>
      <c r="E544" s="49" t="s">
        <v>145</v>
      </c>
      <c r="F544" s="49" t="s">
        <v>163</v>
      </c>
      <c r="G544">
        <f>'October to Jan, 2021 2022'!O46+'October to Jan, 2021 2022'!P46</f>
        <v>15</v>
      </c>
      <c r="H544">
        <f>'October to Jan, 2021 2022'!Q46</f>
        <v>0</v>
      </c>
      <c r="I544">
        <f>'October to Jan, 2021 2022'!R46</f>
        <v>10</v>
      </c>
      <c r="J544">
        <f>G544*Parameters!$B$2*Parameters!$B$5</f>
        <v>31.936499999999995</v>
      </c>
      <c r="K544">
        <f>H544*Parameters!$B$3*Parameters!$B$6</f>
        <v>0</v>
      </c>
      <c r="L544">
        <f>I544*Parameters!$B$4*Parameters!$B$7</f>
        <v>80.963999999999999</v>
      </c>
      <c r="M544">
        <f t="shared" si="8"/>
        <v>112.90049999999999</v>
      </c>
      <c r="N544">
        <v>0</v>
      </c>
      <c r="O544">
        <v>1500</v>
      </c>
      <c r="P544">
        <v>0</v>
      </c>
      <c r="Q544">
        <v>3000</v>
      </c>
    </row>
    <row r="545" spans="1:17">
      <c r="A545" t="s">
        <v>69</v>
      </c>
      <c r="B545" t="s">
        <v>24</v>
      </c>
      <c r="C545">
        <v>6</v>
      </c>
      <c r="D545">
        <v>2021</v>
      </c>
      <c r="E545" s="49" t="s">
        <v>145</v>
      </c>
      <c r="F545" s="49" t="s">
        <v>163</v>
      </c>
      <c r="G545">
        <f>'October to Jan, 2021 2022'!O47+'October to Jan, 2021 2022'!P47</f>
        <v>20</v>
      </c>
      <c r="H545">
        <f>'October to Jan, 2021 2022'!Q47</f>
        <v>0</v>
      </c>
      <c r="I545">
        <f>'October to Jan, 2021 2022'!R47</f>
        <v>5</v>
      </c>
      <c r="J545">
        <f>G545*Parameters!$B$2*Parameters!$B$5</f>
        <v>42.581999999999994</v>
      </c>
      <c r="K545">
        <f>H545*Parameters!$B$3*Parameters!$B$6</f>
        <v>0</v>
      </c>
      <c r="L545">
        <f>I545*Parameters!$B$4*Parameters!$B$7</f>
        <v>40.481999999999999</v>
      </c>
      <c r="M545">
        <f t="shared" si="8"/>
        <v>83.063999999999993</v>
      </c>
      <c r="N545">
        <v>0</v>
      </c>
      <c r="O545">
        <v>2000</v>
      </c>
      <c r="P545">
        <v>0</v>
      </c>
      <c r="Q545">
        <v>1500</v>
      </c>
    </row>
    <row r="546" spans="1:17">
      <c r="A546" t="s">
        <v>70</v>
      </c>
      <c r="B546" t="s">
        <v>26</v>
      </c>
      <c r="C546">
        <v>6</v>
      </c>
      <c r="D546">
        <v>2021</v>
      </c>
      <c r="E546" s="49" t="s">
        <v>145</v>
      </c>
      <c r="F546" s="49" t="s">
        <v>163</v>
      </c>
      <c r="G546">
        <f>'October to Jan, 2021 2022'!O48+'October to Jan, 2021 2022'!P48</f>
        <v>40</v>
      </c>
      <c r="H546">
        <f>'October to Jan, 2021 2022'!Q48</f>
        <v>0</v>
      </c>
      <c r="I546">
        <f>'October to Jan, 2021 2022'!R48</f>
        <v>5</v>
      </c>
      <c r="J546">
        <f>G546*Parameters!$B$2*Parameters!$B$5</f>
        <v>85.163999999999987</v>
      </c>
      <c r="K546">
        <f>H546*Parameters!$B$3*Parameters!$B$6</f>
        <v>0</v>
      </c>
      <c r="L546">
        <f>I546*Parameters!$B$4*Parameters!$B$7</f>
        <v>40.481999999999999</v>
      </c>
      <c r="M546">
        <f t="shared" si="8"/>
        <v>125.64599999999999</v>
      </c>
      <c r="N546">
        <v>0</v>
      </c>
      <c r="O546">
        <v>4000</v>
      </c>
      <c r="P546">
        <v>0</v>
      </c>
      <c r="Q546">
        <v>1500</v>
      </c>
    </row>
    <row r="547" spans="1:17">
      <c r="A547" t="s">
        <v>71</v>
      </c>
      <c r="B547" t="s">
        <v>26</v>
      </c>
      <c r="C547">
        <v>5</v>
      </c>
      <c r="D547">
        <v>2021</v>
      </c>
      <c r="E547" s="49" t="s">
        <v>145</v>
      </c>
      <c r="F547" s="49" t="s">
        <v>163</v>
      </c>
      <c r="G547">
        <f>'October to Jan, 2021 2022'!O49+'October to Jan, 2021 2022'!P49</f>
        <v>25</v>
      </c>
      <c r="H547">
        <f>'October to Jan, 2021 2022'!Q49</f>
        <v>0</v>
      </c>
      <c r="I547">
        <f>'October to Jan, 2021 2022'!R49</f>
        <v>5</v>
      </c>
      <c r="J547">
        <f>G547*Parameters!$B$2*Parameters!$B$5</f>
        <v>53.227499999999992</v>
      </c>
      <c r="K547">
        <f>H547*Parameters!$B$3*Parameters!$B$6</f>
        <v>0</v>
      </c>
      <c r="L547">
        <f>I547*Parameters!$B$4*Parameters!$B$7</f>
        <v>40.481999999999999</v>
      </c>
      <c r="M547">
        <f t="shared" si="8"/>
        <v>93.709499999999991</v>
      </c>
      <c r="N547">
        <v>0</v>
      </c>
      <c r="O547">
        <v>2500</v>
      </c>
      <c r="P547">
        <v>0</v>
      </c>
      <c r="Q547">
        <v>1500</v>
      </c>
    </row>
    <row r="548" spans="1:17">
      <c r="A548" t="s">
        <v>72</v>
      </c>
      <c r="B548" t="s">
        <v>26</v>
      </c>
      <c r="C548">
        <v>8</v>
      </c>
      <c r="D548">
        <v>2021</v>
      </c>
      <c r="E548" s="49" t="s">
        <v>145</v>
      </c>
      <c r="F548" s="49" t="s">
        <v>163</v>
      </c>
      <c r="G548">
        <f>'October to Jan, 2021 2022'!O50+'October to Jan, 2021 2022'!P50</f>
        <v>35</v>
      </c>
      <c r="H548">
        <f>'October to Jan, 2021 2022'!Q50</f>
        <v>0</v>
      </c>
      <c r="I548">
        <f>'October to Jan, 2021 2022'!R50</f>
        <v>10</v>
      </c>
      <c r="J548">
        <f>G548*Parameters!$B$2*Parameters!$B$5</f>
        <v>74.518499999999989</v>
      </c>
      <c r="K548">
        <f>H548*Parameters!$B$3*Parameters!$B$6</f>
        <v>0</v>
      </c>
      <c r="L548">
        <f>I548*Parameters!$B$4*Parameters!$B$7</f>
        <v>80.963999999999999</v>
      </c>
      <c r="M548">
        <f t="shared" si="8"/>
        <v>155.48249999999999</v>
      </c>
      <c r="N548">
        <v>0</v>
      </c>
      <c r="O548">
        <v>3500</v>
      </c>
      <c r="P548">
        <v>0</v>
      </c>
      <c r="Q548">
        <v>3000</v>
      </c>
    </row>
    <row r="549" spans="1:17">
      <c r="A549" t="s">
        <v>73</v>
      </c>
      <c r="B549" t="s">
        <v>17</v>
      </c>
      <c r="C549">
        <v>4</v>
      </c>
      <c r="D549">
        <v>2021</v>
      </c>
      <c r="E549" s="49" t="s">
        <v>145</v>
      </c>
      <c r="F549" s="49" t="s">
        <v>163</v>
      </c>
      <c r="G549">
        <f>'October to Jan, 2021 2022'!O51+'October to Jan, 2021 2022'!P51</f>
        <v>0</v>
      </c>
      <c r="H549">
        <f>'October to Jan, 2021 2022'!Q51</f>
        <v>0</v>
      </c>
      <c r="I549">
        <f>'October to Jan, 2021 2022'!R51</f>
        <v>40</v>
      </c>
      <c r="J549">
        <f>G549*Parameters!$B$2*Parameters!$B$5</f>
        <v>0</v>
      </c>
      <c r="K549">
        <f>H549*Parameters!$B$3*Parameters!$B$6</f>
        <v>0</v>
      </c>
      <c r="L549">
        <f>I549*Parameters!$B$4*Parameters!$B$7</f>
        <v>323.85599999999999</v>
      </c>
      <c r="M549">
        <f t="shared" si="8"/>
        <v>323.85599999999999</v>
      </c>
      <c r="N549">
        <v>0</v>
      </c>
      <c r="O549">
        <v>0</v>
      </c>
      <c r="P549">
        <v>0</v>
      </c>
      <c r="Q549">
        <v>12000</v>
      </c>
    </row>
    <row r="550" spans="1:17">
      <c r="A550" t="s">
        <v>74</v>
      </c>
      <c r="B550" t="s">
        <v>65</v>
      </c>
      <c r="C550">
        <v>8</v>
      </c>
      <c r="D550">
        <v>2021</v>
      </c>
      <c r="E550" s="49" t="s">
        <v>145</v>
      </c>
      <c r="F550" s="49" t="s">
        <v>163</v>
      </c>
      <c r="G550">
        <f>'October to Jan, 2021 2022'!O52+'October to Jan, 2021 2022'!P52</f>
        <v>15</v>
      </c>
      <c r="H550">
        <f>'October to Jan, 2021 2022'!Q52</f>
        <v>0</v>
      </c>
      <c r="I550">
        <f>'October to Jan, 2021 2022'!R52</f>
        <v>5</v>
      </c>
      <c r="J550">
        <f>G550*Parameters!$B$2*Parameters!$B$5</f>
        <v>31.936499999999995</v>
      </c>
      <c r="K550">
        <f>H550*Parameters!$B$3*Parameters!$B$6</f>
        <v>0</v>
      </c>
      <c r="L550">
        <f>I550*Parameters!$B$4*Parameters!$B$7</f>
        <v>40.481999999999999</v>
      </c>
      <c r="M550">
        <f t="shared" si="8"/>
        <v>72.418499999999995</v>
      </c>
      <c r="N550">
        <v>0</v>
      </c>
      <c r="O550">
        <v>1500</v>
      </c>
      <c r="P550">
        <v>0</v>
      </c>
      <c r="Q550">
        <v>1500</v>
      </c>
    </row>
    <row r="551" spans="1:17">
      <c r="A551" t="s">
        <v>75</v>
      </c>
      <c r="B551" t="s">
        <v>24</v>
      </c>
      <c r="C551">
        <v>4</v>
      </c>
      <c r="D551">
        <v>2021</v>
      </c>
      <c r="E551" s="49" t="s">
        <v>145</v>
      </c>
      <c r="F551" s="49" t="s">
        <v>163</v>
      </c>
      <c r="G551">
        <f>'October to Jan, 2021 2022'!O53+'October to Jan, 2021 2022'!P53</f>
        <v>45</v>
      </c>
      <c r="H551">
        <f>'October to Jan, 2021 2022'!Q53</f>
        <v>0</v>
      </c>
      <c r="I551">
        <f>'October to Jan, 2021 2022'!R53</f>
        <v>10</v>
      </c>
      <c r="J551">
        <f>G551*Parameters!$B$2*Parameters!$B$5</f>
        <v>95.809499999999986</v>
      </c>
      <c r="K551">
        <f>H551*Parameters!$B$3*Parameters!$B$6</f>
        <v>0</v>
      </c>
      <c r="L551">
        <f>I551*Parameters!$B$4*Parameters!$B$7</f>
        <v>80.963999999999999</v>
      </c>
      <c r="M551">
        <f t="shared" si="8"/>
        <v>176.77349999999998</v>
      </c>
      <c r="N551">
        <v>0</v>
      </c>
      <c r="O551">
        <v>4500</v>
      </c>
      <c r="P551">
        <v>0</v>
      </c>
      <c r="Q551">
        <v>3000</v>
      </c>
    </row>
    <row r="552" spans="1:17">
      <c r="A552" t="s">
        <v>76</v>
      </c>
      <c r="B552" t="s">
        <v>56</v>
      </c>
      <c r="C552">
        <v>4</v>
      </c>
      <c r="D552">
        <v>2021</v>
      </c>
      <c r="E552" s="49" t="s">
        <v>145</v>
      </c>
      <c r="F552" s="49" t="s">
        <v>163</v>
      </c>
      <c r="G552">
        <f>'October to Jan, 2021 2022'!O54+'October to Jan, 2021 2022'!P54</f>
        <v>25</v>
      </c>
      <c r="H552">
        <f>'October to Jan, 2021 2022'!Q54</f>
        <v>0</v>
      </c>
      <c r="I552">
        <f>'October to Jan, 2021 2022'!R54</f>
        <v>15</v>
      </c>
      <c r="J552">
        <f>G552*Parameters!$B$2*Parameters!$B$5</f>
        <v>53.227499999999992</v>
      </c>
      <c r="K552">
        <f>H552*Parameters!$B$3*Parameters!$B$6</f>
        <v>0</v>
      </c>
      <c r="L552">
        <f>I552*Parameters!$B$4*Parameters!$B$7</f>
        <v>121.44600000000001</v>
      </c>
      <c r="M552">
        <f t="shared" si="8"/>
        <v>174.67349999999999</v>
      </c>
      <c r="N552">
        <v>0</v>
      </c>
      <c r="O552">
        <v>2500</v>
      </c>
      <c r="P552">
        <v>0</v>
      </c>
      <c r="Q552">
        <v>4500</v>
      </c>
    </row>
    <row r="553" spans="1:17">
      <c r="A553" t="s">
        <v>77</v>
      </c>
      <c r="B553" t="s">
        <v>40</v>
      </c>
      <c r="C553">
        <v>12</v>
      </c>
      <c r="D553">
        <v>2021</v>
      </c>
      <c r="E553" s="49" t="s">
        <v>145</v>
      </c>
      <c r="F553" s="49" t="s">
        <v>163</v>
      </c>
      <c r="G553">
        <f>'October to Jan, 2021 2022'!O55+'October to Jan, 2021 2022'!P55</f>
        <v>25</v>
      </c>
      <c r="H553">
        <f>'October to Jan, 2021 2022'!Q55</f>
        <v>0</v>
      </c>
      <c r="I553">
        <f>'October to Jan, 2021 2022'!R55</f>
        <v>10</v>
      </c>
      <c r="J553">
        <f>G553*Parameters!$B$2*Parameters!$B$5</f>
        <v>53.227499999999992</v>
      </c>
      <c r="K553">
        <f>H553*Parameters!$B$3*Parameters!$B$6</f>
        <v>0</v>
      </c>
      <c r="L553">
        <f>I553*Parameters!$B$4*Parameters!$B$7</f>
        <v>80.963999999999999</v>
      </c>
      <c r="M553">
        <f t="shared" si="8"/>
        <v>134.19149999999999</v>
      </c>
      <c r="N553">
        <v>0</v>
      </c>
      <c r="O553">
        <v>2500</v>
      </c>
      <c r="P553">
        <v>0</v>
      </c>
      <c r="Q553">
        <v>3000</v>
      </c>
    </row>
    <row r="554" spans="1:17">
      <c r="A554" t="s">
        <v>78</v>
      </c>
      <c r="B554" t="s">
        <v>32</v>
      </c>
      <c r="C554">
        <v>6</v>
      </c>
      <c r="D554">
        <v>2021</v>
      </c>
      <c r="E554" s="49" t="s">
        <v>145</v>
      </c>
      <c r="F554" s="49" t="s">
        <v>163</v>
      </c>
      <c r="G554">
        <f>'October to Jan, 2021 2022'!O56+'October to Jan, 2021 2022'!P56</f>
        <v>15</v>
      </c>
      <c r="H554">
        <f>'October to Jan, 2021 2022'!Q56</f>
        <v>0</v>
      </c>
      <c r="I554">
        <f>'October to Jan, 2021 2022'!R56</f>
        <v>8</v>
      </c>
      <c r="J554">
        <f>G554*Parameters!$B$2*Parameters!$B$5</f>
        <v>31.936499999999995</v>
      </c>
      <c r="K554">
        <f>H554*Parameters!$B$3*Parameters!$B$6</f>
        <v>0</v>
      </c>
      <c r="L554">
        <f>I554*Parameters!$B$4*Parameters!$B$7</f>
        <v>64.771200000000007</v>
      </c>
      <c r="M554">
        <f t="shared" si="8"/>
        <v>96.707700000000003</v>
      </c>
      <c r="N554">
        <v>0</v>
      </c>
      <c r="O554">
        <v>1500</v>
      </c>
      <c r="P554">
        <v>0</v>
      </c>
      <c r="Q554">
        <v>2400</v>
      </c>
    </row>
    <row r="555" spans="1:17">
      <c r="A555" t="s">
        <v>79</v>
      </c>
      <c r="B555" t="s">
        <v>40</v>
      </c>
      <c r="C555">
        <v>4</v>
      </c>
      <c r="D555">
        <v>2021</v>
      </c>
      <c r="E555" s="49" t="s">
        <v>145</v>
      </c>
      <c r="F555" s="49" t="s">
        <v>163</v>
      </c>
      <c r="G555">
        <f>'October to Jan, 2021 2022'!O57+'October to Jan, 2021 2022'!P57</f>
        <v>20</v>
      </c>
      <c r="H555">
        <f>'October to Jan, 2021 2022'!Q57</f>
        <v>0</v>
      </c>
      <c r="I555">
        <f>'October to Jan, 2021 2022'!R57</f>
        <v>5</v>
      </c>
      <c r="J555">
        <f>G555*Parameters!$B$2*Parameters!$B$5</f>
        <v>42.581999999999994</v>
      </c>
      <c r="K555">
        <f>H555*Parameters!$B$3*Parameters!$B$6</f>
        <v>0</v>
      </c>
      <c r="L555">
        <f>I555*Parameters!$B$4*Parameters!$B$7</f>
        <v>40.481999999999999</v>
      </c>
      <c r="M555">
        <f t="shared" si="8"/>
        <v>83.063999999999993</v>
      </c>
      <c r="N555">
        <v>0</v>
      </c>
      <c r="O555">
        <v>2000</v>
      </c>
      <c r="P555">
        <v>0</v>
      </c>
      <c r="Q555">
        <v>1500</v>
      </c>
    </row>
    <row r="556" spans="1:17">
      <c r="A556" t="s">
        <v>80</v>
      </c>
      <c r="B556" t="s">
        <v>26</v>
      </c>
      <c r="C556">
        <v>7</v>
      </c>
      <c r="D556">
        <v>2021</v>
      </c>
      <c r="E556" s="49" t="s">
        <v>145</v>
      </c>
      <c r="F556" s="49" t="s">
        <v>163</v>
      </c>
      <c r="G556">
        <f>'October to Jan, 2021 2022'!O58+'October to Jan, 2021 2022'!P58</f>
        <v>10</v>
      </c>
      <c r="H556">
        <f>'October to Jan, 2021 2022'!Q58</f>
        <v>0</v>
      </c>
      <c r="I556">
        <f>'October to Jan, 2021 2022'!R58</f>
        <v>10</v>
      </c>
      <c r="J556">
        <f>G556*Parameters!$B$2*Parameters!$B$5</f>
        <v>21.290999999999997</v>
      </c>
      <c r="K556">
        <f>H556*Parameters!$B$3*Parameters!$B$6</f>
        <v>0</v>
      </c>
      <c r="L556">
        <f>I556*Parameters!$B$4*Parameters!$B$7</f>
        <v>80.963999999999999</v>
      </c>
      <c r="M556">
        <f t="shared" si="8"/>
        <v>102.255</v>
      </c>
      <c r="N556">
        <v>0</v>
      </c>
      <c r="O556">
        <v>1000</v>
      </c>
      <c r="P556">
        <v>0</v>
      </c>
      <c r="Q556">
        <v>3000</v>
      </c>
    </row>
    <row r="557" spans="1:17">
      <c r="A557" t="s">
        <v>81</v>
      </c>
      <c r="B557" t="s">
        <v>24</v>
      </c>
      <c r="C557">
        <v>6</v>
      </c>
      <c r="D557">
        <v>2021</v>
      </c>
      <c r="E557" s="49" t="s">
        <v>145</v>
      </c>
      <c r="F557" s="49" t="s">
        <v>163</v>
      </c>
      <c r="G557">
        <f>'October to Jan, 2021 2022'!O59+'October to Jan, 2021 2022'!P59</f>
        <v>25</v>
      </c>
      <c r="H557">
        <f>'October to Jan, 2021 2022'!Q59</f>
        <v>0</v>
      </c>
      <c r="I557">
        <f>'October to Jan, 2021 2022'!R59</f>
        <v>5</v>
      </c>
      <c r="J557">
        <f>G557*Parameters!$B$2*Parameters!$B$5</f>
        <v>53.227499999999992</v>
      </c>
      <c r="K557">
        <f>H557*Parameters!$B$3*Parameters!$B$6</f>
        <v>0</v>
      </c>
      <c r="L557">
        <f>I557*Parameters!$B$4*Parameters!$B$7</f>
        <v>40.481999999999999</v>
      </c>
      <c r="M557">
        <f t="shared" si="8"/>
        <v>93.709499999999991</v>
      </c>
      <c r="N557">
        <v>0</v>
      </c>
      <c r="O557">
        <v>2500</v>
      </c>
      <c r="P557">
        <v>0</v>
      </c>
      <c r="Q557">
        <v>1500</v>
      </c>
    </row>
    <row r="558" spans="1:17">
      <c r="A558" t="s">
        <v>82</v>
      </c>
      <c r="B558" t="s">
        <v>83</v>
      </c>
      <c r="C558">
        <v>4</v>
      </c>
      <c r="D558">
        <v>2021</v>
      </c>
      <c r="E558" s="49" t="s">
        <v>145</v>
      </c>
      <c r="F558" s="49" t="s">
        <v>163</v>
      </c>
      <c r="G558">
        <f>'October to Jan, 2021 2022'!O60+'October to Jan, 2021 2022'!P60</f>
        <v>20</v>
      </c>
      <c r="H558">
        <f>'October to Jan, 2021 2022'!Q60</f>
        <v>0</v>
      </c>
      <c r="I558">
        <f>'October to Jan, 2021 2022'!R60</f>
        <v>20</v>
      </c>
      <c r="J558">
        <f>G558*Parameters!$B$2*Parameters!$B$5</f>
        <v>42.581999999999994</v>
      </c>
      <c r="K558">
        <f>H558*Parameters!$B$3*Parameters!$B$6</f>
        <v>0</v>
      </c>
      <c r="L558">
        <f>I558*Parameters!$B$4*Parameters!$B$7</f>
        <v>161.928</v>
      </c>
      <c r="M558">
        <f t="shared" si="8"/>
        <v>204.51</v>
      </c>
      <c r="N558">
        <v>0</v>
      </c>
      <c r="O558">
        <v>2000</v>
      </c>
      <c r="P558">
        <v>0</v>
      </c>
      <c r="Q558">
        <v>6000</v>
      </c>
    </row>
    <row r="559" spans="1:17">
      <c r="A559" t="s">
        <v>84</v>
      </c>
      <c r="B559" t="s">
        <v>26</v>
      </c>
      <c r="C559">
        <v>7</v>
      </c>
      <c r="D559">
        <v>2021</v>
      </c>
      <c r="E559" s="49" t="s">
        <v>145</v>
      </c>
      <c r="F559" s="49" t="s">
        <v>163</v>
      </c>
      <c r="G559">
        <f>'October to Jan, 2021 2022'!O61+'October to Jan, 2021 2022'!P61</f>
        <v>60</v>
      </c>
      <c r="H559">
        <f>'October to Jan, 2021 2022'!Q61</f>
        <v>0</v>
      </c>
      <c r="I559">
        <f>'October to Jan, 2021 2022'!R61</f>
        <v>10</v>
      </c>
      <c r="J559">
        <f>G559*Parameters!$B$2*Parameters!$B$5</f>
        <v>127.74599999999998</v>
      </c>
      <c r="K559">
        <f>H559*Parameters!$B$3*Parameters!$B$6</f>
        <v>0</v>
      </c>
      <c r="L559">
        <f>I559*Parameters!$B$4*Parameters!$B$7</f>
        <v>80.963999999999999</v>
      </c>
      <c r="M559">
        <f t="shared" si="8"/>
        <v>208.70999999999998</v>
      </c>
      <c r="N559">
        <v>0</v>
      </c>
      <c r="O559">
        <v>6000</v>
      </c>
      <c r="P559">
        <v>0</v>
      </c>
      <c r="Q559">
        <v>3000</v>
      </c>
    </row>
    <row r="560" spans="1:17">
      <c r="A560" t="s">
        <v>85</v>
      </c>
      <c r="B560" t="s">
        <v>24</v>
      </c>
      <c r="C560">
        <v>6</v>
      </c>
      <c r="D560">
        <v>2021</v>
      </c>
      <c r="E560" s="49" t="s">
        <v>145</v>
      </c>
      <c r="F560" s="49" t="s">
        <v>163</v>
      </c>
      <c r="G560">
        <f>'October to Jan, 2021 2022'!O62+'October to Jan, 2021 2022'!P62</f>
        <v>40</v>
      </c>
      <c r="H560">
        <f>'October to Jan, 2021 2022'!Q62</f>
        <v>0</v>
      </c>
      <c r="I560">
        <f>'October to Jan, 2021 2022'!R62</f>
        <v>20</v>
      </c>
      <c r="J560">
        <f>G560*Parameters!$B$2*Parameters!$B$5</f>
        <v>85.163999999999987</v>
      </c>
      <c r="K560">
        <f>H560*Parameters!$B$3*Parameters!$B$6</f>
        <v>0</v>
      </c>
      <c r="L560">
        <f>I560*Parameters!$B$4*Parameters!$B$7</f>
        <v>161.928</v>
      </c>
      <c r="M560">
        <f t="shared" si="8"/>
        <v>247.09199999999998</v>
      </c>
      <c r="N560">
        <v>0</v>
      </c>
      <c r="O560">
        <v>4000</v>
      </c>
      <c r="P560">
        <v>0</v>
      </c>
      <c r="Q560">
        <v>6000</v>
      </c>
    </row>
    <row r="561" spans="1:17">
      <c r="A561" t="s">
        <v>86</v>
      </c>
      <c r="B561" t="s">
        <v>32</v>
      </c>
      <c r="C561">
        <v>4</v>
      </c>
      <c r="D561">
        <v>2021</v>
      </c>
      <c r="E561" s="49" t="s">
        <v>145</v>
      </c>
      <c r="F561" s="49" t="s">
        <v>163</v>
      </c>
      <c r="G561">
        <f>'October to Jan, 2021 2022'!O63+'October to Jan, 2021 2022'!P63</f>
        <v>15</v>
      </c>
      <c r="H561">
        <f>'October to Jan, 2021 2022'!Q63</f>
        <v>0</v>
      </c>
      <c r="I561">
        <f>'October to Jan, 2021 2022'!R63</f>
        <v>8</v>
      </c>
      <c r="J561">
        <f>G561*Parameters!$B$2*Parameters!$B$5</f>
        <v>31.936499999999995</v>
      </c>
      <c r="K561">
        <f>H561*Parameters!$B$3*Parameters!$B$6</f>
        <v>0</v>
      </c>
      <c r="L561">
        <f>I561*Parameters!$B$4*Parameters!$B$7</f>
        <v>64.771200000000007</v>
      </c>
      <c r="M561">
        <f t="shared" si="8"/>
        <v>96.707700000000003</v>
      </c>
      <c r="N561">
        <v>0</v>
      </c>
      <c r="O561">
        <v>1500</v>
      </c>
      <c r="P561">
        <v>0</v>
      </c>
      <c r="Q561">
        <v>2400</v>
      </c>
    </row>
    <row r="562" spans="1:17">
      <c r="A562" t="s">
        <v>87</v>
      </c>
      <c r="B562" t="s">
        <v>32</v>
      </c>
      <c r="C562">
        <v>8</v>
      </c>
      <c r="D562">
        <v>2021</v>
      </c>
      <c r="E562" s="49" t="s">
        <v>145</v>
      </c>
      <c r="F562" s="49" t="s">
        <v>163</v>
      </c>
      <c r="G562">
        <f>'October to Jan, 2021 2022'!O64+'October to Jan, 2021 2022'!P64</f>
        <v>25</v>
      </c>
      <c r="H562">
        <f>'October to Jan, 2021 2022'!Q64</f>
        <v>0</v>
      </c>
      <c r="I562">
        <f>'October to Jan, 2021 2022'!R64</f>
        <v>20</v>
      </c>
      <c r="J562">
        <f>G562*Parameters!$B$2*Parameters!$B$5</f>
        <v>53.227499999999992</v>
      </c>
      <c r="K562">
        <f>H562*Parameters!$B$3*Parameters!$B$6</f>
        <v>0</v>
      </c>
      <c r="L562">
        <f>I562*Parameters!$B$4*Parameters!$B$7</f>
        <v>161.928</v>
      </c>
      <c r="M562">
        <f t="shared" si="8"/>
        <v>215.15549999999999</v>
      </c>
      <c r="N562">
        <v>0</v>
      </c>
      <c r="O562">
        <v>2500</v>
      </c>
      <c r="P562">
        <v>0</v>
      </c>
      <c r="Q562">
        <v>6000</v>
      </c>
    </row>
    <row r="563" spans="1:17">
      <c r="A563" t="s">
        <v>88</v>
      </c>
      <c r="B563" t="s">
        <v>32</v>
      </c>
      <c r="C563">
        <v>7</v>
      </c>
      <c r="D563">
        <v>2021</v>
      </c>
      <c r="E563" s="49" t="s">
        <v>145</v>
      </c>
      <c r="F563" s="49" t="s">
        <v>163</v>
      </c>
      <c r="G563">
        <f>'October to Jan, 2021 2022'!O65+'October to Jan, 2021 2022'!P65</f>
        <v>10</v>
      </c>
      <c r="H563">
        <f>'October to Jan, 2021 2022'!Q65</f>
        <v>0</v>
      </c>
      <c r="I563">
        <f>'October to Jan, 2021 2022'!R65</f>
        <v>15</v>
      </c>
      <c r="J563">
        <f>G563*Parameters!$B$2*Parameters!$B$5</f>
        <v>21.290999999999997</v>
      </c>
      <c r="K563">
        <f>H563*Parameters!$B$3*Parameters!$B$6</f>
        <v>0</v>
      </c>
      <c r="L563">
        <f>I563*Parameters!$B$4*Parameters!$B$7</f>
        <v>121.44600000000001</v>
      </c>
      <c r="M563">
        <f t="shared" si="8"/>
        <v>142.73700000000002</v>
      </c>
      <c r="N563">
        <v>0</v>
      </c>
      <c r="O563">
        <v>1000</v>
      </c>
      <c r="P563">
        <v>0</v>
      </c>
      <c r="Q563">
        <v>4500</v>
      </c>
    </row>
    <row r="564" spans="1:17">
      <c r="A564" t="s">
        <v>89</v>
      </c>
      <c r="B564" t="s">
        <v>65</v>
      </c>
      <c r="C564">
        <v>8</v>
      </c>
      <c r="D564">
        <v>2021</v>
      </c>
      <c r="E564" s="49" t="s">
        <v>145</v>
      </c>
      <c r="F564" s="49" t="s">
        <v>163</v>
      </c>
      <c r="G564">
        <f>'October to Jan, 2021 2022'!O66+'October to Jan, 2021 2022'!P66</f>
        <v>25</v>
      </c>
      <c r="H564">
        <f>'October to Jan, 2021 2022'!Q66</f>
        <v>0</v>
      </c>
      <c r="I564">
        <f>'October to Jan, 2021 2022'!R66</f>
        <v>10</v>
      </c>
      <c r="J564">
        <f>G564*Parameters!$B$2*Parameters!$B$5</f>
        <v>53.227499999999992</v>
      </c>
      <c r="K564">
        <f>H564*Parameters!$B$3*Parameters!$B$6</f>
        <v>0</v>
      </c>
      <c r="L564">
        <f>I564*Parameters!$B$4*Parameters!$B$7</f>
        <v>80.963999999999999</v>
      </c>
      <c r="M564">
        <f t="shared" si="8"/>
        <v>134.19149999999999</v>
      </c>
      <c r="N564">
        <v>0</v>
      </c>
      <c r="O564">
        <v>2500</v>
      </c>
      <c r="P564">
        <v>0</v>
      </c>
      <c r="Q564">
        <v>3000</v>
      </c>
    </row>
    <row r="565" spans="1:17">
      <c r="A565" t="s">
        <v>90</v>
      </c>
      <c r="B565" t="s">
        <v>32</v>
      </c>
      <c r="C565">
        <v>6</v>
      </c>
      <c r="D565">
        <v>2021</v>
      </c>
      <c r="E565" s="49" t="s">
        <v>145</v>
      </c>
      <c r="F565" s="49" t="s">
        <v>163</v>
      </c>
      <c r="G565">
        <f>'October to Jan, 2021 2022'!O67+'October to Jan, 2021 2022'!P67</f>
        <v>30</v>
      </c>
      <c r="H565">
        <f>'October to Jan, 2021 2022'!Q67</f>
        <v>0</v>
      </c>
      <c r="I565">
        <f>'October to Jan, 2021 2022'!R67</f>
        <v>10</v>
      </c>
      <c r="J565">
        <f>G565*Parameters!$B$2*Parameters!$B$5</f>
        <v>63.87299999999999</v>
      </c>
      <c r="K565">
        <f>H565*Parameters!$B$3*Parameters!$B$6</f>
        <v>0</v>
      </c>
      <c r="L565">
        <f>I565*Parameters!$B$4*Parameters!$B$7</f>
        <v>80.963999999999999</v>
      </c>
      <c r="M565">
        <f t="shared" si="8"/>
        <v>144.83699999999999</v>
      </c>
      <c r="N565">
        <v>0</v>
      </c>
      <c r="O565">
        <v>3000</v>
      </c>
      <c r="P565">
        <v>0</v>
      </c>
      <c r="Q565">
        <v>3000</v>
      </c>
    </row>
    <row r="566" spans="1:17">
      <c r="A566" t="s">
        <v>91</v>
      </c>
      <c r="B566" t="s">
        <v>24</v>
      </c>
      <c r="C566">
        <v>6</v>
      </c>
      <c r="D566">
        <v>2021</v>
      </c>
      <c r="E566" s="49" t="s">
        <v>145</v>
      </c>
      <c r="F566" s="49" t="s">
        <v>163</v>
      </c>
      <c r="G566">
        <f>'October to Jan, 2021 2022'!O68+'October to Jan, 2021 2022'!P68</f>
        <v>35</v>
      </c>
      <c r="H566">
        <f>'October to Jan, 2021 2022'!Q68</f>
        <v>0</v>
      </c>
      <c r="I566">
        <f>'October to Jan, 2021 2022'!R68</f>
        <v>5</v>
      </c>
      <c r="J566">
        <f>G566*Parameters!$B$2*Parameters!$B$5</f>
        <v>74.518499999999989</v>
      </c>
      <c r="K566">
        <f>H566*Parameters!$B$3*Parameters!$B$6</f>
        <v>0</v>
      </c>
      <c r="L566">
        <f>I566*Parameters!$B$4*Parameters!$B$7</f>
        <v>40.481999999999999</v>
      </c>
      <c r="M566">
        <f t="shared" si="8"/>
        <v>115.00049999999999</v>
      </c>
      <c r="N566">
        <v>0</v>
      </c>
      <c r="O566">
        <v>3500</v>
      </c>
      <c r="P566">
        <v>0</v>
      </c>
      <c r="Q566">
        <v>1500</v>
      </c>
    </row>
    <row r="567" spans="1:17">
      <c r="A567" t="s">
        <v>92</v>
      </c>
      <c r="B567" t="s">
        <v>17</v>
      </c>
      <c r="C567">
        <v>4</v>
      </c>
      <c r="D567">
        <v>2021</v>
      </c>
      <c r="E567" s="49" t="s">
        <v>145</v>
      </c>
      <c r="F567" s="49" t="s">
        <v>163</v>
      </c>
      <c r="G567">
        <f>'October to Jan, 2021 2022'!O69+'October to Jan, 2021 2022'!P69</f>
        <v>0</v>
      </c>
      <c r="H567">
        <f>'October to Jan, 2021 2022'!Q69</f>
        <v>0</v>
      </c>
      <c r="I567">
        <f>'October to Jan, 2021 2022'!R69</f>
        <v>15</v>
      </c>
      <c r="J567">
        <f>G567*Parameters!$B$2*Parameters!$B$5</f>
        <v>0</v>
      </c>
      <c r="K567">
        <f>H567*Parameters!$B$3*Parameters!$B$6</f>
        <v>0</v>
      </c>
      <c r="L567">
        <f>I567*Parameters!$B$4*Parameters!$B$7</f>
        <v>121.44600000000001</v>
      </c>
      <c r="M567">
        <f t="shared" si="8"/>
        <v>121.44600000000001</v>
      </c>
      <c r="N567">
        <v>0</v>
      </c>
      <c r="O567">
        <v>0</v>
      </c>
      <c r="P567">
        <v>0</v>
      </c>
      <c r="Q567">
        <v>4500</v>
      </c>
    </row>
    <row r="568" spans="1:17">
      <c r="A568" t="s">
        <v>93</v>
      </c>
      <c r="B568" t="s">
        <v>19</v>
      </c>
      <c r="C568">
        <v>7</v>
      </c>
      <c r="D568">
        <v>2021</v>
      </c>
      <c r="E568" s="49" t="s">
        <v>145</v>
      </c>
      <c r="F568" s="49" t="s">
        <v>163</v>
      </c>
      <c r="G568">
        <f>'October to Jan, 2021 2022'!O70+'October to Jan, 2021 2022'!P70</f>
        <v>30</v>
      </c>
      <c r="H568">
        <f>'October to Jan, 2021 2022'!Q70</f>
        <v>0</v>
      </c>
      <c r="I568">
        <f>'October to Jan, 2021 2022'!R70</f>
        <v>15</v>
      </c>
      <c r="J568">
        <f>G568*Parameters!$B$2*Parameters!$B$5</f>
        <v>63.87299999999999</v>
      </c>
      <c r="K568">
        <f>H568*Parameters!$B$3*Parameters!$B$6</f>
        <v>0</v>
      </c>
      <c r="L568">
        <f>I568*Parameters!$B$4*Parameters!$B$7</f>
        <v>121.44600000000001</v>
      </c>
      <c r="M568">
        <f t="shared" si="8"/>
        <v>185.31900000000002</v>
      </c>
      <c r="N568">
        <v>0</v>
      </c>
      <c r="O568">
        <v>3000</v>
      </c>
      <c r="P568">
        <v>0</v>
      </c>
      <c r="Q568">
        <v>4500</v>
      </c>
    </row>
    <row r="569" spans="1:17">
      <c r="A569" t="s">
        <v>94</v>
      </c>
      <c r="B569" t="s">
        <v>19</v>
      </c>
      <c r="C569">
        <v>6</v>
      </c>
      <c r="D569">
        <v>2021</v>
      </c>
      <c r="E569" s="49" t="s">
        <v>145</v>
      </c>
      <c r="F569" s="49" t="s">
        <v>163</v>
      </c>
      <c r="G569">
        <f>'October to Jan, 2021 2022'!O71+'October to Jan, 2021 2022'!P71</f>
        <v>15</v>
      </c>
      <c r="H569">
        <f>'October to Jan, 2021 2022'!Q71</f>
        <v>0</v>
      </c>
      <c r="I569">
        <f>'October to Jan, 2021 2022'!R71</f>
        <v>20</v>
      </c>
      <c r="J569">
        <f>G569*Parameters!$B$2*Parameters!$B$5</f>
        <v>31.936499999999995</v>
      </c>
      <c r="K569">
        <f>H569*Parameters!$B$3*Parameters!$B$6</f>
        <v>0</v>
      </c>
      <c r="L569">
        <f>I569*Parameters!$B$4*Parameters!$B$7</f>
        <v>161.928</v>
      </c>
      <c r="M569">
        <f t="shared" si="8"/>
        <v>193.86449999999999</v>
      </c>
      <c r="N569">
        <v>0</v>
      </c>
      <c r="O569">
        <v>1500</v>
      </c>
      <c r="P569">
        <v>0</v>
      </c>
      <c r="Q569">
        <v>6000</v>
      </c>
    </row>
    <row r="570" spans="1:17">
      <c r="A570" t="s">
        <v>95</v>
      </c>
      <c r="B570" t="s">
        <v>26</v>
      </c>
      <c r="C570">
        <v>8</v>
      </c>
      <c r="D570">
        <v>2021</v>
      </c>
      <c r="E570" s="49" t="s">
        <v>145</v>
      </c>
      <c r="F570" s="49" t="s">
        <v>163</v>
      </c>
      <c r="G570">
        <f>'October to Jan, 2021 2022'!O72+'October to Jan, 2021 2022'!P72</f>
        <v>32</v>
      </c>
      <c r="H570">
        <f>'October to Jan, 2021 2022'!Q72</f>
        <v>0</v>
      </c>
      <c r="I570">
        <f>'October to Jan, 2021 2022'!R72</f>
        <v>8</v>
      </c>
      <c r="J570">
        <f>G570*Parameters!$B$2*Parameters!$B$5</f>
        <v>68.131199999999993</v>
      </c>
      <c r="K570">
        <f>H570*Parameters!$B$3*Parameters!$B$6</f>
        <v>0</v>
      </c>
      <c r="L570">
        <f>I570*Parameters!$B$4*Parameters!$B$7</f>
        <v>64.771200000000007</v>
      </c>
      <c r="M570">
        <f t="shared" si="8"/>
        <v>132.9024</v>
      </c>
      <c r="N570">
        <v>0</v>
      </c>
      <c r="O570">
        <v>3200</v>
      </c>
      <c r="P570">
        <v>0</v>
      </c>
      <c r="Q570">
        <v>2400</v>
      </c>
    </row>
    <row r="571" spans="1:17">
      <c r="A571" t="s">
        <v>96</v>
      </c>
      <c r="B571" t="s">
        <v>19</v>
      </c>
      <c r="C571">
        <v>8</v>
      </c>
      <c r="D571">
        <v>2021</v>
      </c>
      <c r="E571" s="49" t="s">
        <v>145</v>
      </c>
      <c r="F571" s="49" t="s">
        <v>163</v>
      </c>
      <c r="G571">
        <f>'October to Jan, 2021 2022'!O73+'October to Jan, 2021 2022'!P73</f>
        <v>15</v>
      </c>
      <c r="H571">
        <f>'October to Jan, 2021 2022'!Q73</f>
        <v>0</v>
      </c>
      <c r="I571">
        <f>'October to Jan, 2021 2022'!R73</f>
        <v>15</v>
      </c>
      <c r="J571">
        <f>G571*Parameters!$B$2*Parameters!$B$5</f>
        <v>31.936499999999995</v>
      </c>
      <c r="K571">
        <f>H571*Parameters!$B$3*Parameters!$B$6</f>
        <v>0</v>
      </c>
      <c r="L571">
        <f>I571*Parameters!$B$4*Parameters!$B$7</f>
        <v>121.44600000000001</v>
      </c>
      <c r="M571">
        <f t="shared" si="8"/>
        <v>153.38249999999999</v>
      </c>
      <c r="N571">
        <v>0</v>
      </c>
      <c r="O571">
        <v>1500</v>
      </c>
      <c r="P571">
        <v>0</v>
      </c>
      <c r="Q571">
        <v>4500</v>
      </c>
    </row>
    <row r="572" spans="1:17">
      <c r="A572" t="s">
        <v>97</v>
      </c>
      <c r="B572" t="s">
        <v>17</v>
      </c>
      <c r="C572">
        <v>4</v>
      </c>
      <c r="D572">
        <v>2021</v>
      </c>
      <c r="E572" s="49" t="s">
        <v>145</v>
      </c>
      <c r="F572" s="49" t="s">
        <v>163</v>
      </c>
      <c r="G572">
        <f>'October to Jan, 2021 2022'!O74+'October to Jan, 2021 2022'!P74</f>
        <v>15</v>
      </c>
      <c r="H572">
        <f>'October to Jan, 2021 2022'!Q74</f>
        <v>0</v>
      </c>
      <c r="I572">
        <f>'October to Jan, 2021 2022'!R74</f>
        <v>10</v>
      </c>
      <c r="J572">
        <f>G572*Parameters!$B$2*Parameters!$B$5</f>
        <v>31.936499999999995</v>
      </c>
      <c r="K572">
        <f>H572*Parameters!$B$3*Parameters!$B$6</f>
        <v>0</v>
      </c>
      <c r="L572">
        <f>I572*Parameters!$B$4*Parameters!$B$7</f>
        <v>80.963999999999999</v>
      </c>
      <c r="M572">
        <f t="shared" si="8"/>
        <v>112.90049999999999</v>
      </c>
      <c r="N572">
        <v>0</v>
      </c>
      <c r="O572">
        <v>1500</v>
      </c>
      <c r="P572">
        <v>0</v>
      </c>
      <c r="Q572">
        <v>3000</v>
      </c>
    </row>
    <row r="573" spans="1:17">
      <c r="A573" t="s">
        <v>98</v>
      </c>
      <c r="B573" t="s">
        <v>65</v>
      </c>
      <c r="C573">
        <v>5</v>
      </c>
      <c r="D573">
        <v>2021</v>
      </c>
      <c r="E573" s="49" t="s">
        <v>145</v>
      </c>
      <c r="F573" s="49" t="s">
        <v>163</v>
      </c>
      <c r="G573">
        <f>'October to Jan, 2021 2022'!O75+'October to Jan, 2021 2022'!P75</f>
        <v>10</v>
      </c>
      <c r="H573">
        <f>'October to Jan, 2021 2022'!Q75</f>
        <v>0</v>
      </c>
      <c r="I573">
        <f>'October to Jan, 2021 2022'!R75</f>
        <v>10</v>
      </c>
      <c r="J573">
        <f>G573*Parameters!$B$2*Parameters!$B$5</f>
        <v>21.290999999999997</v>
      </c>
      <c r="K573">
        <f>H573*Parameters!$B$3*Parameters!$B$6</f>
        <v>0</v>
      </c>
      <c r="L573">
        <f>I573*Parameters!$B$4*Parameters!$B$7</f>
        <v>80.963999999999999</v>
      </c>
      <c r="M573">
        <f t="shared" si="8"/>
        <v>102.255</v>
      </c>
      <c r="N573">
        <v>0</v>
      </c>
      <c r="O573">
        <v>1000</v>
      </c>
      <c r="P573">
        <v>0</v>
      </c>
      <c r="Q573">
        <v>3000</v>
      </c>
    </row>
    <row r="574" spans="1:17">
      <c r="A574" t="s">
        <v>99</v>
      </c>
      <c r="B574" t="s">
        <v>32</v>
      </c>
      <c r="C574">
        <v>9</v>
      </c>
      <c r="D574">
        <v>2021</v>
      </c>
      <c r="E574" s="49" t="s">
        <v>145</v>
      </c>
      <c r="F574" s="49" t="s">
        <v>163</v>
      </c>
      <c r="G574">
        <f>'October to Jan, 2021 2022'!O76+'October to Jan, 2021 2022'!P76</f>
        <v>58</v>
      </c>
      <c r="H574">
        <f>'October to Jan, 2021 2022'!Q76</f>
        <v>0</v>
      </c>
      <c r="I574">
        <f>'October to Jan, 2021 2022'!R76</f>
        <v>10</v>
      </c>
      <c r="J574">
        <f>G574*Parameters!$B$2*Parameters!$B$5</f>
        <v>123.48779999999998</v>
      </c>
      <c r="K574">
        <f>H574*Parameters!$B$3*Parameters!$B$6</f>
        <v>0</v>
      </c>
      <c r="L574">
        <f>I574*Parameters!$B$4*Parameters!$B$7</f>
        <v>80.963999999999999</v>
      </c>
      <c r="M574">
        <f t="shared" si="8"/>
        <v>204.45179999999999</v>
      </c>
      <c r="N574">
        <v>0</v>
      </c>
      <c r="O574">
        <v>5800</v>
      </c>
      <c r="P574">
        <v>0</v>
      </c>
      <c r="Q574">
        <v>3000</v>
      </c>
    </row>
    <row r="575" spans="1:17">
      <c r="A575" t="s">
        <v>100</v>
      </c>
      <c r="B575" t="s">
        <v>40</v>
      </c>
      <c r="C575">
        <v>8</v>
      </c>
      <c r="D575">
        <v>2021</v>
      </c>
      <c r="E575" s="49" t="s">
        <v>145</v>
      </c>
      <c r="F575" s="49" t="s">
        <v>163</v>
      </c>
      <c r="G575">
        <f>'October to Jan, 2021 2022'!O77+'October to Jan, 2021 2022'!P77</f>
        <v>15</v>
      </c>
      <c r="H575">
        <f>'October to Jan, 2021 2022'!Q77</f>
        <v>0</v>
      </c>
      <c r="I575">
        <f>'October to Jan, 2021 2022'!R77</f>
        <v>10</v>
      </c>
      <c r="J575">
        <f>G575*Parameters!$B$2*Parameters!$B$5</f>
        <v>31.936499999999995</v>
      </c>
      <c r="K575">
        <f>H575*Parameters!$B$3*Parameters!$B$6</f>
        <v>0</v>
      </c>
      <c r="L575">
        <f>I575*Parameters!$B$4*Parameters!$B$7</f>
        <v>80.963999999999999</v>
      </c>
      <c r="M575">
        <f t="shared" si="8"/>
        <v>112.90049999999999</v>
      </c>
      <c r="N575">
        <v>0</v>
      </c>
      <c r="O575">
        <v>1500</v>
      </c>
      <c r="P575">
        <v>0</v>
      </c>
      <c r="Q575">
        <v>3000</v>
      </c>
    </row>
    <row r="576" spans="1:17">
      <c r="A576" t="s">
        <v>101</v>
      </c>
      <c r="B576" t="s">
        <v>38</v>
      </c>
      <c r="C576">
        <v>5</v>
      </c>
      <c r="D576">
        <v>2021</v>
      </c>
      <c r="E576" s="49" t="s">
        <v>145</v>
      </c>
      <c r="F576" s="49" t="s">
        <v>163</v>
      </c>
      <c r="G576">
        <f>'October to Jan, 2021 2022'!O78+'October to Jan, 2021 2022'!P78</f>
        <v>10</v>
      </c>
      <c r="H576">
        <f>'October to Jan, 2021 2022'!Q78</f>
        <v>0</v>
      </c>
      <c r="I576">
        <f>'October to Jan, 2021 2022'!R78</f>
        <v>10</v>
      </c>
      <c r="J576">
        <f>G576*Parameters!$B$2*Parameters!$B$5</f>
        <v>21.290999999999997</v>
      </c>
      <c r="K576">
        <f>H576*Parameters!$B$3*Parameters!$B$6</f>
        <v>0</v>
      </c>
      <c r="L576">
        <f>I576*Parameters!$B$4*Parameters!$B$7</f>
        <v>80.963999999999999</v>
      </c>
      <c r="M576">
        <f t="shared" si="8"/>
        <v>102.255</v>
      </c>
      <c r="N576">
        <v>0</v>
      </c>
      <c r="O576">
        <v>1000</v>
      </c>
      <c r="P576">
        <v>0</v>
      </c>
      <c r="Q576">
        <v>3000</v>
      </c>
    </row>
    <row r="577" spans="1:17">
      <c r="A577" t="s">
        <v>102</v>
      </c>
      <c r="B577" t="s">
        <v>17</v>
      </c>
      <c r="C577">
        <v>4</v>
      </c>
      <c r="D577">
        <v>2021</v>
      </c>
      <c r="E577" s="49" t="s">
        <v>145</v>
      </c>
      <c r="F577" s="49" t="s">
        <v>163</v>
      </c>
      <c r="G577">
        <f>'October to Jan, 2021 2022'!O79+'October to Jan, 2021 2022'!P79</f>
        <v>15</v>
      </c>
      <c r="H577">
        <f>'October to Jan, 2021 2022'!Q79</f>
        <v>0</v>
      </c>
      <c r="I577">
        <f>'October to Jan, 2021 2022'!R79</f>
        <v>20</v>
      </c>
      <c r="J577">
        <f>G577*Parameters!$B$2*Parameters!$B$5</f>
        <v>31.936499999999995</v>
      </c>
      <c r="K577">
        <f>H577*Parameters!$B$3*Parameters!$B$6</f>
        <v>0</v>
      </c>
      <c r="L577">
        <f>I577*Parameters!$B$4*Parameters!$B$7</f>
        <v>161.928</v>
      </c>
      <c r="M577">
        <f t="shared" si="8"/>
        <v>193.86449999999999</v>
      </c>
      <c r="N577">
        <v>0</v>
      </c>
      <c r="O577">
        <v>1500</v>
      </c>
      <c r="P577">
        <v>0</v>
      </c>
      <c r="Q577">
        <v>6000</v>
      </c>
    </row>
    <row r="578" spans="1:17">
      <c r="A578" t="s">
        <v>103</v>
      </c>
      <c r="B578" t="s">
        <v>26</v>
      </c>
      <c r="C578">
        <v>6</v>
      </c>
      <c r="D578">
        <v>2021</v>
      </c>
      <c r="E578" s="49" t="s">
        <v>145</v>
      </c>
      <c r="F578" s="49" t="s">
        <v>163</v>
      </c>
      <c r="G578">
        <f>'October to Jan, 2021 2022'!O80+'October to Jan, 2021 2022'!P80</f>
        <v>30</v>
      </c>
      <c r="H578">
        <f>'October to Jan, 2021 2022'!Q80</f>
        <v>0</v>
      </c>
      <c r="I578">
        <f>'October to Jan, 2021 2022'!R80</f>
        <v>20</v>
      </c>
      <c r="J578">
        <f>G578*Parameters!$B$2*Parameters!$B$5</f>
        <v>63.87299999999999</v>
      </c>
      <c r="K578">
        <f>H578*Parameters!$B$3*Parameters!$B$6</f>
        <v>0</v>
      </c>
      <c r="L578">
        <f>I578*Parameters!$B$4*Parameters!$B$7</f>
        <v>161.928</v>
      </c>
      <c r="M578">
        <f t="shared" si="8"/>
        <v>225.80099999999999</v>
      </c>
      <c r="N578">
        <v>0</v>
      </c>
      <c r="O578">
        <v>3000</v>
      </c>
      <c r="P578">
        <v>0</v>
      </c>
      <c r="Q578">
        <v>6000</v>
      </c>
    </row>
    <row r="579" spans="1:17">
      <c r="A579" t="s">
        <v>104</v>
      </c>
      <c r="B579" t="s">
        <v>26</v>
      </c>
      <c r="C579">
        <v>7</v>
      </c>
      <c r="D579">
        <v>2021</v>
      </c>
      <c r="E579" s="49" t="s">
        <v>145</v>
      </c>
      <c r="F579" s="49" t="s">
        <v>163</v>
      </c>
      <c r="G579">
        <f>'October to Jan, 2021 2022'!O81+'October to Jan, 2021 2022'!P81</f>
        <v>25</v>
      </c>
      <c r="H579">
        <f>'October to Jan, 2021 2022'!Q81</f>
        <v>0</v>
      </c>
      <c r="I579">
        <f>'October to Jan, 2021 2022'!R81</f>
        <v>8</v>
      </c>
      <c r="J579">
        <f>G579*Parameters!$B$2*Parameters!$B$5</f>
        <v>53.227499999999992</v>
      </c>
      <c r="K579">
        <f>H579*Parameters!$B$3*Parameters!$B$6</f>
        <v>0</v>
      </c>
      <c r="L579">
        <f>I579*Parameters!$B$4*Parameters!$B$7</f>
        <v>64.771200000000007</v>
      </c>
      <c r="M579">
        <f t="shared" ref="M579:M642" si="9">SUM(J579:L579)</f>
        <v>117.9987</v>
      </c>
      <c r="N579">
        <v>0</v>
      </c>
      <c r="O579">
        <v>2500</v>
      </c>
      <c r="P579">
        <v>0</v>
      </c>
      <c r="Q579">
        <v>2400</v>
      </c>
    </row>
    <row r="580" spans="1:17">
      <c r="A580" t="s">
        <v>105</v>
      </c>
      <c r="B580" t="s">
        <v>21</v>
      </c>
      <c r="C580">
        <v>5</v>
      </c>
      <c r="D580">
        <v>2021</v>
      </c>
      <c r="E580" s="49" t="s">
        <v>145</v>
      </c>
      <c r="F580" s="49" t="s">
        <v>163</v>
      </c>
      <c r="G580">
        <f>'October to Jan, 2021 2022'!O82+'October to Jan, 2021 2022'!P82</f>
        <v>30</v>
      </c>
      <c r="H580">
        <f>'October to Jan, 2021 2022'!Q82</f>
        <v>0</v>
      </c>
      <c r="I580">
        <f>'October to Jan, 2021 2022'!R82</f>
        <v>10</v>
      </c>
      <c r="J580">
        <f>G580*Parameters!$B$2*Parameters!$B$5</f>
        <v>63.87299999999999</v>
      </c>
      <c r="K580">
        <f>H580*Parameters!$B$3*Parameters!$B$6</f>
        <v>0</v>
      </c>
      <c r="L580">
        <f>I580*Parameters!$B$4*Parameters!$B$7</f>
        <v>80.963999999999999</v>
      </c>
      <c r="M580">
        <f t="shared" si="9"/>
        <v>144.83699999999999</v>
      </c>
      <c r="N580">
        <v>0</v>
      </c>
      <c r="O580">
        <v>3000</v>
      </c>
      <c r="P580">
        <v>0</v>
      </c>
      <c r="Q580">
        <v>3000</v>
      </c>
    </row>
    <row r="581" spans="1:17">
      <c r="A581" t="s">
        <v>106</v>
      </c>
      <c r="B581" t="s">
        <v>24</v>
      </c>
      <c r="C581">
        <v>6</v>
      </c>
      <c r="D581">
        <v>2021</v>
      </c>
      <c r="E581" s="49" t="s">
        <v>145</v>
      </c>
      <c r="F581" s="49" t="s">
        <v>163</v>
      </c>
      <c r="G581">
        <f>'October to Jan, 2021 2022'!O83+'October to Jan, 2021 2022'!P83</f>
        <v>15</v>
      </c>
      <c r="H581">
        <f>'October to Jan, 2021 2022'!Q83</f>
        <v>0</v>
      </c>
      <c r="I581">
        <f>'October to Jan, 2021 2022'!R83</f>
        <v>10</v>
      </c>
      <c r="J581">
        <f>G581*Parameters!$B$2*Parameters!$B$5</f>
        <v>31.936499999999995</v>
      </c>
      <c r="K581">
        <f>H581*Parameters!$B$3*Parameters!$B$6</f>
        <v>0</v>
      </c>
      <c r="L581">
        <f>I581*Parameters!$B$4*Parameters!$B$7</f>
        <v>80.963999999999999</v>
      </c>
      <c r="M581">
        <f t="shared" si="9"/>
        <v>112.90049999999999</v>
      </c>
      <c r="N581">
        <v>0</v>
      </c>
      <c r="O581">
        <v>1500</v>
      </c>
      <c r="P581">
        <v>0</v>
      </c>
      <c r="Q581">
        <v>3000</v>
      </c>
    </row>
    <row r="582" spans="1:17">
      <c r="A582" t="s">
        <v>107</v>
      </c>
      <c r="B582" t="s">
        <v>21</v>
      </c>
      <c r="C582">
        <v>4</v>
      </c>
      <c r="D582">
        <v>2021</v>
      </c>
      <c r="E582" s="49" t="s">
        <v>145</v>
      </c>
      <c r="F582" s="49" t="s">
        <v>163</v>
      </c>
      <c r="G582">
        <f>'October to Jan, 2021 2022'!O84+'October to Jan, 2021 2022'!P84</f>
        <v>0</v>
      </c>
      <c r="H582">
        <f>'October to Jan, 2021 2022'!Q84</f>
        <v>0</v>
      </c>
      <c r="I582">
        <f>'October to Jan, 2021 2022'!R84</f>
        <v>20</v>
      </c>
      <c r="J582">
        <f>G582*Parameters!$B$2*Parameters!$B$5</f>
        <v>0</v>
      </c>
      <c r="K582">
        <f>H582*Parameters!$B$3*Parameters!$B$6</f>
        <v>0</v>
      </c>
      <c r="L582">
        <f>I582*Parameters!$B$4*Parameters!$B$7</f>
        <v>161.928</v>
      </c>
      <c r="M582">
        <f t="shared" si="9"/>
        <v>161.928</v>
      </c>
      <c r="N582">
        <v>0</v>
      </c>
      <c r="O582">
        <v>0</v>
      </c>
      <c r="P582">
        <v>0</v>
      </c>
      <c r="Q582">
        <v>6000</v>
      </c>
    </row>
    <row r="583" spans="1:17">
      <c r="A583" t="s">
        <v>108</v>
      </c>
      <c r="B583" t="s">
        <v>24</v>
      </c>
      <c r="C583">
        <v>5</v>
      </c>
      <c r="D583">
        <v>2021</v>
      </c>
      <c r="E583" s="49" t="s">
        <v>145</v>
      </c>
      <c r="F583" s="49" t="s">
        <v>163</v>
      </c>
      <c r="G583">
        <f>'October to Jan, 2021 2022'!O85+'October to Jan, 2021 2022'!P85</f>
        <v>15</v>
      </c>
      <c r="H583">
        <f>'October to Jan, 2021 2022'!Q85</f>
        <v>0</v>
      </c>
      <c r="I583">
        <f>'October to Jan, 2021 2022'!R85</f>
        <v>10</v>
      </c>
      <c r="J583">
        <f>G583*Parameters!$B$2*Parameters!$B$5</f>
        <v>31.936499999999995</v>
      </c>
      <c r="K583">
        <f>H583*Parameters!$B$3*Parameters!$B$6</f>
        <v>0</v>
      </c>
      <c r="L583">
        <f>I583*Parameters!$B$4*Parameters!$B$7</f>
        <v>80.963999999999999</v>
      </c>
      <c r="M583">
        <f t="shared" si="9"/>
        <v>112.90049999999999</v>
      </c>
      <c r="N583">
        <v>0</v>
      </c>
      <c r="O583">
        <v>1500</v>
      </c>
      <c r="P583">
        <v>0</v>
      </c>
      <c r="Q583">
        <v>3000</v>
      </c>
    </row>
    <row r="584" spans="1:17">
      <c r="A584" t="s">
        <v>109</v>
      </c>
      <c r="B584" t="s">
        <v>32</v>
      </c>
      <c r="C584">
        <v>6</v>
      </c>
      <c r="D584">
        <v>2021</v>
      </c>
      <c r="E584" s="49" t="s">
        <v>145</v>
      </c>
      <c r="F584" s="49" t="s">
        <v>163</v>
      </c>
      <c r="G584">
        <f>'October to Jan, 2021 2022'!O86+'October to Jan, 2021 2022'!P86</f>
        <v>0</v>
      </c>
      <c r="H584">
        <f>'October to Jan, 2021 2022'!Q86</f>
        <v>0</v>
      </c>
      <c r="I584">
        <f>'October to Jan, 2021 2022'!R86</f>
        <v>15</v>
      </c>
      <c r="J584">
        <f>G584*Parameters!$B$2*Parameters!$B$5</f>
        <v>0</v>
      </c>
      <c r="K584">
        <f>H584*Parameters!$B$3*Parameters!$B$6</f>
        <v>0</v>
      </c>
      <c r="L584">
        <f>I584*Parameters!$B$4*Parameters!$B$7</f>
        <v>121.44600000000001</v>
      </c>
      <c r="M584">
        <f t="shared" si="9"/>
        <v>121.44600000000001</v>
      </c>
      <c r="N584">
        <v>0</v>
      </c>
      <c r="O584">
        <v>0</v>
      </c>
      <c r="P584">
        <v>0</v>
      </c>
      <c r="Q584">
        <v>4500</v>
      </c>
    </row>
    <row r="585" spans="1:17">
      <c r="A585" t="s">
        <v>110</v>
      </c>
      <c r="B585" t="s">
        <v>21</v>
      </c>
      <c r="C585">
        <v>3</v>
      </c>
      <c r="D585">
        <v>2021</v>
      </c>
      <c r="E585" s="49" t="s">
        <v>145</v>
      </c>
      <c r="F585" s="49" t="s">
        <v>163</v>
      </c>
      <c r="G585">
        <f>'October to Jan, 2021 2022'!O87+'October to Jan, 2021 2022'!P87</f>
        <v>30</v>
      </c>
      <c r="H585">
        <f>'October to Jan, 2021 2022'!Q87</f>
        <v>0</v>
      </c>
      <c r="I585">
        <f>'October to Jan, 2021 2022'!R87</f>
        <v>8</v>
      </c>
      <c r="J585">
        <f>G585*Parameters!$B$2*Parameters!$B$5</f>
        <v>63.87299999999999</v>
      </c>
      <c r="K585">
        <f>H585*Parameters!$B$3*Parameters!$B$6</f>
        <v>0</v>
      </c>
      <c r="L585">
        <f>I585*Parameters!$B$4*Parameters!$B$7</f>
        <v>64.771200000000007</v>
      </c>
      <c r="M585">
        <f t="shared" si="9"/>
        <v>128.64420000000001</v>
      </c>
      <c r="N585">
        <v>0</v>
      </c>
      <c r="O585">
        <v>3000</v>
      </c>
      <c r="P585">
        <v>0</v>
      </c>
      <c r="Q585">
        <v>2400</v>
      </c>
    </row>
    <row r="586" spans="1:17">
      <c r="A586" t="s">
        <v>111</v>
      </c>
      <c r="B586" t="s">
        <v>26</v>
      </c>
      <c r="C586">
        <v>6</v>
      </c>
      <c r="D586">
        <v>2021</v>
      </c>
      <c r="E586" s="49" t="s">
        <v>145</v>
      </c>
      <c r="F586" s="49" t="s">
        <v>163</v>
      </c>
      <c r="G586">
        <f>'October to Jan, 2021 2022'!O88+'October to Jan, 2021 2022'!P88</f>
        <v>38</v>
      </c>
      <c r="H586">
        <f>'October to Jan, 2021 2022'!Q88</f>
        <v>0</v>
      </c>
      <c r="I586">
        <f>'October to Jan, 2021 2022'!R88</f>
        <v>15</v>
      </c>
      <c r="J586">
        <f>G586*Parameters!$B$2*Parameters!$B$5</f>
        <v>80.905799999999985</v>
      </c>
      <c r="K586">
        <f>H586*Parameters!$B$3*Parameters!$B$6</f>
        <v>0</v>
      </c>
      <c r="L586">
        <f>I586*Parameters!$B$4*Parameters!$B$7</f>
        <v>121.44600000000001</v>
      </c>
      <c r="M586">
        <f t="shared" si="9"/>
        <v>202.3518</v>
      </c>
      <c r="N586">
        <v>0</v>
      </c>
      <c r="O586">
        <v>3800</v>
      </c>
      <c r="P586">
        <v>0</v>
      </c>
      <c r="Q586">
        <v>4500</v>
      </c>
    </row>
    <row r="587" spans="1:17">
      <c r="A587" t="s">
        <v>112</v>
      </c>
      <c r="B587" t="s">
        <v>19</v>
      </c>
      <c r="C587">
        <v>7</v>
      </c>
      <c r="D587">
        <v>2021</v>
      </c>
      <c r="E587" s="49" t="s">
        <v>145</v>
      </c>
      <c r="F587" s="49" t="s">
        <v>163</v>
      </c>
      <c r="G587">
        <f>'October to Jan, 2021 2022'!O89+'October to Jan, 2021 2022'!P89</f>
        <v>0</v>
      </c>
      <c r="H587">
        <f>'October to Jan, 2021 2022'!Q89</f>
        <v>0</v>
      </c>
      <c r="I587">
        <f>'October to Jan, 2021 2022'!R89</f>
        <v>15</v>
      </c>
      <c r="J587">
        <f>G587*Parameters!$B$2*Parameters!$B$5</f>
        <v>0</v>
      </c>
      <c r="K587">
        <f>H587*Parameters!$B$3*Parameters!$B$6</f>
        <v>0</v>
      </c>
      <c r="L587">
        <f>I587*Parameters!$B$4*Parameters!$B$7</f>
        <v>121.44600000000001</v>
      </c>
      <c r="M587">
        <f t="shared" si="9"/>
        <v>121.44600000000001</v>
      </c>
      <c r="N587">
        <v>0</v>
      </c>
      <c r="O587">
        <v>0</v>
      </c>
      <c r="P587">
        <v>0</v>
      </c>
      <c r="Q587">
        <v>4500</v>
      </c>
    </row>
    <row r="588" spans="1:17">
      <c r="A588" t="s">
        <v>113</v>
      </c>
      <c r="B588" t="s">
        <v>26</v>
      </c>
      <c r="C588">
        <v>4</v>
      </c>
      <c r="D588">
        <v>2021</v>
      </c>
      <c r="E588" s="49" t="s">
        <v>145</v>
      </c>
      <c r="F588" s="49" t="s">
        <v>163</v>
      </c>
      <c r="G588">
        <f>'October to Jan, 2021 2022'!O90+'October to Jan, 2021 2022'!P90</f>
        <v>32</v>
      </c>
      <c r="H588">
        <f>'October to Jan, 2021 2022'!Q90</f>
        <v>0</v>
      </c>
      <c r="I588">
        <f>'October to Jan, 2021 2022'!R90</f>
        <v>15</v>
      </c>
      <c r="J588">
        <f>G588*Parameters!$B$2*Parameters!$B$5</f>
        <v>68.131199999999993</v>
      </c>
      <c r="K588">
        <f>H588*Parameters!$B$3*Parameters!$B$6</f>
        <v>0</v>
      </c>
      <c r="L588">
        <f>I588*Parameters!$B$4*Parameters!$B$7</f>
        <v>121.44600000000001</v>
      </c>
      <c r="M588">
        <f t="shared" si="9"/>
        <v>189.5772</v>
      </c>
      <c r="N588">
        <v>0</v>
      </c>
      <c r="O588">
        <v>3200</v>
      </c>
      <c r="P588">
        <v>0</v>
      </c>
      <c r="Q588">
        <v>4500</v>
      </c>
    </row>
    <row r="589" spans="1:17">
      <c r="A589" t="s">
        <v>114</v>
      </c>
      <c r="B589" t="s">
        <v>65</v>
      </c>
      <c r="C589">
        <v>8</v>
      </c>
      <c r="D589">
        <v>2021</v>
      </c>
      <c r="E589" s="49" t="s">
        <v>145</v>
      </c>
      <c r="F589" s="49" t="s">
        <v>163</v>
      </c>
      <c r="G589">
        <f>'October to Jan, 2021 2022'!O91+'October to Jan, 2021 2022'!P91</f>
        <v>55</v>
      </c>
      <c r="H589">
        <f>'October to Jan, 2021 2022'!Q91</f>
        <v>0</v>
      </c>
      <c r="I589">
        <f>'October to Jan, 2021 2022'!R91</f>
        <v>20</v>
      </c>
      <c r="J589">
        <f>G589*Parameters!$B$2*Parameters!$B$5</f>
        <v>117.10049999999998</v>
      </c>
      <c r="K589">
        <f>H589*Parameters!$B$3*Parameters!$B$6</f>
        <v>0</v>
      </c>
      <c r="L589">
        <f>I589*Parameters!$B$4*Parameters!$B$7</f>
        <v>161.928</v>
      </c>
      <c r="M589">
        <f t="shared" si="9"/>
        <v>279.02850000000001</v>
      </c>
      <c r="N589">
        <v>0</v>
      </c>
      <c r="O589">
        <v>5500</v>
      </c>
      <c r="P589">
        <v>0</v>
      </c>
      <c r="Q589">
        <v>6000</v>
      </c>
    </row>
    <row r="590" spans="1:17">
      <c r="A590" t="s">
        <v>115</v>
      </c>
      <c r="B590" t="s">
        <v>19</v>
      </c>
      <c r="C590">
        <v>8</v>
      </c>
      <c r="D590">
        <v>2021</v>
      </c>
      <c r="E590" s="49" t="s">
        <v>145</v>
      </c>
      <c r="F590" s="49" t="s">
        <v>163</v>
      </c>
      <c r="G590">
        <f>'October to Jan, 2021 2022'!O92+'October to Jan, 2021 2022'!P92</f>
        <v>15</v>
      </c>
      <c r="H590">
        <f>'October to Jan, 2021 2022'!Q92</f>
        <v>0</v>
      </c>
      <c r="I590">
        <f>'October to Jan, 2021 2022'!R92</f>
        <v>20</v>
      </c>
      <c r="J590">
        <f>G590*Parameters!$B$2*Parameters!$B$5</f>
        <v>31.936499999999995</v>
      </c>
      <c r="K590">
        <f>H590*Parameters!$B$3*Parameters!$B$6</f>
        <v>0</v>
      </c>
      <c r="L590">
        <f>I590*Parameters!$B$4*Parameters!$B$7</f>
        <v>161.928</v>
      </c>
      <c r="M590">
        <f t="shared" si="9"/>
        <v>193.86449999999999</v>
      </c>
      <c r="N590">
        <v>0</v>
      </c>
      <c r="O590">
        <v>1500</v>
      </c>
      <c r="P590">
        <v>0</v>
      </c>
      <c r="Q590">
        <v>6000</v>
      </c>
    </row>
    <row r="591" spans="1:17">
      <c r="A591" t="s">
        <v>116</v>
      </c>
      <c r="B591" t="s">
        <v>21</v>
      </c>
      <c r="C591">
        <v>4</v>
      </c>
      <c r="D591">
        <v>2021</v>
      </c>
      <c r="E591" s="49" t="s">
        <v>145</v>
      </c>
      <c r="F591" s="49" t="s">
        <v>163</v>
      </c>
      <c r="G591">
        <f>'October to Jan, 2021 2022'!O93+'October to Jan, 2021 2022'!P93</f>
        <v>30</v>
      </c>
      <c r="H591">
        <f>'October to Jan, 2021 2022'!Q93</f>
        <v>0</v>
      </c>
      <c r="I591">
        <f>'October to Jan, 2021 2022'!R93</f>
        <v>15</v>
      </c>
      <c r="J591">
        <f>G591*Parameters!$B$2*Parameters!$B$5</f>
        <v>63.87299999999999</v>
      </c>
      <c r="K591">
        <f>H591*Parameters!$B$3*Parameters!$B$6</f>
        <v>0</v>
      </c>
      <c r="L591">
        <f>I591*Parameters!$B$4*Parameters!$B$7</f>
        <v>121.44600000000001</v>
      </c>
      <c r="M591">
        <f t="shared" si="9"/>
        <v>185.31900000000002</v>
      </c>
      <c r="N591">
        <v>0</v>
      </c>
      <c r="O591">
        <v>3000</v>
      </c>
      <c r="P591">
        <v>0</v>
      </c>
      <c r="Q591">
        <v>4500</v>
      </c>
    </row>
    <row r="592" spans="1:17">
      <c r="A592" t="s">
        <v>117</v>
      </c>
      <c r="B592" t="s">
        <v>17</v>
      </c>
      <c r="C592">
        <v>9</v>
      </c>
      <c r="D592">
        <v>2021</v>
      </c>
      <c r="E592" s="49" t="s">
        <v>145</v>
      </c>
      <c r="F592" s="49" t="s">
        <v>163</v>
      </c>
      <c r="G592">
        <f>'October to Jan, 2021 2022'!O94+'October to Jan, 2021 2022'!P94</f>
        <v>45</v>
      </c>
      <c r="H592">
        <f>'October to Jan, 2021 2022'!Q94</f>
        <v>0</v>
      </c>
      <c r="I592">
        <f>'October to Jan, 2021 2022'!R94</f>
        <v>10</v>
      </c>
      <c r="J592">
        <f>G592*Parameters!$B$2*Parameters!$B$5</f>
        <v>95.809499999999986</v>
      </c>
      <c r="K592">
        <f>H592*Parameters!$B$3*Parameters!$B$6</f>
        <v>0</v>
      </c>
      <c r="L592">
        <f>I592*Parameters!$B$4*Parameters!$B$7</f>
        <v>80.963999999999999</v>
      </c>
      <c r="M592">
        <f t="shared" si="9"/>
        <v>176.77349999999998</v>
      </c>
      <c r="N592">
        <v>0</v>
      </c>
      <c r="O592">
        <v>4500</v>
      </c>
      <c r="P592">
        <v>0</v>
      </c>
      <c r="Q592">
        <v>3000</v>
      </c>
    </row>
    <row r="593" spans="1:17">
      <c r="A593" t="s">
        <v>118</v>
      </c>
      <c r="B593" t="s">
        <v>19</v>
      </c>
      <c r="C593">
        <v>4</v>
      </c>
      <c r="D593">
        <v>2021</v>
      </c>
      <c r="E593" s="49" t="s">
        <v>145</v>
      </c>
      <c r="F593" s="49" t="s">
        <v>163</v>
      </c>
      <c r="G593">
        <f>'October to Jan, 2021 2022'!O95+'October to Jan, 2021 2022'!P95</f>
        <v>0</v>
      </c>
      <c r="H593">
        <f>'October to Jan, 2021 2022'!Q95</f>
        <v>0</v>
      </c>
      <c r="I593">
        <f>'October to Jan, 2021 2022'!R95</f>
        <v>20</v>
      </c>
      <c r="J593">
        <f>G593*Parameters!$B$2*Parameters!$B$5</f>
        <v>0</v>
      </c>
      <c r="K593">
        <f>H593*Parameters!$B$3*Parameters!$B$6</f>
        <v>0</v>
      </c>
      <c r="L593">
        <f>I593*Parameters!$B$4*Parameters!$B$7</f>
        <v>161.928</v>
      </c>
      <c r="M593">
        <f t="shared" si="9"/>
        <v>161.928</v>
      </c>
      <c r="N593">
        <v>0</v>
      </c>
      <c r="O593">
        <v>0</v>
      </c>
      <c r="P593">
        <v>0</v>
      </c>
      <c r="Q593">
        <v>6000</v>
      </c>
    </row>
    <row r="594" spans="1:17">
      <c r="A594" t="s">
        <v>119</v>
      </c>
      <c r="B594" t="s">
        <v>40</v>
      </c>
      <c r="C594">
        <v>6</v>
      </c>
      <c r="D594">
        <v>2021</v>
      </c>
      <c r="E594" s="49" t="s">
        <v>145</v>
      </c>
      <c r="F594" s="49" t="s">
        <v>163</v>
      </c>
      <c r="G594">
        <f>'October to Jan, 2021 2022'!O96+'October to Jan, 2021 2022'!P96</f>
        <v>0</v>
      </c>
      <c r="H594">
        <f>'October to Jan, 2021 2022'!Q96</f>
        <v>0</v>
      </c>
      <c r="I594">
        <f>'October to Jan, 2021 2022'!R96</f>
        <v>15</v>
      </c>
      <c r="J594">
        <f>G594*Parameters!$B$2*Parameters!$B$5</f>
        <v>0</v>
      </c>
      <c r="K594">
        <f>H594*Parameters!$B$3*Parameters!$B$6</f>
        <v>0</v>
      </c>
      <c r="L594">
        <f>I594*Parameters!$B$4*Parameters!$B$7</f>
        <v>121.44600000000001</v>
      </c>
      <c r="M594">
        <f t="shared" si="9"/>
        <v>121.44600000000001</v>
      </c>
      <c r="N594">
        <v>0</v>
      </c>
      <c r="O594">
        <v>0</v>
      </c>
      <c r="P594">
        <v>0</v>
      </c>
      <c r="Q594">
        <v>4500</v>
      </c>
    </row>
    <row r="595" spans="1:17">
      <c r="A595" t="s">
        <v>120</v>
      </c>
      <c r="B595" t="s">
        <v>32</v>
      </c>
      <c r="C595">
        <v>8</v>
      </c>
      <c r="D595">
        <v>2021</v>
      </c>
      <c r="E595" s="49" t="s">
        <v>145</v>
      </c>
      <c r="F595" s="49" t="s">
        <v>163</v>
      </c>
      <c r="G595">
        <f>'October to Jan, 2021 2022'!O97+'October to Jan, 2021 2022'!P97</f>
        <v>15</v>
      </c>
      <c r="H595">
        <f>'October to Jan, 2021 2022'!Q97</f>
        <v>0</v>
      </c>
      <c r="I595">
        <f>'October to Jan, 2021 2022'!R97</f>
        <v>15</v>
      </c>
      <c r="J595">
        <f>G595*Parameters!$B$2*Parameters!$B$5</f>
        <v>31.936499999999995</v>
      </c>
      <c r="K595">
        <f>H595*Parameters!$B$3*Parameters!$B$6</f>
        <v>0</v>
      </c>
      <c r="L595">
        <f>I595*Parameters!$B$4*Parameters!$B$7</f>
        <v>121.44600000000001</v>
      </c>
      <c r="M595">
        <f t="shared" si="9"/>
        <v>153.38249999999999</v>
      </c>
      <c r="N595">
        <v>0</v>
      </c>
      <c r="O595">
        <v>1500</v>
      </c>
      <c r="P595">
        <v>0</v>
      </c>
      <c r="Q595">
        <v>4500</v>
      </c>
    </row>
    <row r="596" spans="1:17">
      <c r="A596" t="s">
        <v>121</v>
      </c>
      <c r="B596" t="s">
        <v>24</v>
      </c>
      <c r="C596">
        <v>5</v>
      </c>
      <c r="D596">
        <v>2021</v>
      </c>
      <c r="E596" s="49" t="s">
        <v>145</v>
      </c>
      <c r="F596" s="49" t="s">
        <v>163</v>
      </c>
      <c r="G596">
        <f>'October to Jan, 2021 2022'!O98+'October to Jan, 2021 2022'!P98</f>
        <v>40</v>
      </c>
      <c r="H596">
        <f>'October to Jan, 2021 2022'!Q98</f>
        <v>0</v>
      </c>
      <c r="I596">
        <f>'October to Jan, 2021 2022'!R98</f>
        <v>10</v>
      </c>
      <c r="J596">
        <f>G596*Parameters!$B$2*Parameters!$B$5</f>
        <v>85.163999999999987</v>
      </c>
      <c r="K596">
        <f>H596*Parameters!$B$3*Parameters!$B$6</f>
        <v>0</v>
      </c>
      <c r="L596">
        <f>I596*Parameters!$B$4*Parameters!$B$7</f>
        <v>80.963999999999999</v>
      </c>
      <c r="M596">
        <f t="shared" si="9"/>
        <v>166.12799999999999</v>
      </c>
      <c r="N596">
        <v>0</v>
      </c>
      <c r="O596">
        <v>4000</v>
      </c>
      <c r="P596">
        <v>0</v>
      </c>
      <c r="Q596">
        <v>3000</v>
      </c>
    </row>
    <row r="597" spans="1:17">
      <c r="A597" t="s">
        <v>122</v>
      </c>
      <c r="B597" t="s">
        <v>26</v>
      </c>
      <c r="C597">
        <v>6</v>
      </c>
      <c r="D597">
        <v>2021</v>
      </c>
      <c r="E597" s="49" t="s">
        <v>145</v>
      </c>
      <c r="F597" s="49" t="s">
        <v>163</v>
      </c>
      <c r="G597">
        <f>'October to Jan, 2021 2022'!O99+'October to Jan, 2021 2022'!P99</f>
        <v>42</v>
      </c>
      <c r="H597">
        <f>'October to Jan, 2021 2022'!Q99</f>
        <v>0</v>
      </c>
      <c r="I597">
        <f>'October to Jan, 2021 2022'!R99</f>
        <v>10</v>
      </c>
      <c r="J597">
        <f>G597*Parameters!$B$2*Parameters!$B$5</f>
        <v>89.422199999999975</v>
      </c>
      <c r="K597">
        <f>H597*Parameters!$B$3*Parameters!$B$6</f>
        <v>0</v>
      </c>
      <c r="L597">
        <f>I597*Parameters!$B$4*Parameters!$B$7</f>
        <v>80.963999999999999</v>
      </c>
      <c r="M597">
        <f t="shared" si="9"/>
        <v>170.38619999999997</v>
      </c>
      <c r="N597">
        <v>0</v>
      </c>
      <c r="O597">
        <v>4200</v>
      </c>
      <c r="P597">
        <v>0</v>
      </c>
      <c r="Q597">
        <v>3000</v>
      </c>
    </row>
    <row r="598" spans="1:17">
      <c r="A598" t="s">
        <v>123</v>
      </c>
      <c r="B598" t="s">
        <v>19</v>
      </c>
      <c r="C598">
        <v>8</v>
      </c>
      <c r="D598">
        <v>2021</v>
      </c>
      <c r="E598" s="49" t="s">
        <v>145</v>
      </c>
      <c r="F598" s="49" t="s">
        <v>163</v>
      </c>
      <c r="G598">
        <f>'October to Jan, 2021 2022'!O100+'October to Jan, 2021 2022'!P100</f>
        <v>40</v>
      </c>
      <c r="H598">
        <f>'October to Jan, 2021 2022'!Q100</f>
        <v>0</v>
      </c>
      <c r="I598">
        <f>'October to Jan, 2021 2022'!R100</f>
        <v>15</v>
      </c>
      <c r="J598">
        <f>G598*Parameters!$B$2*Parameters!$B$5</f>
        <v>85.163999999999987</v>
      </c>
      <c r="K598">
        <f>H598*Parameters!$B$3*Parameters!$B$6</f>
        <v>0</v>
      </c>
      <c r="L598">
        <f>I598*Parameters!$B$4*Parameters!$B$7</f>
        <v>121.44600000000001</v>
      </c>
      <c r="M598">
        <f t="shared" si="9"/>
        <v>206.61</v>
      </c>
      <c r="N598">
        <v>0</v>
      </c>
      <c r="O598">
        <v>4000</v>
      </c>
      <c r="P598">
        <v>0</v>
      </c>
      <c r="Q598">
        <v>4500</v>
      </c>
    </row>
    <row r="599" spans="1:17">
      <c r="A599" t="s">
        <v>124</v>
      </c>
      <c r="B599" t="s">
        <v>56</v>
      </c>
      <c r="C599">
        <v>9</v>
      </c>
      <c r="D599">
        <v>2021</v>
      </c>
      <c r="E599" s="49" t="s">
        <v>145</v>
      </c>
      <c r="F599" s="49" t="s">
        <v>163</v>
      </c>
      <c r="G599">
        <f>'October to Jan, 2021 2022'!O101+'October to Jan, 2021 2022'!P101</f>
        <v>48</v>
      </c>
      <c r="H599">
        <f>'October to Jan, 2021 2022'!Q101</f>
        <v>0</v>
      </c>
      <c r="I599">
        <f>'October to Jan, 2021 2022'!R101</f>
        <v>10</v>
      </c>
      <c r="J599">
        <f>G599*Parameters!$B$2*Parameters!$B$5</f>
        <v>102.19679999999998</v>
      </c>
      <c r="K599">
        <f>H599*Parameters!$B$3*Parameters!$B$6</f>
        <v>0</v>
      </c>
      <c r="L599">
        <f>I599*Parameters!$B$4*Parameters!$B$7</f>
        <v>80.963999999999999</v>
      </c>
      <c r="M599">
        <f t="shared" si="9"/>
        <v>183.16079999999999</v>
      </c>
      <c r="N599">
        <v>0</v>
      </c>
      <c r="O599">
        <v>4800</v>
      </c>
      <c r="P599">
        <v>0</v>
      </c>
      <c r="Q599">
        <v>3000</v>
      </c>
    </row>
    <row r="600" spans="1:17">
      <c r="A600" t="s">
        <v>125</v>
      </c>
      <c r="B600" t="s">
        <v>65</v>
      </c>
      <c r="C600">
        <v>7</v>
      </c>
      <c r="D600">
        <v>2021</v>
      </c>
      <c r="E600" s="49" t="s">
        <v>145</v>
      </c>
      <c r="F600" s="49" t="s">
        <v>163</v>
      </c>
      <c r="G600">
        <f>'October to Jan, 2021 2022'!O102+'October to Jan, 2021 2022'!P102</f>
        <v>0</v>
      </c>
      <c r="H600">
        <f>'October to Jan, 2021 2022'!Q102</f>
        <v>0</v>
      </c>
      <c r="I600">
        <f>'October to Jan, 2021 2022'!R102</f>
        <v>20</v>
      </c>
      <c r="J600">
        <f>G600*Parameters!$B$2*Parameters!$B$5</f>
        <v>0</v>
      </c>
      <c r="K600">
        <f>H600*Parameters!$B$3*Parameters!$B$6</f>
        <v>0</v>
      </c>
      <c r="L600">
        <f>I600*Parameters!$B$4*Parameters!$B$7</f>
        <v>161.928</v>
      </c>
      <c r="M600">
        <f t="shared" si="9"/>
        <v>161.928</v>
      </c>
      <c r="N600">
        <v>0</v>
      </c>
      <c r="O600">
        <v>0</v>
      </c>
      <c r="P600">
        <v>0</v>
      </c>
      <c r="Q600">
        <v>6000</v>
      </c>
    </row>
    <row r="601" spans="1:17">
      <c r="A601" t="s">
        <v>126</v>
      </c>
      <c r="B601" t="s">
        <v>65</v>
      </c>
      <c r="C601">
        <v>6</v>
      </c>
      <c r="D601">
        <v>2021</v>
      </c>
      <c r="E601" s="49" t="s">
        <v>145</v>
      </c>
      <c r="F601" s="49" t="s">
        <v>163</v>
      </c>
      <c r="G601">
        <f>'October to Jan, 2021 2022'!O103+'October to Jan, 2021 2022'!P103</f>
        <v>10</v>
      </c>
      <c r="H601">
        <f>'October to Jan, 2021 2022'!Q103</f>
        <v>0</v>
      </c>
      <c r="I601">
        <f>'October to Jan, 2021 2022'!R103</f>
        <v>5</v>
      </c>
      <c r="J601">
        <f>G601*Parameters!$B$2*Parameters!$B$5</f>
        <v>21.290999999999997</v>
      </c>
      <c r="K601">
        <f>H601*Parameters!$B$3*Parameters!$B$6</f>
        <v>0</v>
      </c>
      <c r="L601">
        <f>I601*Parameters!$B$4*Parameters!$B$7</f>
        <v>40.481999999999999</v>
      </c>
      <c r="M601">
        <f t="shared" si="9"/>
        <v>61.772999999999996</v>
      </c>
      <c r="N601">
        <v>0</v>
      </c>
      <c r="O601">
        <v>1000</v>
      </c>
      <c r="P601">
        <v>0</v>
      </c>
      <c r="Q601">
        <v>1500</v>
      </c>
    </row>
    <row r="602" spans="1:17">
      <c r="A602" t="s">
        <v>16</v>
      </c>
      <c r="B602" t="s">
        <v>17</v>
      </c>
      <c r="C602">
        <v>8</v>
      </c>
      <c r="D602">
        <v>2021</v>
      </c>
      <c r="E602" s="49" t="s">
        <v>146</v>
      </c>
      <c r="F602" s="49" t="s">
        <v>163</v>
      </c>
      <c r="G602">
        <f>'October to Jan, 2021 2022'!W4+'October to Jan, 2021 2022'!X4</f>
        <v>60</v>
      </c>
      <c r="H602">
        <f>'October to Jan, 2021 2022'!Y4</f>
        <v>0</v>
      </c>
      <c r="I602">
        <f>'October to Jan, 2021 2022'!Z4</f>
        <v>5</v>
      </c>
      <c r="J602">
        <f>G602*Parameters!$B$2*Parameters!$B$5</f>
        <v>127.74599999999998</v>
      </c>
      <c r="K602">
        <f>H602*Parameters!$B$3*Parameters!$B$6</f>
        <v>0</v>
      </c>
      <c r="L602">
        <f>I602*Parameters!$B$4*Parameters!$B$7</f>
        <v>40.481999999999999</v>
      </c>
      <c r="M602">
        <f t="shared" si="9"/>
        <v>168.22799999999998</v>
      </c>
      <c r="N602">
        <v>0</v>
      </c>
      <c r="O602">
        <v>6000</v>
      </c>
      <c r="P602">
        <v>0</v>
      </c>
      <c r="Q602">
        <v>1500</v>
      </c>
    </row>
    <row r="603" spans="1:17">
      <c r="A603" t="s">
        <v>18</v>
      </c>
      <c r="B603" t="s">
        <v>19</v>
      </c>
      <c r="C603">
        <v>7</v>
      </c>
      <c r="D603">
        <v>2021</v>
      </c>
      <c r="E603" s="49" t="s">
        <v>146</v>
      </c>
      <c r="F603" s="49" t="s">
        <v>163</v>
      </c>
      <c r="G603">
        <f>'October to Jan, 2021 2022'!W5+'October to Jan, 2021 2022'!X5</f>
        <v>35</v>
      </c>
      <c r="H603">
        <f>'October to Jan, 2021 2022'!Y5</f>
        <v>0</v>
      </c>
      <c r="I603">
        <f>'October to Jan, 2021 2022'!Z5</f>
        <v>5</v>
      </c>
      <c r="J603">
        <f>G603*Parameters!$B$2*Parameters!$B$5</f>
        <v>74.518499999999989</v>
      </c>
      <c r="K603">
        <f>H603*Parameters!$B$3*Parameters!$B$6</f>
        <v>0</v>
      </c>
      <c r="L603">
        <f>I603*Parameters!$B$4*Parameters!$B$7</f>
        <v>40.481999999999999</v>
      </c>
      <c r="M603">
        <f t="shared" si="9"/>
        <v>115.00049999999999</v>
      </c>
      <c r="N603">
        <v>0</v>
      </c>
      <c r="O603">
        <v>3500</v>
      </c>
      <c r="P603">
        <v>0</v>
      </c>
      <c r="Q603">
        <v>1500</v>
      </c>
    </row>
    <row r="604" spans="1:17">
      <c r="A604" t="s">
        <v>20</v>
      </c>
      <c r="B604" t="s">
        <v>21</v>
      </c>
      <c r="C604">
        <v>10</v>
      </c>
      <c r="D604">
        <v>2021</v>
      </c>
      <c r="E604" s="49" t="s">
        <v>146</v>
      </c>
      <c r="F604" s="49" t="s">
        <v>163</v>
      </c>
      <c r="G604">
        <f>'October to Jan, 2021 2022'!W6+'October to Jan, 2021 2022'!X6</f>
        <v>55</v>
      </c>
      <c r="H604">
        <f>'October to Jan, 2021 2022'!Y6</f>
        <v>0</v>
      </c>
      <c r="I604">
        <f>'October to Jan, 2021 2022'!Z6</f>
        <v>15</v>
      </c>
      <c r="J604">
        <f>G604*Parameters!$B$2*Parameters!$B$5</f>
        <v>117.10049999999998</v>
      </c>
      <c r="K604">
        <f>H604*Parameters!$B$3*Parameters!$B$6</f>
        <v>0</v>
      </c>
      <c r="L604">
        <f>I604*Parameters!$B$4*Parameters!$B$7</f>
        <v>121.44600000000001</v>
      </c>
      <c r="M604">
        <f t="shared" si="9"/>
        <v>238.54649999999998</v>
      </c>
      <c r="N604">
        <v>0</v>
      </c>
      <c r="O604">
        <v>5500</v>
      </c>
      <c r="P604">
        <v>0</v>
      </c>
      <c r="Q604">
        <v>4500</v>
      </c>
    </row>
    <row r="605" spans="1:17">
      <c r="A605" t="s">
        <v>22</v>
      </c>
      <c r="B605" t="s">
        <v>19</v>
      </c>
      <c r="C605">
        <v>7</v>
      </c>
      <c r="D605">
        <v>2021</v>
      </c>
      <c r="E605" s="49" t="s">
        <v>146</v>
      </c>
      <c r="F605" s="49" t="s">
        <v>163</v>
      </c>
      <c r="G605">
        <f>'October to Jan, 2021 2022'!W7+'October to Jan, 2021 2022'!X7</f>
        <v>30</v>
      </c>
      <c r="H605">
        <f>'October to Jan, 2021 2022'!Y7</f>
        <v>0</v>
      </c>
      <c r="I605">
        <f>'October to Jan, 2021 2022'!Z7</f>
        <v>11</v>
      </c>
      <c r="J605">
        <f>G605*Parameters!$B$2*Parameters!$B$5</f>
        <v>63.87299999999999</v>
      </c>
      <c r="K605">
        <f>H605*Parameters!$B$3*Parameters!$B$6</f>
        <v>0</v>
      </c>
      <c r="L605">
        <f>I605*Parameters!$B$4*Parameters!$B$7</f>
        <v>89.060400000000016</v>
      </c>
      <c r="M605">
        <f t="shared" si="9"/>
        <v>152.93340000000001</v>
      </c>
      <c r="N605">
        <v>0</v>
      </c>
      <c r="O605">
        <v>3000</v>
      </c>
      <c r="P605">
        <v>0</v>
      </c>
      <c r="Q605">
        <v>3300</v>
      </c>
    </row>
    <row r="606" spans="1:17">
      <c r="A606" t="s">
        <v>23</v>
      </c>
      <c r="B606" t="s">
        <v>24</v>
      </c>
      <c r="C606">
        <v>4</v>
      </c>
      <c r="D606">
        <v>2021</v>
      </c>
      <c r="E606" s="49" t="s">
        <v>146</v>
      </c>
      <c r="F606" s="49" t="s">
        <v>163</v>
      </c>
      <c r="G606">
        <f>'October to Jan, 2021 2022'!W8+'October to Jan, 2021 2022'!X8</f>
        <v>42</v>
      </c>
      <c r="H606">
        <f>'October to Jan, 2021 2022'!Y8</f>
        <v>0</v>
      </c>
      <c r="I606">
        <f>'October to Jan, 2021 2022'!Z8</f>
        <v>13</v>
      </c>
      <c r="J606">
        <f>G606*Parameters!$B$2*Parameters!$B$5</f>
        <v>89.422199999999975</v>
      </c>
      <c r="K606">
        <f>H606*Parameters!$B$3*Parameters!$B$6</f>
        <v>0</v>
      </c>
      <c r="L606">
        <f>I606*Parameters!$B$4*Parameters!$B$7</f>
        <v>105.25320000000001</v>
      </c>
      <c r="M606">
        <f t="shared" si="9"/>
        <v>194.67539999999997</v>
      </c>
      <c r="N606">
        <v>0</v>
      </c>
      <c r="O606">
        <v>4200</v>
      </c>
      <c r="P606">
        <v>0</v>
      </c>
      <c r="Q606">
        <v>3900</v>
      </c>
    </row>
    <row r="607" spans="1:17">
      <c r="A607" t="s">
        <v>25</v>
      </c>
      <c r="B607" t="s">
        <v>26</v>
      </c>
      <c r="C607">
        <v>3</v>
      </c>
      <c r="D607">
        <v>2021</v>
      </c>
      <c r="E607" s="49" t="s">
        <v>146</v>
      </c>
      <c r="F607" s="49" t="s">
        <v>163</v>
      </c>
      <c r="G607">
        <f>'October to Jan, 2021 2022'!W9+'October to Jan, 2021 2022'!X9</f>
        <v>30</v>
      </c>
      <c r="H607">
        <f>'October to Jan, 2021 2022'!Y9</f>
        <v>0</v>
      </c>
      <c r="I607">
        <f>'October to Jan, 2021 2022'!Z9</f>
        <v>10</v>
      </c>
      <c r="J607">
        <f>G607*Parameters!$B$2*Parameters!$B$5</f>
        <v>63.87299999999999</v>
      </c>
      <c r="K607">
        <f>H607*Parameters!$B$3*Parameters!$B$6</f>
        <v>0</v>
      </c>
      <c r="L607">
        <f>I607*Parameters!$B$4*Parameters!$B$7</f>
        <v>80.963999999999999</v>
      </c>
      <c r="M607">
        <f t="shared" si="9"/>
        <v>144.83699999999999</v>
      </c>
      <c r="N607">
        <v>0</v>
      </c>
      <c r="O607">
        <v>3000</v>
      </c>
      <c r="P607">
        <v>0</v>
      </c>
      <c r="Q607">
        <v>3000</v>
      </c>
    </row>
    <row r="608" spans="1:17">
      <c r="A608" t="s">
        <v>27</v>
      </c>
      <c r="B608" t="s">
        <v>21</v>
      </c>
      <c r="C608">
        <v>6</v>
      </c>
      <c r="D608">
        <v>2021</v>
      </c>
      <c r="E608" s="49" t="s">
        <v>146</v>
      </c>
      <c r="F608" s="49" t="s">
        <v>163</v>
      </c>
      <c r="G608">
        <f>'October to Jan, 2021 2022'!W10+'October to Jan, 2021 2022'!X10</f>
        <v>50</v>
      </c>
      <c r="H608">
        <f>'October to Jan, 2021 2022'!Y10</f>
        <v>0</v>
      </c>
      <c r="I608">
        <f>'October to Jan, 2021 2022'!Z10</f>
        <v>18</v>
      </c>
      <c r="J608">
        <f>G608*Parameters!$B$2*Parameters!$B$5</f>
        <v>106.45499999999998</v>
      </c>
      <c r="K608">
        <f>H608*Parameters!$B$3*Parameters!$B$6</f>
        <v>0</v>
      </c>
      <c r="L608">
        <f>I608*Parameters!$B$4*Parameters!$B$7</f>
        <v>145.73520000000002</v>
      </c>
      <c r="M608">
        <f t="shared" si="9"/>
        <v>252.1902</v>
      </c>
      <c r="N608">
        <v>0</v>
      </c>
      <c r="O608">
        <v>5000</v>
      </c>
      <c r="P608">
        <v>0</v>
      </c>
      <c r="Q608">
        <v>5400</v>
      </c>
    </row>
    <row r="609" spans="1:17">
      <c r="A609" t="s">
        <v>28</v>
      </c>
      <c r="B609" t="s">
        <v>19</v>
      </c>
      <c r="C609">
        <v>9</v>
      </c>
      <c r="D609">
        <v>2021</v>
      </c>
      <c r="E609" s="49" t="s">
        <v>146</v>
      </c>
      <c r="F609" s="49" t="s">
        <v>163</v>
      </c>
      <c r="G609">
        <f>'October to Jan, 2021 2022'!W11+'October to Jan, 2021 2022'!X11</f>
        <v>40</v>
      </c>
      <c r="H609">
        <f>'October to Jan, 2021 2022'!Y11</f>
        <v>0</v>
      </c>
      <c r="I609">
        <f>'October to Jan, 2021 2022'!Z11</f>
        <v>10</v>
      </c>
      <c r="J609">
        <f>G609*Parameters!$B$2*Parameters!$B$5</f>
        <v>85.163999999999987</v>
      </c>
      <c r="K609">
        <f>H609*Parameters!$B$3*Parameters!$B$6</f>
        <v>0</v>
      </c>
      <c r="L609">
        <f>I609*Parameters!$B$4*Parameters!$B$7</f>
        <v>80.963999999999999</v>
      </c>
      <c r="M609">
        <f t="shared" si="9"/>
        <v>166.12799999999999</v>
      </c>
      <c r="N609">
        <v>0</v>
      </c>
      <c r="O609">
        <v>4000</v>
      </c>
      <c r="P609">
        <v>0</v>
      </c>
      <c r="Q609">
        <v>3000</v>
      </c>
    </row>
    <row r="610" spans="1:17">
      <c r="A610" t="s">
        <v>29</v>
      </c>
      <c r="B610" t="s">
        <v>24</v>
      </c>
      <c r="C610">
        <v>4</v>
      </c>
      <c r="D610">
        <v>2021</v>
      </c>
      <c r="E610" s="49" t="s">
        <v>146</v>
      </c>
      <c r="F610" s="49" t="s">
        <v>163</v>
      </c>
      <c r="G610">
        <f>'October to Jan, 2021 2022'!W12+'October to Jan, 2021 2022'!X12</f>
        <v>25</v>
      </c>
      <c r="H610">
        <f>'October to Jan, 2021 2022'!Y12</f>
        <v>0</v>
      </c>
      <c r="I610">
        <f>'October to Jan, 2021 2022'!Z12</f>
        <v>5</v>
      </c>
      <c r="J610">
        <f>G610*Parameters!$B$2*Parameters!$B$5</f>
        <v>53.227499999999992</v>
      </c>
      <c r="K610">
        <f>H610*Parameters!$B$3*Parameters!$B$6</f>
        <v>0</v>
      </c>
      <c r="L610">
        <f>I610*Parameters!$B$4*Parameters!$B$7</f>
        <v>40.481999999999999</v>
      </c>
      <c r="M610">
        <f t="shared" si="9"/>
        <v>93.709499999999991</v>
      </c>
      <c r="N610">
        <v>0</v>
      </c>
      <c r="O610">
        <v>2500</v>
      </c>
      <c r="P610">
        <v>0</v>
      </c>
      <c r="Q610">
        <v>1500</v>
      </c>
    </row>
    <row r="611" spans="1:17">
      <c r="A611" t="s">
        <v>30</v>
      </c>
      <c r="B611" t="s">
        <v>21</v>
      </c>
      <c r="C611">
        <v>6</v>
      </c>
      <c r="D611">
        <v>2021</v>
      </c>
      <c r="E611" s="49" t="s">
        <v>146</v>
      </c>
      <c r="F611" s="49" t="s">
        <v>163</v>
      </c>
      <c r="G611">
        <f>'October to Jan, 2021 2022'!W13+'October to Jan, 2021 2022'!X13</f>
        <v>20</v>
      </c>
      <c r="H611">
        <f>'October to Jan, 2021 2022'!Y13</f>
        <v>0</v>
      </c>
      <c r="I611">
        <f>'October to Jan, 2021 2022'!Z13</f>
        <v>0</v>
      </c>
      <c r="J611">
        <f>G611*Parameters!$B$2*Parameters!$B$5</f>
        <v>42.581999999999994</v>
      </c>
      <c r="K611">
        <f>H611*Parameters!$B$3*Parameters!$B$6</f>
        <v>0</v>
      </c>
      <c r="L611">
        <f>I611*Parameters!$B$4*Parameters!$B$7</f>
        <v>0</v>
      </c>
      <c r="M611">
        <f t="shared" si="9"/>
        <v>42.581999999999994</v>
      </c>
      <c r="N611">
        <v>0</v>
      </c>
      <c r="O611">
        <v>2000</v>
      </c>
      <c r="P611">
        <v>0</v>
      </c>
      <c r="Q611">
        <v>0</v>
      </c>
    </row>
    <row r="612" spans="1:17">
      <c r="A612" t="s">
        <v>31</v>
      </c>
      <c r="B612" t="s">
        <v>32</v>
      </c>
      <c r="C612">
        <v>4</v>
      </c>
      <c r="D612">
        <v>2021</v>
      </c>
      <c r="E612" s="49" t="s">
        <v>146</v>
      </c>
      <c r="F612" s="49" t="s">
        <v>163</v>
      </c>
      <c r="G612">
        <f>'October to Jan, 2021 2022'!W14+'October to Jan, 2021 2022'!X14</f>
        <v>65</v>
      </c>
      <c r="H612">
        <f>'October to Jan, 2021 2022'!Y14</f>
        <v>0</v>
      </c>
      <c r="I612">
        <f>'October to Jan, 2021 2022'!Z14</f>
        <v>15</v>
      </c>
      <c r="J612">
        <f>G612*Parameters!$B$2*Parameters!$B$5</f>
        <v>138.39149999999998</v>
      </c>
      <c r="K612">
        <f>H612*Parameters!$B$3*Parameters!$B$6</f>
        <v>0</v>
      </c>
      <c r="L612">
        <f>I612*Parameters!$B$4*Parameters!$B$7</f>
        <v>121.44600000000001</v>
      </c>
      <c r="M612">
        <f t="shared" si="9"/>
        <v>259.83749999999998</v>
      </c>
      <c r="N612">
        <v>0</v>
      </c>
      <c r="O612">
        <v>6500</v>
      </c>
      <c r="P612">
        <v>0</v>
      </c>
      <c r="Q612">
        <v>4500</v>
      </c>
    </row>
    <row r="613" spans="1:17">
      <c r="A613" t="s">
        <v>33</v>
      </c>
      <c r="B613" t="s">
        <v>32</v>
      </c>
      <c r="C613">
        <v>6</v>
      </c>
      <c r="D613">
        <v>2021</v>
      </c>
      <c r="E613" s="49" t="s">
        <v>146</v>
      </c>
      <c r="F613" s="49" t="s">
        <v>163</v>
      </c>
      <c r="G613">
        <f>'October to Jan, 2021 2022'!W15+'October to Jan, 2021 2022'!X15</f>
        <v>20</v>
      </c>
      <c r="H613">
        <f>'October to Jan, 2021 2022'!Y15</f>
        <v>0</v>
      </c>
      <c r="I613">
        <f>'October to Jan, 2021 2022'!Z15</f>
        <v>5</v>
      </c>
      <c r="J613">
        <f>G613*Parameters!$B$2*Parameters!$B$5</f>
        <v>42.581999999999994</v>
      </c>
      <c r="K613">
        <f>H613*Parameters!$B$3*Parameters!$B$6</f>
        <v>0</v>
      </c>
      <c r="L613">
        <f>I613*Parameters!$B$4*Parameters!$B$7</f>
        <v>40.481999999999999</v>
      </c>
      <c r="M613">
        <f t="shared" si="9"/>
        <v>83.063999999999993</v>
      </c>
      <c r="N613">
        <v>0</v>
      </c>
      <c r="O613">
        <v>2000</v>
      </c>
      <c r="P613">
        <v>0</v>
      </c>
      <c r="Q613">
        <v>1500</v>
      </c>
    </row>
    <row r="614" spans="1:17">
      <c r="A614" t="s">
        <v>34</v>
      </c>
      <c r="B614" t="s">
        <v>21</v>
      </c>
      <c r="C614">
        <v>9</v>
      </c>
      <c r="D614">
        <v>2021</v>
      </c>
      <c r="E614" s="49" t="s">
        <v>146</v>
      </c>
      <c r="F614" s="49" t="s">
        <v>163</v>
      </c>
      <c r="G614">
        <f>'October to Jan, 2021 2022'!W16+'October to Jan, 2021 2022'!X16</f>
        <v>38</v>
      </c>
      <c r="H614">
        <f>'October to Jan, 2021 2022'!Y16</f>
        <v>0</v>
      </c>
      <c r="I614">
        <f>'October to Jan, 2021 2022'!Z16</f>
        <v>10</v>
      </c>
      <c r="J614">
        <f>G614*Parameters!$B$2*Parameters!$B$5</f>
        <v>80.905799999999985</v>
      </c>
      <c r="K614">
        <f>H614*Parameters!$B$3*Parameters!$B$6</f>
        <v>0</v>
      </c>
      <c r="L614">
        <f>I614*Parameters!$B$4*Parameters!$B$7</f>
        <v>80.963999999999999</v>
      </c>
      <c r="M614">
        <f t="shared" si="9"/>
        <v>161.8698</v>
      </c>
      <c r="N614">
        <v>0</v>
      </c>
      <c r="O614">
        <v>3800</v>
      </c>
      <c r="P614">
        <v>0</v>
      </c>
      <c r="Q614">
        <v>3000</v>
      </c>
    </row>
    <row r="615" spans="1:17">
      <c r="A615" t="s">
        <v>35</v>
      </c>
      <c r="B615" t="s">
        <v>21</v>
      </c>
      <c r="C615">
        <v>6</v>
      </c>
      <c r="D615">
        <v>2021</v>
      </c>
      <c r="E615" s="49" t="s">
        <v>146</v>
      </c>
      <c r="F615" s="49" t="s">
        <v>163</v>
      </c>
      <c r="G615">
        <f>'October to Jan, 2021 2022'!W17+'October to Jan, 2021 2022'!X17</f>
        <v>30</v>
      </c>
      <c r="H615">
        <f>'October to Jan, 2021 2022'!Y17</f>
        <v>0</v>
      </c>
      <c r="I615">
        <f>'October to Jan, 2021 2022'!Z17</f>
        <v>5</v>
      </c>
      <c r="J615">
        <f>G615*Parameters!$B$2*Parameters!$B$5</f>
        <v>63.87299999999999</v>
      </c>
      <c r="K615">
        <f>H615*Parameters!$B$3*Parameters!$B$6</f>
        <v>0</v>
      </c>
      <c r="L615">
        <f>I615*Parameters!$B$4*Parameters!$B$7</f>
        <v>40.481999999999999</v>
      </c>
      <c r="M615">
        <f t="shared" si="9"/>
        <v>104.35499999999999</v>
      </c>
      <c r="N615">
        <v>0</v>
      </c>
      <c r="O615">
        <v>3000</v>
      </c>
      <c r="P615">
        <v>0</v>
      </c>
      <c r="Q615">
        <v>1500</v>
      </c>
    </row>
    <row r="616" spans="1:17">
      <c r="A616" t="s">
        <v>36</v>
      </c>
      <c r="B616" t="s">
        <v>21</v>
      </c>
      <c r="C616">
        <v>12</v>
      </c>
      <c r="D616">
        <v>2021</v>
      </c>
      <c r="E616" s="49" t="s">
        <v>146</v>
      </c>
      <c r="F616" s="49" t="s">
        <v>163</v>
      </c>
      <c r="G616">
        <f>'October to Jan, 2021 2022'!W18+'October to Jan, 2021 2022'!X18</f>
        <v>35</v>
      </c>
      <c r="H616">
        <f>'October to Jan, 2021 2022'!Y18</f>
        <v>0</v>
      </c>
      <c r="I616">
        <f>'October to Jan, 2021 2022'!Z18</f>
        <v>15</v>
      </c>
      <c r="J616">
        <f>G616*Parameters!$B$2*Parameters!$B$5</f>
        <v>74.518499999999989</v>
      </c>
      <c r="K616">
        <f>H616*Parameters!$B$3*Parameters!$B$6</f>
        <v>0</v>
      </c>
      <c r="L616">
        <f>I616*Parameters!$B$4*Parameters!$B$7</f>
        <v>121.44600000000001</v>
      </c>
      <c r="M616">
        <f t="shared" si="9"/>
        <v>195.96449999999999</v>
      </c>
      <c r="N616">
        <v>0</v>
      </c>
      <c r="O616">
        <v>3500</v>
      </c>
      <c r="P616">
        <v>0</v>
      </c>
      <c r="Q616">
        <v>4500</v>
      </c>
    </row>
    <row r="617" spans="1:17">
      <c r="A617" t="s">
        <v>37</v>
      </c>
      <c r="B617" t="s">
        <v>38</v>
      </c>
      <c r="C617">
        <v>7</v>
      </c>
      <c r="D617">
        <v>2021</v>
      </c>
      <c r="E617" s="49" t="s">
        <v>146</v>
      </c>
      <c r="F617" s="49" t="s">
        <v>163</v>
      </c>
      <c r="G617">
        <f>'October to Jan, 2021 2022'!W19+'October to Jan, 2021 2022'!X19</f>
        <v>48</v>
      </c>
      <c r="H617">
        <f>'October to Jan, 2021 2022'!Y19</f>
        <v>0</v>
      </c>
      <c r="I617">
        <f>'October to Jan, 2021 2022'!Z19</f>
        <v>20</v>
      </c>
      <c r="J617">
        <f>G617*Parameters!$B$2*Parameters!$B$5</f>
        <v>102.19679999999998</v>
      </c>
      <c r="K617">
        <f>H617*Parameters!$B$3*Parameters!$B$6</f>
        <v>0</v>
      </c>
      <c r="L617">
        <f>I617*Parameters!$B$4*Parameters!$B$7</f>
        <v>161.928</v>
      </c>
      <c r="M617">
        <f t="shared" si="9"/>
        <v>264.12479999999999</v>
      </c>
      <c r="N617">
        <v>0</v>
      </c>
      <c r="O617">
        <v>4800</v>
      </c>
      <c r="P617">
        <v>0</v>
      </c>
      <c r="Q617">
        <v>6000</v>
      </c>
    </row>
    <row r="618" spans="1:17">
      <c r="A618" t="s">
        <v>39</v>
      </c>
      <c r="B618" t="s">
        <v>40</v>
      </c>
      <c r="C618">
        <v>6</v>
      </c>
      <c r="D618">
        <v>2021</v>
      </c>
      <c r="E618" s="49" t="s">
        <v>146</v>
      </c>
      <c r="F618" s="49" t="s">
        <v>163</v>
      </c>
      <c r="G618">
        <f>'October to Jan, 2021 2022'!W20+'October to Jan, 2021 2022'!X20</f>
        <v>20</v>
      </c>
      <c r="H618">
        <f>'October to Jan, 2021 2022'!Y20</f>
        <v>0</v>
      </c>
      <c r="I618">
        <f>'October to Jan, 2021 2022'!Z20</f>
        <v>0</v>
      </c>
      <c r="J618">
        <f>G618*Parameters!$B$2*Parameters!$B$5</f>
        <v>42.581999999999994</v>
      </c>
      <c r="K618">
        <f>H618*Parameters!$B$3*Parameters!$B$6</f>
        <v>0</v>
      </c>
      <c r="L618">
        <f>I618*Parameters!$B$4*Parameters!$B$7</f>
        <v>0</v>
      </c>
      <c r="M618">
        <f t="shared" si="9"/>
        <v>42.581999999999994</v>
      </c>
      <c r="N618">
        <v>0</v>
      </c>
      <c r="O618">
        <v>2000</v>
      </c>
      <c r="P618">
        <v>0</v>
      </c>
      <c r="Q618">
        <v>0</v>
      </c>
    </row>
    <row r="619" spans="1:17">
      <c r="A619" t="s">
        <v>41</v>
      </c>
      <c r="B619" t="s">
        <v>26</v>
      </c>
      <c r="C619">
        <v>5</v>
      </c>
      <c r="D619">
        <v>2021</v>
      </c>
      <c r="E619" s="49" t="s">
        <v>146</v>
      </c>
      <c r="F619" s="49" t="s">
        <v>163</v>
      </c>
      <c r="G619">
        <f>'October to Jan, 2021 2022'!W21+'October to Jan, 2021 2022'!X21</f>
        <v>40</v>
      </c>
      <c r="H619">
        <f>'October to Jan, 2021 2022'!Y21</f>
        <v>0</v>
      </c>
      <c r="I619">
        <f>'October to Jan, 2021 2022'!Z21</f>
        <v>5</v>
      </c>
      <c r="J619">
        <f>G619*Parameters!$B$2*Parameters!$B$5</f>
        <v>85.163999999999987</v>
      </c>
      <c r="K619">
        <f>H619*Parameters!$B$3*Parameters!$B$6</f>
        <v>0</v>
      </c>
      <c r="L619">
        <f>I619*Parameters!$B$4*Parameters!$B$7</f>
        <v>40.481999999999999</v>
      </c>
      <c r="M619">
        <f t="shared" si="9"/>
        <v>125.64599999999999</v>
      </c>
      <c r="N619">
        <v>0</v>
      </c>
      <c r="O619">
        <v>4000</v>
      </c>
      <c r="P619">
        <v>0</v>
      </c>
      <c r="Q619">
        <v>1500</v>
      </c>
    </row>
    <row r="620" spans="1:17">
      <c r="A620" t="s">
        <v>42</v>
      </c>
      <c r="B620" t="s">
        <v>24</v>
      </c>
      <c r="C620">
        <v>5</v>
      </c>
      <c r="D620">
        <v>2021</v>
      </c>
      <c r="E620" s="49" t="s">
        <v>146</v>
      </c>
      <c r="F620" s="49" t="s">
        <v>163</v>
      </c>
      <c r="G620">
        <f>'October to Jan, 2021 2022'!W22+'October to Jan, 2021 2022'!X22</f>
        <v>45</v>
      </c>
      <c r="H620">
        <f>'October to Jan, 2021 2022'!Y22</f>
        <v>0</v>
      </c>
      <c r="I620">
        <f>'October to Jan, 2021 2022'!Z22</f>
        <v>15</v>
      </c>
      <c r="J620">
        <f>G620*Parameters!$B$2*Parameters!$B$5</f>
        <v>95.809499999999986</v>
      </c>
      <c r="K620">
        <f>H620*Parameters!$B$3*Parameters!$B$6</f>
        <v>0</v>
      </c>
      <c r="L620">
        <f>I620*Parameters!$B$4*Parameters!$B$7</f>
        <v>121.44600000000001</v>
      </c>
      <c r="M620">
        <f t="shared" si="9"/>
        <v>217.25549999999998</v>
      </c>
      <c r="N620">
        <v>0</v>
      </c>
      <c r="O620">
        <v>4500</v>
      </c>
      <c r="P620">
        <v>0</v>
      </c>
      <c r="Q620">
        <v>4500</v>
      </c>
    </row>
    <row r="621" spans="1:17">
      <c r="A621" t="s">
        <v>43</v>
      </c>
      <c r="B621" t="s">
        <v>19</v>
      </c>
      <c r="C621">
        <v>8</v>
      </c>
      <c r="D621">
        <v>2021</v>
      </c>
      <c r="E621" s="49" t="s">
        <v>146</v>
      </c>
      <c r="F621" s="49" t="s">
        <v>163</v>
      </c>
      <c r="G621">
        <f>'October to Jan, 2021 2022'!W23+'October to Jan, 2021 2022'!X23</f>
        <v>55</v>
      </c>
      <c r="H621">
        <f>'October to Jan, 2021 2022'!Y23</f>
        <v>0</v>
      </c>
      <c r="I621">
        <f>'October to Jan, 2021 2022'!Z23</f>
        <v>8</v>
      </c>
      <c r="J621">
        <f>G621*Parameters!$B$2*Parameters!$B$5</f>
        <v>117.10049999999998</v>
      </c>
      <c r="K621">
        <f>H621*Parameters!$B$3*Parameters!$B$6</f>
        <v>0</v>
      </c>
      <c r="L621">
        <f>I621*Parameters!$B$4*Parameters!$B$7</f>
        <v>64.771200000000007</v>
      </c>
      <c r="M621">
        <f t="shared" si="9"/>
        <v>181.87169999999998</v>
      </c>
      <c r="N621">
        <v>0</v>
      </c>
      <c r="O621">
        <v>5500</v>
      </c>
      <c r="P621">
        <v>0</v>
      </c>
      <c r="Q621">
        <v>2400</v>
      </c>
    </row>
    <row r="622" spans="1:17">
      <c r="A622" t="s">
        <v>44</v>
      </c>
      <c r="B622" t="s">
        <v>40</v>
      </c>
      <c r="C622">
        <v>10</v>
      </c>
      <c r="D622">
        <v>2021</v>
      </c>
      <c r="E622" s="49" t="s">
        <v>146</v>
      </c>
      <c r="F622" s="49" t="s">
        <v>163</v>
      </c>
      <c r="G622">
        <f>'October to Jan, 2021 2022'!W24+'October to Jan, 2021 2022'!X24</f>
        <v>35</v>
      </c>
      <c r="H622">
        <f>'October to Jan, 2021 2022'!Y24</f>
        <v>0</v>
      </c>
      <c r="I622">
        <f>'October to Jan, 2021 2022'!Z24</f>
        <v>5</v>
      </c>
      <c r="J622">
        <f>G622*Parameters!$B$2*Parameters!$B$5</f>
        <v>74.518499999999989</v>
      </c>
      <c r="K622">
        <f>H622*Parameters!$B$3*Parameters!$B$6</f>
        <v>0</v>
      </c>
      <c r="L622">
        <f>I622*Parameters!$B$4*Parameters!$B$7</f>
        <v>40.481999999999999</v>
      </c>
      <c r="M622">
        <f t="shared" si="9"/>
        <v>115.00049999999999</v>
      </c>
      <c r="N622">
        <v>0</v>
      </c>
      <c r="O622">
        <v>3500</v>
      </c>
      <c r="P622">
        <v>0</v>
      </c>
      <c r="Q622">
        <v>1500</v>
      </c>
    </row>
    <row r="623" spans="1:17">
      <c r="A623" t="s">
        <v>45</v>
      </c>
      <c r="B623" t="s">
        <v>24</v>
      </c>
      <c r="C623">
        <v>8</v>
      </c>
      <c r="D623">
        <v>2021</v>
      </c>
      <c r="E623" s="49" t="s">
        <v>146</v>
      </c>
      <c r="F623" s="49" t="s">
        <v>163</v>
      </c>
      <c r="G623">
        <f>'October to Jan, 2021 2022'!W25+'October to Jan, 2021 2022'!X25</f>
        <v>20</v>
      </c>
      <c r="H623">
        <f>'October to Jan, 2021 2022'!Y25</f>
        <v>0</v>
      </c>
      <c r="I623">
        <f>'October to Jan, 2021 2022'!Z25</f>
        <v>10</v>
      </c>
      <c r="J623">
        <f>G623*Parameters!$B$2*Parameters!$B$5</f>
        <v>42.581999999999994</v>
      </c>
      <c r="K623">
        <f>H623*Parameters!$B$3*Parameters!$B$6</f>
        <v>0</v>
      </c>
      <c r="L623">
        <f>I623*Parameters!$B$4*Parameters!$B$7</f>
        <v>80.963999999999999</v>
      </c>
      <c r="M623">
        <f t="shared" si="9"/>
        <v>123.54599999999999</v>
      </c>
      <c r="N623">
        <v>0</v>
      </c>
      <c r="O623">
        <v>2000</v>
      </c>
      <c r="P623">
        <v>0</v>
      </c>
      <c r="Q623">
        <v>3000</v>
      </c>
    </row>
    <row r="624" spans="1:17">
      <c r="A624" t="s">
        <v>46</v>
      </c>
      <c r="B624" t="s">
        <v>24</v>
      </c>
      <c r="C624">
        <v>4</v>
      </c>
      <c r="D624">
        <v>2021</v>
      </c>
      <c r="E624" s="49" t="s">
        <v>146</v>
      </c>
      <c r="F624" s="49" t="s">
        <v>163</v>
      </c>
      <c r="G624">
        <f>'October to Jan, 2021 2022'!W26+'October to Jan, 2021 2022'!X26</f>
        <v>35</v>
      </c>
      <c r="H624">
        <f>'October to Jan, 2021 2022'!Y26</f>
        <v>0</v>
      </c>
      <c r="I624">
        <f>'October to Jan, 2021 2022'!Z26</f>
        <v>5</v>
      </c>
      <c r="J624">
        <f>G624*Parameters!$B$2*Parameters!$B$5</f>
        <v>74.518499999999989</v>
      </c>
      <c r="K624">
        <f>H624*Parameters!$B$3*Parameters!$B$6</f>
        <v>0</v>
      </c>
      <c r="L624">
        <f>I624*Parameters!$B$4*Parameters!$B$7</f>
        <v>40.481999999999999</v>
      </c>
      <c r="M624">
        <f t="shared" si="9"/>
        <v>115.00049999999999</v>
      </c>
      <c r="N624">
        <v>0</v>
      </c>
      <c r="O624">
        <v>3500</v>
      </c>
      <c r="P624">
        <v>0</v>
      </c>
      <c r="Q624">
        <v>1500</v>
      </c>
    </row>
    <row r="625" spans="1:17">
      <c r="A625" t="s">
        <v>47</v>
      </c>
      <c r="B625" t="s">
        <v>19</v>
      </c>
      <c r="C625">
        <v>6</v>
      </c>
      <c r="D625">
        <v>2021</v>
      </c>
      <c r="E625" s="49" t="s">
        <v>146</v>
      </c>
      <c r="F625" s="49" t="s">
        <v>163</v>
      </c>
      <c r="G625">
        <f>'October to Jan, 2021 2022'!W27+'October to Jan, 2021 2022'!X27</f>
        <v>0</v>
      </c>
      <c r="H625">
        <f>'October to Jan, 2021 2022'!Y27</f>
        <v>0</v>
      </c>
      <c r="I625">
        <f>'October to Jan, 2021 2022'!Z27</f>
        <v>0</v>
      </c>
      <c r="J625">
        <f>G625*Parameters!$B$2*Parameters!$B$5</f>
        <v>0</v>
      </c>
      <c r="K625">
        <f>H625*Parameters!$B$3*Parameters!$B$6</f>
        <v>0</v>
      </c>
      <c r="L625">
        <f>I625*Parameters!$B$4*Parameters!$B$7</f>
        <v>0</v>
      </c>
      <c r="M625">
        <f t="shared" si="9"/>
        <v>0</v>
      </c>
      <c r="N625">
        <v>0</v>
      </c>
      <c r="O625">
        <v>0</v>
      </c>
      <c r="P625">
        <v>0</v>
      </c>
      <c r="Q625">
        <v>0</v>
      </c>
    </row>
    <row r="626" spans="1:17">
      <c r="A626" t="s">
        <v>48</v>
      </c>
      <c r="B626" t="s">
        <v>24</v>
      </c>
      <c r="C626">
        <v>4</v>
      </c>
      <c r="D626">
        <v>2021</v>
      </c>
      <c r="E626" s="49" t="s">
        <v>146</v>
      </c>
      <c r="F626" s="49" t="s">
        <v>163</v>
      </c>
      <c r="G626">
        <f>'October to Jan, 2021 2022'!W28+'October to Jan, 2021 2022'!X28</f>
        <v>55</v>
      </c>
      <c r="H626">
        <f>'October to Jan, 2021 2022'!Y28</f>
        <v>0</v>
      </c>
      <c r="I626">
        <f>'October to Jan, 2021 2022'!Z28</f>
        <v>10</v>
      </c>
      <c r="J626">
        <f>G626*Parameters!$B$2*Parameters!$B$5</f>
        <v>117.10049999999998</v>
      </c>
      <c r="K626">
        <f>H626*Parameters!$B$3*Parameters!$B$6</f>
        <v>0</v>
      </c>
      <c r="L626">
        <f>I626*Parameters!$B$4*Parameters!$B$7</f>
        <v>80.963999999999999</v>
      </c>
      <c r="M626">
        <f t="shared" si="9"/>
        <v>198.06449999999998</v>
      </c>
      <c r="N626">
        <v>0</v>
      </c>
      <c r="O626">
        <v>5500</v>
      </c>
      <c r="P626">
        <v>0</v>
      </c>
      <c r="Q626">
        <v>3000</v>
      </c>
    </row>
    <row r="627" spans="1:17">
      <c r="A627" t="s">
        <v>49</v>
      </c>
      <c r="B627" t="s">
        <v>38</v>
      </c>
      <c r="C627">
        <v>2</v>
      </c>
      <c r="D627">
        <v>2021</v>
      </c>
      <c r="E627" s="49" t="s">
        <v>146</v>
      </c>
      <c r="F627" s="49" t="s">
        <v>163</v>
      </c>
      <c r="G627">
        <f>'October to Jan, 2021 2022'!W29+'October to Jan, 2021 2022'!X29</f>
        <v>40</v>
      </c>
      <c r="H627">
        <f>'October to Jan, 2021 2022'!Y29</f>
        <v>0</v>
      </c>
      <c r="I627">
        <f>'October to Jan, 2021 2022'!Z29</f>
        <v>15</v>
      </c>
      <c r="J627">
        <f>G627*Parameters!$B$2*Parameters!$B$5</f>
        <v>85.163999999999987</v>
      </c>
      <c r="K627">
        <f>H627*Parameters!$B$3*Parameters!$B$6</f>
        <v>0</v>
      </c>
      <c r="L627">
        <f>I627*Parameters!$B$4*Parameters!$B$7</f>
        <v>121.44600000000001</v>
      </c>
      <c r="M627">
        <f t="shared" si="9"/>
        <v>206.61</v>
      </c>
      <c r="N627">
        <v>0</v>
      </c>
      <c r="O627">
        <v>4000</v>
      </c>
      <c r="P627">
        <v>0</v>
      </c>
      <c r="Q627">
        <v>4500</v>
      </c>
    </row>
    <row r="628" spans="1:17">
      <c r="A628" t="s">
        <v>50</v>
      </c>
      <c r="B628" t="s">
        <v>19</v>
      </c>
      <c r="C628">
        <v>8</v>
      </c>
      <c r="D628">
        <v>2021</v>
      </c>
      <c r="E628" s="49" t="s">
        <v>146</v>
      </c>
      <c r="F628" s="49" t="s">
        <v>163</v>
      </c>
      <c r="G628">
        <f>'October to Jan, 2021 2022'!W30+'October to Jan, 2021 2022'!X30</f>
        <v>35</v>
      </c>
      <c r="H628">
        <f>'October to Jan, 2021 2022'!Y30</f>
        <v>0</v>
      </c>
      <c r="I628">
        <f>'October to Jan, 2021 2022'!Z30</f>
        <v>0</v>
      </c>
      <c r="J628">
        <f>G628*Parameters!$B$2*Parameters!$B$5</f>
        <v>74.518499999999989</v>
      </c>
      <c r="K628">
        <f>H628*Parameters!$B$3*Parameters!$B$6</f>
        <v>0</v>
      </c>
      <c r="L628">
        <f>I628*Parameters!$B$4*Parameters!$B$7</f>
        <v>0</v>
      </c>
      <c r="M628">
        <f t="shared" si="9"/>
        <v>74.518499999999989</v>
      </c>
      <c r="N628">
        <v>0</v>
      </c>
      <c r="O628">
        <v>3500</v>
      </c>
      <c r="P628">
        <v>0</v>
      </c>
      <c r="Q628">
        <v>0</v>
      </c>
    </row>
    <row r="629" spans="1:17">
      <c r="A629" t="s">
        <v>51</v>
      </c>
      <c r="B629" t="s">
        <v>19</v>
      </c>
      <c r="C629">
        <v>6</v>
      </c>
      <c r="D629">
        <v>2021</v>
      </c>
      <c r="E629" s="49" t="s">
        <v>146</v>
      </c>
      <c r="F629" s="49" t="s">
        <v>163</v>
      </c>
      <c r="G629">
        <f>'October to Jan, 2021 2022'!W31+'October to Jan, 2021 2022'!X31</f>
        <v>40</v>
      </c>
      <c r="H629">
        <f>'October to Jan, 2021 2022'!Y31</f>
        <v>0</v>
      </c>
      <c r="I629">
        <f>'October to Jan, 2021 2022'!Z31</f>
        <v>10</v>
      </c>
      <c r="J629">
        <f>G629*Parameters!$B$2*Parameters!$B$5</f>
        <v>85.163999999999987</v>
      </c>
      <c r="K629">
        <f>H629*Parameters!$B$3*Parameters!$B$6</f>
        <v>0</v>
      </c>
      <c r="L629">
        <f>I629*Parameters!$B$4*Parameters!$B$7</f>
        <v>80.963999999999999</v>
      </c>
      <c r="M629">
        <f t="shared" si="9"/>
        <v>166.12799999999999</v>
      </c>
      <c r="N629">
        <v>0</v>
      </c>
      <c r="O629">
        <v>4000</v>
      </c>
      <c r="P629">
        <v>0</v>
      </c>
      <c r="Q629">
        <v>3000</v>
      </c>
    </row>
    <row r="630" spans="1:17">
      <c r="A630" t="s">
        <v>52</v>
      </c>
      <c r="B630" t="s">
        <v>38</v>
      </c>
      <c r="C630">
        <v>12</v>
      </c>
      <c r="D630">
        <v>2021</v>
      </c>
      <c r="E630" s="49" t="s">
        <v>146</v>
      </c>
      <c r="F630" s="49" t="s">
        <v>163</v>
      </c>
      <c r="G630">
        <f>'October to Jan, 2021 2022'!W32+'October to Jan, 2021 2022'!X32</f>
        <v>42</v>
      </c>
      <c r="H630">
        <f>'October to Jan, 2021 2022'!Y32</f>
        <v>0</v>
      </c>
      <c r="I630">
        <f>'October to Jan, 2021 2022'!Z32</f>
        <v>12</v>
      </c>
      <c r="J630">
        <f>G630*Parameters!$B$2*Parameters!$B$5</f>
        <v>89.422199999999975</v>
      </c>
      <c r="K630">
        <f>H630*Parameters!$B$3*Parameters!$B$6</f>
        <v>0</v>
      </c>
      <c r="L630">
        <f>I630*Parameters!$B$4*Parameters!$B$7</f>
        <v>97.156800000000018</v>
      </c>
      <c r="M630">
        <f t="shared" si="9"/>
        <v>186.57900000000001</v>
      </c>
      <c r="N630">
        <v>0</v>
      </c>
      <c r="O630">
        <v>4200</v>
      </c>
      <c r="P630">
        <v>0</v>
      </c>
      <c r="Q630">
        <v>3600</v>
      </c>
    </row>
    <row r="631" spans="1:17">
      <c r="A631" t="s">
        <v>53</v>
      </c>
      <c r="B631" t="s">
        <v>40</v>
      </c>
      <c r="C631">
        <v>8</v>
      </c>
      <c r="D631">
        <v>2021</v>
      </c>
      <c r="E631" s="49" t="s">
        <v>146</v>
      </c>
      <c r="F631" s="49" t="s">
        <v>163</v>
      </c>
      <c r="G631">
        <f>'October to Jan, 2021 2022'!W33+'October to Jan, 2021 2022'!X33</f>
        <v>65</v>
      </c>
      <c r="H631">
        <f>'October to Jan, 2021 2022'!Y33</f>
        <v>0</v>
      </c>
      <c r="I631">
        <f>'October to Jan, 2021 2022'!Z33</f>
        <v>15</v>
      </c>
      <c r="J631">
        <f>G631*Parameters!$B$2*Parameters!$B$5</f>
        <v>138.39149999999998</v>
      </c>
      <c r="K631">
        <f>H631*Parameters!$B$3*Parameters!$B$6</f>
        <v>0</v>
      </c>
      <c r="L631">
        <f>I631*Parameters!$B$4*Parameters!$B$7</f>
        <v>121.44600000000001</v>
      </c>
      <c r="M631">
        <f t="shared" si="9"/>
        <v>259.83749999999998</v>
      </c>
      <c r="N631">
        <v>0</v>
      </c>
      <c r="O631">
        <v>6500</v>
      </c>
      <c r="P631">
        <v>0</v>
      </c>
      <c r="Q631">
        <v>4500</v>
      </c>
    </row>
    <row r="632" spans="1:17">
      <c r="A632" t="s">
        <v>54</v>
      </c>
      <c r="B632" t="s">
        <v>40</v>
      </c>
      <c r="C632">
        <v>6</v>
      </c>
      <c r="D632">
        <v>2021</v>
      </c>
      <c r="E632" s="49" t="s">
        <v>146</v>
      </c>
      <c r="F632" s="49" t="s">
        <v>163</v>
      </c>
      <c r="G632">
        <f>'October to Jan, 2021 2022'!W34+'October to Jan, 2021 2022'!X34</f>
        <v>50</v>
      </c>
      <c r="H632">
        <f>'October to Jan, 2021 2022'!Y34</f>
        <v>0</v>
      </c>
      <c r="I632">
        <f>'October to Jan, 2021 2022'!Z34</f>
        <v>20</v>
      </c>
      <c r="J632">
        <f>G632*Parameters!$B$2*Parameters!$B$5</f>
        <v>106.45499999999998</v>
      </c>
      <c r="K632">
        <f>H632*Parameters!$B$3*Parameters!$B$6</f>
        <v>0</v>
      </c>
      <c r="L632">
        <f>I632*Parameters!$B$4*Parameters!$B$7</f>
        <v>161.928</v>
      </c>
      <c r="M632">
        <f t="shared" si="9"/>
        <v>268.38299999999998</v>
      </c>
      <c r="N632">
        <v>0</v>
      </c>
      <c r="O632">
        <v>5000</v>
      </c>
      <c r="P632">
        <v>0</v>
      </c>
      <c r="Q632">
        <v>6000</v>
      </c>
    </row>
    <row r="633" spans="1:17">
      <c r="A633" t="s">
        <v>55</v>
      </c>
      <c r="B633" t="s">
        <v>56</v>
      </c>
      <c r="C633">
        <v>4</v>
      </c>
      <c r="D633">
        <v>2021</v>
      </c>
      <c r="E633" s="49" t="s">
        <v>146</v>
      </c>
      <c r="F633" s="49" t="s">
        <v>163</v>
      </c>
      <c r="G633">
        <f>'October to Jan, 2021 2022'!W35+'October to Jan, 2021 2022'!X35</f>
        <v>0</v>
      </c>
      <c r="H633">
        <f>'October to Jan, 2021 2022'!Y35</f>
        <v>0</v>
      </c>
      <c r="I633">
        <f>'October to Jan, 2021 2022'!Z35</f>
        <v>15</v>
      </c>
      <c r="J633">
        <f>G633*Parameters!$B$2*Parameters!$B$5</f>
        <v>0</v>
      </c>
      <c r="K633">
        <f>H633*Parameters!$B$3*Parameters!$B$6</f>
        <v>0</v>
      </c>
      <c r="L633">
        <f>I633*Parameters!$B$4*Parameters!$B$7</f>
        <v>121.44600000000001</v>
      </c>
      <c r="M633">
        <f t="shared" si="9"/>
        <v>121.44600000000001</v>
      </c>
      <c r="N633">
        <v>0</v>
      </c>
      <c r="O633">
        <v>0</v>
      </c>
      <c r="P633">
        <v>0</v>
      </c>
      <c r="Q633">
        <v>4500</v>
      </c>
    </row>
    <row r="634" spans="1:17">
      <c r="A634" t="s">
        <v>57</v>
      </c>
      <c r="B634" t="s">
        <v>40</v>
      </c>
      <c r="C634">
        <v>4</v>
      </c>
      <c r="D634">
        <v>2021</v>
      </c>
      <c r="E634" s="49" t="s">
        <v>146</v>
      </c>
      <c r="F634" s="49" t="s">
        <v>163</v>
      </c>
      <c r="G634">
        <f>'October to Jan, 2021 2022'!W36+'October to Jan, 2021 2022'!X36</f>
        <v>35</v>
      </c>
      <c r="H634">
        <f>'October to Jan, 2021 2022'!Y36</f>
        <v>0</v>
      </c>
      <c r="I634">
        <f>'October to Jan, 2021 2022'!Z36</f>
        <v>10</v>
      </c>
      <c r="J634">
        <f>G634*Parameters!$B$2*Parameters!$B$5</f>
        <v>74.518499999999989</v>
      </c>
      <c r="K634">
        <f>H634*Parameters!$B$3*Parameters!$B$6</f>
        <v>0</v>
      </c>
      <c r="L634">
        <f>I634*Parameters!$B$4*Parameters!$B$7</f>
        <v>80.963999999999999</v>
      </c>
      <c r="M634">
        <f t="shared" si="9"/>
        <v>155.48249999999999</v>
      </c>
      <c r="N634">
        <v>0</v>
      </c>
      <c r="O634">
        <v>3500</v>
      </c>
      <c r="P634">
        <v>0</v>
      </c>
      <c r="Q634">
        <v>3000</v>
      </c>
    </row>
    <row r="635" spans="1:17">
      <c r="A635" t="s">
        <v>58</v>
      </c>
      <c r="B635" t="s">
        <v>26</v>
      </c>
      <c r="C635">
        <v>6</v>
      </c>
      <c r="D635">
        <v>2021</v>
      </c>
      <c r="E635" s="49" t="s">
        <v>146</v>
      </c>
      <c r="F635" s="49" t="s">
        <v>163</v>
      </c>
      <c r="G635">
        <f>'October to Jan, 2021 2022'!W37+'October to Jan, 2021 2022'!X37</f>
        <v>40</v>
      </c>
      <c r="H635">
        <f>'October to Jan, 2021 2022'!Y37</f>
        <v>0</v>
      </c>
      <c r="I635">
        <f>'October to Jan, 2021 2022'!Z37</f>
        <v>20</v>
      </c>
      <c r="J635">
        <f>G635*Parameters!$B$2*Parameters!$B$5</f>
        <v>85.163999999999987</v>
      </c>
      <c r="K635">
        <f>H635*Parameters!$B$3*Parameters!$B$6</f>
        <v>0</v>
      </c>
      <c r="L635">
        <f>I635*Parameters!$B$4*Parameters!$B$7</f>
        <v>161.928</v>
      </c>
      <c r="M635">
        <f t="shared" si="9"/>
        <v>247.09199999999998</v>
      </c>
      <c r="N635">
        <v>0</v>
      </c>
      <c r="O635">
        <v>4000</v>
      </c>
      <c r="P635">
        <v>0</v>
      </c>
      <c r="Q635">
        <v>6000</v>
      </c>
    </row>
    <row r="636" spans="1:17">
      <c r="A636" t="s">
        <v>59</v>
      </c>
      <c r="B636" t="s">
        <v>26</v>
      </c>
      <c r="C636">
        <v>7</v>
      </c>
      <c r="D636">
        <v>2021</v>
      </c>
      <c r="E636" s="49" t="s">
        <v>146</v>
      </c>
      <c r="F636" s="49" t="s">
        <v>163</v>
      </c>
      <c r="G636">
        <f>'October to Jan, 2021 2022'!W38+'October to Jan, 2021 2022'!X38</f>
        <v>28</v>
      </c>
      <c r="H636">
        <f>'October to Jan, 2021 2022'!Y38</f>
        <v>0</v>
      </c>
      <c r="I636">
        <f>'October to Jan, 2021 2022'!Z38</f>
        <v>10</v>
      </c>
      <c r="J636">
        <f>G636*Parameters!$B$2*Parameters!$B$5</f>
        <v>59.614799999999995</v>
      </c>
      <c r="K636">
        <f>H636*Parameters!$B$3*Parameters!$B$6</f>
        <v>0</v>
      </c>
      <c r="L636">
        <f>I636*Parameters!$B$4*Parameters!$B$7</f>
        <v>80.963999999999999</v>
      </c>
      <c r="M636">
        <f t="shared" si="9"/>
        <v>140.5788</v>
      </c>
      <c r="N636">
        <v>0</v>
      </c>
      <c r="O636">
        <v>2800</v>
      </c>
      <c r="P636">
        <v>0</v>
      </c>
      <c r="Q636">
        <v>3000</v>
      </c>
    </row>
    <row r="637" spans="1:17">
      <c r="A637" t="s">
        <v>60</v>
      </c>
      <c r="B637" t="s">
        <v>26</v>
      </c>
      <c r="C637">
        <v>8</v>
      </c>
      <c r="D637">
        <v>2021</v>
      </c>
      <c r="E637" s="49" t="s">
        <v>146</v>
      </c>
      <c r="F637" s="49" t="s">
        <v>163</v>
      </c>
      <c r="G637">
        <f>'October to Jan, 2021 2022'!W39+'October to Jan, 2021 2022'!X39</f>
        <v>10</v>
      </c>
      <c r="H637">
        <f>'October to Jan, 2021 2022'!Y39</f>
        <v>0</v>
      </c>
      <c r="I637">
        <f>'October to Jan, 2021 2022'!Z39</f>
        <v>10</v>
      </c>
      <c r="J637">
        <f>G637*Parameters!$B$2*Parameters!$B$5</f>
        <v>21.290999999999997</v>
      </c>
      <c r="K637">
        <f>H637*Parameters!$B$3*Parameters!$B$6</f>
        <v>0</v>
      </c>
      <c r="L637">
        <f>I637*Parameters!$B$4*Parameters!$B$7</f>
        <v>80.963999999999999</v>
      </c>
      <c r="M637">
        <f t="shared" si="9"/>
        <v>102.255</v>
      </c>
      <c r="N637">
        <v>0</v>
      </c>
      <c r="O637">
        <v>1000</v>
      </c>
      <c r="P637">
        <v>0</v>
      </c>
      <c r="Q637">
        <v>3000</v>
      </c>
    </row>
    <row r="638" spans="1:17">
      <c r="A638" t="s">
        <v>61</v>
      </c>
      <c r="B638" t="s">
        <v>56</v>
      </c>
      <c r="C638">
        <v>5</v>
      </c>
      <c r="D638">
        <v>2021</v>
      </c>
      <c r="E638" s="49" t="s">
        <v>146</v>
      </c>
      <c r="F638" s="49" t="s">
        <v>163</v>
      </c>
      <c r="G638">
        <f>'October to Jan, 2021 2022'!W40+'October to Jan, 2021 2022'!X40</f>
        <v>20</v>
      </c>
      <c r="H638">
        <f>'October to Jan, 2021 2022'!Y40</f>
        <v>0</v>
      </c>
      <c r="I638">
        <f>'October to Jan, 2021 2022'!Z40</f>
        <v>20</v>
      </c>
      <c r="J638">
        <f>G638*Parameters!$B$2*Parameters!$B$5</f>
        <v>42.581999999999994</v>
      </c>
      <c r="K638">
        <f>H638*Parameters!$B$3*Parameters!$B$6</f>
        <v>0</v>
      </c>
      <c r="L638">
        <f>I638*Parameters!$B$4*Parameters!$B$7</f>
        <v>161.928</v>
      </c>
      <c r="M638">
        <f t="shared" si="9"/>
        <v>204.51</v>
      </c>
      <c r="N638">
        <v>0</v>
      </c>
      <c r="O638">
        <v>2000</v>
      </c>
      <c r="P638">
        <v>0</v>
      </c>
      <c r="Q638">
        <v>6000</v>
      </c>
    </row>
    <row r="639" spans="1:17">
      <c r="A639" t="s">
        <v>62</v>
      </c>
      <c r="B639" t="s">
        <v>21</v>
      </c>
      <c r="C639">
        <v>6</v>
      </c>
      <c r="D639">
        <v>2021</v>
      </c>
      <c r="E639" s="49" t="s">
        <v>146</v>
      </c>
      <c r="F639" s="49" t="s">
        <v>163</v>
      </c>
      <c r="G639">
        <f>'October to Jan, 2021 2022'!W41+'October to Jan, 2021 2022'!X41</f>
        <v>48</v>
      </c>
      <c r="H639">
        <f>'October to Jan, 2021 2022'!Y41</f>
        <v>0</v>
      </c>
      <c r="I639">
        <f>'October to Jan, 2021 2022'!Z41</f>
        <v>5</v>
      </c>
      <c r="J639">
        <f>G639*Parameters!$B$2*Parameters!$B$5</f>
        <v>102.19679999999998</v>
      </c>
      <c r="K639">
        <f>H639*Parameters!$B$3*Parameters!$B$6</f>
        <v>0</v>
      </c>
      <c r="L639">
        <f>I639*Parameters!$B$4*Parameters!$B$7</f>
        <v>40.481999999999999</v>
      </c>
      <c r="M639">
        <f t="shared" si="9"/>
        <v>142.67879999999997</v>
      </c>
      <c r="N639">
        <v>0</v>
      </c>
      <c r="O639">
        <v>4800</v>
      </c>
      <c r="P639">
        <v>0</v>
      </c>
      <c r="Q639">
        <v>1500</v>
      </c>
    </row>
    <row r="640" spans="1:17">
      <c r="A640" t="s">
        <v>63</v>
      </c>
      <c r="B640" t="s">
        <v>21</v>
      </c>
      <c r="C640">
        <v>9</v>
      </c>
      <c r="D640">
        <v>2021</v>
      </c>
      <c r="E640" s="49" t="s">
        <v>146</v>
      </c>
      <c r="F640" s="49" t="s">
        <v>163</v>
      </c>
      <c r="G640">
        <f>'October to Jan, 2021 2022'!W42+'October to Jan, 2021 2022'!X42</f>
        <v>40</v>
      </c>
      <c r="H640">
        <f>'October to Jan, 2021 2022'!Y42</f>
        <v>0</v>
      </c>
      <c r="I640">
        <f>'October to Jan, 2021 2022'!Z42</f>
        <v>30</v>
      </c>
      <c r="J640">
        <f>G640*Parameters!$B$2*Parameters!$B$5</f>
        <v>85.163999999999987</v>
      </c>
      <c r="K640">
        <f>H640*Parameters!$B$3*Parameters!$B$6</f>
        <v>0</v>
      </c>
      <c r="L640">
        <f>I640*Parameters!$B$4*Parameters!$B$7</f>
        <v>242.89200000000002</v>
      </c>
      <c r="M640">
        <f t="shared" si="9"/>
        <v>328.05600000000004</v>
      </c>
      <c r="N640">
        <v>0</v>
      </c>
      <c r="O640">
        <v>4000</v>
      </c>
      <c r="P640">
        <v>0</v>
      </c>
      <c r="Q640">
        <v>9000</v>
      </c>
    </row>
    <row r="641" spans="1:17">
      <c r="A641" t="s">
        <v>64</v>
      </c>
      <c r="B641" t="s">
        <v>65</v>
      </c>
      <c r="C641">
        <v>3</v>
      </c>
      <c r="D641">
        <v>2021</v>
      </c>
      <c r="E641" s="49" t="s">
        <v>146</v>
      </c>
      <c r="F641" s="49" t="s">
        <v>163</v>
      </c>
      <c r="G641">
        <f>'October to Jan, 2021 2022'!W43+'October to Jan, 2021 2022'!X43</f>
        <v>0</v>
      </c>
      <c r="H641">
        <f>'October to Jan, 2021 2022'!Y43</f>
        <v>0</v>
      </c>
      <c r="I641">
        <f>'October to Jan, 2021 2022'!Z43</f>
        <v>12</v>
      </c>
      <c r="J641">
        <f>G641*Parameters!$B$2*Parameters!$B$5</f>
        <v>0</v>
      </c>
      <c r="K641">
        <f>H641*Parameters!$B$3*Parameters!$B$6</f>
        <v>0</v>
      </c>
      <c r="L641">
        <f>I641*Parameters!$B$4*Parameters!$B$7</f>
        <v>97.156800000000018</v>
      </c>
      <c r="M641">
        <f t="shared" si="9"/>
        <v>97.156800000000018</v>
      </c>
      <c r="N641">
        <v>0</v>
      </c>
      <c r="O641">
        <v>0</v>
      </c>
      <c r="P641">
        <v>0</v>
      </c>
      <c r="Q641">
        <v>3600</v>
      </c>
    </row>
    <row r="642" spans="1:17">
      <c r="A642" t="s">
        <v>66</v>
      </c>
      <c r="B642" t="s">
        <v>24</v>
      </c>
      <c r="C642">
        <v>4</v>
      </c>
      <c r="D642">
        <v>2021</v>
      </c>
      <c r="E642" s="49" t="s">
        <v>146</v>
      </c>
      <c r="F642" s="49" t="s">
        <v>163</v>
      </c>
      <c r="G642">
        <f>'October to Jan, 2021 2022'!W44+'October to Jan, 2021 2022'!X44</f>
        <v>52</v>
      </c>
      <c r="H642">
        <f>'October to Jan, 2021 2022'!Y44</f>
        <v>0</v>
      </c>
      <c r="I642">
        <f>'October to Jan, 2021 2022'!Z44</f>
        <v>8</v>
      </c>
      <c r="J642">
        <f>G642*Parameters!$B$2*Parameters!$B$5</f>
        <v>110.71319999999999</v>
      </c>
      <c r="K642">
        <f>H642*Parameters!$B$3*Parameters!$B$6</f>
        <v>0</v>
      </c>
      <c r="L642">
        <f>I642*Parameters!$B$4*Parameters!$B$7</f>
        <v>64.771200000000007</v>
      </c>
      <c r="M642">
        <f t="shared" si="9"/>
        <v>175.48439999999999</v>
      </c>
      <c r="N642">
        <v>0</v>
      </c>
      <c r="O642">
        <v>5200</v>
      </c>
      <c r="P642">
        <v>0</v>
      </c>
      <c r="Q642">
        <v>2400</v>
      </c>
    </row>
    <row r="643" spans="1:17">
      <c r="A643" t="s">
        <v>67</v>
      </c>
      <c r="B643" t="s">
        <v>56</v>
      </c>
      <c r="C643">
        <v>6</v>
      </c>
      <c r="D643">
        <v>2021</v>
      </c>
      <c r="E643" s="49" t="s">
        <v>146</v>
      </c>
      <c r="F643" s="49" t="s">
        <v>163</v>
      </c>
      <c r="G643">
        <f>'October to Jan, 2021 2022'!W45+'October to Jan, 2021 2022'!X45</f>
        <v>60</v>
      </c>
      <c r="H643">
        <f>'October to Jan, 2021 2022'!Y45</f>
        <v>0</v>
      </c>
      <c r="I643">
        <f>'October to Jan, 2021 2022'!Z45</f>
        <v>18</v>
      </c>
      <c r="J643">
        <f>G643*Parameters!$B$2*Parameters!$B$5</f>
        <v>127.74599999999998</v>
      </c>
      <c r="K643">
        <f>H643*Parameters!$B$3*Parameters!$B$6</f>
        <v>0</v>
      </c>
      <c r="L643">
        <f>I643*Parameters!$B$4*Parameters!$B$7</f>
        <v>145.73520000000002</v>
      </c>
      <c r="M643">
        <f t="shared" ref="M643:M706" si="10">SUM(J643:L643)</f>
        <v>273.4812</v>
      </c>
      <c r="N643">
        <v>0</v>
      </c>
      <c r="O643">
        <v>6000</v>
      </c>
      <c r="P643">
        <v>0</v>
      </c>
      <c r="Q643">
        <v>5400</v>
      </c>
    </row>
    <row r="644" spans="1:17">
      <c r="A644" t="s">
        <v>68</v>
      </c>
      <c r="B644" t="s">
        <v>21</v>
      </c>
      <c r="C644">
        <v>4</v>
      </c>
      <c r="D644">
        <v>2021</v>
      </c>
      <c r="E644" s="49" t="s">
        <v>146</v>
      </c>
      <c r="F644" s="49" t="s">
        <v>163</v>
      </c>
      <c r="G644">
        <f>'October to Jan, 2021 2022'!W46+'October to Jan, 2021 2022'!X46</f>
        <v>35</v>
      </c>
      <c r="H644">
        <f>'October to Jan, 2021 2022'!Y46</f>
        <v>0</v>
      </c>
      <c r="I644">
        <f>'October to Jan, 2021 2022'!Z46</f>
        <v>10</v>
      </c>
      <c r="J644">
        <f>G644*Parameters!$B$2*Parameters!$B$5</f>
        <v>74.518499999999989</v>
      </c>
      <c r="K644">
        <f>H644*Parameters!$B$3*Parameters!$B$6</f>
        <v>0</v>
      </c>
      <c r="L644">
        <f>I644*Parameters!$B$4*Parameters!$B$7</f>
        <v>80.963999999999999</v>
      </c>
      <c r="M644">
        <f t="shared" si="10"/>
        <v>155.48249999999999</v>
      </c>
      <c r="N644">
        <v>0</v>
      </c>
      <c r="O644">
        <v>3500</v>
      </c>
      <c r="P644">
        <v>0</v>
      </c>
      <c r="Q644">
        <v>3000</v>
      </c>
    </row>
    <row r="645" spans="1:17">
      <c r="A645" t="s">
        <v>69</v>
      </c>
      <c r="B645" t="s">
        <v>24</v>
      </c>
      <c r="C645">
        <v>6</v>
      </c>
      <c r="D645">
        <v>2021</v>
      </c>
      <c r="E645" s="49" t="s">
        <v>146</v>
      </c>
      <c r="F645" s="49" t="s">
        <v>163</v>
      </c>
      <c r="G645">
        <f>'October to Jan, 2021 2022'!W47+'October to Jan, 2021 2022'!X47</f>
        <v>30</v>
      </c>
      <c r="H645">
        <f>'October to Jan, 2021 2022'!Y47</f>
        <v>0</v>
      </c>
      <c r="I645">
        <f>'October to Jan, 2021 2022'!Z47</f>
        <v>10</v>
      </c>
      <c r="J645">
        <f>G645*Parameters!$B$2*Parameters!$B$5</f>
        <v>63.87299999999999</v>
      </c>
      <c r="K645">
        <f>H645*Parameters!$B$3*Parameters!$B$6</f>
        <v>0</v>
      </c>
      <c r="L645">
        <f>I645*Parameters!$B$4*Parameters!$B$7</f>
        <v>80.963999999999999</v>
      </c>
      <c r="M645">
        <f t="shared" si="10"/>
        <v>144.83699999999999</v>
      </c>
      <c r="N645">
        <v>0</v>
      </c>
      <c r="O645">
        <v>3000</v>
      </c>
      <c r="P645">
        <v>0</v>
      </c>
      <c r="Q645">
        <v>3000</v>
      </c>
    </row>
    <row r="646" spans="1:17">
      <c r="A646" t="s">
        <v>70</v>
      </c>
      <c r="B646" t="s">
        <v>26</v>
      </c>
      <c r="C646">
        <v>6</v>
      </c>
      <c r="D646">
        <v>2021</v>
      </c>
      <c r="E646" s="49" t="s">
        <v>146</v>
      </c>
      <c r="F646" s="49" t="s">
        <v>163</v>
      </c>
      <c r="G646">
        <f>'October to Jan, 2021 2022'!W48+'October to Jan, 2021 2022'!X48</f>
        <v>45</v>
      </c>
      <c r="H646">
        <f>'October to Jan, 2021 2022'!Y48</f>
        <v>0</v>
      </c>
      <c r="I646">
        <f>'October to Jan, 2021 2022'!Z48</f>
        <v>5</v>
      </c>
      <c r="J646">
        <f>G646*Parameters!$B$2*Parameters!$B$5</f>
        <v>95.809499999999986</v>
      </c>
      <c r="K646">
        <f>H646*Parameters!$B$3*Parameters!$B$6</f>
        <v>0</v>
      </c>
      <c r="L646">
        <f>I646*Parameters!$B$4*Parameters!$B$7</f>
        <v>40.481999999999999</v>
      </c>
      <c r="M646">
        <f t="shared" si="10"/>
        <v>136.29149999999998</v>
      </c>
      <c r="N646">
        <v>0</v>
      </c>
      <c r="O646">
        <v>4500</v>
      </c>
      <c r="P646">
        <v>0</v>
      </c>
      <c r="Q646">
        <v>1500</v>
      </c>
    </row>
    <row r="647" spans="1:17">
      <c r="A647" t="s">
        <v>71</v>
      </c>
      <c r="B647" t="s">
        <v>26</v>
      </c>
      <c r="C647">
        <v>5</v>
      </c>
      <c r="D647">
        <v>2021</v>
      </c>
      <c r="E647" s="49" t="s">
        <v>146</v>
      </c>
      <c r="F647" s="49" t="s">
        <v>163</v>
      </c>
      <c r="G647">
        <f>'October to Jan, 2021 2022'!W49+'October to Jan, 2021 2022'!X49</f>
        <v>30</v>
      </c>
      <c r="H647">
        <f>'October to Jan, 2021 2022'!Y49</f>
        <v>0</v>
      </c>
      <c r="I647">
        <f>'October to Jan, 2021 2022'!Z49</f>
        <v>5</v>
      </c>
      <c r="J647">
        <f>G647*Parameters!$B$2*Parameters!$B$5</f>
        <v>63.87299999999999</v>
      </c>
      <c r="K647">
        <f>H647*Parameters!$B$3*Parameters!$B$6</f>
        <v>0</v>
      </c>
      <c r="L647">
        <f>I647*Parameters!$B$4*Parameters!$B$7</f>
        <v>40.481999999999999</v>
      </c>
      <c r="M647">
        <f t="shared" si="10"/>
        <v>104.35499999999999</v>
      </c>
      <c r="N647">
        <v>0</v>
      </c>
      <c r="O647">
        <v>3000</v>
      </c>
      <c r="P647">
        <v>0</v>
      </c>
      <c r="Q647">
        <v>1500</v>
      </c>
    </row>
    <row r="648" spans="1:17">
      <c r="A648" t="s">
        <v>72</v>
      </c>
      <c r="B648" t="s">
        <v>26</v>
      </c>
      <c r="C648">
        <v>8</v>
      </c>
      <c r="D648">
        <v>2021</v>
      </c>
      <c r="E648" s="49" t="s">
        <v>146</v>
      </c>
      <c r="F648" s="49" t="s">
        <v>163</v>
      </c>
      <c r="G648">
        <f>'October to Jan, 2021 2022'!W50+'October to Jan, 2021 2022'!X50</f>
        <v>50</v>
      </c>
      <c r="H648">
        <f>'October to Jan, 2021 2022'!Y50</f>
        <v>0</v>
      </c>
      <c r="I648">
        <f>'October to Jan, 2021 2022'!Z50</f>
        <v>15</v>
      </c>
      <c r="J648">
        <f>G648*Parameters!$B$2*Parameters!$B$5</f>
        <v>106.45499999999998</v>
      </c>
      <c r="K648">
        <f>H648*Parameters!$B$3*Parameters!$B$6</f>
        <v>0</v>
      </c>
      <c r="L648">
        <f>I648*Parameters!$B$4*Parameters!$B$7</f>
        <v>121.44600000000001</v>
      </c>
      <c r="M648">
        <f t="shared" si="10"/>
        <v>227.90100000000001</v>
      </c>
      <c r="N648">
        <v>0</v>
      </c>
      <c r="O648">
        <v>5000</v>
      </c>
      <c r="P648">
        <v>0</v>
      </c>
      <c r="Q648">
        <v>4500</v>
      </c>
    </row>
    <row r="649" spans="1:17">
      <c r="A649" t="s">
        <v>73</v>
      </c>
      <c r="B649" t="s">
        <v>17</v>
      </c>
      <c r="C649">
        <v>4</v>
      </c>
      <c r="D649">
        <v>2021</v>
      </c>
      <c r="E649" s="49" t="s">
        <v>146</v>
      </c>
      <c r="F649" s="49" t="s">
        <v>163</v>
      </c>
      <c r="G649">
        <f>'October to Jan, 2021 2022'!W51+'October to Jan, 2021 2022'!X51</f>
        <v>15</v>
      </c>
      <c r="H649">
        <f>'October to Jan, 2021 2022'!Y51</f>
        <v>0</v>
      </c>
      <c r="I649">
        <f>'October to Jan, 2021 2022'!Z51</f>
        <v>20</v>
      </c>
      <c r="J649">
        <f>G649*Parameters!$B$2*Parameters!$B$5</f>
        <v>31.936499999999995</v>
      </c>
      <c r="K649">
        <f>H649*Parameters!$B$3*Parameters!$B$6</f>
        <v>0</v>
      </c>
      <c r="L649">
        <f>I649*Parameters!$B$4*Parameters!$B$7</f>
        <v>161.928</v>
      </c>
      <c r="M649">
        <f t="shared" si="10"/>
        <v>193.86449999999999</v>
      </c>
      <c r="N649">
        <v>0</v>
      </c>
      <c r="O649">
        <v>1500</v>
      </c>
      <c r="P649">
        <v>0</v>
      </c>
      <c r="Q649">
        <v>6000</v>
      </c>
    </row>
    <row r="650" spans="1:17">
      <c r="A650" t="s">
        <v>74</v>
      </c>
      <c r="B650" t="s">
        <v>65</v>
      </c>
      <c r="C650">
        <v>8</v>
      </c>
      <c r="D650">
        <v>2021</v>
      </c>
      <c r="E650" s="49" t="s">
        <v>146</v>
      </c>
      <c r="F650" s="49" t="s">
        <v>163</v>
      </c>
      <c r="G650">
        <f>'October to Jan, 2021 2022'!W52+'October to Jan, 2021 2022'!X52</f>
        <v>15</v>
      </c>
      <c r="H650">
        <f>'October to Jan, 2021 2022'!Y52</f>
        <v>0</v>
      </c>
      <c r="I650">
        <f>'October to Jan, 2021 2022'!Z52</f>
        <v>5</v>
      </c>
      <c r="J650">
        <f>G650*Parameters!$B$2*Parameters!$B$5</f>
        <v>31.936499999999995</v>
      </c>
      <c r="K650">
        <f>H650*Parameters!$B$3*Parameters!$B$6</f>
        <v>0</v>
      </c>
      <c r="L650">
        <f>I650*Parameters!$B$4*Parameters!$B$7</f>
        <v>40.481999999999999</v>
      </c>
      <c r="M650">
        <f t="shared" si="10"/>
        <v>72.418499999999995</v>
      </c>
      <c r="N650">
        <v>0</v>
      </c>
      <c r="O650">
        <v>1500</v>
      </c>
      <c r="P650">
        <v>0</v>
      </c>
      <c r="Q650">
        <v>1500</v>
      </c>
    </row>
    <row r="651" spans="1:17">
      <c r="A651" t="s">
        <v>75</v>
      </c>
      <c r="B651" t="s">
        <v>24</v>
      </c>
      <c r="C651">
        <v>4</v>
      </c>
      <c r="D651">
        <v>2021</v>
      </c>
      <c r="E651" s="49" t="s">
        <v>146</v>
      </c>
      <c r="F651" s="49" t="s">
        <v>163</v>
      </c>
      <c r="G651">
        <f>'October to Jan, 2021 2022'!W53+'October to Jan, 2021 2022'!X53</f>
        <v>40</v>
      </c>
      <c r="H651">
        <f>'October to Jan, 2021 2022'!Y53</f>
        <v>0</v>
      </c>
      <c r="I651">
        <f>'October to Jan, 2021 2022'!Z53</f>
        <v>15</v>
      </c>
      <c r="J651">
        <f>G651*Parameters!$B$2*Parameters!$B$5</f>
        <v>85.163999999999987</v>
      </c>
      <c r="K651">
        <f>H651*Parameters!$B$3*Parameters!$B$6</f>
        <v>0</v>
      </c>
      <c r="L651">
        <f>I651*Parameters!$B$4*Parameters!$B$7</f>
        <v>121.44600000000001</v>
      </c>
      <c r="M651">
        <f t="shared" si="10"/>
        <v>206.61</v>
      </c>
      <c r="N651">
        <v>0</v>
      </c>
      <c r="O651">
        <v>4000</v>
      </c>
      <c r="P651">
        <v>0</v>
      </c>
      <c r="Q651">
        <v>4500</v>
      </c>
    </row>
    <row r="652" spans="1:17">
      <c r="A652" t="s">
        <v>76</v>
      </c>
      <c r="B652" t="s">
        <v>56</v>
      </c>
      <c r="C652">
        <v>4</v>
      </c>
      <c r="D652">
        <v>2021</v>
      </c>
      <c r="E652" s="49" t="s">
        <v>146</v>
      </c>
      <c r="F652" s="49" t="s">
        <v>163</v>
      </c>
      <c r="G652">
        <f>'October to Jan, 2021 2022'!W54+'October to Jan, 2021 2022'!X54</f>
        <v>20</v>
      </c>
      <c r="H652">
        <f>'October to Jan, 2021 2022'!Y54</f>
        <v>0</v>
      </c>
      <c r="I652">
        <f>'October to Jan, 2021 2022'!Z54</f>
        <v>15</v>
      </c>
      <c r="J652">
        <f>G652*Parameters!$B$2*Parameters!$B$5</f>
        <v>42.581999999999994</v>
      </c>
      <c r="K652">
        <f>H652*Parameters!$B$3*Parameters!$B$6</f>
        <v>0</v>
      </c>
      <c r="L652">
        <f>I652*Parameters!$B$4*Parameters!$B$7</f>
        <v>121.44600000000001</v>
      </c>
      <c r="M652">
        <f t="shared" si="10"/>
        <v>164.02800000000002</v>
      </c>
      <c r="N652">
        <v>0</v>
      </c>
      <c r="O652">
        <v>2000</v>
      </c>
      <c r="P652">
        <v>0</v>
      </c>
      <c r="Q652">
        <v>4500</v>
      </c>
    </row>
    <row r="653" spans="1:17">
      <c r="A653" t="s">
        <v>77</v>
      </c>
      <c r="B653" t="s">
        <v>40</v>
      </c>
      <c r="C653">
        <v>12</v>
      </c>
      <c r="D653">
        <v>2021</v>
      </c>
      <c r="E653" s="49" t="s">
        <v>146</v>
      </c>
      <c r="F653" s="49" t="s">
        <v>163</v>
      </c>
      <c r="G653">
        <f>'October to Jan, 2021 2022'!W55+'October to Jan, 2021 2022'!X55</f>
        <v>35</v>
      </c>
      <c r="H653">
        <f>'October to Jan, 2021 2022'!Y55</f>
        <v>0</v>
      </c>
      <c r="I653">
        <f>'October to Jan, 2021 2022'!Z55</f>
        <v>15</v>
      </c>
      <c r="J653">
        <f>G653*Parameters!$B$2*Parameters!$B$5</f>
        <v>74.518499999999989</v>
      </c>
      <c r="K653">
        <f>H653*Parameters!$B$3*Parameters!$B$6</f>
        <v>0</v>
      </c>
      <c r="L653">
        <f>I653*Parameters!$B$4*Parameters!$B$7</f>
        <v>121.44600000000001</v>
      </c>
      <c r="M653">
        <f t="shared" si="10"/>
        <v>195.96449999999999</v>
      </c>
      <c r="N653">
        <v>0</v>
      </c>
      <c r="O653">
        <v>3500</v>
      </c>
      <c r="P653">
        <v>0</v>
      </c>
      <c r="Q653">
        <v>4500</v>
      </c>
    </row>
    <row r="654" spans="1:17">
      <c r="A654" t="s">
        <v>78</v>
      </c>
      <c r="B654" t="s">
        <v>32</v>
      </c>
      <c r="C654">
        <v>6</v>
      </c>
      <c r="D654">
        <v>2021</v>
      </c>
      <c r="E654" s="49" t="s">
        <v>146</v>
      </c>
      <c r="F654" s="49" t="s">
        <v>163</v>
      </c>
      <c r="G654">
        <f>'October to Jan, 2021 2022'!W56+'October to Jan, 2021 2022'!X56</f>
        <v>20</v>
      </c>
      <c r="H654">
        <f>'October to Jan, 2021 2022'!Y56</f>
        <v>0</v>
      </c>
      <c r="I654">
        <f>'October to Jan, 2021 2022'!Z56</f>
        <v>10</v>
      </c>
      <c r="J654">
        <f>G654*Parameters!$B$2*Parameters!$B$5</f>
        <v>42.581999999999994</v>
      </c>
      <c r="K654">
        <f>H654*Parameters!$B$3*Parameters!$B$6</f>
        <v>0</v>
      </c>
      <c r="L654">
        <f>I654*Parameters!$B$4*Parameters!$B$7</f>
        <v>80.963999999999999</v>
      </c>
      <c r="M654">
        <f t="shared" si="10"/>
        <v>123.54599999999999</v>
      </c>
      <c r="N654">
        <v>0</v>
      </c>
      <c r="O654">
        <v>2000</v>
      </c>
      <c r="P654">
        <v>0</v>
      </c>
      <c r="Q654">
        <v>3000</v>
      </c>
    </row>
    <row r="655" spans="1:17">
      <c r="A655" t="s">
        <v>79</v>
      </c>
      <c r="B655" t="s">
        <v>40</v>
      </c>
      <c r="C655">
        <v>4</v>
      </c>
      <c r="D655">
        <v>2021</v>
      </c>
      <c r="E655" s="49" t="s">
        <v>146</v>
      </c>
      <c r="F655" s="49" t="s">
        <v>163</v>
      </c>
      <c r="G655">
        <f>'October to Jan, 2021 2022'!W57+'October to Jan, 2021 2022'!X57</f>
        <v>28</v>
      </c>
      <c r="H655">
        <f>'October to Jan, 2021 2022'!Y57</f>
        <v>0</v>
      </c>
      <c r="I655">
        <f>'October to Jan, 2021 2022'!Z57</f>
        <v>5</v>
      </c>
      <c r="J655">
        <f>G655*Parameters!$B$2*Parameters!$B$5</f>
        <v>59.614799999999995</v>
      </c>
      <c r="K655">
        <f>H655*Parameters!$B$3*Parameters!$B$6</f>
        <v>0</v>
      </c>
      <c r="L655">
        <f>I655*Parameters!$B$4*Parameters!$B$7</f>
        <v>40.481999999999999</v>
      </c>
      <c r="M655">
        <f t="shared" si="10"/>
        <v>100.0968</v>
      </c>
      <c r="N655">
        <v>0</v>
      </c>
      <c r="O655">
        <v>2800</v>
      </c>
      <c r="P655">
        <v>0</v>
      </c>
      <c r="Q655">
        <v>1500</v>
      </c>
    </row>
    <row r="656" spans="1:17">
      <c r="A656" t="s">
        <v>80</v>
      </c>
      <c r="B656" t="s">
        <v>26</v>
      </c>
      <c r="C656">
        <v>7</v>
      </c>
      <c r="D656">
        <v>2021</v>
      </c>
      <c r="E656" s="49" t="s">
        <v>146</v>
      </c>
      <c r="F656" s="49" t="s">
        <v>163</v>
      </c>
      <c r="G656">
        <f>'October to Jan, 2021 2022'!W58+'October to Jan, 2021 2022'!X58</f>
        <v>35</v>
      </c>
      <c r="H656">
        <f>'October to Jan, 2021 2022'!Y58</f>
        <v>0</v>
      </c>
      <c r="I656">
        <f>'October to Jan, 2021 2022'!Z58</f>
        <v>10</v>
      </c>
      <c r="J656">
        <f>G656*Parameters!$B$2*Parameters!$B$5</f>
        <v>74.518499999999989</v>
      </c>
      <c r="K656">
        <f>H656*Parameters!$B$3*Parameters!$B$6</f>
        <v>0</v>
      </c>
      <c r="L656">
        <f>I656*Parameters!$B$4*Parameters!$B$7</f>
        <v>80.963999999999999</v>
      </c>
      <c r="M656">
        <f t="shared" si="10"/>
        <v>155.48249999999999</v>
      </c>
      <c r="N656">
        <v>0</v>
      </c>
      <c r="O656">
        <v>3500</v>
      </c>
      <c r="P656">
        <v>0</v>
      </c>
      <c r="Q656">
        <v>3000</v>
      </c>
    </row>
    <row r="657" spans="1:17">
      <c r="A657" t="s">
        <v>81</v>
      </c>
      <c r="B657" t="s">
        <v>24</v>
      </c>
      <c r="C657">
        <v>6</v>
      </c>
      <c r="D657">
        <v>2021</v>
      </c>
      <c r="E657" s="49" t="s">
        <v>146</v>
      </c>
      <c r="F657" s="49" t="s">
        <v>163</v>
      </c>
      <c r="G657">
        <f>'October to Jan, 2021 2022'!W59+'October to Jan, 2021 2022'!X59</f>
        <v>60</v>
      </c>
      <c r="H657">
        <f>'October to Jan, 2021 2022'!Y59</f>
        <v>0</v>
      </c>
      <c r="I657">
        <f>'October to Jan, 2021 2022'!Z59</f>
        <v>8</v>
      </c>
      <c r="J657">
        <f>G657*Parameters!$B$2*Parameters!$B$5</f>
        <v>127.74599999999998</v>
      </c>
      <c r="K657">
        <f>H657*Parameters!$B$3*Parameters!$B$6</f>
        <v>0</v>
      </c>
      <c r="L657">
        <f>I657*Parameters!$B$4*Parameters!$B$7</f>
        <v>64.771200000000007</v>
      </c>
      <c r="M657">
        <f t="shared" si="10"/>
        <v>192.5172</v>
      </c>
      <c r="N657">
        <v>0</v>
      </c>
      <c r="O657">
        <v>6000</v>
      </c>
      <c r="P657">
        <v>0</v>
      </c>
      <c r="Q657">
        <v>2400</v>
      </c>
    </row>
    <row r="658" spans="1:17">
      <c r="A658" t="s">
        <v>82</v>
      </c>
      <c r="B658" t="s">
        <v>83</v>
      </c>
      <c r="C658">
        <v>4</v>
      </c>
      <c r="D658">
        <v>2021</v>
      </c>
      <c r="E658" s="49" t="s">
        <v>146</v>
      </c>
      <c r="F658" s="49" t="s">
        <v>163</v>
      </c>
      <c r="G658">
        <f>'October to Jan, 2021 2022'!W60+'October to Jan, 2021 2022'!X60</f>
        <v>30</v>
      </c>
      <c r="H658">
        <f>'October to Jan, 2021 2022'!Y60</f>
        <v>0</v>
      </c>
      <c r="I658">
        <f>'October to Jan, 2021 2022'!Z60</f>
        <v>20</v>
      </c>
      <c r="J658">
        <f>G658*Parameters!$B$2*Parameters!$B$5</f>
        <v>63.87299999999999</v>
      </c>
      <c r="K658">
        <f>H658*Parameters!$B$3*Parameters!$B$6</f>
        <v>0</v>
      </c>
      <c r="L658">
        <f>I658*Parameters!$B$4*Parameters!$B$7</f>
        <v>161.928</v>
      </c>
      <c r="M658">
        <f t="shared" si="10"/>
        <v>225.80099999999999</v>
      </c>
      <c r="N658">
        <v>0</v>
      </c>
      <c r="O658">
        <v>3000</v>
      </c>
      <c r="P658">
        <v>0</v>
      </c>
      <c r="Q658">
        <v>6000</v>
      </c>
    </row>
    <row r="659" spans="1:17">
      <c r="A659" t="s">
        <v>84</v>
      </c>
      <c r="B659" t="s">
        <v>26</v>
      </c>
      <c r="C659">
        <v>7</v>
      </c>
      <c r="D659">
        <v>2021</v>
      </c>
      <c r="E659" s="49" t="s">
        <v>146</v>
      </c>
      <c r="F659" s="49" t="s">
        <v>163</v>
      </c>
      <c r="G659">
        <f>'October to Jan, 2021 2022'!W61+'October to Jan, 2021 2022'!X61</f>
        <v>70</v>
      </c>
      <c r="H659">
        <f>'October to Jan, 2021 2022'!Y61</f>
        <v>0</v>
      </c>
      <c r="I659">
        <f>'October to Jan, 2021 2022'!Z61</f>
        <v>10</v>
      </c>
      <c r="J659">
        <f>G659*Parameters!$B$2*Parameters!$B$5</f>
        <v>149.03699999999998</v>
      </c>
      <c r="K659">
        <f>H659*Parameters!$B$3*Parameters!$B$6</f>
        <v>0</v>
      </c>
      <c r="L659">
        <f>I659*Parameters!$B$4*Parameters!$B$7</f>
        <v>80.963999999999999</v>
      </c>
      <c r="M659">
        <f t="shared" si="10"/>
        <v>230.00099999999998</v>
      </c>
      <c r="N659">
        <v>0</v>
      </c>
      <c r="O659">
        <v>7000</v>
      </c>
      <c r="P659">
        <v>0</v>
      </c>
      <c r="Q659">
        <v>3000</v>
      </c>
    </row>
    <row r="660" spans="1:17">
      <c r="A660" t="s">
        <v>85</v>
      </c>
      <c r="B660" t="s">
        <v>24</v>
      </c>
      <c r="C660">
        <v>6</v>
      </c>
      <c r="D660">
        <v>2021</v>
      </c>
      <c r="E660" s="49" t="s">
        <v>146</v>
      </c>
      <c r="F660" s="49" t="s">
        <v>163</v>
      </c>
      <c r="G660">
        <f>'October to Jan, 2021 2022'!W62+'October to Jan, 2021 2022'!X62</f>
        <v>75</v>
      </c>
      <c r="H660">
        <f>'October to Jan, 2021 2022'!Y62</f>
        <v>0</v>
      </c>
      <c r="I660">
        <f>'October to Jan, 2021 2022'!Z62</f>
        <v>15</v>
      </c>
      <c r="J660">
        <f>G660*Parameters!$B$2*Parameters!$B$5</f>
        <v>159.68249999999998</v>
      </c>
      <c r="K660">
        <f>H660*Parameters!$B$3*Parameters!$B$6</f>
        <v>0</v>
      </c>
      <c r="L660">
        <f>I660*Parameters!$B$4*Parameters!$B$7</f>
        <v>121.44600000000001</v>
      </c>
      <c r="M660">
        <f t="shared" si="10"/>
        <v>281.12849999999997</v>
      </c>
      <c r="N660">
        <v>0</v>
      </c>
      <c r="O660">
        <v>7500</v>
      </c>
      <c r="P660">
        <v>0</v>
      </c>
      <c r="Q660">
        <v>4500</v>
      </c>
    </row>
    <row r="661" spans="1:17">
      <c r="A661" t="s">
        <v>86</v>
      </c>
      <c r="B661" t="s">
        <v>32</v>
      </c>
      <c r="C661">
        <v>4</v>
      </c>
      <c r="D661">
        <v>2021</v>
      </c>
      <c r="E661" s="49" t="s">
        <v>146</v>
      </c>
      <c r="F661" s="49" t="s">
        <v>163</v>
      </c>
      <c r="G661">
        <f>'October to Jan, 2021 2022'!W63+'October to Jan, 2021 2022'!X63</f>
        <v>20</v>
      </c>
      <c r="H661">
        <f>'October to Jan, 2021 2022'!Y63</f>
        <v>0</v>
      </c>
      <c r="I661">
        <f>'October to Jan, 2021 2022'!Z63</f>
        <v>7</v>
      </c>
      <c r="J661">
        <f>G661*Parameters!$B$2*Parameters!$B$5</f>
        <v>42.581999999999994</v>
      </c>
      <c r="K661">
        <f>H661*Parameters!$B$3*Parameters!$B$6</f>
        <v>0</v>
      </c>
      <c r="L661">
        <f>I661*Parameters!$B$4*Parameters!$B$7</f>
        <v>56.674800000000005</v>
      </c>
      <c r="M661">
        <f t="shared" si="10"/>
        <v>99.256799999999998</v>
      </c>
      <c r="N661">
        <v>0</v>
      </c>
      <c r="O661">
        <v>2000</v>
      </c>
      <c r="P661">
        <v>0</v>
      </c>
      <c r="Q661">
        <v>2100</v>
      </c>
    </row>
    <row r="662" spans="1:17">
      <c r="A662" t="s">
        <v>87</v>
      </c>
      <c r="B662" t="s">
        <v>32</v>
      </c>
      <c r="C662">
        <v>8</v>
      </c>
      <c r="D662">
        <v>2021</v>
      </c>
      <c r="E662" s="49" t="s">
        <v>146</v>
      </c>
      <c r="F662" s="49" t="s">
        <v>163</v>
      </c>
      <c r="G662">
        <f>'October to Jan, 2021 2022'!W64+'October to Jan, 2021 2022'!X64</f>
        <v>20</v>
      </c>
      <c r="H662">
        <f>'October to Jan, 2021 2022'!Y64</f>
        <v>0</v>
      </c>
      <c r="I662">
        <f>'October to Jan, 2021 2022'!Z64</f>
        <v>20</v>
      </c>
      <c r="J662">
        <f>G662*Parameters!$B$2*Parameters!$B$5</f>
        <v>42.581999999999994</v>
      </c>
      <c r="K662">
        <f>H662*Parameters!$B$3*Parameters!$B$6</f>
        <v>0</v>
      </c>
      <c r="L662">
        <f>I662*Parameters!$B$4*Parameters!$B$7</f>
        <v>161.928</v>
      </c>
      <c r="M662">
        <f t="shared" si="10"/>
        <v>204.51</v>
      </c>
      <c r="N662">
        <v>0</v>
      </c>
      <c r="O662">
        <v>2000</v>
      </c>
      <c r="P662">
        <v>0</v>
      </c>
      <c r="Q662">
        <v>6000</v>
      </c>
    </row>
    <row r="663" spans="1:17">
      <c r="A663" t="s">
        <v>88</v>
      </c>
      <c r="B663" t="s">
        <v>32</v>
      </c>
      <c r="C663">
        <v>7</v>
      </c>
      <c r="D663">
        <v>2021</v>
      </c>
      <c r="E663" s="49" t="s">
        <v>146</v>
      </c>
      <c r="F663" s="49" t="s">
        <v>163</v>
      </c>
      <c r="G663">
        <f>'October to Jan, 2021 2022'!W65+'October to Jan, 2021 2022'!X65</f>
        <v>20</v>
      </c>
      <c r="H663">
        <f>'October to Jan, 2021 2022'!Y65</f>
        <v>0</v>
      </c>
      <c r="I663">
        <f>'October to Jan, 2021 2022'!Z65</f>
        <v>10</v>
      </c>
      <c r="J663">
        <f>G663*Parameters!$B$2*Parameters!$B$5</f>
        <v>42.581999999999994</v>
      </c>
      <c r="K663">
        <f>H663*Parameters!$B$3*Parameters!$B$6</f>
        <v>0</v>
      </c>
      <c r="L663">
        <f>I663*Parameters!$B$4*Parameters!$B$7</f>
        <v>80.963999999999999</v>
      </c>
      <c r="M663">
        <f t="shared" si="10"/>
        <v>123.54599999999999</v>
      </c>
      <c r="N663">
        <v>0</v>
      </c>
      <c r="O663">
        <v>2000</v>
      </c>
      <c r="P663">
        <v>0</v>
      </c>
      <c r="Q663">
        <v>3000</v>
      </c>
    </row>
    <row r="664" spans="1:17">
      <c r="A664" t="s">
        <v>89</v>
      </c>
      <c r="B664" t="s">
        <v>65</v>
      </c>
      <c r="C664">
        <v>8</v>
      </c>
      <c r="D664">
        <v>2021</v>
      </c>
      <c r="E664" s="49" t="s">
        <v>146</v>
      </c>
      <c r="F664" s="49" t="s">
        <v>163</v>
      </c>
      <c r="G664">
        <f>'October to Jan, 2021 2022'!W66+'October to Jan, 2021 2022'!X66</f>
        <v>30</v>
      </c>
      <c r="H664">
        <f>'October to Jan, 2021 2022'!Y66</f>
        <v>0</v>
      </c>
      <c r="I664">
        <f>'October to Jan, 2021 2022'!Z66</f>
        <v>10</v>
      </c>
      <c r="J664">
        <f>G664*Parameters!$B$2*Parameters!$B$5</f>
        <v>63.87299999999999</v>
      </c>
      <c r="K664">
        <f>H664*Parameters!$B$3*Parameters!$B$6</f>
        <v>0</v>
      </c>
      <c r="L664">
        <f>I664*Parameters!$B$4*Parameters!$B$7</f>
        <v>80.963999999999999</v>
      </c>
      <c r="M664">
        <f t="shared" si="10"/>
        <v>144.83699999999999</v>
      </c>
      <c r="N664">
        <v>0</v>
      </c>
      <c r="O664">
        <v>3000</v>
      </c>
      <c r="P664">
        <v>0</v>
      </c>
      <c r="Q664">
        <v>3000</v>
      </c>
    </row>
    <row r="665" spans="1:17">
      <c r="A665" t="s">
        <v>90</v>
      </c>
      <c r="B665" t="s">
        <v>32</v>
      </c>
      <c r="C665">
        <v>6</v>
      </c>
      <c r="D665">
        <v>2021</v>
      </c>
      <c r="E665" s="49" t="s">
        <v>146</v>
      </c>
      <c r="F665" s="49" t="s">
        <v>163</v>
      </c>
      <c r="G665">
        <f>'October to Jan, 2021 2022'!W67+'October to Jan, 2021 2022'!X67</f>
        <v>35</v>
      </c>
      <c r="H665">
        <f>'October to Jan, 2021 2022'!Y67</f>
        <v>0</v>
      </c>
      <c r="I665">
        <f>'October to Jan, 2021 2022'!Z67</f>
        <v>10</v>
      </c>
      <c r="J665">
        <f>G665*Parameters!$B$2*Parameters!$B$5</f>
        <v>74.518499999999989</v>
      </c>
      <c r="K665">
        <f>H665*Parameters!$B$3*Parameters!$B$6</f>
        <v>0</v>
      </c>
      <c r="L665">
        <f>I665*Parameters!$B$4*Parameters!$B$7</f>
        <v>80.963999999999999</v>
      </c>
      <c r="M665">
        <f t="shared" si="10"/>
        <v>155.48249999999999</v>
      </c>
      <c r="N665">
        <v>0</v>
      </c>
      <c r="O665">
        <v>3500</v>
      </c>
      <c r="P665">
        <v>0</v>
      </c>
      <c r="Q665">
        <v>3000</v>
      </c>
    </row>
    <row r="666" spans="1:17">
      <c r="A666" t="s">
        <v>91</v>
      </c>
      <c r="B666" t="s">
        <v>24</v>
      </c>
      <c r="C666">
        <v>6</v>
      </c>
      <c r="D666">
        <v>2021</v>
      </c>
      <c r="E666" s="49" t="s">
        <v>146</v>
      </c>
      <c r="F666" s="49" t="s">
        <v>163</v>
      </c>
      <c r="G666">
        <f>'October to Jan, 2021 2022'!W68+'October to Jan, 2021 2022'!X68</f>
        <v>20</v>
      </c>
      <c r="H666">
        <f>'October to Jan, 2021 2022'!Y68</f>
        <v>0</v>
      </c>
      <c r="I666">
        <f>'October to Jan, 2021 2022'!Z68</f>
        <v>12</v>
      </c>
      <c r="J666">
        <f>G666*Parameters!$B$2*Parameters!$B$5</f>
        <v>42.581999999999994</v>
      </c>
      <c r="K666">
        <f>H666*Parameters!$B$3*Parameters!$B$6</f>
        <v>0</v>
      </c>
      <c r="L666">
        <f>I666*Parameters!$B$4*Parameters!$B$7</f>
        <v>97.156800000000018</v>
      </c>
      <c r="M666">
        <f t="shared" si="10"/>
        <v>139.73880000000003</v>
      </c>
      <c r="N666">
        <v>0</v>
      </c>
      <c r="O666">
        <v>2000</v>
      </c>
      <c r="P666">
        <v>0</v>
      </c>
      <c r="Q666">
        <v>3600</v>
      </c>
    </row>
    <row r="667" spans="1:17">
      <c r="A667" t="s">
        <v>92</v>
      </c>
      <c r="B667" t="s">
        <v>17</v>
      </c>
      <c r="C667">
        <v>4</v>
      </c>
      <c r="D667">
        <v>2021</v>
      </c>
      <c r="E667" s="49" t="s">
        <v>146</v>
      </c>
      <c r="F667" s="49" t="s">
        <v>163</v>
      </c>
      <c r="G667">
        <f>'October to Jan, 2021 2022'!W69+'October to Jan, 2021 2022'!X69</f>
        <v>0</v>
      </c>
      <c r="H667">
        <f>'October to Jan, 2021 2022'!Y69</f>
        <v>0</v>
      </c>
      <c r="I667">
        <f>'October to Jan, 2021 2022'!Z69</f>
        <v>15</v>
      </c>
      <c r="J667">
        <f>G667*Parameters!$B$2*Parameters!$B$5</f>
        <v>0</v>
      </c>
      <c r="K667">
        <f>H667*Parameters!$B$3*Parameters!$B$6</f>
        <v>0</v>
      </c>
      <c r="L667">
        <f>I667*Parameters!$B$4*Parameters!$B$7</f>
        <v>121.44600000000001</v>
      </c>
      <c r="M667">
        <f t="shared" si="10"/>
        <v>121.44600000000001</v>
      </c>
      <c r="N667">
        <v>0</v>
      </c>
      <c r="O667">
        <v>0</v>
      </c>
      <c r="P667">
        <v>0</v>
      </c>
      <c r="Q667">
        <v>4500</v>
      </c>
    </row>
    <row r="668" spans="1:17">
      <c r="A668" t="s">
        <v>93</v>
      </c>
      <c r="B668" t="s">
        <v>19</v>
      </c>
      <c r="C668">
        <v>7</v>
      </c>
      <c r="D668">
        <v>2021</v>
      </c>
      <c r="E668" s="49" t="s">
        <v>146</v>
      </c>
      <c r="F668" s="49" t="s">
        <v>163</v>
      </c>
      <c r="G668">
        <f>'October to Jan, 2021 2022'!W70+'October to Jan, 2021 2022'!X70</f>
        <v>42</v>
      </c>
      <c r="H668">
        <f>'October to Jan, 2021 2022'!Y70</f>
        <v>0</v>
      </c>
      <c r="I668">
        <f>'October to Jan, 2021 2022'!Z70</f>
        <v>10</v>
      </c>
      <c r="J668">
        <f>G668*Parameters!$B$2*Parameters!$B$5</f>
        <v>89.422199999999975</v>
      </c>
      <c r="K668">
        <f>H668*Parameters!$B$3*Parameters!$B$6</f>
        <v>0</v>
      </c>
      <c r="L668">
        <f>I668*Parameters!$B$4*Parameters!$B$7</f>
        <v>80.963999999999999</v>
      </c>
      <c r="M668">
        <f t="shared" si="10"/>
        <v>170.38619999999997</v>
      </c>
      <c r="N668">
        <v>0</v>
      </c>
      <c r="O668">
        <v>4200</v>
      </c>
      <c r="P668">
        <v>0</v>
      </c>
      <c r="Q668">
        <v>3000</v>
      </c>
    </row>
    <row r="669" spans="1:17">
      <c r="A669" t="s">
        <v>94</v>
      </c>
      <c r="B669" t="s">
        <v>19</v>
      </c>
      <c r="C669">
        <v>6</v>
      </c>
      <c r="D669">
        <v>2021</v>
      </c>
      <c r="E669" s="49" t="s">
        <v>146</v>
      </c>
      <c r="F669" s="49" t="s">
        <v>163</v>
      </c>
      <c r="G669">
        <f>'October to Jan, 2021 2022'!W71+'October to Jan, 2021 2022'!X71</f>
        <v>42</v>
      </c>
      <c r="H669">
        <f>'October to Jan, 2021 2022'!Y71</f>
        <v>0</v>
      </c>
      <c r="I669">
        <f>'October to Jan, 2021 2022'!Z71</f>
        <v>15</v>
      </c>
      <c r="J669">
        <f>G669*Parameters!$B$2*Parameters!$B$5</f>
        <v>89.422199999999975</v>
      </c>
      <c r="K669">
        <f>H669*Parameters!$B$3*Parameters!$B$6</f>
        <v>0</v>
      </c>
      <c r="L669">
        <f>I669*Parameters!$B$4*Parameters!$B$7</f>
        <v>121.44600000000001</v>
      </c>
      <c r="M669">
        <f t="shared" si="10"/>
        <v>210.8682</v>
      </c>
      <c r="N669">
        <v>0</v>
      </c>
      <c r="O669">
        <v>4200</v>
      </c>
      <c r="P669">
        <v>0</v>
      </c>
      <c r="Q669">
        <v>4500</v>
      </c>
    </row>
    <row r="670" spans="1:17">
      <c r="A670" t="s">
        <v>95</v>
      </c>
      <c r="B670" t="s">
        <v>26</v>
      </c>
      <c r="C670">
        <v>8</v>
      </c>
      <c r="D670">
        <v>2021</v>
      </c>
      <c r="E670" s="49" t="s">
        <v>146</v>
      </c>
      <c r="F670" s="49" t="s">
        <v>163</v>
      </c>
      <c r="G670">
        <f>'October to Jan, 2021 2022'!W72+'October to Jan, 2021 2022'!X72</f>
        <v>57</v>
      </c>
      <c r="H670">
        <f>'October to Jan, 2021 2022'!Y72</f>
        <v>0</v>
      </c>
      <c r="I670">
        <f>'October to Jan, 2021 2022'!Z72</f>
        <v>5</v>
      </c>
      <c r="J670">
        <f>G670*Parameters!$B$2*Parameters!$B$5</f>
        <v>121.35869999999998</v>
      </c>
      <c r="K670">
        <f>H670*Parameters!$B$3*Parameters!$B$6</f>
        <v>0</v>
      </c>
      <c r="L670">
        <f>I670*Parameters!$B$4*Parameters!$B$7</f>
        <v>40.481999999999999</v>
      </c>
      <c r="M670">
        <f t="shared" si="10"/>
        <v>161.84069999999997</v>
      </c>
      <c r="N670">
        <v>0</v>
      </c>
      <c r="O670">
        <v>5700</v>
      </c>
      <c r="P670">
        <v>0</v>
      </c>
      <c r="Q670">
        <v>1500</v>
      </c>
    </row>
    <row r="671" spans="1:17">
      <c r="A671" t="s">
        <v>96</v>
      </c>
      <c r="B671" t="s">
        <v>19</v>
      </c>
      <c r="C671">
        <v>8</v>
      </c>
      <c r="D671">
        <v>2021</v>
      </c>
      <c r="E671" s="49" t="s">
        <v>146</v>
      </c>
      <c r="F671" s="49" t="s">
        <v>163</v>
      </c>
      <c r="G671">
        <f>'October to Jan, 2021 2022'!W73+'October to Jan, 2021 2022'!X73</f>
        <v>10</v>
      </c>
      <c r="H671">
        <f>'October to Jan, 2021 2022'!Y73</f>
        <v>0</v>
      </c>
      <c r="I671">
        <f>'October to Jan, 2021 2022'!Z73</f>
        <v>10</v>
      </c>
      <c r="J671">
        <f>G671*Parameters!$B$2*Parameters!$B$5</f>
        <v>21.290999999999997</v>
      </c>
      <c r="K671">
        <f>H671*Parameters!$B$3*Parameters!$B$6</f>
        <v>0</v>
      </c>
      <c r="L671">
        <f>I671*Parameters!$B$4*Parameters!$B$7</f>
        <v>80.963999999999999</v>
      </c>
      <c r="M671">
        <f t="shared" si="10"/>
        <v>102.255</v>
      </c>
      <c r="N671">
        <v>0</v>
      </c>
      <c r="O671">
        <v>1000</v>
      </c>
      <c r="P671">
        <v>0</v>
      </c>
      <c r="Q671">
        <v>3000</v>
      </c>
    </row>
    <row r="672" spans="1:17">
      <c r="A672" t="s">
        <v>97</v>
      </c>
      <c r="B672" t="s">
        <v>17</v>
      </c>
      <c r="C672">
        <v>4</v>
      </c>
      <c r="D672">
        <v>2021</v>
      </c>
      <c r="E672" s="49" t="s">
        <v>146</v>
      </c>
      <c r="F672" s="49" t="s">
        <v>163</v>
      </c>
      <c r="G672">
        <f>'October to Jan, 2021 2022'!W74+'October to Jan, 2021 2022'!X74</f>
        <v>33</v>
      </c>
      <c r="H672">
        <f>'October to Jan, 2021 2022'!Y74</f>
        <v>0</v>
      </c>
      <c r="I672">
        <f>'October to Jan, 2021 2022'!Z74</f>
        <v>20</v>
      </c>
      <c r="J672">
        <f>G672*Parameters!$B$2*Parameters!$B$5</f>
        <v>70.260300000000001</v>
      </c>
      <c r="K672">
        <f>H672*Parameters!$B$3*Parameters!$B$6</f>
        <v>0</v>
      </c>
      <c r="L672">
        <f>I672*Parameters!$B$4*Parameters!$B$7</f>
        <v>161.928</v>
      </c>
      <c r="M672">
        <f t="shared" si="10"/>
        <v>232.1883</v>
      </c>
      <c r="N672">
        <v>0</v>
      </c>
      <c r="O672">
        <v>3300</v>
      </c>
      <c r="P672">
        <v>0</v>
      </c>
      <c r="Q672">
        <v>6000</v>
      </c>
    </row>
    <row r="673" spans="1:17">
      <c r="A673" t="s">
        <v>98</v>
      </c>
      <c r="B673" t="s">
        <v>65</v>
      </c>
      <c r="C673">
        <v>5</v>
      </c>
      <c r="D673">
        <v>2021</v>
      </c>
      <c r="E673" s="49" t="s">
        <v>146</v>
      </c>
      <c r="F673" s="49" t="s">
        <v>163</v>
      </c>
      <c r="G673">
        <f>'October to Jan, 2021 2022'!W75+'October to Jan, 2021 2022'!X75</f>
        <v>18</v>
      </c>
      <c r="H673">
        <f>'October to Jan, 2021 2022'!Y75</f>
        <v>0</v>
      </c>
      <c r="I673">
        <f>'October to Jan, 2021 2022'!Z75</f>
        <v>15</v>
      </c>
      <c r="J673">
        <f>G673*Parameters!$B$2*Parameters!$B$5</f>
        <v>38.323799999999999</v>
      </c>
      <c r="K673">
        <f>H673*Parameters!$B$3*Parameters!$B$6</f>
        <v>0</v>
      </c>
      <c r="L673">
        <f>I673*Parameters!$B$4*Parameters!$B$7</f>
        <v>121.44600000000001</v>
      </c>
      <c r="M673">
        <f t="shared" si="10"/>
        <v>159.7698</v>
      </c>
      <c r="N673">
        <v>0</v>
      </c>
      <c r="O673">
        <v>1800</v>
      </c>
      <c r="P673">
        <v>0</v>
      </c>
      <c r="Q673">
        <v>4500</v>
      </c>
    </row>
    <row r="674" spans="1:17">
      <c r="A674" t="s">
        <v>99</v>
      </c>
      <c r="B674" t="s">
        <v>32</v>
      </c>
      <c r="C674">
        <v>9</v>
      </c>
      <c r="D674">
        <v>2021</v>
      </c>
      <c r="E674" s="49" t="s">
        <v>146</v>
      </c>
      <c r="F674" s="49" t="s">
        <v>163</v>
      </c>
      <c r="G674">
        <f>'October to Jan, 2021 2022'!W76+'October to Jan, 2021 2022'!X76</f>
        <v>70</v>
      </c>
      <c r="H674">
        <f>'October to Jan, 2021 2022'!Y76</f>
        <v>0</v>
      </c>
      <c r="I674">
        <f>'October to Jan, 2021 2022'!Z76</f>
        <v>20</v>
      </c>
      <c r="J674">
        <f>G674*Parameters!$B$2*Parameters!$B$5</f>
        <v>149.03699999999998</v>
      </c>
      <c r="K674">
        <f>H674*Parameters!$B$3*Parameters!$B$6</f>
        <v>0</v>
      </c>
      <c r="L674">
        <f>I674*Parameters!$B$4*Parameters!$B$7</f>
        <v>161.928</v>
      </c>
      <c r="M674">
        <f t="shared" si="10"/>
        <v>310.96499999999997</v>
      </c>
      <c r="N674">
        <v>0</v>
      </c>
      <c r="O674">
        <v>7000</v>
      </c>
      <c r="P674">
        <v>0</v>
      </c>
      <c r="Q674">
        <v>6000</v>
      </c>
    </row>
    <row r="675" spans="1:17">
      <c r="A675" t="s">
        <v>100</v>
      </c>
      <c r="B675" t="s">
        <v>40</v>
      </c>
      <c r="C675">
        <v>8</v>
      </c>
      <c r="D675">
        <v>2021</v>
      </c>
      <c r="E675" s="49" t="s">
        <v>146</v>
      </c>
      <c r="F675" s="49" t="s">
        <v>163</v>
      </c>
      <c r="G675">
        <f>'October to Jan, 2021 2022'!W77+'October to Jan, 2021 2022'!X77</f>
        <v>25</v>
      </c>
      <c r="H675">
        <f>'October to Jan, 2021 2022'!Y77</f>
        <v>0</v>
      </c>
      <c r="I675">
        <f>'October to Jan, 2021 2022'!Z77</f>
        <v>15</v>
      </c>
      <c r="J675">
        <f>G675*Parameters!$B$2*Parameters!$B$5</f>
        <v>53.227499999999992</v>
      </c>
      <c r="K675">
        <f>H675*Parameters!$B$3*Parameters!$B$6</f>
        <v>0</v>
      </c>
      <c r="L675">
        <f>I675*Parameters!$B$4*Parameters!$B$7</f>
        <v>121.44600000000001</v>
      </c>
      <c r="M675">
        <f t="shared" si="10"/>
        <v>174.67349999999999</v>
      </c>
      <c r="N675">
        <v>0</v>
      </c>
      <c r="O675">
        <v>2500</v>
      </c>
      <c r="P675">
        <v>0</v>
      </c>
      <c r="Q675">
        <v>4500</v>
      </c>
    </row>
    <row r="676" spans="1:17">
      <c r="A676" t="s">
        <v>101</v>
      </c>
      <c r="B676" t="s">
        <v>38</v>
      </c>
      <c r="C676">
        <v>5</v>
      </c>
      <c r="D676">
        <v>2021</v>
      </c>
      <c r="E676" s="49" t="s">
        <v>146</v>
      </c>
      <c r="F676" s="49" t="s">
        <v>163</v>
      </c>
      <c r="G676">
        <f>'October to Jan, 2021 2022'!W78+'October to Jan, 2021 2022'!X78</f>
        <v>20</v>
      </c>
      <c r="H676">
        <f>'October to Jan, 2021 2022'!Y78</f>
        <v>0</v>
      </c>
      <c r="I676">
        <f>'October to Jan, 2021 2022'!Z78</f>
        <v>10</v>
      </c>
      <c r="J676">
        <f>G676*Parameters!$B$2*Parameters!$B$5</f>
        <v>42.581999999999994</v>
      </c>
      <c r="K676">
        <f>H676*Parameters!$B$3*Parameters!$B$6</f>
        <v>0</v>
      </c>
      <c r="L676">
        <f>I676*Parameters!$B$4*Parameters!$B$7</f>
        <v>80.963999999999999</v>
      </c>
      <c r="M676">
        <f t="shared" si="10"/>
        <v>123.54599999999999</v>
      </c>
      <c r="N676">
        <v>0</v>
      </c>
      <c r="O676">
        <v>2000</v>
      </c>
      <c r="P676">
        <v>0</v>
      </c>
      <c r="Q676">
        <v>3000</v>
      </c>
    </row>
    <row r="677" spans="1:17">
      <c r="A677" t="s">
        <v>102</v>
      </c>
      <c r="B677" t="s">
        <v>17</v>
      </c>
      <c r="C677">
        <v>4</v>
      </c>
      <c r="D677">
        <v>2021</v>
      </c>
      <c r="E677" s="49" t="s">
        <v>146</v>
      </c>
      <c r="F677" s="49" t="s">
        <v>163</v>
      </c>
      <c r="G677">
        <f>'October to Jan, 2021 2022'!W79+'October to Jan, 2021 2022'!X79</f>
        <v>30</v>
      </c>
      <c r="H677">
        <f>'October to Jan, 2021 2022'!Y79</f>
        <v>0</v>
      </c>
      <c r="I677">
        <f>'October to Jan, 2021 2022'!Z79</f>
        <v>15</v>
      </c>
      <c r="J677">
        <f>G677*Parameters!$B$2*Parameters!$B$5</f>
        <v>63.87299999999999</v>
      </c>
      <c r="K677">
        <f>H677*Parameters!$B$3*Parameters!$B$6</f>
        <v>0</v>
      </c>
      <c r="L677">
        <f>I677*Parameters!$B$4*Parameters!$B$7</f>
        <v>121.44600000000001</v>
      </c>
      <c r="M677">
        <f t="shared" si="10"/>
        <v>185.31900000000002</v>
      </c>
      <c r="N677">
        <v>0</v>
      </c>
      <c r="O677">
        <v>3000</v>
      </c>
      <c r="P677">
        <v>0</v>
      </c>
      <c r="Q677">
        <v>4500</v>
      </c>
    </row>
    <row r="678" spans="1:17">
      <c r="A678" t="s">
        <v>103</v>
      </c>
      <c r="B678" t="s">
        <v>26</v>
      </c>
      <c r="C678">
        <v>6</v>
      </c>
      <c r="D678">
        <v>2021</v>
      </c>
      <c r="E678" s="49" t="s">
        <v>146</v>
      </c>
      <c r="F678" s="49" t="s">
        <v>163</v>
      </c>
      <c r="G678">
        <f>'October to Jan, 2021 2022'!W80+'October to Jan, 2021 2022'!X80</f>
        <v>40</v>
      </c>
      <c r="H678">
        <f>'October to Jan, 2021 2022'!Y80</f>
        <v>0</v>
      </c>
      <c r="I678">
        <f>'October to Jan, 2021 2022'!Z80</f>
        <v>20</v>
      </c>
      <c r="J678">
        <f>G678*Parameters!$B$2*Parameters!$B$5</f>
        <v>85.163999999999987</v>
      </c>
      <c r="K678">
        <f>H678*Parameters!$B$3*Parameters!$B$6</f>
        <v>0</v>
      </c>
      <c r="L678">
        <f>I678*Parameters!$B$4*Parameters!$B$7</f>
        <v>161.928</v>
      </c>
      <c r="M678">
        <f t="shared" si="10"/>
        <v>247.09199999999998</v>
      </c>
      <c r="N678">
        <v>0</v>
      </c>
      <c r="O678">
        <v>4000</v>
      </c>
      <c r="P678">
        <v>0</v>
      </c>
      <c r="Q678">
        <v>6000</v>
      </c>
    </row>
    <row r="679" spans="1:17">
      <c r="A679" t="s">
        <v>104</v>
      </c>
      <c r="B679" t="s">
        <v>26</v>
      </c>
      <c r="C679">
        <v>7</v>
      </c>
      <c r="D679">
        <v>2021</v>
      </c>
      <c r="E679" s="49" t="s">
        <v>146</v>
      </c>
      <c r="F679" s="49" t="s">
        <v>163</v>
      </c>
      <c r="G679">
        <f>'October to Jan, 2021 2022'!W81+'October to Jan, 2021 2022'!X81</f>
        <v>28</v>
      </c>
      <c r="H679">
        <f>'October to Jan, 2021 2022'!Y81</f>
        <v>0</v>
      </c>
      <c r="I679">
        <f>'October to Jan, 2021 2022'!Z81</f>
        <v>5</v>
      </c>
      <c r="J679">
        <f>G679*Parameters!$B$2*Parameters!$B$5</f>
        <v>59.614799999999995</v>
      </c>
      <c r="K679">
        <f>H679*Parameters!$B$3*Parameters!$B$6</f>
        <v>0</v>
      </c>
      <c r="L679">
        <f>I679*Parameters!$B$4*Parameters!$B$7</f>
        <v>40.481999999999999</v>
      </c>
      <c r="M679">
        <f t="shared" si="10"/>
        <v>100.0968</v>
      </c>
      <c r="N679">
        <v>0</v>
      </c>
      <c r="O679">
        <v>2800</v>
      </c>
      <c r="P679">
        <v>0</v>
      </c>
      <c r="Q679">
        <v>1500</v>
      </c>
    </row>
    <row r="680" spans="1:17">
      <c r="A680" t="s">
        <v>105</v>
      </c>
      <c r="B680" t="s">
        <v>21</v>
      </c>
      <c r="C680">
        <v>5</v>
      </c>
      <c r="D680">
        <v>2021</v>
      </c>
      <c r="E680" s="49" t="s">
        <v>146</v>
      </c>
      <c r="F680" s="49" t="s">
        <v>163</v>
      </c>
      <c r="G680">
        <f>'October to Jan, 2021 2022'!W82+'October to Jan, 2021 2022'!X82</f>
        <v>32</v>
      </c>
      <c r="H680">
        <f>'October to Jan, 2021 2022'!Y82</f>
        <v>0</v>
      </c>
      <c r="I680">
        <f>'October to Jan, 2021 2022'!Z82</f>
        <v>10</v>
      </c>
      <c r="J680">
        <f>G680*Parameters!$B$2*Parameters!$B$5</f>
        <v>68.131199999999993</v>
      </c>
      <c r="K680">
        <f>H680*Parameters!$B$3*Parameters!$B$6</f>
        <v>0</v>
      </c>
      <c r="L680">
        <f>I680*Parameters!$B$4*Parameters!$B$7</f>
        <v>80.963999999999999</v>
      </c>
      <c r="M680">
        <f t="shared" si="10"/>
        <v>149.09519999999998</v>
      </c>
      <c r="N680">
        <v>0</v>
      </c>
      <c r="O680">
        <v>3200</v>
      </c>
      <c r="P680">
        <v>0</v>
      </c>
      <c r="Q680">
        <v>3000</v>
      </c>
    </row>
    <row r="681" spans="1:17">
      <c r="A681" t="s">
        <v>106</v>
      </c>
      <c r="B681" t="s">
        <v>24</v>
      </c>
      <c r="C681">
        <v>6</v>
      </c>
      <c r="D681">
        <v>2021</v>
      </c>
      <c r="E681" s="49" t="s">
        <v>146</v>
      </c>
      <c r="F681" s="49" t="s">
        <v>163</v>
      </c>
      <c r="G681">
        <f>'October to Jan, 2021 2022'!W83+'October to Jan, 2021 2022'!X83</f>
        <v>40</v>
      </c>
      <c r="H681">
        <f>'October to Jan, 2021 2022'!Y83</f>
        <v>0</v>
      </c>
      <c r="I681">
        <f>'October to Jan, 2021 2022'!Z83</f>
        <v>20</v>
      </c>
      <c r="J681">
        <f>G681*Parameters!$B$2*Parameters!$B$5</f>
        <v>85.163999999999987</v>
      </c>
      <c r="K681">
        <f>H681*Parameters!$B$3*Parameters!$B$6</f>
        <v>0</v>
      </c>
      <c r="L681">
        <f>I681*Parameters!$B$4*Parameters!$B$7</f>
        <v>161.928</v>
      </c>
      <c r="M681">
        <f t="shared" si="10"/>
        <v>247.09199999999998</v>
      </c>
      <c r="N681">
        <v>0</v>
      </c>
      <c r="O681">
        <v>4000</v>
      </c>
      <c r="P681">
        <v>0</v>
      </c>
      <c r="Q681">
        <v>6000</v>
      </c>
    </row>
    <row r="682" spans="1:17">
      <c r="A682" t="s">
        <v>107</v>
      </c>
      <c r="B682" t="s">
        <v>21</v>
      </c>
      <c r="C682">
        <v>4</v>
      </c>
      <c r="D682">
        <v>2021</v>
      </c>
      <c r="E682" s="49" t="s">
        <v>146</v>
      </c>
      <c r="F682" s="49" t="s">
        <v>163</v>
      </c>
      <c r="G682">
        <f>'October to Jan, 2021 2022'!W84+'October to Jan, 2021 2022'!X84</f>
        <v>20</v>
      </c>
      <c r="H682">
        <f>'October to Jan, 2021 2022'!Y84</f>
        <v>0</v>
      </c>
      <c r="I682">
        <f>'October to Jan, 2021 2022'!Z84</f>
        <v>10</v>
      </c>
      <c r="J682">
        <f>G682*Parameters!$B$2*Parameters!$B$5</f>
        <v>42.581999999999994</v>
      </c>
      <c r="K682">
        <f>H682*Parameters!$B$3*Parameters!$B$6</f>
        <v>0</v>
      </c>
      <c r="L682">
        <f>I682*Parameters!$B$4*Parameters!$B$7</f>
        <v>80.963999999999999</v>
      </c>
      <c r="M682">
        <f t="shared" si="10"/>
        <v>123.54599999999999</v>
      </c>
      <c r="N682">
        <v>0</v>
      </c>
      <c r="O682">
        <v>2000</v>
      </c>
      <c r="P682">
        <v>0</v>
      </c>
      <c r="Q682">
        <v>3000</v>
      </c>
    </row>
    <row r="683" spans="1:17">
      <c r="A683" t="s">
        <v>108</v>
      </c>
      <c r="B683" t="s">
        <v>24</v>
      </c>
      <c r="C683">
        <v>5</v>
      </c>
      <c r="D683">
        <v>2021</v>
      </c>
      <c r="E683" s="49" t="s">
        <v>146</v>
      </c>
      <c r="F683" s="49" t="s">
        <v>163</v>
      </c>
      <c r="G683">
        <f>'October to Jan, 2021 2022'!W85+'October to Jan, 2021 2022'!X85</f>
        <v>15</v>
      </c>
      <c r="H683">
        <f>'October to Jan, 2021 2022'!Y85</f>
        <v>0</v>
      </c>
      <c r="I683">
        <f>'October to Jan, 2021 2022'!Z85</f>
        <v>15</v>
      </c>
      <c r="J683">
        <f>G683*Parameters!$B$2*Parameters!$B$5</f>
        <v>31.936499999999995</v>
      </c>
      <c r="K683">
        <f>H683*Parameters!$B$3*Parameters!$B$6</f>
        <v>0</v>
      </c>
      <c r="L683">
        <f>I683*Parameters!$B$4*Parameters!$B$7</f>
        <v>121.44600000000001</v>
      </c>
      <c r="M683">
        <f t="shared" si="10"/>
        <v>153.38249999999999</v>
      </c>
      <c r="N683">
        <v>0</v>
      </c>
      <c r="O683">
        <v>1500</v>
      </c>
      <c r="P683">
        <v>0</v>
      </c>
      <c r="Q683">
        <v>4500</v>
      </c>
    </row>
    <row r="684" spans="1:17">
      <c r="A684" t="s">
        <v>109</v>
      </c>
      <c r="B684" t="s">
        <v>32</v>
      </c>
      <c r="C684">
        <v>6</v>
      </c>
      <c r="D684">
        <v>2021</v>
      </c>
      <c r="E684" s="49" t="s">
        <v>146</v>
      </c>
      <c r="F684" s="49" t="s">
        <v>163</v>
      </c>
      <c r="G684">
        <f>'October to Jan, 2021 2022'!W86+'October to Jan, 2021 2022'!X86</f>
        <v>15</v>
      </c>
      <c r="H684">
        <f>'October to Jan, 2021 2022'!Y86</f>
        <v>0</v>
      </c>
      <c r="I684">
        <f>'October to Jan, 2021 2022'!Z86</f>
        <v>15</v>
      </c>
      <c r="J684">
        <f>G684*Parameters!$B$2*Parameters!$B$5</f>
        <v>31.936499999999995</v>
      </c>
      <c r="K684">
        <f>H684*Parameters!$B$3*Parameters!$B$6</f>
        <v>0</v>
      </c>
      <c r="L684">
        <f>I684*Parameters!$B$4*Parameters!$B$7</f>
        <v>121.44600000000001</v>
      </c>
      <c r="M684">
        <f t="shared" si="10"/>
        <v>153.38249999999999</v>
      </c>
      <c r="N684">
        <v>0</v>
      </c>
      <c r="O684">
        <v>1500</v>
      </c>
      <c r="P684">
        <v>0</v>
      </c>
      <c r="Q684">
        <v>4500</v>
      </c>
    </row>
    <row r="685" spans="1:17">
      <c r="A685" t="s">
        <v>110</v>
      </c>
      <c r="B685" t="s">
        <v>21</v>
      </c>
      <c r="C685">
        <v>3</v>
      </c>
      <c r="D685">
        <v>2021</v>
      </c>
      <c r="E685" s="49" t="s">
        <v>146</v>
      </c>
      <c r="F685" s="49" t="s">
        <v>163</v>
      </c>
      <c r="G685">
        <f>'October to Jan, 2021 2022'!W87+'October to Jan, 2021 2022'!X87</f>
        <v>40</v>
      </c>
      <c r="H685">
        <f>'October to Jan, 2021 2022'!Y87</f>
        <v>0</v>
      </c>
      <c r="I685">
        <f>'October to Jan, 2021 2022'!Z87</f>
        <v>10</v>
      </c>
      <c r="J685">
        <f>G685*Parameters!$B$2*Parameters!$B$5</f>
        <v>85.163999999999987</v>
      </c>
      <c r="K685">
        <f>H685*Parameters!$B$3*Parameters!$B$6</f>
        <v>0</v>
      </c>
      <c r="L685">
        <f>I685*Parameters!$B$4*Parameters!$B$7</f>
        <v>80.963999999999999</v>
      </c>
      <c r="M685">
        <f t="shared" si="10"/>
        <v>166.12799999999999</v>
      </c>
      <c r="N685">
        <v>0</v>
      </c>
      <c r="O685">
        <v>4000</v>
      </c>
      <c r="P685">
        <v>0</v>
      </c>
      <c r="Q685">
        <v>3000</v>
      </c>
    </row>
    <row r="686" spans="1:17">
      <c r="A686" t="s">
        <v>111</v>
      </c>
      <c r="B686" t="s">
        <v>26</v>
      </c>
      <c r="C686">
        <v>6</v>
      </c>
      <c r="D686">
        <v>2021</v>
      </c>
      <c r="E686" s="49" t="s">
        <v>146</v>
      </c>
      <c r="F686" s="49" t="s">
        <v>163</v>
      </c>
      <c r="G686">
        <f>'October to Jan, 2021 2022'!W88+'October to Jan, 2021 2022'!X88</f>
        <v>40</v>
      </c>
      <c r="H686">
        <f>'October to Jan, 2021 2022'!Y88</f>
        <v>0</v>
      </c>
      <c r="I686">
        <f>'October to Jan, 2021 2022'!Z88</f>
        <v>20</v>
      </c>
      <c r="J686">
        <f>G686*Parameters!$B$2*Parameters!$B$5</f>
        <v>85.163999999999987</v>
      </c>
      <c r="K686">
        <f>H686*Parameters!$B$3*Parameters!$B$6</f>
        <v>0</v>
      </c>
      <c r="L686">
        <f>I686*Parameters!$B$4*Parameters!$B$7</f>
        <v>161.928</v>
      </c>
      <c r="M686">
        <f t="shared" si="10"/>
        <v>247.09199999999998</v>
      </c>
      <c r="N686">
        <v>0</v>
      </c>
      <c r="O686">
        <v>4000</v>
      </c>
      <c r="P686">
        <v>0</v>
      </c>
      <c r="Q686">
        <v>6000</v>
      </c>
    </row>
    <row r="687" spans="1:17">
      <c r="A687" t="s">
        <v>112</v>
      </c>
      <c r="B687" t="s">
        <v>19</v>
      </c>
      <c r="C687">
        <v>7</v>
      </c>
      <c r="D687">
        <v>2021</v>
      </c>
      <c r="E687" s="49" t="s">
        <v>146</v>
      </c>
      <c r="F687" s="49" t="s">
        <v>163</v>
      </c>
      <c r="G687">
        <f>'October to Jan, 2021 2022'!W89+'October to Jan, 2021 2022'!X89</f>
        <v>0</v>
      </c>
      <c r="H687">
        <f>'October to Jan, 2021 2022'!Y89</f>
        <v>0</v>
      </c>
      <c r="I687">
        <f>'October to Jan, 2021 2022'!Z89</f>
        <v>10</v>
      </c>
      <c r="J687">
        <f>G687*Parameters!$B$2*Parameters!$B$5</f>
        <v>0</v>
      </c>
      <c r="K687">
        <f>H687*Parameters!$B$3*Parameters!$B$6</f>
        <v>0</v>
      </c>
      <c r="L687">
        <f>I687*Parameters!$B$4*Parameters!$B$7</f>
        <v>80.963999999999999</v>
      </c>
      <c r="M687">
        <f t="shared" si="10"/>
        <v>80.963999999999999</v>
      </c>
      <c r="N687">
        <v>0</v>
      </c>
      <c r="O687">
        <v>0</v>
      </c>
      <c r="P687">
        <v>0</v>
      </c>
      <c r="Q687">
        <v>3000</v>
      </c>
    </row>
    <row r="688" spans="1:17">
      <c r="A688" t="s">
        <v>113</v>
      </c>
      <c r="B688" t="s">
        <v>26</v>
      </c>
      <c r="C688">
        <v>4</v>
      </c>
      <c r="D688">
        <v>2021</v>
      </c>
      <c r="E688" s="49" t="s">
        <v>146</v>
      </c>
      <c r="F688" s="49" t="s">
        <v>163</v>
      </c>
      <c r="G688">
        <f>'October to Jan, 2021 2022'!W90+'October to Jan, 2021 2022'!X90</f>
        <v>43</v>
      </c>
      <c r="H688">
        <f>'October to Jan, 2021 2022'!Y90</f>
        <v>0</v>
      </c>
      <c r="I688">
        <f>'October to Jan, 2021 2022'!Z90</f>
        <v>10</v>
      </c>
      <c r="J688">
        <f>G688*Parameters!$B$2*Parameters!$B$5</f>
        <v>91.551299999999983</v>
      </c>
      <c r="K688">
        <f>H688*Parameters!$B$3*Parameters!$B$6</f>
        <v>0</v>
      </c>
      <c r="L688">
        <f>I688*Parameters!$B$4*Parameters!$B$7</f>
        <v>80.963999999999999</v>
      </c>
      <c r="M688">
        <f t="shared" si="10"/>
        <v>172.51529999999997</v>
      </c>
      <c r="N688">
        <v>0</v>
      </c>
      <c r="O688">
        <v>4300</v>
      </c>
      <c r="P688">
        <v>0</v>
      </c>
      <c r="Q688">
        <v>3000</v>
      </c>
    </row>
    <row r="689" spans="1:17">
      <c r="A689" t="s">
        <v>114</v>
      </c>
      <c r="B689" t="s">
        <v>65</v>
      </c>
      <c r="C689">
        <v>8</v>
      </c>
      <c r="D689">
        <v>2021</v>
      </c>
      <c r="E689" s="49" t="s">
        <v>146</v>
      </c>
      <c r="F689" s="49" t="s">
        <v>163</v>
      </c>
      <c r="G689">
        <f>'October to Jan, 2021 2022'!W91+'October to Jan, 2021 2022'!X91</f>
        <v>70</v>
      </c>
      <c r="H689">
        <f>'October to Jan, 2021 2022'!Y91</f>
        <v>0</v>
      </c>
      <c r="I689">
        <f>'October to Jan, 2021 2022'!Z91</f>
        <v>20</v>
      </c>
      <c r="J689">
        <f>G689*Parameters!$B$2*Parameters!$B$5</f>
        <v>149.03699999999998</v>
      </c>
      <c r="K689">
        <f>H689*Parameters!$B$3*Parameters!$B$6</f>
        <v>0</v>
      </c>
      <c r="L689">
        <f>I689*Parameters!$B$4*Parameters!$B$7</f>
        <v>161.928</v>
      </c>
      <c r="M689">
        <f t="shared" si="10"/>
        <v>310.96499999999997</v>
      </c>
      <c r="N689">
        <v>0</v>
      </c>
      <c r="O689">
        <v>7000</v>
      </c>
      <c r="P689">
        <v>0</v>
      </c>
      <c r="Q689">
        <v>6000</v>
      </c>
    </row>
    <row r="690" spans="1:17">
      <c r="A690" t="s">
        <v>115</v>
      </c>
      <c r="B690" t="s">
        <v>19</v>
      </c>
      <c r="C690">
        <v>8</v>
      </c>
      <c r="D690">
        <v>2021</v>
      </c>
      <c r="E690" s="49" t="s">
        <v>146</v>
      </c>
      <c r="F690" s="49" t="s">
        <v>163</v>
      </c>
      <c r="G690">
        <f>'October to Jan, 2021 2022'!W92+'October to Jan, 2021 2022'!X92</f>
        <v>60</v>
      </c>
      <c r="H690">
        <f>'October to Jan, 2021 2022'!Y92</f>
        <v>0</v>
      </c>
      <c r="I690">
        <f>'October to Jan, 2021 2022'!Z92</f>
        <v>15</v>
      </c>
      <c r="J690">
        <f>G690*Parameters!$B$2*Parameters!$B$5</f>
        <v>127.74599999999998</v>
      </c>
      <c r="K690">
        <f>H690*Parameters!$B$3*Parameters!$B$6</f>
        <v>0</v>
      </c>
      <c r="L690">
        <f>I690*Parameters!$B$4*Parameters!$B$7</f>
        <v>121.44600000000001</v>
      </c>
      <c r="M690">
        <f t="shared" si="10"/>
        <v>249.19200000000001</v>
      </c>
      <c r="N690">
        <v>0</v>
      </c>
      <c r="O690">
        <v>6000</v>
      </c>
      <c r="P690">
        <v>0</v>
      </c>
      <c r="Q690">
        <v>4500</v>
      </c>
    </row>
    <row r="691" spans="1:17">
      <c r="A691" t="s">
        <v>116</v>
      </c>
      <c r="B691" t="s">
        <v>21</v>
      </c>
      <c r="C691">
        <v>4</v>
      </c>
      <c r="D691">
        <v>2021</v>
      </c>
      <c r="E691" s="49" t="s">
        <v>146</v>
      </c>
      <c r="F691" s="49" t="s">
        <v>163</v>
      </c>
      <c r="G691">
        <f>'October to Jan, 2021 2022'!W93+'October to Jan, 2021 2022'!X93</f>
        <v>35</v>
      </c>
      <c r="H691">
        <f>'October to Jan, 2021 2022'!Y93</f>
        <v>0</v>
      </c>
      <c r="I691">
        <f>'October to Jan, 2021 2022'!Z93</f>
        <v>10</v>
      </c>
      <c r="J691">
        <f>G691*Parameters!$B$2*Parameters!$B$5</f>
        <v>74.518499999999989</v>
      </c>
      <c r="K691">
        <f>H691*Parameters!$B$3*Parameters!$B$6</f>
        <v>0</v>
      </c>
      <c r="L691">
        <f>I691*Parameters!$B$4*Parameters!$B$7</f>
        <v>80.963999999999999</v>
      </c>
      <c r="M691">
        <f t="shared" si="10"/>
        <v>155.48249999999999</v>
      </c>
      <c r="N691">
        <v>0</v>
      </c>
      <c r="O691">
        <v>3500</v>
      </c>
      <c r="P691">
        <v>0</v>
      </c>
      <c r="Q691">
        <v>3000</v>
      </c>
    </row>
    <row r="692" spans="1:17">
      <c r="A692" t="s">
        <v>117</v>
      </c>
      <c r="B692" t="s">
        <v>17</v>
      </c>
      <c r="C692">
        <v>9</v>
      </c>
      <c r="D692">
        <v>2021</v>
      </c>
      <c r="E692" s="49" t="s">
        <v>146</v>
      </c>
      <c r="F692" s="49" t="s">
        <v>163</v>
      </c>
      <c r="G692">
        <f>'October to Jan, 2021 2022'!W94+'October to Jan, 2021 2022'!X94</f>
        <v>30</v>
      </c>
      <c r="H692">
        <f>'October to Jan, 2021 2022'!Y94</f>
        <v>0</v>
      </c>
      <c r="I692">
        <f>'October to Jan, 2021 2022'!Z94</f>
        <v>10</v>
      </c>
      <c r="J692">
        <f>G692*Parameters!$B$2*Parameters!$B$5</f>
        <v>63.87299999999999</v>
      </c>
      <c r="K692">
        <f>H692*Parameters!$B$3*Parameters!$B$6</f>
        <v>0</v>
      </c>
      <c r="L692">
        <f>I692*Parameters!$B$4*Parameters!$B$7</f>
        <v>80.963999999999999</v>
      </c>
      <c r="M692">
        <f t="shared" si="10"/>
        <v>144.83699999999999</v>
      </c>
      <c r="N692">
        <v>0</v>
      </c>
      <c r="O692">
        <v>3000</v>
      </c>
      <c r="P692">
        <v>0</v>
      </c>
      <c r="Q692">
        <v>3000</v>
      </c>
    </row>
    <row r="693" spans="1:17">
      <c r="A693" t="s">
        <v>118</v>
      </c>
      <c r="B693" t="s">
        <v>19</v>
      </c>
      <c r="C693">
        <v>4</v>
      </c>
      <c r="D693">
        <v>2021</v>
      </c>
      <c r="E693" s="49" t="s">
        <v>146</v>
      </c>
      <c r="F693" s="49" t="s">
        <v>163</v>
      </c>
      <c r="G693">
        <f>'October to Jan, 2021 2022'!W95+'October to Jan, 2021 2022'!X95</f>
        <v>25</v>
      </c>
      <c r="H693">
        <f>'October to Jan, 2021 2022'!Y95</f>
        <v>0</v>
      </c>
      <c r="I693">
        <f>'October to Jan, 2021 2022'!Z95</f>
        <v>15</v>
      </c>
      <c r="J693">
        <f>G693*Parameters!$B$2*Parameters!$B$5</f>
        <v>53.227499999999992</v>
      </c>
      <c r="K693">
        <f>H693*Parameters!$B$3*Parameters!$B$6</f>
        <v>0</v>
      </c>
      <c r="L693">
        <f>I693*Parameters!$B$4*Parameters!$B$7</f>
        <v>121.44600000000001</v>
      </c>
      <c r="M693">
        <f t="shared" si="10"/>
        <v>174.67349999999999</v>
      </c>
      <c r="N693">
        <v>0</v>
      </c>
      <c r="O693">
        <v>2500</v>
      </c>
      <c r="P693">
        <v>0</v>
      </c>
      <c r="Q693">
        <v>4500</v>
      </c>
    </row>
    <row r="694" spans="1:17">
      <c r="A694" t="s">
        <v>119</v>
      </c>
      <c r="B694" t="s">
        <v>40</v>
      </c>
      <c r="C694">
        <v>6</v>
      </c>
      <c r="D694">
        <v>2021</v>
      </c>
      <c r="E694" s="49" t="s">
        <v>146</v>
      </c>
      <c r="F694" s="49" t="s">
        <v>163</v>
      </c>
      <c r="G694">
        <f>'October to Jan, 2021 2022'!W96+'October to Jan, 2021 2022'!X96</f>
        <v>0</v>
      </c>
      <c r="H694">
        <f>'October to Jan, 2021 2022'!Y96</f>
        <v>0</v>
      </c>
      <c r="I694">
        <f>'October to Jan, 2021 2022'!Z96</f>
        <v>15</v>
      </c>
      <c r="J694">
        <f>G694*Parameters!$B$2*Parameters!$B$5</f>
        <v>0</v>
      </c>
      <c r="K694">
        <f>H694*Parameters!$B$3*Parameters!$B$6</f>
        <v>0</v>
      </c>
      <c r="L694">
        <f>I694*Parameters!$B$4*Parameters!$B$7</f>
        <v>121.44600000000001</v>
      </c>
      <c r="M694">
        <f t="shared" si="10"/>
        <v>121.44600000000001</v>
      </c>
      <c r="N694">
        <v>0</v>
      </c>
      <c r="O694">
        <v>0</v>
      </c>
      <c r="P694">
        <v>0</v>
      </c>
      <c r="Q694">
        <v>4500</v>
      </c>
    </row>
    <row r="695" spans="1:17">
      <c r="A695" t="s">
        <v>120</v>
      </c>
      <c r="B695" t="s">
        <v>32</v>
      </c>
      <c r="C695">
        <v>8</v>
      </c>
      <c r="D695">
        <v>2021</v>
      </c>
      <c r="E695" s="49" t="s">
        <v>146</v>
      </c>
      <c r="F695" s="49" t="s">
        <v>163</v>
      </c>
      <c r="G695">
        <f>'October to Jan, 2021 2022'!W97+'October to Jan, 2021 2022'!X97</f>
        <v>20</v>
      </c>
      <c r="H695">
        <f>'October to Jan, 2021 2022'!Y97</f>
        <v>0</v>
      </c>
      <c r="I695">
        <f>'October to Jan, 2021 2022'!Z97</f>
        <v>10</v>
      </c>
      <c r="J695">
        <f>G695*Parameters!$B$2*Parameters!$B$5</f>
        <v>42.581999999999994</v>
      </c>
      <c r="K695">
        <f>H695*Parameters!$B$3*Parameters!$B$6</f>
        <v>0</v>
      </c>
      <c r="L695">
        <f>I695*Parameters!$B$4*Parameters!$B$7</f>
        <v>80.963999999999999</v>
      </c>
      <c r="M695">
        <f t="shared" si="10"/>
        <v>123.54599999999999</v>
      </c>
      <c r="N695">
        <v>0</v>
      </c>
      <c r="O695">
        <v>2000</v>
      </c>
      <c r="P695">
        <v>0</v>
      </c>
      <c r="Q695">
        <v>3000</v>
      </c>
    </row>
    <row r="696" spans="1:17">
      <c r="A696" t="s">
        <v>121</v>
      </c>
      <c r="B696" t="s">
        <v>24</v>
      </c>
      <c r="C696">
        <v>5</v>
      </c>
      <c r="D696">
        <v>2021</v>
      </c>
      <c r="E696" s="49" t="s">
        <v>146</v>
      </c>
      <c r="F696" s="49" t="s">
        <v>163</v>
      </c>
      <c r="G696">
        <f>'October to Jan, 2021 2022'!W98+'October to Jan, 2021 2022'!X98</f>
        <v>30</v>
      </c>
      <c r="H696">
        <f>'October to Jan, 2021 2022'!Y98</f>
        <v>0</v>
      </c>
      <c r="I696">
        <f>'October to Jan, 2021 2022'!Z98</f>
        <v>5</v>
      </c>
      <c r="J696">
        <f>G696*Parameters!$B$2*Parameters!$B$5</f>
        <v>63.87299999999999</v>
      </c>
      <c r="K696">
        <f>H696*Parameters!$B$3*Parameters!$B$6</f>
        <v>0</v>
      </c>
      <c r="L696">
        <f>I696*Parameters!$B$4*Parameters!$B$7</f>
        <v>40.481999999999999</v>
      </c>
      <c r="M696">
        <f t="shared" si="10"/>
        <v>104.35499999999999</v>
      </c>
      <c r="N696">
        <v>0</v>
      </c>
      <c r="O696">
        <v>3000</v>
      </c>
      <c r="P696">
        <v>0</v>
      </c>
      <c r="Q696">
        <v>1500</v>
      </c>
    </row>
    <row r="697" spans="1:17">
      <c r="A697" t="s">
        <v>122</v>
      </c>
      <c r="B697" t="s">
        <v>26</v>
      </c>
      <c r="C697">
        <v>6</v>
      </c>
      <c r="D697">
        <v>2021</v>
      </c>
      <c r="E697" s="49" t="s">
        <v>146</v>
      </c>
      <c r="F697" s="49" t="s">
        <v>163</v>
      </c>
      <c r="G697">
        <f>'October to Jan, 2021 2022'!W99+'October to Jan, 2021 2022'!X99</f>
        <v>60</v>
      </c>
      <c r="H697">
        <f>'October to Jan, 2021 2022'!Y99</f>
        <v>0</v>
      </c>
      <c r="I697">
        <f>'October to Jan, 2021 2022'!Z99</f>
        <v>15</v>
      </c>
      <c r="J697">
        <f>G697*Parameters!$B$2*Parameters!$B$5</f>
        <v>127.74599999999998</v>
      </c>
      <c r="K697">
        <f>H697*Parameters!$B$3*Parameters!$B$6</f>
        <v>0</v>
      </c>
      <c r="L697">
        <f>I697*Parameters!$B$4*Parameters!$B$7</f>
        <v>121.44600000000001</v>
      </c>
      <c r="M697">
        <f t="shared" si="10"/>
        <v>249.19200000000001</v>
      </c>
      <c r="N697">
        <v>0</v>
      </c>
      <c r="O697">
        <v>6000</v>
      </c>
      <c r="P697">
        <v>0</v>
      </c>
      <c r="Q697">
        <v>4500</v>
      </c>
    </row>
    <row r="698" spans="1:17">
      <c r="A698" t="s">
        <v>123</v>
      </c>
      <c r="B698" t="s">
        <v>19</v>
      </c>
      <c r="C698">
        <v>8</v>
      </c>
      <c r="D698">
        <v>2021</v>
      </c>
      <c r="E698" s="49" t="s">
        <v>146</v>
      </c>
      <c r="F698" s="49" t="s">
        <v>163</v>
      </c>
      <c r="G698">
        <f>'October to Jan, 2021 2022'!W100+'October to Jan, 2021 2022'!X100</f>
        <v>42</v>
      </c>
      <c r="H698">
        <f>'October to Jan, 2021 2022'!Y100</f>
        <v>0</v>
      </c>
      <c r="I698">
        <f>'October to Jan, 2021 2022'!Z100</f>
        <v>10</v>
      </c>
      <c r="J698">
        <f>G698*Parameters!$B$2*Parameters!$B$5</f>
        <v>89.422199999999975</v>
      </c>
      <c r="K698">
        <f>H698*Parameters!$B$3*Parameters!$B$6</f>
        <v>0</v>
      </c>
      <c r="L698">
        <f>I698*Parameters!$B$4*Parameters!$B$7</f>
        <v>80.963999999999999</v>
      </c>
      <c r="M698">
        <f t="shared" si="10"/>
        <v>170.38619999999997</v>
      </c>
      <c r="N698">
        <v>0</v>
      </c>
      <c r="O698">
        <v>4200</v>
      </c>
      <c r="P698">
        <v>0</v>
      </c>
      <c r="Q698">
        <v>3000</v>
      </c>
    </row>
    <row r="699" spans="1:17">
      <c r="A699" t="s">
        <v>124</v>
      </c>
      <c r="B699" t="s">
        <v>56</v>
      </c>
      <c r="C699">
        <v>9</v>
      </c>
      <c r="D699">
        <v>2021</v>
      </c>
      <c r="E699" s="49" t="s">
        <v>146</v>
      </c>
      <c r="F699" s="49" t="s">
        <v>163</v>
      </c>
      <c r="G699">
        <f>'October to Jan, 2021 2022'!W101+'October to Jan, 2021 2022'!X101</f>
        <v>45</v>
      </c>
      <c r="H699">
        <f>'October to Jan, 2021 2022'!Y101</f>
        <v>0</v>
      </c>
      <c r="I699">
        <f>'October to Jan, 2021 2022'!Z101</f>
        <v>10</v>
      </c>
      <c r="J699">
        <f>G699*Parameters!$B$2*Parameters!$B$5</f>
        <v>95.809499999999986</v>
      </c>
      <c r="K699">
        <f>H699*Parameters!$B$3*Parameters!$B$6</f>
        <v>0</v>
      </c>
      <c r="L699">
        <f>I699*Parameters!$B$4*Parameters!$B$7</f>
        <v>80.963999999999999</v>
      </c>
      <c r="M699">
        <f t="shared" si="10"/>
        <v>176.77349999999998</v>
      </c>
      <c r="N699">
        <v>0</v>
      </c>
      <c r="O699">
        <v>4500</v>
      </c>
      <c r="P699">
        <v>0</v>
      </c>
      <c r="Q699">
        <v>3000</v>
      </c>
    </row>
    <row r="700" spans="1:17">
      <c r="A700" t="s">
        <v>125</v>
      </c>
      <c r="B700" t="s">
        <v>65</v>
      </c>
      <c r="C700">
        <v>7</v>
      </c>
      <c r="D700">
        <v>2021</v>
      </c>
      <c r="E700" s="49" t="s">
        <v>146</v>
      </c>
      <c r="F700" s="49" t="s">
        <v>163</v>
      </c>
      <c r="G700">
        <f>'October to Jan, 2021 2022'!W102+'October to Jan, 2021 2022'!X102</f>
        <v>30</v>
      </c>
      <c r="H700">
        <f>'October to Jan, 2021 2022'!Y102</f>
        <v>0</v>
      </c>
      <c r="I700">
        <f>'October to Jan, 2021 2022'!Z102</f>
        <v>15</v>
      </c>
      <c r="J700">
        <f>G700*Parameters!$B$2*Parameters!$B$5</f>
        <v>63.87299999999999</v>
      </c>
      <c r="K700">
        <f>H700*Parameters!$B$3*Parameters!$B$6</f>
        <v>0</v>
      </c>
      <c r="L700">
        <f>I700*Parameters!$B$4*Parameters!$B$7</f>
        <v>121.44600000000001</v>
      </c>
      <c r="M700">
        <f t="shared" si="10"/>
        <v>185.31900000000002</v>
      </c>
      <c r="N700">
        <v>0</v>
      </c>
      <c r="O700">
        <v>3000</v>
      </c>
      <c r="P700">
        <v>0</v>
      </c>
      <c r="Q700">
        <v>4500</v>
      </c>
    </row>
    <row r="701" spans="1:17">
      <c r="A701" t="s">
        <v>126</v>
      </c>
      <c r="B701" t="s">
        <v>65</v>
      </c>
      <c r="C701">
        <v>6</v>
      </c>
      <c r="D701">
        <v>2021</v>
      </c>
      <c r="E701" s="49" t="s">
        <v>146</v>
      </c>
      <c r="F701" s="49" t="s">
        <v>163</v>
      </c>
      <c r="G701">
        <f>'October to Jan, 2021 2022'!W103+'October to Jan, 2021 2022'!X103</f>
        <v>15</v>
      </c>
      <c r="H701">
        <f>'October to Jan, 2021 2022'!Y103</f>
        <v>0</v>
      </c>
      <c r="I701">
        <f>'October to Jan, 2021 2022'!Z103</f>
        <v>10</v>
      </c>
      <c r="J701">
        <f>G701*Parameters!$B$2*Parameters!$B$5</f>
        <v>31.936499999999995</v>
      </c>
      <c r="K701">
        <f>H701*Parameters!$B$3*Parameters!$B$6</f>
        <v>0</v>
      </c>
      <c r="L701">
        <f>I701*Parameters!$B$4*Parameters!$B$7</f>
        <v>80.963999999999999</v>
      </c>
      <c r="M701">
        <f t="shared" si="10"/>
        <v>112.90049999999999</v>
      </c>
      <c r="N701">
        <v>0</v>
      </c>
      <c r="O701">
        <v>1500</v>
      </c>
      <c r="P701">
        <v>0</v>
      </c>
      <c r="Q701">
        <v>3000</v>
      </c>
    </row>
    <row r="702" spans="1:17">
      <c r="A702" t="s">
        <v>16</v>
      </c>
      <c r="B702" t="s">
        <v>17</v>
      </c>
      <c r="C702">
        <v>8</v>
      </c>
      <c r="D702">
        <v>2022</v>
      </c>
      <c r="E702" s="49" t="s">
        <v>147</v>
      </c>
      <c r="F702" s="49" t="s">
        <v>163</v>
      </c>
      <c r="G702">
        <f>'October to Jan, 2021 2022'!AE4+'October to Jan, 2021 2022'!AF4</f>
        <v>50</v>
      </c>
      <c r="H702">
        <f>'October to Jan, 2021 2022'!AG4</f>
        <v>0</v>
      </c>
      <c r="I702">
        <f>'October to Jan, 2021 2022'!AH4</f>
        <v>10</v>
      </c>
      <c r="J702">
        <f>G702*Parameters!$B$2*Parameters!$B$5</f>
        <v>106.45499999999998</v>
      </c>
      <c r="K702">
        <f>H702*Parameters!$B$3*Parameters!$B$6</f>
        <v>0</v>
      </c>
      <c r="L702">
        <f>I702*Parameters!$B$4*Parameters!$B$7</f>
        <v>80.963999999999999</v>
      </c>
      <c r="M702">
        <f t="shared" si="10"/>
        <v>187.41899999999998</v>
      </c>
      <c r="N702">
        <v>0</v>
      </c>
      <c r="O702">
        <v>5000</v>
      </c>
      <c r="P702">
        <v>0</v>
      </c>
      <c r="Q702">
        <v>3000</v>
      </c>
    </row>
    <row r="703" spans="1:17">
      <c r="A703" t="s">
        <v>18</v>
      </c>
      <c r="B703" t="s">
        <v>19</v>
      </c>
      <c r="C703">
        <v>7</v>
      </c>
      <c r="D703">
        <v>2022</v>
      </c>
      <c r="E703" s="49" t="s">
        <v>147</v>
      </c>
      <c r="F703" s="49" t="s">
        <v>163</v>
      </c>
      <c r="G703">
        <f>'October to Jan, 2021 2022'!AE5+'October to Jan, 2021 2022'!AF5</f>
        <v>30</v>
      </c>
      <c r="H703">
        <f>'October to Jan, 2021 2022'!AG5</f>
        <v>0</v>
      </c>
      <c r="I703">
        <f>'October to Jan, 2021 2022'!AH5</f>
        <v>5</v>
      </c>
      <c r="J703">
        <f>G703*Parameters!$B$2*Parameters!$B$5</f>
        <v>63.87299999999999</v>
      </c>
      <c r="K703">
        <f>H703*Parameters!$B$3*Parameters!$B$6</f>
        <v>0</v>
      </c>
      <c r="L703">
        <f>I703*Parameters!$B$4*Parameters!$B$7</f>
        <v>40.481999999999999</v>
      </c>
      <c r="M703">
        <f t="shared" si="10"/>
        <v>104.35499999999999</v>
      </c>
      <c r="N703">
        <v>0</v>
      </c>
      <c r="O703">
        <v>3000</v>
      </c>
      <c r="P703">
        <v>0</v>
      </c>
      <c r="Q703">
        <v>1500</v>
      </c>
    </row>
    <row r="704" spans="1:17">
      <c r="A704" t="s">
        <v>20</v>
      </c>
      <c r="B704" t="s">
        <v>21</v>
      </c>
      <c r="C704">
        <v>10</v>
      </c>
      <c r="D704">
        <v>2022</v>
      </c>
      <c r="E704" s="49" t="s">
        <v>147</v>
      </c>
      <c r="F704" s="49" t="s">
        <v>163</v>
      </c>
      <c r="G704">
        <f>'October to Jan, 2021 2022'!AE6+'October to Jan, 2021 2022'!AF6</f>
        <v>30</v>
      </c>
      <c r="H704">
        <f>'October to Jan, 2021 2022'!AG6</f>
        <v>0</v>
      </c>
      <c r="I704">
        <f>'October to Jan, 2021 2022'!AH6</f>
        <v>5</v>
      </c>
      <c r="J704">
        <f>G704*Parameters!$B$2*Parameters!$B$5</f>
        <v>63.87299999999999</v>
      </c>
      <c r="K704">
        <f>H704*Parameters!$B$3*Parameters!$B$6</f>
        <v>0</v>
      </c>
      <c r="L704">
        <f>I704*Parameters!$B$4*Parameters!$B$7</f>
        <v>40.481999999999999</v>
      </c>
      <c r="M704">
        <f t="shared" si="10"/>
        <v>104.35499999999999</v>
      </c>
      <c r="N704">
        <v>0</v>
      </c>
      <c r="O704">
        <v>3000</v>
      </c>
      <c r="P704">
        <v>0</v>
      </c>
      <c r="Q704">
        <v>1500</v>
      </c>
    </row>
    <row r="705" spans="1:17">
      <c r="A705" t="s">
        <v>22</v>
      </c>
      <c r="B705" t="s">
        <v>19</v>
      </c>
      <c r="C705">
        <v>7</v>
      </c>
      <c r="D705">
        <v>2022</v>
      </c>
      <c r="E705" s="49" t="s">
        <v>147</v>
      </c>
      <c r="F705" s="49" t="s">
        <v>163</v>
      </c>
      <c r="G705">
        <f>'October to Jan, 2021 2022'!AE7+'October to Jan, 2021 2022'!AF7</f>
        <v>38</v>
      </c>
      <c r="H705">
        <f>'October to Jan, 2021 2022'!AG7</f>
        <v>0</v>
      </c>
      <c r="I705">
        <f>'October to Jan, 2021 2022'!AH7</f>
        <v>10</v>
      </c>
      <c r="J705">
        <f>G705*Parameters!$B$2*Parameters!$B$5</f>
        <v>80.905799999999985</v>
      </c>
      <c r="K705">
        <f>H705*Parameters!$B$3*Parameters!$B$6</f>
        <v>0</v>
      </c>
      <c r="L705">
        <f>I705*Parameters!$B$4*Parameters!$B$7</f>
        <v>80.963999999999999</v>
      </c>
      <c r="M705">
        <f t="shared" si="10"/>
        <v>161.8698</v>
      </c>
      <c r="N705">
        <v>0</v>
      </c>
      <c r="O705">
        <v>3800</v>
      </c>
      <c r="P705">
        <v>0</v>
      </c>
      <c r="Q705">
        <v>3000</v>
      </c>
    </row>
    <row r="706" spans="1:17">
      <c r="A706" t="s">
        <v>23</v>
      </c>
      <c r="B706" t="s">
        <v>24</v>
      </c>
      <c r="C706">
        <v>4</v>
      </c>
      <c r="D706">
        <v>2022</v>
      </c>
      <c r="E706" s="49" t="s">
        <v>147</v>
      </c>
      <c r="F706" s="49" t="s">
        <v>163</v>
      </c>
      <c r="G706">
        <f>'October to Jan, 2021 2022'!AE8+'October to Jan, 2021 2022'!AF8</f>
        <v>45</v>
      </c>
      <c r="H706">
        <f>'October to Jan, 2021 2022'!AG8</f>
        <v>0</v>
      </c>
      <c r="I706">
        <f>'October to Jan, 2021 2022'!AH8</f>
        <v>15</v>
      </c>
      <c r="J706">
        <f>G706*Parameters!$B$2*Parameters!$B$5</f>
        <v>95.809499999999986</v>
      </c>
      <c r="K706">
        <f>H706*Parameters!$B$3*Parameters!$B$6</f>
        <v>0</v>
      </c>
      <c r="L706">
        <f>I706*Parameters!$B$4*Parameters!$B$7</f>
        <v>121.44600000000001</v>
      </c>
      <c r="M706">
        <f t="shared" si="10"/>
        <v>217.25549999999998</v>
      </c>
      <c r="N706">
        <v>0</v>
      </c>
      <c r="O706">
        <v>4500</v>
      </c>
      <c r="P706">
        <v>0</v>
      </c>
      <c r="Q706">
        <v>4500</v>
      </c>
    </row>
    <row r="707" spans="1:17">
      <c r="A707" t="s">
        <v>25</v>
      </c>
      <c r="B707" t="s">
        <v>26</v>
      </c>
      <c r="C707">
        <v>3</v>
      </c>
      <c r="D707">
        <v>2022</v>
      </c>
      <c r="E707" s="49" t="s">
        <v>147</v>
      </c>
      <c r="F707" s="49" t="s">
        <v>163</v>
      </c>
      <c r="G707">
        <f>'October to Jan, 2021 2022'!AE9+'October to Jan, 2021 2022'!AF9</f>
        <v>35</v>
      </c>
      <c r="H707">
        <f>'October to Jan, 2021 2022'!AG9</f>
        <v>0</v>
      </c>
      <c r="I707">
        <f>'October to Jan, 2021 2022'!AH9</f>
        <v>12.5</v>
      </c>
      <c r="J707">
        <f>G707*Parameters!$B$2*Parameters!$B$5</f>
        <v>74.518499999999989</v>
      </c>
      <c r="K707">
        <f>H707*Parameters!$B$3*Parameters!$B$6</f>
        <v>0</v>
      </c>
      <c r="L707">
        <f>I707*Parameters!$B$4*Parameters!$B$7</f>
        <v>101.20500000000001</v>
      </c>
      <c r="M707">
        <f t="shared" ref="M707:M770" si="11">SUM(J707:L707)</f>
        <v>175.7235</v>
      </c>
      <c r="N707">
        <v>0</v>
      </c>
      <c r="O707">
        <v>3500</v>
      </c>
      <c r="P707">
        <v>0</v>
      </c>
      <c r="Q707">
        <v>3750</v>
      </c>
    </row>
    <row r="708" spans="1:17">
      <c r="A708" t="s">
        <v>27</v>
      </c>
      <c r="B708" t="s">
        <v>21</v>
      </c>
      <c r="C708">
        <v>6</v>
      </c>
      <c r="D708">
        <v>2022</v>
      </c>
      <c r="E708" s="49" t="s">
        <v>147</v>
      </c>
      <c r="F708" s="49" t="s">
        <v>163</v>
      </c>
      <c r="G708">
        <f>'October to Jan, 2021 2022'!AE10+'October to Jan, 2021 2022'!AF10</f>
        <v>47</v>
      </c>
      <c r="H708">
        <f>'October to Jan, 2021 2022'!AG10</f>
        <v>0</v>
      </c>
      <c r="I708">
        <f>'October to Jan, 2021 2022'!AH10</f>
        <v>15</v>
      </c>
      <c r="J708">
        <f>G708*Parameters!$B$2*Parameters!$B$5</f>
        <v>100.06769999999997</v>
      </c>
      <c r="K708">
        <f>H708*Parameters!$B$3*Parameters!$B$6</f>
        <v>0</v>
      </c>
      <c r="L708">
        <f>I708*Parameters!$B$4*Parameters!$B$7</f>
        <v>121.44600000000001</v>
      </c>
      <c r="M708">
        <f t="shared" si="11"/>
        <v>221.51369999999997</v>
      </c>
      <c r="N708">
        <v>0</v>
      </c>
      <c r="O708">
        <v>4700</v>
      </c>
      <c r="P708">
        <v>0</v>
      </c>
      <c r="Q708">
        <v>4500</v>
      </c>
    </row>
    <row r="709" spans="1:17">
      <c r="A709" t="s">
        <v>28</v>
      </c>
      <c r="B709" t="s">
        <v>19</v>
      </c>
      <c r="C709">
        <v>9</v>
      </c>
      <c r="D709">
        <v>2022</v>
      </c>
      <c r="E709" s="49" t="s">
        <v>147</v>
      </c>
      <c r="F709" s="49" t="s">
        <v>163</v>
      </c>
      <c r="G709">
        <f>'October to Jan, 2021 2022'!AE11+'October to Jan, 2021 2022'!AF11</f>
        <v>55</v>
      </c>
      <c r="H709">
        <f>'October to Jan, 2021 2022'!AG11</f>
        <v>0</v>
      </c>
      <c r="I709">
        <f>'October to Jan, 2021 2022'!AH11</f>
        <v>20</v>
      </c>
      <c r="J709">
        <f>G709*Parameters!$B$2*Parameters!$B$5</f>
        <v>117.10049999999998</v>
      </c>
      <c r="K709">
        <f>H709*Parameters!$B$3*Parameters!$B$6</f>
        <v>0</v>
      </c>
      <c r="L709">
        <f>I709*Parameters!$B$4*Parameters!$B$7</f>
        <v>161.928</v>
      </c>
      <c r="M709">
        <f t="shared" si="11"/>
        <v>279.02850000000001</v>
      </c>
      <c r="N709">
        <v>0</v>
      </c>
      <c r="O709">
        <v>5500</v>
      </c>
      <c r="P709">
        <v>0</v>
      </c>
      <c r="Q709">
        <v>6000</v>
      </c>
    </row>
    <row r="710" spans="1:17">
      <c r="A710" t="s">
        <v>29</v>
      </c>
      <c r="B710" t="s">
        <v>24</v>
      </c>
      <c r="C710">
        <v>4</v>
      </c>
      <c r="D710">
        <v>2022</v>
      </c>
      <c r="E710" s="49" t="s">
        <v>147</v>
      </c>
      <c r="F710" s="49" t="s">
        <v>163</v>
      </c>
      <c r="G710">
        <f>'October to Jan, 2021 2022'!AE12+'October to Jan, 2021 2022'!AF12</f>
        <v>30</v>
      </c>
      <c r="H710">
        <f>'October to Jan, 2021 2022'!AG12</f>
        <v>0</v>
      </c>
      <c r="I710">
        <f>'October to Jan, 2021 2022'!AH12</f>
        <v>10</v>
      </c>
      <c r="J710">
        <f>G710*Parameters!$B$2*Parameters!$B$5</f>
        <v>63.87299999999999</v>
      </c>
      <c r="K710">
        <f>H710*Parameters!$B$3*Parameters!$B$6</f>
        <v>0</v>
      </c>
      <c r="L710">
        <f>I710*Parameters!$B$4*Parameters!$B$7</f>
        <v>80.963999999999999</v>
      </c>
      <c r="M710">
        <f t="shared" si="11"/>
        <v>144.83699999999999</v>
      </c>
      <c r="N710">
        <v>0</v>
      </c>
      <c r="O710">
        <v>3000</v>
      </c>
      <c r="P710">
        <v>0</v>
      </c>
      <c r="Q710">
        <v>3000</v>
      </c>
    </row>
    <row r="711" spans="1:17">
      <c r="A711" t="s">
        <v>30</v>
      </c>
      <c r="B711" t="s">
        <v>21</v>
      </c>
      <c r="C711">
        <v>6</v>
      </c>
      <c r="D711">
        <v>2022</v>
      </c>
      <c r="E711" s="49" t="s">
        <v>147</v>
      </c>
      <c r="F711" s="49" t="s">
        <v>163</v>
      </c>
      <c r="G711">
        <f>'October to Jan, 2021 2022'!AE13+'October to Jan, 2021 2022'!AF13</f>
        <v>25</v>
      </c>
      <c r="H711">
        <f>'October to Jan, 2021 2022'!AG13</f>
        <v>0</v>
      </c>
      <c r="I711">
        <f>'October to Jan, 2021 2022'!AH13</f>
        <v>10</v>
      </c>
      <c r="J711">
        <f>G711*Parameters!$B$2*Parameters!$B$5</f>
        <v>53.227499999999992</v>
      </c>
      <c r="K711">
        <f>H711*Parameters!$B$3*Parameters!$B$6</f>
        <v>0</v>
      </c>
      <c r="L711">
        <f>I711*Parameters!$B$4*Parameters!$B$7</f>
        <v>80.963999999999999</v>
      </c>
      <c r="M711">
        <f t="shared" si="11"/>
        <v>134.19149999999999</v>
      </c>
      <c r="N711">
        <v>0</v>
      </c>
      <c r="O711">
        <v>2500</v>
      </c>
      <c r="P711">
        <v>0</v>
      </c>
      <c r="Q711">
        <v>3000</v>
      </c>
    </row>
    <row r="712" spans="1:17">
      <c r="A712" t="s">
        <v>31</v>
      </c>
      <c r="B712" t="s">
        <v>32</v>
      </c>
      <c r="C712">
        <v>4</v>
      </c>
      <c r="D712">
        <v>2022</v>
      </c>
      <c r="E712" s="49" t="s">
        <v>147</v>
      </c>
      <c r="F712" s="49" t="s">
        <v>163</v>
      </c>
      <c r="G712">
        <f>'October to Jan, 2021 2022'!AE14+'October to Jan, 2021 2022'!AF14</f>
        <v>55</v>
      </c>
      <c r="H712">
        <f>'October to Jan, 2021 2022'!AG14</f>
        <v>0</v>
      </c>
      <c r="I712">
        <f>'October to Jan, 2021 2022'!AH14</f>
        <v>5</v>
      </c>
      <c r="J712">
        <f>G712*Parameters!$B$2*Parameters!$B$5</f>
        <v>117.10049999999998</v>
      </c>
      <c r="K712">
        <f>H712*Parameters!$B$3*Parameters!$B$6</f>
        <v>0</v>
      </c>
      <c r="L712">
        <f>I712*Parameters!$B$4*Parameters!$B$7</f>
        <v>40.481999999999999</v>
      </c>
      <c r="M712">
        <f t="shared" si="11"/>
        <v>157.58249999999998</v>
      </c>
      <c r="N712">
        <v>0</v>
      </c>
      <c r="O712">
        <v>5500</v>
      </c>
      <c r="P712">
        <v>0</v>
      </c>
      <c r="Q712">
        <v>1500</v>
      </c>
    </row>
    <row r="713" spans="1:17">
      <c r="A713" t="s">
        <v>33</v>
      </c>
      <c r="B713" t="s">
        <v>32</v>
      </c>
      <c r="C713">
        <v>6</v>
      </c>
      <c r="D713">
        <v>2022</v>
      </c>
      <c r="E713" s="49" t="s">
        <v>147</v>
      </c>
      <c r="F713" s="49" t="s">
        <v>163</v>
      </c>
      <c r="G713">
        <f>'October to Jan, 2021 2022'!AE15+'October to Jan, 2021 2022'!AF15</f>
        <v>25</v>
      </c>
      <c r="H713">
        <f>'October to Jan, 2021 2022'!AG15</f>
        <v>0</v>
      </c>
      <c r="I713">
        <f>'October to Jan, 2021 2022'!AH15</f>
        <v>20</v>
      </c>
      <c r="J713">
        <f>G713*Parameters!$B$2*Parameters!$B$5</f>
        <v>53.227499999999992</v>
      </c>
      <c r="K713">
        <f>H713*Parameters!$B$3*Parameters!$B$6</f>
        <v>0</v>
      </c>
      <c r="L713">
        <f>I713*Parameters!$B$4*Parameters!$B$7</f>
        <v>161.928</v>
      </c>
      <c r="M713">
        <f t="shared" si="11"/>
        <v>215.15549999999999</v>
      </c>
      <c r="N713">
        <v>0</v>
      </c>
      <c r="O713">
        <v>2500</v>
      </c>
      <c r="P713">
        <v>0</v>
      </c>
      <c r="Q713">
        <v>6000</v>
      </c>
    </row>
    <row r="714" spans="1:17">
      <c r="A714" t="s">
        <v>34</v>
      </c>
      <c r="B714" t="s">
        <v>21</v>
      </c>
      <c r="C714">
        <v>9</v>
      </c>
      <c r="D714">
        <v>2022</v>
      </c>
      <c r="E714" s="49" t="s">
        <v>147</v>
      </c>
      <c r="F714" s="49" t="s">
        <v>163</v>
      </c>
      <c r="G714">
        <f>'October to Jan, 2021 2022'!AE16+'October to Jan, 2021 2022'!AF16</f>
        <v>30</v>
      </c>
      <c r="H714">
        <f>'October to Jan, 2021 2022'!AG16</f>
        <v>0</v>
      </c>
      <c r="I714">
        <f>'October to Jan, 2021 2022'!AH16</f>
        <v>20</v>
      </c>
      <c r="J714">
        <f>G714*Parameters!$B$2*Parameters!$B$5</f>
        <v>63.87299999999999</v>
      </c>
      <c r="K714">
        <f>H714*Parameters!$B$3*Parameters!$B$6</f>
        <v>0</v>
      </c>
      <c r="L714">
        <f>I714*Parameters!$B$4*Parameters!$B$7</f>
        <v>161.928</v>
      </c>
      <c r="M714">
        <f t="shared" si="11"/>
        <v>225.80099999999999</v>
      </c>
      <c r="N714">
        <v>0</v>
      </c>
      <c r="O714">
        <v>3000</v>
      </c>
      <c r="P714">
        <v>0</v>
      </c>
      <c r="Q714">
        <v>6000</v>
      </c>
    </row>
    <row r="715" spans="1:17">
      <c r="A715" t="s">
        <v>35</v>
      </c>
      <c r="B715" t="s">
        <v>21</v>
      </c>
      <c r="C715">
        <v>6</v>
      </c>
      <c r="D715">
        <v>2022</v>
      </c>
      <c r="E715" s="49" t="s">
        <v>147</v>
      </c>
      <c r="F715" s="49" t="s">
        <v>163</v>
      </c>
      <c r="G715">
        <f>'October to Jan, 2021 2022'!AE17+'October to Jan, 2021 2022'!AF17</f>
        <v>32</v>
      </c>
      <c r="H715">
        <f>'October to Jan, 2021 2022'!AG17</f>
        <v>0</v>
      </c>
      <c r="I715">
        <f>'October to Jan, 2021 2022'!AH17</f>
        <v>8</v>
      </c>
      <c r="J715">
        <f>G715*Parameters!$B$2*Parameters!$B$5</f>
        <v>68.131199999999993</v>
      </c>
      <c r="K715">
        <f>H715*Parameters!$B$3*Parameters!$B$6</f>
        <v>0</v>
      </c>
      <c r="L715">
        <f>I715*Parameters!$B$4*Parameters!$B$7</f>
        <v>64.771200000000007</v>
      </c>
      <c r="M715">
        <f t="shared" si="11"/>
        <v>132.9024</v>
      </c>
      <c r="N715">
        <v>0</v>
      </c>
      <c r="O715">
        <v>3200</v>
      </c>
      <c r="P715">
        <v>0</v>
      </c>
      <c r="Q715">
        <v>2400</v>
      </c>
    </row>
    <row r="716" spans="1:17">
      <c r="A716" t="s">
        <v>36</v>
      </c>
      <c r="B716" t="s">
        <v>21</v>
      </c>
      <c r="C716">
        <v>12</v>
      </c>
      <c r="D716">
        <v>2022</v>
      </c>
      <c r="E716" s="49" t="s">
        <v>147</v>
      </c>
      <c r="F716" s="49" t="s">
        <v>163</v>
      </c>
      <c r="G716">
        <f>'October to Jan, 2021 2022'!AE18+'October to Jan, 2021 2022'!AF18</f>
        <v>40</v>
      </c>
      <c r="H716">
        <f>'October to Jan, 2021 2022'!AG18</f>
        <v>0</v>
      </c>
      <c r="I716">
        <f>'October to Jan, 2021 2022'!AH18</f>
        <v>10</v>
      </c>
      <c r="J716">
        <f>G716*Parameters!$B$2*Parameters!$B$5</f>
        <v>85.163999999999987</v>
      </c>
      <c r="K716">
        <f>H716*Parameters!$B$3*Parameters!$B$6</f>
        <v>0</v>
      </c>
      <c r="L716">
        <f>I716*Parameters!$B$4*Parameters!$B$7</f>
        <v>80.963999999999999</v>
      </c>
      <c r="M716">
        <f t="shared" si="11"/>
        <v>166.12799999999999</v>
      </c>
      <c r="N716">
        <v>0</v>
      </c>
      <c r="O716">
        <v>4000</v>
      </c>
      <c r="P716">
        <v>0</v>
      </c>
      <c r="Q716">
        <v>3000</v>
      </c>
    </row>
    <row r="717" spans="1:17">
      <c r="A717" t="s">
        <v>37</v>
      </c>
      <c r="B717" t="s">
        <v>38</v>
      </c>
      <c r="C717">
        <v>7</v>
      </c>
      <c r="D717">
        <v>2022</v>
      </c>
      <c r="E717" s="49" t="s">
        <v>147</v>
      </c>
      <c r="F717" s="49" t="s">
        <v>163</v>
      </c>
      <c r="G717">
        <f>'October to Jan, 2021 2022'!AE19+'October to Jan, 2021 2022'!AF19</f>
        <v>40</v>
      </c>
      <c r="H717">
        <f>'October to Jan, 2021 2022'!AG19</f>
        <v>0</v>
      </c>
      <c r="I717">
        <f>'October to Jan, 2021 2022'!AH19</f>
        <v>15</v>
      </c>
      <c r="J717">
        <f>G717*Parameters!$B$2*Parameters!$B$5</f>
        <v>85.163999999999987</v>
      </c>
      <c r="K717">
        <f>H717*Parameters!$B$3*Parameters!$B$6</f>
        <v>0</v>
      </c>
      <c r="L717">
        <f>I717*Parameters!$B$4*Parameters!$B$7</f>
        <v>121.44600000000001</v>
      </c>
      <c r="M717">
        <f t="shared" si="11"/>
        <v>206.61</v>
      </c>
      <c r="N717">
        <v>0</v>
      </c>
      <c r="O717">
        <v>4000</v>
      </c>
      <c r="P717">
        <v>0</v>
      </c>
      <c r="Q717">
        <v>4500</v>
      </c>
    </row>
    <row r="718" spans="1:17">
      <c r="A718" t="s">
        <v>39</v>
      </c>
      <c r="B718" t="s">
        <v>40</v>
      </c>
      <c r="C718">
        <v>6</v>
      </c>
      <c r="D718">
        <v>2022</v>
      </c>
      <c r="E718" s="49" t="s">
        <v>147</v>
      </c>
      <c r="F718" s="49" t="s">
        <v>163</v>
      </c>
      <c r="G718">
        <f>'October to Jan, 2021 2022'!AE20+'October to Jan, 2021 2022'!AF20</f>
        <v>35</v>
      </c>
      <c r="H718">
        <f>'October to Jan, 2021 2022'!AG20</f>
        <v>0</v>
      </c>
      <c r="I718">
        <f>'October to Jan, 2021 2022'!AH20</f>
        <v>0</v>
      </c>
      <c r="J718">
        <f>G718*Parameters!$B$2*Parameters!$B$5</f>
        <v>74.518499999999989</v>
      </c>
      <c r="K718">
        <f>H718*Parameters!$B$3*Parameters!$B$6</f>
        <v>0</v>
      </c>
      <c r="L718">
        <f>I718*Parameters!$B$4*Parameters!$B$7</f>
        <v>0</v>
      </c>
      <c r="M718">
        <f t="shared" si="11"/>
        <v>74.518499999999989</v>
      </c>
      <c r="N718">
        <v>0</v>
      </c>
      <c r="O718">
        <v>3500</v>
      </c>
      <c r="P718">
        <v>0</v>
      </c>
      <c r="Q718">
        <v>0</v>
      </c>
    </row>
    <row r="719" spans="1:17">
      <c r="A719" t="s">
        <v>41</v>
      </c>
      <c r="B719" t="s">
        <v>26</v>
      </c>
      <c r="C719">
        <v>5</v>
      </c>
      <c r="D719">
        <v>2022</v>
      </c>
      <c r="E719" s="49" t="s">
        <v>147</v>
      </c>
      <c r="F719" s="49" t="s">
        <v>163</v>
      </c>
      <c r="G719">
        <f>'October to Jan, 2021 2022'!AE21+'October to Jan, 2021 2022'!AF21</f>
        <v>38</v>
      </c>
      <c r="H719">
        <f>'October to Jan, 2021 2022'!AG21</f>
        <v>0</v>
      </c>
      <c r="I719">
        <f>'October to Jan, 2021 2022'!AH21</f>
        <v>10</v>
      </c>
      <c r="J719">
        <f>G719*Parameters!$B$2*Parameters!$B$5</f>
        <v>80.905799999999985</v>
      </c>
      <c r="K719">
        <f>H719*Parameters!$B$3*Parameters!$B$6</f>
        <v>0</v>
      </c>
      <c r="L719">
        <f>I719*Parameters!$B$4*Parameters!$B$7</f>
        <v>80.963999999999999</v>
      </c>
      <c r="M719">
        <f t="shared" si="11"/>
        <v>161.8698</v>
      </c>
      <c r="N719">
        <v>0</v>
      </c>
      <c r="O719">
        <v>3800</v>
      </c>
      <c r="P719">
        <v>0</v>
      </c>
      <c r="Q719">
        <v>3000</v>
      </c>
    </row>
    <row r="720" spans="1:17">
      <c r="A720" t="s">
        <v>42</v>
      </c>
      <c r="B720" t="s">
        <v>24</v>
      </c>
      <c r="C720">
        <v>5</v>
      </c>
      <c r="D720">
        <v>2022</v>
      </c>
      <c r="E720" s="49" t="s">
        <v>147</v>
      </c>
      <c r="F720" s="49" t="s">
        <v>163</v>
      </c>
      <c r="G720">
        <f>'October to Jan, 2021 2022'!AE22+'October to Jan, 2021 2022'!AF22</f>
        <v>42</v>
      </c>
      <c r="H720">
        <f>'October to Jan, 2021 2022'!AG22</f>
        <v>0</v>
      </c>
      <c r="I720">
        <f>'October to Jan, 2021 2022'!AH22</f>
        <v>15</v>
      </c>
      <c r="J720">
        <f>G720*Parameters!$B$2*Parameters!$B$5</f>
        <v>89.422199999999975</v>
      </c>
      <c r="K720">
        <f>H720*Parameters!$B$3*Parameters!$B$6</f>
        <v>0</v>
      </c>
      <c r="L720">
        <f>I720*Parameters!$B$4*Parameters!$B$7</f>
        <v>121.44600000000001</v>
      </c>
      <c r="M720">
        <f t="shared" si="11"/>
        <v>210.8682</v>
      </c>
      <c r="N720">
        <v>0</v>
      </c>
      <c r="O720">
        <v>4200</v>
      </c>
      <c r="P720">
        <v>0</v>
      </c>
      <c r="Q720">
        <v>4500</v>
      </c>
    </row>
    <row r="721" spans="1:17">
      <c r="A721" t="s">
        <v>43</v>
      </c>
      <c r="B721" t="s">
        <v>19</v>
      </c>
      <c r="C721">
        <v>8</v>
      </c>
      <c r="D721">
        <v>2022</v>
      </c>
      <c r="E721" s="49" t="s">
        <v>147</v>
      </c>
      <c r="F721" s="49" t="s">
        <v>163</v>
      </c>
      <c r="G721">
        <f>'October to Jan, 2021 2022'!AE23+'October to Jan, 2021 2022'!AF23</f>
        <v>47</v>
      </c>
      <c r="H721">
        <f>'October to Jan, 2021 2022'!AG23</f>
        <v>0</v>
      </c>
      <c r="I721">
        <f>'October to Jan, 2021 2022'!AH23</f>
        <v>10</v>
      </c>
      <c r="J721">
        <f>G721*Parameters!$B$2*Parameters!$B$5</f>
        <v>100.06769999999997</v>
      </c>
      <c r="K721">
        <f>H721*Parameters!$B$3*Parameters!$B$6</f>
        <v>0</v>
      </c>
      <c r="L721">
        <f>I721*Parameters!$B$4*Parameters!$B$7</f>
        <v>80.963999999999999</v>
      </c>
      <c r="M721">
        <f t="shared" si="11"/>
        <v>181.03169999999997</v>
      </c>
      <c r="N721">
        <v>0</v>
      </c>
      <c r="O721">
        <v>4700</v>
      </c>
      <c r="P721">
        <v>0</v>
      </c>
      <c r="Q721">
        <v>3000</v>
      </c>
    </row>
    <row r="722" spans="1:17">
      <c r="A722" t="s">
        <v>44</v>
      </c>
      <c r="B722" t="s">
        <v>40</v>
      </c>
      <c r="C722">
        <v>10</v>
      </c>
      <c r="D722">
        <v>2022</v>
      </c>
      <c r="E722" s="49" t="s">
        <v>147</v>
      </c>
      <c r="F722" s="49" t="s">
        <v>163</v>
      </c>
      <c r="G722">
        <f>'October to Jan, 2021 2022'!AE24+'October to Jan, 2021 2022'!AF24</f>
        <v>30</v>
      </c>
      <c r="H722">
        <f>'October to Jan, 2021 2022'!AG24</f>
        <v>0</v>
      </c>
      <c r="I722">
        <f>'October to Jan, 2021 2022'!AH24</f>
        <v>12</v>
      </c>
      <c r="J722">
        <f>G722*Parameters!$B$2*Parameters!$B$5</f>
        <v>63.87299999999999</v>
      </c>
      <c r="K722">
        <f>H722*Parameters!$B$3*Parameters!$B$6</f>
        <v>0</v>
      </c>
      <c r="L722">
        <f>I722*Parameters!$B$4*Parameters!$B$7</f>
        <v>97.156800000000018</v>
      </c>
      <c r="M722">
        <f t="shared" si="11"/>
        <v>161.02980000000002</v>
      </c>
      <c r="N722">
        <v>0</v>
      </c>
      <c r="O722">
        <v>3000</v>
      </c>
      <c r="P722">
        <v>0</v>
      </c>
      <c r="Q722">
        <v>3600</v>
      </c>
    </row>
    <row r="723" spans="1:17">
      <c r="A723" t="s">
        <v>45</v>
      </c>
      <c r="B723" t="s">
        <v>24</v>
      </c>
      <c r="C723">
        <v>8</v>
      </c>
      <c r="D723">
        <v>2022</v>
      </c>
      <c r="E723" s="49" t="s">
        <v>147</v>
      </c>
      <c r="F723" s="49" t="s">
        <v>163</v>
      </c>
      <c r="G723">
        <f>'October to Jan, 2021 2022'!AE25+'October to Jan, 2021 2022'!AF25</f>
        <v>30</v>
      </c>
      <c r="H723">
        <f>'October to Jan, 2021 2022'!AG25</f>
        <v>0</v>
      </c>
      <c r="I723">
        <f>'October to Jan, 2021 2022'!AH25</f>
        <v>15</v>
      </c>
      <c r="J723">
        <f>G723*Parameters!$B$2*Parameters!$B$5</f>
        <v>63.87299999999999</v>
      </c>
      <c r="K723">
        <f>H723*Parameters!$B$3*Parameters!$B$6</f>
        <v>0</v>
      </c>
      <c r="L723">
        <f>I723*Parameters!$B$4*Parameters!$B$7</f>
        <v>121.44600000000001</v>
      </c>
      <c r="M723">
        <f t="shared" si="11"/>
        <v>185.31900000000002</v>
      </c>
      <c r="N723">
        <v>0</v>
      </c>
      <c r="O723">
        <v>3000</v>
      </c>
      <c r="P723">
        <v>0</v>
      </c>
      <c r="Q723">
        <v>4500</v>
      </c>
    </row>
    <row r="724" spans="1:17">
      <c r="A724" t="s">
        <v>46</v>
      </c>
      <c r="B724" t="s">
        <v>24</v>
      </c>
      <c r="C724">
        <v>4</v>
      </c>
      <c r="D724">
        <v>2022</v>
      </c>
      <c r="E724" s="49" t="s">
        <v>147</v>
      </c>
      <c r="F724" s="49" t="s">
        <v>163</v>
      </c>
      <c r="G724">
        <f>'October to Jan, 2021 2022'!AE26+'October to Jan, 2021 2022'!AF26</f>
        <v>34</v>
      </c>
      <c r="H724">
        <f>'October to Jan, 2021 2022'!AG26</f>
        <v>0</v>
      </c>
      <c r="I724">
        <f>'October to Jan, 2021 2022'!AH26</f>
        <v>10</v>
      </c>
      <c r="J724">
        <f>G724*Parameters!$B$2*Parameters!$B$5</f>
        <v>72.389399999999995</v>
      </c>
      <c r="K724">
        <f>H724*Parameters!$B$3*Parameters!$B$6</f>
        <v>0</v>
      </c>
      <c r="L724">
        <f>I724*Parameters!$B$4*Parameters!$B$7</f>
        <v>80.963999999999999</v>
      </c>
      <c r="M724">
        <f t="shared" si="11"/>
        <v>153.35339999999999</v>
      </c>
      <c r="N724">
        <v>0</v>
      </c>
      <c r="O724">
        <v>3400</v>
      </c>
      <c r="P724">
        <v>0</v>
      </c>
      <c r="Q724">
        <v>3000</v>
      </c>
    </row>
    <row r="725" spans="1:17">
      <c r="A725" t="s">
        <v>47</v>
      </c>
      <c r="B725" t="s">
        <v>19</v>
      </c>
      <c r="C725">
        <v>6</v>
      </c>
      <c r="D725">
        <v>2022</v>
      </c>
      <c r="E725" s="49" t="s">
        <v>147</v>
      </c>
      <c r="F725" s="49" t="s">
        <v>163</v>
      </c>
      <c r="G725">
        <f>'October to Jan, 2021 2022'!AE27+'October to Jan, 2021 2022'!AF27</f>
        <v>0</v>
      </c>
      <c r="H725">
        <f>'October to Jan, 2021 2022'!AG27</f>
        <v>20</v>
      </c>
      <c r="I725">
        <f>'October to Jan, 2021 2022'!AH27</f>
        <v>5</v>
      </c>
      <c r="J725">
        <f>G725*Parameters!$B$2*Parameters!$B$5</f>
        <v>0</v>
      </c>
      <c r="K725">
        <f>H725*Parameters!$B$3*Parameters!$B$6</f>
        <v>125.416</v>
      </c>
      <c r="L725">
        <f>I725*Parameters!$B$4*Parameters!$B$7</f>
        <v>40.481999999999999</v>
      </c>
      <c r="M725">
        <f t="shared" si="11"/>
        <v>165.898</v>
      </c>
      <c r="N725">
        <v>0</v>
      </c>
      <c r="O725">
        <v>0</v>
      </c>
      <c r="P725">
        <v>6000</v>
      </c>
      <c r="Q725">
        <v>1500</v>
      </c>
    </row>
    <row r="726" spans="1:17">
      <c r="A726" t="s">
        <v>48</v>
      </c>
      <c r="B726" t="s">
        <v>24</v>
      </c>
      <c r="C726">
        <v>4</v>
      </c>
      <c r="D726">
        <v>2022</v>
      </c>
      <c r="E726" s="49" t="s">
        <v>147</v>
      </c>
      <c r="F726" s="49" t="s">
        <v>163</v>
      </c>
      <c r="G726">
        <f>'October to Jan, 2021 2022'!AE28+'October to Jan, 2021 2022'!AF28</f>
        <v>50</v>
      </c>
      <c r="H726">
        <f>'October to Jan, 2021 2022'!AG28</f>
        <v>0</v>
      </c>
      <c r="I726">
        <f>'October to Jan, 2021 2022'!AH28</f>
        <v>15</v>
      </c>
      <c r="J726">
        <f>G726*Parameters!$B$2*Parameters!$B$5</f>
        <v>106.45499999999998</v>
      </c>
      <c r="K726">
        <f>H726*Parameters!$B$3*Parameters!$B$6</f>
        <v>0</v>
      </c>
      <c r="L726">
        <f>I726*Parameters!$B$4*Parameters!$B$7</f>
        <v>121.44600000000001</v>
      </c>
      <c r="M726">
        <f t="shared" si="11"/>
        <v>227.90100000000001</v>
      </c>
      <c r="N726">
        <v>0</v>
      </c>
      <c r="O726">
        <v>5000</v>
      </c>
      <c r="P726">
        <v>0</v>
      </c>
      <c r="Q726">
        <v>4500</v>
      </c>
    </row>
    <row r="727" spans="1:17">
      <c r="A727" t="s">
        <v>49</v>
      </c>
      <c r="B727" t="s">
        <v>38</v>
      </c>
      <c r="C727">
        <v>2</v>
      </c>
      <c r="D727">
        <v>2022</v>
      </c>
      <c r="E727" s="49" t="s">
        <v>147</v>
      </c>
      <c r="F727" s="49" t="s">
        <v>163</v>
      </c>
      <c r="G727">
        <f>'October to Jan, 2021 2022'!AE29+'October to Jan, 2021 2022'!AF29</f>
        <v>42</v>
      </c>
      <c r="H727">
        <f>'October to Jan, 2021 2022'!AG29</f>
        <v>0</v>
      </c>
      <c r="I727">
        <f>'October to Jan, 2021 2022'!AH29</f>
        <v>20</v>
      </c>
      <c r="J727">
        <f>G727*Parameters!$B$2*Parameters!$B$5</f>
        <v>89.422199999999975</v>
      </c>
      <c r="K727">
        <f>H727*Parameters!$B$3*Parameters!$B$6</f>
        <v>0</v>
      </c>
      <c r="L727">
        <f>I727*Parameters!$B$4*Parameters!$B$7</f>
        <v>161.928</v>
      </c>
      <c r="M727">
        <f t="shared" si="11"/>
        <v>251.35019999999997</v>
      </c>
      <c r="N727">
        <v>0</v>
      </c>
      <c r="O727">
        <v>4200</v>
      </c>
      <c r="P727">
        <v>0</v>
      </c>
      <c r="Q727">
        <v>6000</v>
      </c>
    </row>
    <row r="728" spans="1:17">
      <c r="A728" t="s">
        <v>50</v>
      </c>
      <c r="B728" t="s">
        <v>19</v>
      </c>
      <c r="C728">
        <v>8</v>
      </c>
      <c r="D728">
        <v>2022</v>
      </c>
      <c r="E728" s="49" t="s">
        <v>147</v>
      </c>
      <c r="F728" s="49" t="s">
        <v>163</v>
      </c>
      <c r="G728">
        <f>'October to Jan, 2021 2022'!AE30+'October to Jan, 2021 2022'!AF30</f>
        <v>30</v>
      </c>
      <c r="H728">
        <f>'October to Jan, 2021 2022'!AG30</f>
        <v>0</v>
      </c>
      <c r="I728">
        <f>'October to Jan, 2021 2022'!AH30</f>
        <v>12</v>
      </c>
      <c r="J728">
        <f>G728*Parameters!$B$2*Parameters!$B$5</f>
        <v>63.87299999999999</v>
      </c>
      <c r="K728">
        <f>H728*Parameters!$B$3*Parameters!$B$6</f>
        <v>0</v>
      </c>
      <c r="L728">
        <f>I728*Parameters!$B$4*Parameters!$B$7</f>
        <v>97.156800000000018</v>
      </c>
      <c r="M728">
        <f t="shared" si="11"/>
        <v>161.02980000000002</v>
      </c>
      <c r="N728">
        <v>0</v>
      </c>
      <c r="O728">
        <v>3000</v>
      </c>
      <c r="P728">
        <v>0</v>
      </c>
      <c r="Q728">
        <v>3600</v>
      </c>
    </row>
    <row r="729" spans="1:17">
      <c r="A729" t="s">
        <v>51</v>
      </c>
      <c r="B729" t="s">
        <v>19</v>
      </c>
      <c r="C729">
        <v>6</v>
      </c>
      <c r="D729">
        <v>2022</v>
      </c>
      <c r="E729" s="49" t="s">
        <v>147</v>
      </c>
      <c r="F729" s="49" t="s">
        <v>163</v>
      </c>
      <c r="G729">
        <f>'October to Jan, 2021 2022'!AE31+'October to Jan, 2021 2022'!AF31</f>
        <v>35</v>
      </c>
      <c r="H729">
        <f>'October to Jan, 2021 2022'!AG31</f>
        <v>0</v>
      </c>
      <c r="I729">
        <f>'October to Jan, 2021 2022'!AH31</f>
        <v>15</v>
      </c>
      <c r="J729">
        <f>G729*Parameters!$B$2*Parameters!$B$5</f>
        <v>74.518499999999989</v>
      </c>
      <c r="K729">
        <f>H729*Parameters!$B$3*Parameters!$B$6</f>
        <v>0</v>
      </c>
      <c r="L729">
        <f>I729*Parameters!$B$4*Parameters!$B$7</f>
        <v>121.44600000000001</v>
      </c>
      <c r="M729">
        <f t="shared" si="11"/>
        <v>195.96449999999999</v>
      </c>
      <c r="N729">
        <v>0</v>
      </c>
      <c r="O729">
        <v>3500</v>
      </c>
      <c r="P729">
        <v>0</v>
      </c>
      <c r="Q729">
        <v>4500</v>
      </c>
    </row>
    <row r="730" spans="1:17">
      <c r="A730" t="s">
        <v>52</v>
      </c>
      <c r="B730" t="s">
        <v>38</v>
      </c>
      <c r="C730">
        <v>12</v>
      </c>
      <c r="D730">
        <v>2022</v>
      </c>
      <c r="E730" s="49" t="s">
        <v>147</v>
      </c>
      <c r="F730" s="49" t="s">
        <v>163</v>
      </c>
      <c r="G730">
        <f>'October to Jan, 2021 2022'!AE32+'October to Jan, 2021 2022'!AF32</f>
        <v>45</v>
      </c>
      <c r="H730">
        <f>'October to Jan, 2021 2022'!AG32</f>
        <v>0</v>
      </c>
      <c r="I730">
        <f>'October to Jan, 2021 2022'!AH32</f>
        <v>20</v>
      </c>
      <c r="J730">
        <f>G730*Parameters!$B$2*Parameters!$B$5</f>
        <v>95.809499999999986</v>
      </c>
      <c r="K730">
        <f>H730*Parameters!$B$3*Parameters!$B$6</f>
        <v>0</v>
      </c>
      <c r="L730">
        <f>I730*Parameters!$B$4*Parameters!$B$7</f>
        <v>161.928</v>
      </c>
      <c r="M730">
        <f t="shared" si="11"/>
        <v>257.73749999999995</v>
      </c>
      <c r="N730">
        <v>0</v>
      </c>
      <c r="O730">
        <v>4500</v>
      </c>
      <c r="P730">
        <v>0</v>
      </c>
      <c r="Q730">
        <v>6000</v>
      </c>
    </row>
    <row r="731" spans="1:17">
      <c r="A731" t="s">
        <v>53</v>
      </c>
      <c r="B731" t="s">
        <v>40</v>
      </c>
      <c r="C731">
        <v>8</v>
      </c>
      <c r="D731">
        <v>2022</v>
      </c>
      <c r="E731" s="49" t="s">
        <v>147</v>
      </c>
      <c r="F731" s="49" t="s">
        <v>163</v>
      </c>
      <c r="G731">
        <f>'October to Jan, 2021 2022'!AE33+'October to Jan, 2021 2022'!AF33</f>
        <v>60</v>
      </c>
      <c r="H731">
        <f>'October to Jan, 2021 2022'!AG33</f>
        <v>0</v>
      </c>
      <c r="I731">
        <f>'October to Jan, 2021 2022'!AH33</f>
        <v>15</v>
      </c>
      <c r="J731">
        <f>G731*Parameters!$B$2*Parameters!$B$5</f>
        <v>127.74599999999998</v>
      </c>
      <c r="K731">
        <f>H731*Parameters!$B$3*Parameters!$B$6</f>
        <v>0</v>
      </c>
      <c r="L731">
        <f>I731*Parameters!$B$4*Parameters!$B$7</f>
        <v>121.44600000000001</v>
      </c>
      <c r="M731">
        <f t="shared" si="11"/>
        <v>249.19200000000001</v>
      </c>
      <c r="N731">
        <v>0</v>
      </c>
      <c r="O731">
        <v>6000</v>
      </c>
      <c r="P731">
        <v>0</v>
      </c>
      <c r="Q731">
        <v>4500</v>
      </c>
    </row>
    <row r="732" spans="1:17">
      <c r="A732" t="s">
        <v>54</v>
      </c>
      <c r="B732" t="s">
        <v>40</v>
      </c>
      <c r="C732">
        <v>6</v>
      </c>
      <c r="D732">
        <v>2022</v>
      </c>
      <c r="E732" s="49" t="s">
        <v>147</v>
      </c>
      <c r="F732" s="49" t="s">
        <v>163</v>
      </c>
      <c r="G732">
        <f>'October to Jan, 2021 2022'!AE34+'October to Jan, 2021 2022'!AF34</f>
        <v>45</v>
      </c>
      <c r="H732">
        <f>'October to Jan, 2021 2022'!AG34</f>
        <v>0</v>
      </c>
      <c r="I732">
        <f>'October to Jan, 2021 2022'!AH34</f>
        <v>20</v>
      </c>
      <c r="J732">
        <f>G732*Parameters!$B$2*Parameters!$B$5</f>
        <v>95.809499999999986</v>
      </c>
      <c r="K732">
        <f>H732*Parameters!$B$3*Parameters!$B$6</f>
        <v>0</v>
      </c>
      <c r="L732">
        <f>I732*Parameters!$B$4*Parameters!$B$7</f>
        <v>161.928</v>
      </c>
      <c r="M732">
        <f t="shared" si="11"/>
        <v>257.73749999999995</v>
      </c>
      <c r="N732">
        <v>0</v>
      </c>
      <c r="O732">
        <v>4500</v>
      </c>
      <c r="P732">
        <v>0</v>
      </c>
      <c r="Q732">
        <v>6000</v>
      </c>
    </row>
    <row r="733" spans="1:17">
      <c r="A733" t="s">
        <v>55</v>
      </c>
      <c r="B733" t="s">
        <v>56</v>
      </c>
      <c r="C733">
        <v>4</v>
      </c>
      <c r="D733">
        <v>2022</v>
      </c>
      <c r="E733" s="49" t="s">
        <v>147</v>
      </c>
      <c r="F733" s="49" t="s">
        <v>163</v>
      </c>
      <c r="G733">
        <f>'October to Jan, 2021 2022'!AE35+'October to Jan, 2021 2022'!AF35</f>
        <v>0</v>
      </c>
      <c r="H733">
        <f>'October to Jan, 2021 2022'!AG35</f>
        <v>35</v>
      </c>
      <c r="I733">
        <f>'October to Jan, 2021 2022'!AH35</f>
        <v>15</v>
      </c>
      <c r="J733">
        <f>G733*Parameters!$B$2*Parameters!$B$5</f>
        <v>0</v>
      </c>
      <c r="K733">
        <f>H733*Parameters!$B$3*Parameters!$B$6</f>
        <v>219.47800000000001</v>
      </c>
      <c r="L733">
        <f>I733*Parameters!$B$4*Parameters!$B$7</f>
        <v>121.44600000000001</v>
      </c>
      <c r="M733">
        <f t="shared" si="11"/>
        <v>340.92400000000004</v>
      </c>
      <c r="N733">
        <v>0</v>
      </c>
      <c r="O733">
        <v>0</v>
      </c>
      <c r="P733">
        <v>10500</v>
      </c>
      <c r="Q733">
        <v>4500</v>
      </c>
    </row>
    <row r="734" spans="1:17">
      <c r="A734" t="s">
        <v>57</v>
      </c>
      <c r="B734" t="s">
        <v>40</v>
      </c>
      <c r="C734">
        <v>4</v>
      </c>
      <c r="D734">
        <v>2022</v>
      </c>
      <c r="E734" s="49" t="s">
        <v>147</v>
      </c>
      <c r="F734" s="49" t="s">
        <v>163</v>
      </c>
      <c r="G734">
        <f>'October to Jan, 2021 2022'!AE36+'October to Jan, 2021 2022'!AF36</f>
        <v>30</v>
      </c>
      <c r="H734">
        <f>'October to Jan, 2021 2022'!AG36</f>
        <v>0</v>
      </c>
      <c r="I734">
        <f>'October to Jan, 2021 2022'!AH36</f>
        <v>15</v>
      </c>
      <c r="J734">
        <f>G734*Parameters!$B$2*Parameters!$B$5</f>
        <v>63.87299999999999</v>
      </c>
      <c r="K734">
        <f>H734*Parameters!$B$3*Parameters!$B$6</f>
        <v>0</v>
      </c>
      <c r="L734">
        <f>I734*Parameters!$B$4*Parameters!$B$7</f>
        <v>121.44600000000001</v>
      </c>
      <c r="M734">
        <f t="shared" si="11"/>
        <v>185.31900000000002</v>
      </c>
      <c r="N734">
        <v>0</v>
      </c>
      <c r="O734">
        <v>3000</v>
      </c>
      <c r="P734">
        <v>0</v>
      </c>
      <c r="Q734">
        <v>4500</v>
      </c>
    </row>
    <row r="735" spans="1:17">
      <c r="A735" t="s">
        <v>58</v>
      </c>
      <c r="B735" t="s">
        <v>26</v>
      </c>
      <c r="C735">
        <v>6</v>
      </c>
      <c r="D735">
        <v>2022</v>
      </c>
      <c r="E735" s="49" t="s">
        <v>147</v>
      </c>
      <c r="F735" s="49" t="s">
        <v>163</v>
      </c>
      <c r="G735">
        <f>'October to Jan, 2021 2022'!AE37+'October to Jan, 2021 2022'!AF37</f>
        <v>35</v>
      </c>
      <c r="H735">
        <f>'October to Jan, 2021 2022'!AG37</f>
        <v>0</v>
      </c>
      <c r="I735">
        <f>'October to Jan, 2021 2022'!AH37</f>
        <v>20</v>
      </c>
      <c r="J735">
        <f>G735*Parameters!$B$2*Parameters!$B$5</f>
        <v>74.518499999999989</v>
      </c>
      <c r="K735">
        <f>H735*Parameters!$B$3*Parameters!$B$6</f>
        <v>0</v>
      </c>
      <c r="L735">
        <f>I735*Parameters!$B$4*Parameters!$B$7</f>
        <v>161.928</v>
      </c>
      <c r="M735">
        <f t="shared" si="11"/>
        <v>236.44649999999999</v>
      </c>
      <c r="N735">
        <v>0</v>
      </c>
      <c r="O735">
        <v>3500</v>
      </c>
      <c r="P735">
        <v>0</v>
      </c>
      <c r="Q735">
        <v>6000</v>
      </c>
    </row>
    <row r="736" spans="1:17">
      <c r="A736" t="s">
        <v>59</v>
      </c>
      <c r="B736" t="s">
        <v>26</v>
      </c>
      <c r="C736">
        <v>7</v>
      </c>
      <c r="D736">
        <v>2022</v>
      </c>
      <c r="E736" s="49" t="s">
        <v>147</v>
      </c>
      <c r="F736" s="49" t="s">
        <v>163</v>
      </c>
      <c r="G736">
        <f>'October to Jan, 2021 2022'!AE38+'October to Jan, 2021 2022'!AF38</f>
        <v>25</v>
      </c>
      <c r="H736">
        <f>'October to Jan, 2021 2022'!AG38</f>
        <v>0</v>
      </c>
      <c r="I736">
        <f>'October to Jan, 2021 2022'!AH38</f>
        <v>20</v>
      </c>
      <c r="J736">
        <f>G736*Parameters!$B$2*Parameters!$B$5</f>
        <v>53.227499999999992</v>
      </c>
      <c r="K736">
        <f>H736*Parameters!$B$3*Parameters!$B$6</f>
        <v>0</v>
      </c>
      <c r="L736">
        <f>I736*Parameters!$B$4*Parameters!$B$7</f>
        <v>161.928</v>
      </c>
      <c r="M736">
        <f t="shared" si="11"/>
        <v>215.15549999999999</v>
      </c>
      <c r="N736">
        <v>0</v>
      </c>
      <c r="O736">
        <v>2500</v>
      </c>
      <c r="P736">
        <v>0</v>
      </c>
      <c r="Q736">
        <v>6000</v>
      </c>
    </row>
    <row r="737" spans="1:17">
      <c r="A737" t="s">
        <v>60</v>
      </c>
      <c r="B737" t="s">
        <v>26</v>
      </c>
      <c r="C737">
        <v>8</v>
      </c>
      <c r="D737">
        <v>2022</v>
      </c>
      <c r="E737" s="49" t="s">
        <v>147</v>
      </c>
      <c r="F737" s="49" t="s">
        <v>163</v>
      </c>
      <c r="G737">
        <f>'October to Jan, 2021 2022'!AE39+'October to Jan, 2021 2022'!AF39</f>
        <v>15</v>
      </c>
      <c r="H737">
        <f>'October to Jan, 2021 2022'!AG39</f>
        <v>20</v>
      </c>
      <c r="I737">
        <f>'October to Jan, 2021 2022'!AH39</f>
        <v>0</v>
      </c>
      <c r="J737">
        <f>G737*Parameters!$B$2*Parameters!$B$5</f>
        <v>31.936499999999995</v>
      </c>
      <c r="K737">
        <f>H737*Parameters!$B$3*Parameters!$B$6</f>
        <v>125.416</v>
      </c>
      <c r="L737">
        <f>I737*Parameters!$B$4*Parameters!$B$7</f>
        <v>0</v>
      </c>
      <c r="M737">
        <f t="shared" si="11"/>
        <v>157.35249999999999</v>
      </c>
      <c r="N737">
        <v>0</v>
      </c>
      <c r="O737">
        <v>1500</v>
      </c>
      <c r="P737">
        <v>6000</v>
      </c>
      <c r="Q737">
        <v>0</v>
      </c>
    </row>
    <row r="738" spans="1:17">
      <c r="A738" t="s">
        <v>61</v>
      </c>
      <c r="B738" t="s">
        <v>56</v>
      </c>
      <c r="C738">
        <v>5</v>
      </c>
      <c r="D738">
        <v>2022</v>
      </c>
      <c r="E738" s="49" t="s">
        <v>147</v>
      </c>
      <c r="F738" s="49" t="s">
        <v>163</v>
      </c>
      <c r="G738">
        <f>'October to Jan, 2021 2022'!AE40+'October to Jan, 2021 2022'!AF40</f>
        <v>25</v>
      </c>
      <c r="H738">
        <f>'October to Jan, 2021 2022'!AG40</f>
        <v>0</v>
      </c>
      <c r="I738">
        <f>'October to Jan, 2021 2022'!AH40</f>
        <v>20</v>
      </c>
      <c r="J738">
        <f>G738*Parameters!$B$2*Parameters!$B$5</f>
        <v>53.227499999999992</v>
      </c>
      <c r="K738">
        <f>H738*Parameters!$B$3*Parameters!$B$6</f>
        <v>0</v>
      </c>
      <c r="L738">
        <f>I738*Parameters!$B$4*Parameters!$B$7</f>
        <v>161.928</v>
      </c>
      <c r="M738">
        <f t="shared" si="11"/>
        <v>215.15549999999999</v>
      </c>
      <c r="N738">
        <v>0</v>
      </c>
      <c r="O738">
        <v>2500</v>
      </c>
      <c r="P738">
        <v>0</v>
      </c>
      <c r="Q738">
        <v>6000</v>
      </c>
    </row>
    <row r="739" spans="1:17">
      <c r="A739" t="s">
        <v>62</v>
      </c>
      <c r="B739" t="s">
        <v>21</v>
      </c>
      <c r="C739">
        <v>6</v>
      </c>
      <c r="D739">
        <v>2022</v>
      </c>
      <c r="E739" s="49" t="s">
        <v>147</v>
      </c>
      <c r="F739" s="49" t="s">
        <v>163</v>
      </c>
      <c r="G739">
        <f>'October to Jan, 2021 2022'!AE41+'October to Jan, 2021 2022'!AF41</f>
        <v>45</v>
      </c>
      <c r="H739">
        <f>'October to Jan, 2021 2022'!AG41</f>
        <v>0</v>
      </c>
      <c r="I739">
        <f>'October to Jan, 2021 2022'!AH41</f>
        <v>10</v>
      </c>
      <c r="J739">
        <f>G739*Parameters!$B$2*Parameters!$B$5</f>
        <v>95.809499999999986</v>
      </c>
      <c r="K739">
        <f>H739*Parameters!$B$3*Parameters!$B$6</f>
        <v>0</v>
      </c>
      <c r="L739">
        <f>I739*Parameters!$B$4*Parameters!$B$7</f>
        <v>80.963999999999999</v>
      </c>
      <c r="M739">
        <f t="shared" si="11"/>
        <v>176.77349999999998</v>
      </c>
      <c r="N739">
        <v>0</v>
      </c>
      <c r="O739">
        <v>4500</v>
      </c>
      <c r="P739">
        <v>0</v>
      </c>
      <c r="Q739">
        <v>3000</v>
      </c>
    </row>
    <row r="740" spans="1:17">
      <c r="A740" t="s">
        <v>63</v>
      </c>
      <c r="B740" t="s">
        <v>21</v>
      </c>
      <c r="C740">
        <v>9</v>
      </c>
      <c r="D740">
        <v>2022</v>
      </c>
      <c r="E740" s="49" t="s">
        <v>147</v>
      </c>
      <c r="F740" s="49" t="s">
        <v>163</v>
      </c>
      <c r="G740">
        <f>'October to Jan, 2021 2022'!AE42+'October to Jan, 2021 2022'!AF42</f>
        <v>40</v>
      </c>
      <c r="H740">
        <f>'October to Jan, 2021 2022'!AG42</f>
        <v>0</v>
      </c>
      <c r="I740">
        <f>'October to Jan, 2021 2022'!AH42</f>
        <v>20</v>
      </c>
      <c r="J740">
        <f>G740*Parameters!$B$2*Parameters!$B$5</f>
        <v>85.163999999999987</v>
      </c>
      <c r="K740">
        <f>H740*Parameters!$B$3*Parameters!$B$6</f>
        <v>0</v>
      </c>
      <c r="L740">
        <f>I740*Parameters!$B$4*Parameters!$B$7</f>
        <v>161.928</v>
      </c>
      <c r="M740">
        <f t="shared" si="11"/>
        <v>247.09199999999998</v>
      </c>
      <c r="N740">
        <v>0</v>
      </c>
      <c r="O740">
        <v>4000</v>
      </c>
      <c r="P740">
        <v>0</v>
      </c>
      <c r="Q740">
        <v>6000</v>
      </c>
    </row>
    <row r="741" spans="1:17">
      <c r="A741" t="s">
        <v>64</v>
      </c>
      <c r="B741" t="s">
        <v>65</v>
      </c>
      <c r="C741">
        <v>3</v>
      </c>
      <c r="D741">
        <v>2022</v>
      </c>
      <c r="E741" s="49" t="s">
        <v>147</v>
      </c>
      <c r="F741" s="49" t="s">
        <v>163</v>
      </c>
      <c r="G741">
        <f>'October to Jan, 2021 2022'!AE43+'October to Jan, 2021 2022'!AF43</f>
        <v>0</v>
      </c>
      <c r="H741">
        <f>'October to Jan, 2021 2022'!AG43</f>
        <v>15</v>
      </c>
      <c r="I741">
        <f>'October to Jan, 2021 2022'!AH43</f>
        <v>15</v>
      </c>
      <c r="J741">
        <f>G741*Parameters!$B$2*Parameters!$B$5</f>
        <v>0</v>
      </c>
      <c r="K741">
        <f>H741*Parameters!$B$3*Parameters!$B$6</f>
        <v>94.061999999999998</v>
      </c>
      <c r="L741">
        <f>I741*Parameters!$B$4*Parameters!$B$7</f>
        <v>121.44600000000001</v>
      </c>
      <c r="M741">
        <f t="shared" si="11"/>
        <v>215.50800000000001</v>
      </c>
      <c r="N741">
        <v>0</v>
      </c>
      <c r="O741">
        <v>0</v>
      </c>
      <c r="P741">
        <v>4500</v>
      </c>
      <c r="Q741">
        <v>4500</v>
      </c>
    </row>
    <row r="742" spans="1:17">
      <c r="A742" t="s">
        <v>66</v>
      </c>
      <c r="B742" t="s">
        <v>24</v>
      </c>
      <c r="C742">
        <v>4</v>
      </c>
      <c r="D742">
        <v>2022</v>
      </c>
      <c r="E742" s="49" t="s">
        <v>147</v>
      </c>
      <c r="F742" s="49" t="s">
        <v>163</v>
      </c>
      <c r="G742">
        <f>'October to Jan, 2021 2022'!AE44+'October to Jan, 2021 2022'!AF44</f>
        <v>48</v>
      </c>
      <c r="H742">
        <f>'October to Jan, 2021 2022'!AG44</f>
        <v>0</v>
      </c>
      <c r="I742">
        <f>'October to Jan, 2021 2022'!AH44</f>
        <v>20</v>
      </c>
      <c r="J742">
        <f>G742*Parameters!$B$2*Parameters!$B$5</f>
        <v>102.19679999999998</v>
      </c>
      <c r="K742">
        <f>H742*Parameters!$B$3*Parameters!$B$6</f>
        <v>0</v>
      </c>
      <c r="L742">
        <f>I742*Parameters!$B$4*Parameters!$B$7</f>
        <v>161.928</v>
      </c>
      <c r="M742">
        <f t="shared" si="11"/>
        <v>264.12479999999999</v>
      </c>
      <c r="N742">
        <v>0</v>
      </c>
      <c r="O742">
        <v>4800</v>
      </c>
      <c r="P742">
        <v>0</v>
      </c>
      <c r="Q742">
        <v>6000</v>
      </c>
    </row>
    <row r="743" spans="1:17">
      <c r="A743" t="s">
        <v>67</v>
      </c>
      <c r="B743" t="s">
        <v>56</v>
      </c>
      <c r="C743">
        <v>6</v>
      </c>
      <c r="D743">
        <v>2022</v>
      </c>
      <c r="E743" s="49" t="s">
        <v>147</v>
      </c>
      <c r="F743" s="49" t="s">
        <v>163</v>
      </c>
      <c r="G743">
        <f>'October to Jan, 2021 2022'!AE45+'October to Jan, 2021 2022'!AF45</f>
        <v>55</v>
      </c>
      <c r="H743">
        <f>'October to Jan, 2021 2022'!AG45</f>
        <v>0</v>
      </c>
      <c r="I743">
        <f>'October to Jan, 2021 2022'!AH45</f>
        <v>20</v>
      </c>
      <c r="J743">
        <f>G743*Parameters!$B$2*Parameters!$B$5</f>
        <v>117.10049999999998</v>
      </c>
      <c r="K743">
        <f>H743*Parameters!$B$3*Parameters!$B$6</f>
        <v>0</v>
      </c>
      <c r="L743">
        <f>I743*Parameters!$B$4*Parameters!$B$7</f>
        <v>161.928</v>
      </c>
      <c r="M743">
        <f t="shared" si="11"/>
        <v>279.02850000000001</v>
      </c>
      <c r="N743">
        <v>0</v>
      </c>
      <c r="O743">
        <v>5500</v>
      </c>
      <c r="P743">
        <v>0</v>
      </c>
      <c r="Q743">
        <v>6000</v>
      </c>
    </row>
    <row r="744" spans="1:17">
      <c r="A744" t="s">
        <v>68</v>
      </c>
      <c r="B744" t="s">
        <v>21</v>
      </c>
      <c r="C744">
        <v>4</v>
      </c>
      <c r="D744">
        <v>2022</v>
      </c>
      <c r="E744" s="49" t="s">
        <v>147</v>
      </c>
      <c r="F744" s="49" t="s">
        <v>163</v>
      </c>
      <c r="G744">
        <f>'October to Jan, 2021 2022'!AE46+'October to Jan, 2021 2022'!AF46</f>
        <v>35</v>
      </c>
      <c r="H744">
        <f>'October to Jan, 2021 2022'!AG46</f>
        <v>0</v>
      </c>
      <c r="I744">
        <f>'October to Jan, 2021 2022'!AH46</f>
        <v>15</v>
      </c>
      <c r="J744">
        <f>G744*Parameters!$B$2*Parameters!$B$5</f>
        <v>74.518499999999989</v>
      </c>
      <c r="K744">
        <f>H744*Parameters!$B$3*Parameters!$B$6</f>
        <v>0</v>
      </c>
      <c r="L744">
        <f>I744*Parameters!$B$4*Parameters!$B$7</f>
        <v>121.44600000000001</v>
      </c>
      <c r="M744">
        <f t="shared" si="11"/>
        <v>195.96449999999999</v>
      </c>
      <c r="N744">
        <v>0</v>
      </c>
      <c r="O744">
        <v>3500</v>
      </c>
      <c r="P744">
        <v>0</v>
      </c>
      <c r="Q744">
        <v>4500</v>
      </c>
    </row>
    <row r="745" spans="1:17">
      <c r="A745" t="s">
        <v>69</v>
      </c>
      <c r="B745" t="s">
        <v>24</v>
      </c>
      <c r="C745">
        <v>6</v>
      </c>
      <c r="D745">
        <v>2022</v>
      </c>
      <c r="E745" s="49" t="s">
        <v>147</v>
      </c>
      <c r="F745" s="49" t="s">
        <v>163</v>
      </c>
      <c r="G745">
        <f>'October to Jan, 2021 2022'!AE47+'October to Jan, 2021 2022'!AF47</f>
        <v>25</v>
      </c>
      <c r="H745">
        <f>'October to Jan, 2021 2022'!AG47</f>
        <v>0</v>
      </c>
      <c r="I745">
        <f>'October to Jan, 2021 2022'!AH47</f>
        <v>10</v>
      </c>
      <c r="J745">
        <f>G745*Parameters!$B$2*Parameters!$B$5</f>
        <v>53.227499999999992</v>
      </c>
      <c r="K745">
        <f>H745*Parameters!$B$3*Parameters!$B$6</f>
        <v>0</v>
      </c>
      <c r="L745">
        <f>I745*Parameters!$B$4*Parameters!$B$7</f>
        <v>80.963999999999999</v>
      </c>
      <c r="M745">
        <f t="shared" si="11"/>
        <v>134.19149999999999</v>
      </c>
      <c r="N745">
        <v>0</v>
      </c>
      <c r="O745">
        <v>2500</v>
      </c>
      <c r="P745">
        <v>0</v>
      </c>
      <c r="Q745">
        <v>3000</v>
      </c>
    </row>
    <row r="746" spans="1:17">
      <c r="A746" t="s">
        <v>70</v>
      </c>
      <c r="B746" t="s">
        <v>26</v>
      </c>
      <c r="C746">
        <v>6</v>
      </c>
      <c r="D746">
        <v>2022</v>
      </c>
      <c r="E746" s="49" t="s">
        <v>147</v>
      </c>
      <c r="F746" s="49" t="s">
        <v>163</v>
      </c>
      <c r="G746">
        <f>'October to Jan, 2021 2022'!AE48+'October to Jan, 2021 2022'!AF48</f>
        <v>43</v>
      </c>
      <c r="H746">
        <f>'October to Jan, 2021 2022'!AG48</f>
        <v>0</v>
      </c>
      <c r="I746">
        <f>'October to Jan, 2021 2022'!AH48</f>
        <v>10</v>
      </c>
      <c r="J746">
        <f>G746*Parameters!$B$2*Parameters!$B$5</f>
        <v>91.551299999999983</v>
      </c>
      <c r="K746">
        <f>H746*Parameters!$B$3*Parameters!$B$6</f>
        <v>0</v>
      </c>
      <c r="L746">
        <f>I746*Parameters!$B$4*Parameters!$B$7</f>
        <v>80.963999999999999</v>
      </c>
      <c r="M746">
        <f t="shared" si="11"/>
        <v>172.51529999999997</v>
      </c>
      <c r="N746">
        <v>0</v>
      </c>
      <c r="O746">
        <v>4300</v>
      </c>
      <c r="P746">
        <v>0</v>
      </c>
      <c r="Q746">
        <v>3000</v>
      </c>
    </row>
    <row r="747" spans="1:17">
      <c r="A747" t="s">
        <v>71</v>
      </c>
      <c r="B747" t="s">
        <v>26</v>
      </c>
      <c r="C747">
        <v>5</v>
      </c>
      <c r="D747">
        <v>2022</v>
      </c>
      <c r="E747" s="49" t="s">
        <v>147</v>
      </c>
      <c r="F747" s="49" t="s">
        <v>163</v>
      </c>
      <c r="G747">
        <f>'October to Jan, 2021 2022'!AE49+'October to Jan, 2021 2022'!AF49</f>
        <v>27</v>
      </c>
      <c r="H747">
        <f>'October to Jan, 2021 2022'!AG49</f>
        <v>0</v>
      </c>
      <c r="I747">
        <f>'October to Jan, 2021 2022'!AH49</f>
        <v>15</v>
      </c>
      <c r="J747">
        <f>G747*Parameters!$B$2*Parameters!$B$5</f>
        <v>57.485699999999994</v>
      </c>
      <c r="K747">
        <f>H747*Parameters!$B$3*Parameters!$B$6</f>
        <v>0</v>
      </c>
      <c r="L747">
        <f>I747*Parameters!$B$4*Parameters!$B$7</f>
        <v>121.44600000000001</v>
      </c>
      <c r="M747">
        <f t="shared" si="11"/>
        <v>178.93170000000001</v>
      </c>
      <c r="N747">
        <v>0</v>
      </c>
      <c r="O747">
        <v>2700</v>
      </c>
      <c r="P747">
        <v>0</v>
      </c>
      <c r="Q747">
        <v>4500</v>
      </c>
    </row>
    <row r="748" spans="1:17">
      <c r="A748" t="s">
        <v>72</v>
      </c>
      <c r="B748" t="s">
        <v>26</v>
      </c>
      <c r="C748">
        <v>8</v>
      </c>
      <c r="D748">
        <v>2022</v>
      </c>
      <c r="E748" s="49" t="s">
        <v>147</v>
      </c>
      <c r="F748" s="49" t="s">
        <v>163</v>
      </c>
      <c r="G748">
        <f>'October to Jan, 2021 2022'!AE50+'October to Jan, 2021 2022'!AF50</f>
        <v>40</v>
      </c>
      <c r="H748">
        <f>'October to Jan, 2021 2022'!AG50</f>
        <v>0</v>
      </c>
      <c r="I748">
        <f>'October to Jan, 2021 2022'!AH50</f>
        <v>20</v>
      </c>
      <c r="J748">
        <f>G748*Parameters!$B$2*Parameters!$B$5</f>
        <v>85.163999999999987</v>
      </c>
      <c r="K748">
        <f>H748*Parameters!$B$3*Parameters!$B$6</f>
        <v>0</v>
      </c>
      <c r="L748">
        <f>I748*Parameters!$B$4*Parameters!$B$7</f>
        <v>161.928</v>
      </c>
      <c r="M748">
        <f t="shared" si="11"/>
        <v>247.09199999999998</v>
      </c>
      <c r="N748">
        <v>0</v>
      </c>
      <c r="O748">
        <v>4000</v>
      </c>
      <c r="P748">
        <v>0</v>
      </c>
      <c r="Q748">
        <v>6000</v>
      </c>
    </row>
    <row r="749" spans="1:17">
      <c r="A749" t="s">
        <v>73</v>
      </c>
      <c r="B749" t="s">
        <v>17</v>
      </c>
      <c r="C749">
        <v>4</v>
      </c>
      <c r="D749">
        <v>2022</v>
      </c>
      <c r="E749" s="49" t="s">
        <v>147</v>
      </c>
      <c r="F749" s="49" t="s">
        <v>163</v>
      </c>
      <c r="G749">
        <f>'October to Jan, 2021 2022'!AE51+'October to Jan, 2021 2022'!AF51</f>
        <v>20</v>
      </c>
      <c r="H749">
        <f>'October to Jan, 2021 2022'!AG51</f>
        <v>0</v>
      </c>
      <c r="I749">
        <f>'October to Jan, 2021 2022'!AH51</f>
        <v>20</v>
      </c>
      <c r="J749">
        <f>G749*Parameters!$B$2*Parameters!$B$5</f>
        <v>42.581999999999994</v>
      </c>
      <c r="K749">
        <f>H749*Parameters!$B$3*Parameters!$B$6</f>
        <v>0</v>
      </c>
      <c r="L749">
        <f>I749*Parameters!$B$4*Parameters!$B$7</f>
        <v>161.928</v>
      </c>
      <c r="M749">
        <f t="shared" si="11"/>
        <v>204.51</v>
      </c>
      <c r="N749">
        <v>0</v>
      </c>
      <c r="O749">
        <v>2000</v>
      </c>
      <c r="P749">
        <v>0</v>
      </c>
      <c r="Q749">
        <v>6000</v>
      </c>
    </row>
    <row r="750" spans="1:17">
      <c r="A750" t="s">
        <v>74</v>
      </c>
      <c r="B750" t="s">
        <v>65</v>
      </c>
      <c r="C750">
        <v>8</v>
      </c>
      <c r="D750">
        <v>2022</v>
      </c>
      <c r="E750" s="49" t="s">
        <v>147</v>
      </c>
      <c r="F750" s="49" t="s">
        <v>163</v>
      </c>
      <c r="G750">
        <f>'October to Jan, 2021 2022'!AE52+'October to Jan, 2021 2022'!AF52</f>
        <v>20</v>
      </c>
      <c r="H750">
        <f>'October to Jan, 2021 2022'!AG52</f>
        <v>20</v>
      </c>
      <c r="I750">
        <f>'October to Jan, 2021 2022'!AH52</f>
        <v>0</v>
      </c>
      <c r="J750">
        <f>G750*Parameters!$B$2*Parameters!$B$5</f>
        <v>42.581999999999994</v>
      </c>
      <c r="K750">
        <f>H750*Parameters!$B$3*Parameters!$B$6</f>
        <v>125.416</v>
      </c>
      <c r="L750">
        <f>I750*Parameters!$B$4*Parameters!$B$7</f>
        <v>0</v>
      </c>
      <c r="M750">
        <f t="shared" si="11"/>
        <v>167.99799999999999</v>
      </c>
      <c r="N750">
        <v>0</v>
      </c>
      <c r="O750">
        <v>2000</v>
      </c>
      <c r="P750">
        <v>6000</v>
      </c>
      <c r="Q750">
        <v>0</v>
      </c>
    </row>
    <row r="751" spans="1:17">
      <c r="A751" t="s">
        <v>75</v>
      </c>
      <c r="B751" t="s">
        <v>24</v>
      </c>
      <c r="C751">
        <v>4</v>
      </c>
      <c r="D751">
        <v>2022</v>
      </c>
      <c r="E751" s="49" t="s">
        <v>147</v>
      </c>
      <c r="F751" s="49" t="s">
        <v>163</v>
      </c>
      <c r="G751">
        <f>'October to Jan, 2021 2022'!AE53+'October to Jan, 2021 2022'!AF53</f>
        <v>36</v>
      </c>
      <c r="H751">
        <f>'October to Jan, 2021 2022'!AG53</f>
        <v>0</v>
      </c>
      <c r="I751">
        <f>'October to Jan, 2021 2022'!AH53</f>
        <v>5</v>
      </c>
      <c r="J751">
        <f>G751*Parameters!$B$2*Parameters!$B$5</f>
        <v>76.647599999999997</v>
      </c>
      <c r="K751">
        <f>H751*Parameters!$B$3*Parameters!$B$6</f>
        <v>0</v>
      </c>
      <c r="L751">
        <f>I751*Parameters!$B$4*Parameters!$B$7</f>
        <v>40.481999999999999</v>
      </c>
      <c r="M751">
        <f t="shared" si="11"/>
        <v>117.1296</v>
      </c>
      <c r="N751">
        <v>0</v>
      </c>
      <c r="O751">
        <v>3600</v>
      </c>
      <c r="P751">
        <v>0</v>
      </c>
      <c r="Q751">
        <v>1500</v>
      </c>
    </row>
    <row r="752" spans="1:17">
      <c r="A752" t="s">
        <v>76</v>
      </c>
      <c r="B752" t="s">
        <v>56</v>
      </c>
      <c r="C752">
        <v>4</v>
      </c>
      <c r="D752">
        <v>2022</v>
      </c>
      <c r="E752" s="49" t="s">
        <v>147</v>
      </c>
      <c r="F752" s="49" t="s">
        <v>163</v>
      </c>
      <c r="G752">
        <f>'October to Jan, 2021 2022'!AE54+'October to Jan, 2021 2022'!AF54</f>
        <v>22</v>
      </c>
      <c r="H752">
        <f>'October to Jan, 2021 2022'!AG54</f>
        <v>0</v>
      </c>
      <c r="I752">
        <f>'October to Jan, 2021 2022'!AH54</f>
        <v>20</v>
      </c>
      <c r="J752">
        <f>G752*Parameters!$B$2*Parameters!$B$5</f>
        <v>46.840199999999996</v>
      </c>
      <c r="K752">
        <f>H752*Parameters!$B$3*Parameters!$B$6</f>
        <v>0</v>
      </c>
      <c r="L752">
        <f>I752*Parameters!$B$4*Parameters!$B$7</f>
        <v>161.928</v>
      </c>
      <c r="M752">
        <f t="shared" si="11"/>
        <v>208.76819999999998</v>
      </c>
      <c r="N752">
        <v>0</v>
      </c>
      <c r="O752">
        <v>2200</v>
      </c>
      <c r="P752">
        <v>0</v>
      </c>
      <c r="Q752">
        <v>6000</v>
      </c>
    </row>
    <row r="753" spans="1:17">
      <c r="A753" t="s">
        <v>77</v>
      </c>
      <c r="B753" t="s">
        <v>40</v>
      </c>
      <c r="C753">
        <v>12</v>
      </c>
      <c r="D753">
        <v>2022</v>
      </c>
      <c r="E753" s="49" t="s">
        <v>147</v>
      </c>
      <c r="F753" s="49" t="s">
        <v>163</v>
      </c>
      <c r="G753">
        <f>'October to Jan, 2021 2022'!AE55+'October to Jan, 2021 2022'!AF55</f>
        <v>30</v>
      </c>
      <c r="H753">
        <f>'October to Jan, 2021 2022'!AG55</f>
        <v>0</v>
      </c>
      <c r="I753">
        <f>'October to Jan, 2021 2022'!AH55</f>
        <v>20</v>
      </c>
      <c r="J753">
        <f>G753*Parameters!$B$2*Parameters!$B$5</f>
        <v>63.87299999999999</v>
      </c>
      <c r="K753">
        <f>H753*Parameters!$B$3*Parameters!$B$6</f>
        <v>0</v>
      </c>
      <c r="L753">
        <f>I753*Parameters!$B$4*Parameters!$B$7</f>
        <v>161.928</v>
      </c>
      <c r="M753">
        <f t="shared" si="11"/>
        <v>225.80099999999999</v>
      </c>
      <c r="N753">
        <v>0</v>
      </c>
      <c r="O753">
        <v>3000</v>
      </c>
      <c r="P753">
        <v>0</v>
      </c>
      <c r="Q753">
        <v>6000</v>
      </c>
    </row>
    <row r="754" spans="1:17">
      <c r="A754" t="s">
        <v>78</v>
      </c>
      <c r="B754" t="s">
        <v>32</v>
      </c>
      <c r="C754">
        <v>6</v>
      </c>
      <c r="D754">
        <v>2022</v>
      </c>
      <c r="E754" s="49" t="s">
        <v>147</v>
      </c>
      <c r="F754" s="49" t="s">
        <v>163</v>
      </c>
      <c r="G754">
        <f>'October to Jan, 2021 2022'!AE56+'October to Jan, 2021 2022'!AF56</f>
        <v>20</v>
      </c>
      <c r="H754">
        <f>'October to Jan, 2021 2022'!AG56</f>
        <v>0</v>
      </c>
      <c r="I754">
        <f>'October to Jan, 2021 2022'!AH56</f>
        <v>15</v>
      </c>
      <c r="J754">
        <f>G754*Parameters!$B$2*Parameters!$B$5</f>
        <v>42.581999999999994</v>
      </c>
      <c r="K754">
        <f>H754*Parameters!$B$3*Parameters!$B$6</f>
        <v>0</v>
      </c>
      <c r="L754">
        <f>I754*Parameters!$B$4*Parameters!$B$7</f>
        <v>121.44600000000001</v>
      </c>
      <c r="M754">
        <f t="shared" si="11"/>
        <v>164.02800000000002</v>
      </c>
      <c r="N754">
        <v>0</v>
      </c>
      <c r="O754">
        <v>2000</v>
      </c>
      <c r="P754">
        <v>0</v>
      </c>
      <c r="Q754">
        <v>4500</v>
      </c>
    </row>
    <row r="755" spans="1:17">
      <c r="A755" t="s">
        <v>79</v>
      </c>
      <c r="B755" t="s">
        <v>40</v>
      </c>
      <c r="C755">
        <v>4</v>
      </c>
      <c r="D755">
        <v>2022</v>
      </c>
      <c r="E755" s="49" t="s">
        <v>147</v>
      </c>
      <c r="F755" s="49" t="s">
        <v>163</v>
      </c>
      <c r="G755">
        <f>'October to Jan, 2021 2022'!AE57+'October to Jan, 2021 2022'!AF57</f>
        <v>30</v>
      </c>
      <c r="H755">
        <f>'October to Jan, 2021 2022'!AG57</f>
        <v>0</v>
      </c>
      <c r="I755">
        <f>'October to Jan, 2021 2022'!AH57</f>
        <v>5</v>
      </c>
      <c r="J755">
        <f>G755*Parameters!$B$2*Parameters!$B$5</f>
        <v>63.87299999999999</v>
      </c>
      <c r="K755">
        <f>H755*Parameters!$B$3*Parameters!$B$6</f>
        <v>0</v>
      </c>
      <c r="L755">
        <f>I755*Parameters!$B$4*Parameters!$B$7</f>
        <v>40.481999999999999</v>
      </c>
      <c r="M755">
        <f t="shared" si="11"/>
        <v>104.35499999999999</v>
      </c>
      <c r="N755">
        <v>0</v>
      </c>
      <c r="O755">
        <v>3000</v>
      </c>
      <c r="P755">
        <v>0</v>
      </c>
      <c r="Q755">
        <v>1500</v>
      </c>
    </row>
    <row r="756" spans="1:17">
      <c r="A756" t="s">
        <v>80</v>
      </c>
      <c r="B756" t="s">
        <v>26</v>
      </c>
      <c r="C756">
        <v>7</v>
      </c>
      <c r="D756">
        <v>2022</v>
      </c>
      <c r="E756" s="49" t="s">
        <v>147</v>
      </c>
      <c r="F756" s="49" t="s">
        <v>163</v>
      </c>
      <c r="G756">
        <f>'October to Jan, 2021 2022'!AE58+'October to Jan, 2021 2022'!AF58</f>
        <v>24</v>
      </c>
      <c r="H756">
        <f>'October to Jan, 2021 2022'!AG58</f>
        <v>15</v>
      </c>
      <c r="I756">
        <f>'October to Jan, 2021 2022'!AH58</f>
        <v>0</v>
      </c>
      <c r="J756">
        <f>G756*Parameters!$B$2*Parameters!$B$5</f>
        <v>51.098399999999991</v>
      </c>
      <c r="K756">
        <f>H756*Parameters!$B$3*Parameters!$B$6</f>
        <v>94.061999999999998</v>
      </c>
      <c r="L756">
        <f>I756*Parameters!$B$4*Parameters!$B$7</f>
        <v>0</v>
      </c>
      <c r="M756">
        <f t="shared" si="11"/>
        <v>145.16039999999998</v>
      </c>
      <c r="N756">
        <v>0</v>
      </c>
      <c r="O756">
        <v>2400</v>
      </c>
      <c r="P756">
        <v>4500</v>
      </c>
      <c r="Q756">
        <v>0</v>
      </c>
    </row>
    <row r="757" spans="1:17">
      <c r="A757" t="s">
        <v>81</v>
      </c>
      <c r="B757" t="s">
        <v>24</v>
      </c>
      <c r="C757">
        <v>6</v>
      </c>
      <c r="D757">
        <v>2022</v>
      </c>
      <c r="E757" s="49" t="s">
        <v>147</v>
      </c>
      <c r="F757" s="49" t="s">
        <v>163</v>
      </c>
      <c r="G757">
        <f>'October to Jan, 2021 2022'!AE59+'October to Jan, 2021 2022'!AF59</f>
        <v>57</v>
      </c>
      <c r="H757">
        <f>'October to Jan, 2021 2022'!AG59</f>
        <v>0</v>
      </c>
      <c r="I757">
        <f>'October to Jan, 2021 2022'!AH59</f>
        <v>10</v>
      </c>
      <c r="J757">
        <f>G757*Parameters!$B$2*Parameters!$B$5</f>
        <v>121.35869999999998</v>
      </c>
      <c r="K757">
        <f>H757*Parameters!$B$3*Parameters!$B$6</f>
        <v>0</v>
      </c>
      <c r="L757">
        <f>I757*Parameters!$B$4*Parameters!$B$7</f>
        <v>80.963999999999999</v>
      </c>
      <c r="M757">
        <f t="shared" si="11"/>
        <v>202.3227</v>
      </c>
      <c r="N757">
        <v>0</v>
      </c>
      <c r="O757">
        <v>5700</v>
      </c>
      <c r="P757">
        <v>0</v>
      </c>
      <c r="Q757">
        <v>3000</v>
      </c>
    </row>
    <row r="758" spans="1:17">
      <c r="A758" t="s">
        <v>82</v>
      </c>
      <c r="B758" t="s">
        <v>83</v>
      </c>
      <c r="C758">
        <v>4</v>
      </c>
      <c r="D758">
        <v>2022</v>
      </c>
      <c r="E758" s="49" t="s">
        <v>147</v>
      </c>
      <c r="F758" s="49" t="s">
        <v>163</v>
      </c>
      <c r="G758">
        <f>'October to Jan, 2021 2022'!AE60+'October to Jan, 2021 2022'!AF60</f>
        <v>25</v>
      </c>
      <c r="H758">
        <f>'October to Jan, 2021 2022'!AG60</f>
        <v>0</v>
      </c>
      <c r="I758">
        <f>'October to Jan, 2021 2022'!AH60</f>
        <v>15</v>
      </c>
      <c r="J758">
        <f>G758*Parameters!$B$2*Parameters!$B$5</f>
        <v>53.227499999999992</v>
      </c>
      <c r="K758">
        <f>H758*Parameters!$B$3*Parameters!$B$6</f>
        <v>0</v>
      </c>
      <c r="L758">
        <f>I758*Parameters!$B$4*Parameters!$B$7</f>
        <v>121.44600000000001</v>
      </c>
      <c r="M758">
        <f t="shared" si="11"/>
        <v>174.67349999999999</v>
      </c>
      <c r="N758">
        <v>0</v>
      </c>
      <c r="O758">
        <v>2500</v>
      </c>
      <c r="P758">
        <v>0</v>
      </c>
      <c r="Q758">
        <v>4500</v>
      </c>
    </row>
    <row r="759" spans="1:17">
      <c r="A759" t="s">
        <v>84</v>
      </c>
      <c r="B759" t="s">
        <v>26</v>
      </c>
      <c r="C759">
        <v>7</v>
      </c>
      <c r="D759">
        <v>2022</v>
      </c>
      <c r="E759" s="49" t="s">
        <v>147</v>
      </c>
      <c r="F759" s="49" t="s">
        <v>163</v>
      </c>
      <c r="G759">
        <f>'October to Jan, 2021 2022'!AE61+'October to Jan, 2021 2022'!AF61</f>
        <v>65</v>
      </c>
      <c r="H759">
        <f>'October to Jan, 2021 2022'!AG61</f>
        <v>0</v>
      </c>
      <c r="I759">
        <f>'October to Jan, 2021 2022'!AH61</f>
        <v>15</v>
      </c>
      <c r="J759">
        <f>G759*Parameters!$B$2*Parameters!$B$5</f>
        <v>138.39149999999998</v>
      </c>
      <c r="K759">
        <f>H759*Parameters!$B$3*Parameters!$B$6</f>
        <v>0</v>
      </c>
      <c r="L759">
        <f>I759*Parameters!$B$4*Parameters!$B$7</f>
        <v>121.44600000000001</v>
      </c>
      <c r="M759">
        <f t="shared" si="11"/>
        <v>259.83749999999998</v>
      </c>
      <c r="N759">
        <v>0</v>
      </c>
      <c r="O759">
        <v>6500</v>
      </c>
      <c r="P759">
        <v>0</v>
      </c>
      <c r="Q759">
        <v>4500</v>
      </c>
    </row>
    <row r="760" spans="1:17">
      <c r="A760" t="s">
        <v>85</v>
      </c>
      <c r="B760" t="s">
        <v>24</v>
      </c>
      <c r="C760">
        <v>6</v>
      </c>
      <c r="D760">
        <v>2022</v>
      </c>
      <c r="E760" s="49" t="s">
        <v>147</v>
      </c>
      <c r="F760" s="49" t="s">
        <v>163</v>
      </c>
      <c r="G760">
        <f>'October to Jan, 2021 2022'!AE62+'October to Jan, 2021 2022'!AF62</f>
        <v>51</v>
      </c>
      <c r="H760">
        <f>'October to Jan, 2021 2022'!AG62</f>
        <v>0</v>
      </c>
      <c r="I760">
        <f>'October to Jan, 2021 2022'!AH62</f>
        <v>10</v>
      </c>
      <c r="J760">
        <f>G760*Parameters!$B$2*Parameters!$B$5</f>
        <v>108.58409999999999</v>
      </c>
      <c r="K760">
        <f>H760*Parameters!$B$3*Parameters!$B$6</f>
        <v>0</v>
      </c>
      <c r="L760">
        <f>I760*Parameters!$B$4*Parameters!$B$7</f>
        <v>80.963999999999999</v>
      </c>
      <c r="M760">
        <f t="shared" si="11"/>
        <v>189.54809999999998</v>
      </c>
      <c r="N760">
        <v>0</v>
      </c>
      <c r="O760">
        <v>5100</v>
      </c>
      <c r="P760">
        <v>0</v>
      </c>
      <c r="Q760">
        <v>3000</v>
      </c>
    </row>
    <row r="761" spans="1:17">
      <c r="A761" t="s">
        <v>86</v>
      </c>
      <c r="B761" t="s">
        <v>32</v>
      </c>
      <c r="C761">
        <v>4</v>
      </c>
      <c r="D761">
        <v>2022</v>
      </c>
      <c r="E761" s="49" t="s">
        <v>147</v>
      </c>
      <c r="F761" s="49" t="s">
        <v>163</v>
      </c>
      <c r="G761">
        <f>'October to Jan, 2021 2022'!AE63+'October to Jan, 2021 2022'!AF63</f>
        <v>18</v>
      </c>
      <c r="H761">
        <f>'October to Jan, 2021 2022'!AG63</f>
        <v>0</v>
      </c>
      <c r="I761">
        <f>'October to Jan, 2021 2022'!AH63</f>
        <v>10</v>
      </c>
      <c r="J761">
        <f>G761*Parameters!$B$2*Parameters!$B$5</f>
        <v>38.323799999999999</v>
      </c>
      <c r="K761">
        <f>H761*Parameters!$B$3*Parameters!$B$6</f>
        <v>0</v>
      </c>
      <c r="L761">
        <f>I761*Parameters!$B$4*Parameters!$B$7</f>
        <v>80.963999999999999</v>
      </c>
      <c r="M761">
        <f t="shared" si="11"/>
        <v>119.2878</v>
      </c>
      <c r="N761">
        <v>0</v>
      </c>
      <c r="O761">
        <v>1800</v>
      </c>
      <c r="P761">
        <v>0</v>
      </c>
      <c r="Q761">
        <v>3000</v>
      </c>
    </row>
    <row r="762" spans="1:17">
      <c r="A762" t="s">
        <v>87</v>
      </c>
      <c r="B762" t="s">
        <v>32</v>
      </c>
      <c r="C762">
        <v>8</v>
      </c>
      <c r="D762">
        <v>2022</v>
      </c>
      <c r="E762" s="49" t="s">
        <v>147</v>
      </c>
      <c r="F762" s="49" t="s">
        <v>163</v>
      </c>
      <c r="G762">
        <f>'October to Jan, 2021 2022'!AE64+'October to Jan, 2021 2022'!AF64</f>
        <v>22</v>
      </c>
      <c r="H762">
        <f>'October to Jan, 2021 2022'!AG64</f>
        <v>0</v>
      </c>
      <c r="I762">
        <f>'October to Jan, 2021 2022'!AH64</f>
        <v>20</v>
      </c>
      <c r="J762">
        <f>G762*Parameters!$B$2*Parameters!$B$5</f>
        <v>46.840199999999996</v>
      </c>
      <c r="K762">
        <f>H762*Parameters!$B$3*Parameters!$B$6</f>
        <v>0</v>
      </c>
      <c r="L762">
        <f>I762*Parameters!$B$4*Parameters!$B$7</f>
        <v>161.928</v>
      </c>
      <c r="M762">
        <f t="shared" si="11"/>
        <v>208.76819999999998</v>
      </c>
      <c r="N762">
        <v>0</v>
      </c>
      <c r="O762">
        <v>2200</v>
      </c>
      <c r="P762">
        <v>0</v>
      </c>
      <c r="Q762">
        <v>6000</v>
      </c>
    </row>
    <row r="763" spans="1:17">
      <c r="A763" t="s">
        <v>88</v>
      </c>
      <c r="B763" t="s">
        <v>32</v>
      </c>
      <c r="C763">
        <v>7</v>
      </c>
      <c r="D763">
        <v>2022</v>
      </c>
      <c r="E763" s="49" t="s">
        <v>147</v>
      </c>
      <c r="F763" s="49" t="s">
        <v>163</v>
      </c>
      <c r="G763">
        <f>'October to Jan, 2021 2022'!AE65+'October to Jan, 2021 2022'!AF65</f>
        <v>18</v>
      </c>
      <c r="H763">
        <f>'October to Jan, 2021 2022'!AG65</f>
        <v>0</v>
      </c>
      <c r="I763">
        <f>'October to Jan, 2021 2022'!AH65</f>
        <v>20</v>
      </c>
      <c r="J763">
        <f>G763*Parameters!$B$2*Parameters!$B$5</f>
        <v>38.323799999999999</v>
      </c>
      <c r="K763">
        <f>H763*Parameters!$B$3*Parameters!$B$6</f>
        <v>0</v>
      </c>
      <c r="L763">
        <f>I763*Parameters!$B$4*Parameters!$B$7</f>
        <v>161.928</v>
      </c>
      <c r="M763">
        <f t="shared" si="11"/>
        <v>200.2518</v>
      </c>
      <c r="N763">
        <v>0</v>
      </c>
      <c r="O763">
        <v>1800</v>
      </c>
      <c r="P763">
        <v>0</v>
      </c>
      <c r="Q763">
        <v>6000</v>
      </c>
    </row>
    <row r="764" spans="1:17">
      <c r="A764" t="s">
        <v>89</v>
      </c>
      <c r="B764" t="s">
        <v>65</v>
      </c>
      <c r="C764">
        <v>8</v>
      </c>
      <c r="D764">
        <v>2022</v>
      </c>
      <c r="E764" s="49" t="s">
        <v>147</v>
      </c>
      <c r="F764" s="49" t="s">
        <v>163</v>
      </c>
      <c r="G764">
        <f>'October to Jan, 2021 2022'!AE66+'October to Jan, 2021 2022'!AF66</f>
        <v>26</v>
      </c>
      <c r="H764">
        <f>'October to Jan, 2021 2022'!AG66</f>
        <v>0</v>
      </c>
      <c r="I764">
        <f>'October to Jan, 2021 2022'!AH66</f>
        <v>5</v>
      </c>
      <c r="J764">
        <f>G764*Parameters!$B$2*Parameters!$B$5</f>
        <v>55.356599999999993</v>
      </c>
      <c r="K764">
        <f>H764*Parameters!$B$3*Parameters!$B$6</f>
        <v>0</v>
      </c>
      <c r="L764">
        <f>I764*Parameters!$B$4*Parameters!$B$7</f>
        <v>40.481999999999999</v>
      </c>
      <c r="M764">
        <f t="shared" si="11"/>
        <v>95.838599999999985</v>
      </c>
      <c r="N764">
        <v>0</v>
      </c>
      <c r="O764">
        <v>2600</v>
      </c>
      <c r="P764">
        <v>0</v>
      </c>
      <c r="Q764">
        <v>1500</v>
      </c>
    </row>
    <row r="765" spans="1:17">
      <c r="A765" t="s">
        <v>90</v>
      </c>
      <c r="B765" t="s">
        <v>32</v>
      </c>
      <c r="C765">
        <v>6</v>
      </c>
      <c r="D765">
        <v>2022</v>
      </c>
      <c r="E765" s="49" t="s">
        <v>147</v>
      </c>
      <c r="F765" s="49" t="s">
        <v>163</v>
      </c>
      <c r="G765">
        <f>'October to Jan, 2021 2022'!AE67+'October to Jan, 2021 2022'!AF67</f>
        <v>30</v>
      </c>
      <c r="H765">
        <f>'October to Jan, 2021 2022'!AG67</f>
        <v>0</v>
      </c>
      <c r="I765">
        <f>'October to Jan, 2021 2022'!AH67</f>
        <v>15</v>
      </c>
      <c r="J765">
        <f>G765*Parameters!$B$2*Parameters!$B$5</f>
        <v>63.87299999999999</v>
      </c>
      <c r="K765">
        <f>H765*Parameters!$B$3*Parameters!$B$6</f>
        <v>0</v>
      </c>
      <c r="L765">
        <f>I765*Parameters!$B$4*Parameters!$B$7</f>
        <v>121.44600000000001</v>
      </c>
      <c r="M765">
        <f t="shared" si="11"/>
        <v>185.31900000000002</v>
      </c>
      <c r="N765">
        <v>0</v>
      </c>
      <c r="O765">
        <v>3000</v>
      </c>
      <c r="P765">
        <v>0</v>
      </c>
      <c r="Q765">
        <v>4500</v>
      </c>
    </row>
    <row r="766" spans="1:17">
      <c r="A766" t="s">
        <v>91</v>
      </c>
      <c r="B766" t="s">
        <v>24</v>
      </c>
      <c r="C766">
        <v>6</v>
      </c>
      <c r="D766">
        <v>2022</v>
      </c>
      <c r="E766" s="49" t="s">
        <v>147</v>
      </c>
      <c r="F766" s="49" t="s">
        <v>163</v>
      </c>
      <c r="G766">
        <f>'October to Jan, 2021 2022'!AE68+'October to Jan, 2021 2022'!AF68</f>
        <v>30</v>
      </c>
      <c r="H766">
        <f>'October to Jan, 2021 2022'!AG68</f>
        <v>0</v>
      </c>
      <c r="I766">
        <f>'October to Jan, 2021 2022'!AH68</f>
        <v>10</v>
      </c>
      <c r="J766">
        <f>G766*Parameters!$B$2*Parameters!$B$5</f>
        <v>63.87299999999999</v>
      </c>
      <c r="K766">
        <f>H766*Parameters!$B$3*Parameters!$B$6</f>
        <v>0</v>
      </c>
      <c r="L766">
        <f>I766*Parameters!$B$4*Parameters!$B$7</f>
        <v>80.963999999999999</v>
      </c>
      <c r="M766">
        <f t="shared" si="11"/>
        <v>144.83699999999999</v>
      </c>
      <c r="N766">
        <v>0</v>
      </c>
      <c r="O766">
        <v>3000</v>
      </c>
      <c r="P766">
        <v>0</v>
      </c>
      <c r="Q766">
        <v>3000</v>
      </c>
    </row>
    <row r="767" spans="1:17">
      <c r="A767" t="s">
        <v>92</v>
      </c>
      <c r="B767" t="s">
        <v>17</v>
      </c>
      <c r="C767">
        <v>4</v>
      </c>
      <c r="D767">
        <v>2022</v>
      </c>
      <c r="E767" s="49" t="s">
        <v>147</v>
      </c>
      <c r="F767" s="49" t="s">
        <v>163</v>
      </c>
      <c r="G767">
        <f>'October to Jan, 2021 2022'!AE69+'October to Jan, 2021 2022'!AF69</f>
        <v>0</v>
      </c>
      <c r="H767">
        <f>'October to Jan, 2021 2022'!AG69</f>
        <v>60</v>
      </c>
      <c r="I767">
        <f>'October to Jan, 2021 2022'!AH69</f>
        <v>0</v>
      </c>
      <c r="J767">
        <f>G767*Parameters!$B$2*Parameters!$B$5</f>
        <v>0</v>
      </c>
      <c r="K767">
        <f>H767*Parameters!$B$3*Parameters!$B$6</f>
        <v>376.24799999999999</v>
      </c>
      <c r="L767">
        <f>I767*Parameters!$B$4*Parameters!$B$7</f>
        <v>0</v>
      </c>
      <c r="M767">
        <f t="shared" si="11"/>
        <v>376.24799999999999</v>
      </c>
      <c r="N767">
        <v>0</v>
      </c>
      <c r="O767">
        <v>0</v>
      </c>
      <c r="P767">
        <v>18000</v>
      </c>
      <c r="Q767">
        <v>0</v>
      </c>
    </row>
    <row r="768" spans="1:17">
      <c r="A768" t="s">
        <v>93</v>
      </c>
      <c r="B768" t="s">
        <v>19</v>
      </c>
      <c r="C768">
        <v>7</v>
      </c>
      <c r="D768">
        <v>2022</v>
      </c>
      <c r="E768" s="49" t="s">
        <v>147</v>
      </c>
      <c r="F768" s="49" t="s">
        <v>163</v>
      </c>
      <c r="G768">
        <f>'October to Jan, 2021 2022'!AE70+'October to Jan, 2021 2022'!AF70</f>
        <v>35</v>
      </c>
      <c r="H768">
        <f>'October to Jan, 2021 2022'!AG70</f>
        <v>0</v>
      </c>
      <c r="I768">
        <f>'October to Jan, 2021 2022'!AH70</f>
        <v>5</v>
      </c>
      <c r="J768">
        <f>G768*Parameters!$B$2*Parameters!$B$5</f>
        <v>74.518499999999989</v>
      </c>
      <c r="K768">
        <f>H768*Parameters!$B$3*Parameters!$B$6</f>
        <v>0</v>
      </c>
      <c r="L768">
        <f>I768*Parameters!$B$4*Parameters!$B$7</f>
        <v>40.481999999999999</v>
      </c>
      <c r="M768">
        <f t="shared" si="11"/>
        <v>115.00049999999999</v>
      </c>
      <c r="N768">
        <v>0</v>
      </c>
      <c r="O768">
        <v>3500</v>
      </c>
      <c r="P768">
        <v>0</v>
      </c>
      <c r="Q768">
        <v>1500</v>
      </c>
    </row>
    <row r="769" spans="1:17">
      <c r="A769" t="s">
        <v>94</v>
      </c>
      <c r="B769" t="s">
        <v>19</v>
      </c>
      <c r="C769">
        <v>6</v>
      </c>
      <c r="D769">
        <v>2022</v>
      </c>
      <c r="E769" s="49" t="s">
        <v>147</v>
      </c>
      <c r="F769" s="49" t="s">
        <v>163</v>
      </c>
      <c r="G769">
        <f>'October to Jan, 2021 2022'!AE71+'October to Jan, 2021 2022'!AF71</f>
        <v>40</v>
      </c>
      <c r="H769">
        <f>'October to Jan, 2021 2022'!AG71</f>
        <v>0</v>
      </c>
      <c r="I769">
        <f>'October to Jan, 2021 2022'!AH71</f>
        <v>20</v>
      </c>
      <c r="J769">
        <f>G769*Parameters!$B$2*Parameters!$B$5</f>
        <v>85.163999999999987</v>
      </c>
      <c r="K769">
        <f>H769*Parameters!$B$3*Parameters!$B$6</f>
        <v>0</v>
      </c>
      <c r="L769">
        <f>I769*Parameters!$B$4*Parameters!$B$7</f>
        <v>161.928</v>
      </c>
      <c r="M769">
        <f t="shared" si="11"/>
        <v>247.09199999999998</v>
      </c>
      <c r="N769">
        <v>0</v>
      </c>
      <c r="O769">
        <v>4000</v>
      </c>
      <c r="P769">
        <v>0</v>
      </c>
      <c r="Q769">
        <v>6000</v>
      </c>
    </row>
    <row r="770" spans="1:17">
      <c r="A770" t="s">
        <v>95</v>
      </c>
      <c r="B770" t="s">
        <v>26</v>
      </c>
      <c r="C770">
        <v>8</v>
      </c>
      <c r="D770">
        <v>2022</v>
      </c>
      <c r="E770" s="49" t="s">
        <v>147</v>
      </c>
      <c r="F770" s="49" t="s">
        <v>163</v>
      </c>
      <c r="G770">
        <f>'October to Jan, 2021 2022'!AE72+'October to Jan, 2021 2022'!AF72</f>
        <v>48</v>
      </c>
      <c r="H770">
        <f>'October to Jan, 2021 2022'!AG72</f>
        <v>0</v>
      </c>
      <c r="I770">
        <f>'October to Jan, 2021 2022'!AH72</f>
        <v>10</v>
      </c>
      <c r="J770">
        <f>G770*Parameters!$B$2*Parameters!$B$5</f>
        <v>102.19679999999998</v>
      </c>
      <c r="K770">
        <f>H770*Parameters!$B$3*Parameters!$B$6</f>
        <v>0</v>
      </c>
      <c r="L770">
        <f>I770*Parameters!$B$4*Parameters!$B$7</f>
        <v>80.963999999999999</v>
      </c>
      <c r="M770">
        <f t="shared" si="11"/>
        <v>183.16079999999999</v>
      </c>
      <c r="N770">
        <v>0</v>
      </c>
      <c r="O770">
        <v>4800</v>
      </c>
      <c r="P770">
        <v>0</v>
      </c>
      <c r="Q770">
        <v>3000</v>
      </c>
    </row>
    <row r="771" spans="1:17">
      <c r="A771" t="s">
        <v>96</v>
      </c>
      <c r="B771" t="s">
        <v>19</v>
      </c>
      <c r="C771">
        <v>8</v>
      </c>
      <c r="D771">
        <v>2022</v>
      </c>
      <c r="E771" s="49" t="s">
        <v>147</v>
      </c>
      <c r="F771" s="49" t="s">
        <v>163</v>
      </c>
      <c r="G771">
        <f>'October to Jan, 2021 2022'!AE73+'October to Jan, 2021 2022'!AF73</f>
        <v>20</v>
      </c>
      <c r="H771">
        <f>'October to Jan, 2021 2022'!AG73</f>
        <v>0</v>
      </c>
      <c r="I771">
        <f>'October to Jan, 2021 2022'!AH73</f>
        <v>15</v>
      </c>
      <c r="J771">
        <f>G771*Parameters!$B$2*Parameters!$B$5</f>
        <v>42.581999999999994</v>
      </c>
      <c r="K771">
        <f>H771*Parameters!$B$3*Parameters!$B$6</f>
        <v>0</v>
      </c>
      <c r="L771">
        <f>I771*Parameters!$B$4*Parameters!$B$7</f>
        <v>121.44600000000001</v>
      </c>
      <c r="M771">
        <f t="shared" ref="M771:M834" si="12">SUM(J771:L771)</f>
        <v>164.02800000000002</v>
      </c>
      <c r="N771">
        <v>0</v>
      </c>
      <c r="O771">
        <v>2000</v>
      </c>
      <c r="P771">
        <v>0</v>
      </c>
      <c r="Q771">
        <v>4500</v>
      </c>
    </row>
    <row r="772" spans="1:17">
      <c r="A772" t="s">
        <v>97</v>
      </c>
      <c r="B772" t="s">
        <v>17</v>
      </c>
      <c r="C772">
        <v>4</v>
      </c>
      <c r="D772">
        <v>2022</v>
      </c>
      <c r="E772" s="49" t="s">
        <v>147</v>
      </c>
      <c r="F772" s="49" t="s">
        <v>163</v>
      </c>
      <c r="G772">
        <f>'October to Jan, 2021 2022'!AE74+'October to Jan, 2021 2022'!AF74</f>
        <v>35</v>
      </c>
      <c r="H772">
        <f>'October to Jan, 2021 2022'!AG74</f>
        <v>0</v>
      </c>
      <c r="I772">
        <f>'October to Jan, 2021 2022'!AH74</f>
        <v>15</v>
      </c>
      <c r="J772">
        <f>G772*Parameters!$B$2*Parameters!$B$5</f>
        <v>74.518499999999989</v>
      </c>
      <c r="K772">
        <f>H772*Parameters!$B$3*Parameters!$B$6</f>
        <v>0</v>
      </c>
      <c r="L772">
        <f>I772*Parameters!$B$4*Parameters!$B$7</f>
        <v>121.44600000000001</v>
      </c>
      <c r="M772">
        <f t="shared" si="12"/>
        <v>195.96449999999999</v>
      </c>
      <c r="N772">
        <v>0</v>
      </c>
      <c r="O772">
        <v>3500</v>
      </c>
      <c r="P772">
        <v>0</v>
      </c>
      <c r="Q772">
        <v>4500</v>
      </c>
    </row>
    <row r="773" spans="1:17">
      <c r="A773" t="s">
        <v>98</v>
      </c>
      <c r="B773" t="s">
        <v>65</v>
      </c>
      <c r="C773">
        <v>5</v>
      </c>
      <c r="D773">
        <v>2022</v>
      </c>
      <c r="E773" s="49" t="s">
        <v>147</v>
      </c>
      <c r="F773" s="49" t="s">
        <v>163</v>
      </c>
      <c r="G773">
        <f>'October to Jan, 2021 2022'!AE75+'October to Jan, 2021 2022'!AF75</f>
        <v>20</v>
      </c>
      <c r="H773">
        <f>'October to Jan, 2021 2022'!AG75</f>
        <v>0</v>
      </c>
      <c r="I773">
        <f>'October to Jan, 2021 2022'!AH75</f>
        <v>20</v>
      </c>
      <c r="J773">
        <f>G773*Parameters!$B$2*Parameters!$B$5</f>
        <v>42.581999999999994</v>
      </c>
      <c r="K773">
        <f>H773*Parameters!$B$3*Parameters!$B$6</f>
        <v>0</v>
      </c>
      <c r="L773">
        <f>I773*Parameters!$B$4*Parameters!$B$7</f>
        <v>161.928</v>
      </c>
      <c r="M773">
        <f t="shared" si="12"/>
        <v>204.51</v>
      </c>
      <c r="N773">
        <v>0</v>
      </c>
      <c r="O773">
        <v>2000</v>
      </c>
      <c r="P773">
        <v>0</v>
      </c>
      <c r="Q773">
        <v>6000</v>
      </c>
    </row>
    <row r="774" spans="1:17">
      <c r="A774" t="s">
        <v>99</v>
      </c>
      <c r="B774" t="s">
        <v>32</v>
      </c>
      <c r="C774">
        <v>9</v>
      </c>
      <c r="D774">
        <v>2022</v>
      </c>
      <c r="E774" s="49" t="s">
        <v>147</v>
      </c>
      <c r="F774" s="49" t="s">
        <v>163</v>
      </c>
      <c r="G774">
        <f>'October to Jan, 2021 2022'!AE76+'October to Jan, 2021 2022'!AF76</f>
        <v>60</v>
      </c>
      <c r="H774">
        <f>'October to Jan, 2021 2022'!AG76</f>
        <v>0</v>
      </c>
      <c r="I774">
        <f>'October to Jan, 2021 2022'!AH76</f>
        <v>15</v>
      </c>
      <c r="J774">
        <f>G774*Parameters!$B$2*Parameters!$B$5</f>
        <v>127.74599999999998</v>
      </c>
      <c r="K774">
        <f>H774*Parameters!$B$3*Parameters!$B$6</f>
        <v>0</v>
      </c>
      <c r="L774">
        <f>I774*Parameters!$B$4*Parameters!$B$7</f>
        <v>121.44600000000001</v>
      </c>
      <c r="M774">
        <f t="shared" si="12"/>
        <v>249.19200000000001</v>
      </c>
      <c r="N774">
        <v>0</v>
      </c>
      <c r="O774">
        <v>6000</v>
      </c>
      <c r="P774">
        <v>0</v>
      </c>
      <c r="Q774">
        <v>4500</v>
      </c>
    </row>
    <row r="775" spans="1:17">
      <c r="A775" t="s">
        <v>100</v>
      </c>
      <c r="B775" t="s">
        <v>40</v>
      </c>
      <c r="C775">
        <v>8</v>
      </c>
      <c r="D775">
        <v>2022</v>
      </c>
      <c r="E775" s="49" t="s">
        <v>147</v>
      </c>
      <c r="F775" s="49" t="s">
        <v>163</v>
      </c>
      <c r="G775">
        <f>'October to Jan, 2021 2022'!AE77+'October to Jan, 2021 2022'!AF77</f>
        <v>30</v>
      </c>
      <c r="H775">
        <f>'October to Jan, 2021 2022'!AG77</f>
        <v>0</v>
      </c>
      <c r="I775">
        <f>'October to Jan, 2021 2022'!AH77</f>
        <v>10</v>
      </c>
      <c r="J775">
        <f>G775*Parameters!$B$2*Parameters!$B$5</f>
        <v>63.87299999999999</v>
      </c>
      <c r="K775">
        <f>H775*Parameters!$B$3*Parameters!$B$6</f>
        <v>0</v>
      </c>
      <c r="L775">
        <f>I775*Parameters!$B$4*Parameters!$B$7</f>
        <v>80.963999999999999</v>
      </c>
      <c r="M775">
        <f t="shared" si="12"/>
        <v>144.83699999999999</v>
      </c>
      <c r="N775">
        <v>0</v>
      </c>
      <c r="O775">
        <v>3000</v>
      </c>
      <c r="P775">
        <v>0</v>
      </c>
      <c r="Q775">
        <v>3000</v>
      </c>
    </row>
    <row r="776" spans="1:17">
      <c r="A776" t="s">
        <v>101</v>
      </c>
      <c r="B776" t="s">
        <v>38</v>
      </c>
      <c r="C776">
        <v>5</v>
      </c>
      <c r="D776">
        <v>2022</v>
      </c>
      <c r="E776" s="49" t="s">
        <v>147</v>
      </c>
      <c r="F776" s="49" t="s">
        <v>163</v>
      </c>
      <c r="G776">
        <f>'October to Jan, 2021 2022'!AE78+'October to Jan, 2021 2022'!AF78</f>
        <v>15</v>
      </c>
      <c r="H776">
        <f>'October to Jan, 2021 2022'!AG78</f>
        <v>25</v>
      </c>
      <c r="I776">
        <f>'October to Jan, 2021 2022'!AH78</f>
        <v>0</v>
      </c>
      <c r="J776">
        <f>G776*Parameters!$B$2*Parameters!$B$5</f>
        <v>31.936499999999995</v>
      </c>
      <c r="K776">
        <f>H776*Parameters!$B$3*Parameters!$B$6</f>
        <v>156.77000000000001</v>
      </c>
      <c r="L776">
        <f>I776*Parameters!$B$4*Parameters!$B$7</f>
        <v>0</v>
      </c>
      <c r="M776">
        <f t="shared" si="12"/>
        <v>188.70650000000001</v>
      </c>
      <c r="N776">
        <v>0</v>
      </c>
      <c r="O776">
        <v>1500</v>
      </c>
      <c r="P776">
        <v>7500</v>
      </c>
      <c r="Q776">
        <v>0</v>
      </c>
    </row>
    <row r="777" spans="1:17">
      <c r="A777" t="s">
        <v>102</v>
      </c>
      <c r="B777" t="s">
        <v>17</v>
      </c>
      <c r="C777">
        <v>4</v>
      </c>
      <c r="D777">
        <v>2022</v>
      </c>
      <c r="E777" s="49" t="s">
        <v>147</v>
      </c>
      <c r="F777" s="49" t="s">
        <v>163</v>
      </c>
      <c r="G777">
        <f>'October to Jan, 2021 2022'!AE79+'October to Jan, 2021 2022'!AF79</f>
        <v>32</v>
      </c>
      <c r="H777">
        <f>'October to Jan, 2021 2022'!AG79</f>
        <v>0</v>
      </c>
      <c r="I777">
        <f>'October to Jan, 2021 2022'!AH79</f>
        <v>20</v>
      </c>
      <c r="J777">
        <f>G777*Parameters!$B$2*Parameters!$B$5</f>
        <v>68.131199999999993</v>
      </c>
      <c r="K777">
        <f>H777*Parameters!$B$3*Parameters!$B$6</f>
        <v>0</v>
      </c>
      <c r="L777">
        <f>I777*Parameters!$B$4*Parameters!$B$7</f>
        <v>161.928</v>
      </c>
      <c r="M777">
        <f t="shared" si="12"/>
        <v>230.05919999999998</v>
      </c>
      <c r="N777">
        <v>0</v>
      </c>
      <c r="O777">
        <v>3200</v>
      </c>
      <c r="P777">
        <v>0</v>
      </c>
      <c r="Q777">
        <v>6000</v>
      </c>
    </row>
    <row r="778" spans="1:17">
      <c r="A778" t="s">
        <v>103</v>
      </c>
      <c r="B778" t="s">
        <v>26</v>
      </c>
      <c r="C778">
        <v>6</v>
      </c>
      <c r="D778">
        <v>2022</v>
      </c>
      <c r="E778" s="49" t="s">
        <v>147</v>
      </c>
      <c r="F778" s="49" t="s">
        <v>163</v>
      </c>
      <c r="G778">
        <f>'October to Jan, 2021 2022'!AE80+'October to Jan, 2021 2022'!AF80</f>
        <v>35</v>
      </c>
      <c r="H778">
        <f>'October to Jan, 2021 2022'!AG80</f>
        <v>0</v>
      </c>
      <c r="I778">
        <f>'October to Jan, 2021 2022'!AH80</f>
        <v>15</v>
      </c>
      <c r="J778">
        <f>G778*Parameters!$B$2*Parameters!$B$5</f>
        <v>74.518499999999989</v>
      </c>
      <c r="K778">
        <f>H778*Parameters!$B$3*Parameters!$B$6</f>
        <v>0</v>
      </c>
      <c r="L778">
        <f>I778*Parameters!$B$4*Parameters!$B$7</f>
        <v>121.44600000000001</v>
      </c>
      <c r="M778">
        <f t="shared" si="12"/>
        <v>195.96449999999999</v>
      </c>
      <c r="N778">
        <v>0</v>
      </c>
      <c r="O778">
        <v>3500</v>
      </c>
      <c r="P778">
        <v>0</v>
      </c>
      <c r="Q778">
        <v>4500</v>
      </c>
    </row>
    <row r="779" spans="1:17">
      <c r="A779" t="s">
        <v>104</v>
      </c>
      <c r="B779" t="s">
        <v>26</v>
      </c>
      <c r="C779">
        <v>7</v>
      </c>
      <c r="D779">
        <v>2022</v>
      </c>
      <c r="E779" s="49" t="s">
        <v>147</v>
      </c>
      <c r="F779" s="49" t="s">
        <v>163</v>
      </c>
      <c r="G779">
        <f>'October to Jan, 2021 2022'!AE81+'October to Jan, 2021 2022'!AF81</f>
        <v>35</v>
      </c>
      <c r="H779">
        <f>'October to Jan, 2021 2022'!AG81</f>
        <v>0</v>
      </c>
      <c r="I779">
        <f>'October to Jan, 2021 2022'!AH81</f>
        <v>10</v>
      </c>
      <c r="J779">
        <f>G779*Parameters!$B$2*Parameters!$B$5</f>
        <v>74.518499999999989</v>
      </c>
      <c r="K779">
        <f>H779*Parameters!$B$3*Parameters!$B$6</f>
        <v>0</v>
      </c>
      <c r="L779">
        <f>I779*Parameters!$B$4*Parameters!$B$7</f>
        <v>80.963999999999999</v>
      </c>
      <c r="M779">
        <f t="shared" si="12"/>
        <v>155.48249999999999</v>
      </c>
      <c r="N779">
        <v>0</v>
      </c>
      <c r="O779">
        <v>3500</v>
      </c>
      <c r="P779">
        <v>0</v>
      </c>
      <c r="Q779">
        <v>3000</v>
      </c>
    </row>
    <row r="780" spans="1:17">
      <c r="A780" t="s">
        <v>105</v>
      </c>
      <c r="B780" t="s">
        <v>21</v>
      </c>
      <c r="C780">
        <v>5</v>
      </c>
      <c r="D780">
        <v>2022</v>
      </c>
      <c r="E780" s="49" t="s">
        <v>147</v>
      </c>
      <c r="F780" s="49" t="s">
        <v>163</v>
      </c>
      <c r="G780">
        <f>'October to Jan, 2021 2022'!AE82+'October to Jan, 2021 2022'!AF82</f>
        <v>35</v>
      </c>
      <c r="H780">
        <f>'October to Jan, 2021 2022'!AG82</f>
        <v>0</v>
      </c>
      <c r="I780">
        <f>'October to Jan, 2021 2022'!AH82</f>
        <v>15</v>
      </c>
      <c r="J780">
        <f>G780*Parameters!$B$2*Parameters!$B$5</f>
        <v>74.518499999999989</v>
      </c>
      <c r="K780">
        <f>H780*Parameters!$B$3*Parameters!$B$6</f>
        <v>0</v>
      </c>
      <c r="L780">
        <f>I780*Parameters!$B$4*Parameters!$B$7</f>
        <v>121.44600000000001</v>
      </c>
      <c r="M780">
        <f t="shared" si="12"/>
        <v>195.96449999999999</v>
      </c>
      <c r="N780">
        <v>0</v>
      </c>
      <c r="O780">
        <v>3500</v>
      </c>
      <c r="P780">
        <v>0</v>
      </c>
      <c r="Q780">
        <v>4500</v>
      </c>
    </row>
    <row r="781" spans="1:17">
      <c r="A781" t="s">
        <v>106</v>
      </c>
      <c r="B781" t="s">
        <v>24</v>
      </c>
      <c r="C781">
        <v>6</v>
      </c>
      <c r="D781">
        <v>2022</v>
      </c>
      <c r="E781" s="49" t="s">
        <v>147</v>
      </c>
      <c r="F781" s="49" t="s">
        <v>163</v>
      </c>
      <c r="G781">
        <f>'October to Jan, 2021 2022'!AE83+'October to Jan, 2021 2022'!AF83</f>
        <v>25</v>
      </c>
      <c r="H781">
        <f>'October to Jan, 2021 2022'!AG83</f>
        <v>0</v>
      </c>
      <c r="I781">
        <f>'October to Jan, 2021 2022'!AH83</f>
        <v>15</v>
      </c>
      <c r="J781">
        <f>G781*Parameters!$B$2*Parameters!$B$5</f>
        <v>53.227499999999992</v>
      </c>
      <c r="K781">
        <f>H781*Parameters!$B$3*Parameters!$B$6</f>
        <v>0</v>
      </c>
      <c r="L781">
        <f>I781*Parameters!$B$4*Parameters!$B$7</f>
        <v>121.44600000000001</v>
      </c>
      <c r="M781">
        <f t="shared" si="12"/>
        <v>174.67349999999999</v>
      </c>
      <c r="N781">
        <v>0</v>
      </c>
      <c r="O781">
        <v>2500</v>
      </c>
      <c r="P781">
        <v>0</v>
      </c>
      <c r="Q781">
        <v>4500</v>
      </c>
    </row>
    <row r="782" spans="1:17">
      <c r="A782" t="s">
        <v>107</v>
      </c>
      <c r="B782" t="s">
        <v>21</v>
      </c>
      <c r="C782">
        <v>4</v>
      </c>
      <c r="D782">
        <v>2022</v>
      </c>
      <c r="E782" s="49" t="s">
        <v>147</v>
      </c>
      <c r="F782" s="49" t="s">
        <v>163</v>
      </c>
      <c r="G782">
        <f>'October to Jan, 2021 2022'!AE84+'October to Jan, 2021 2022'!AF84</f>
        <v>25</v>
      </c>
      <c r="H782">
        <f>'October to Jan, 2021 2022'!AG84</f>
        <v>0</v>
      </c>
      <c r="I782">
        <f>'October to Jan, 2021 2022'!AH84</f>
        <v>20</v>
      </c>
      <c r="J782">
        <f>G782*Parameters!$B$2*Parameters!$B$5</f>
        <v>53.227499999999992</v>
      </c>
      <c r="K782">
        <f>H782*Parameters!$B$3*Parameters!$B$6</f>
        <v>0</v>
      </c>
      <c r="L782">
        <f>I782*Parameters!$B$4*Parameters!$B$7</f>
        <v>161.928</v>
      </c>
      <c r="M782">
        <f t="shared" si="12"/>
        <v>215.15549999999999</v>
      </c>
      <c r="N782">
        <v>0</v>
      </c>
      <c r="O782">
        <v>2500</v>
      </c>
      <c r="P782">
        <v>0</v>
      </c>
      <c r="Q782">
        <v>6000</v>
      </c>
    </row>
    <row r="783" spans="1:17">
      <c r="A783" t="s">
        <v>108</v>
      </c>
      <c r="B783" t="s">
        <v>24</v>
      </c>
      <c r="C783">
        <v>5</v>
      </c>
      <c r="D783">
        <v>2022</v>
      </c>
      <c r="E783" s="49" t="s">
        <v>147</v>
      </c>
      <c r="F783" s="49" t="s">
        <v>163</v>
      </c>
      <c r="G783">
        <f>'October to Jan, 2021 2022'!AE85+'October to Jan, 2021 2022'!AF85</f>
        <v>24</v>
      </c>
      <c r="H783">
        <f>'October to Jan, 2021 2022'!AG85</f>
        <v>0</v>
      </c>
      <c r="I783">
        <f>'October to Jan, 2021 2022'!AH85</f>
        <v>20</v>
      </c>
      <c r="J783">
        <f>G783*Parameters!$B$2*Parameters!$B$5</f>
        <v>51.098399999999991</v>
      </c>
      <c r="K783">
        <f>H783*Parameters!$B$3*Parameters!$B$6</f>
        <v>0</v>
      </c>
      <c r="L783">
        <f>I783*Parameters!$B$4*Parameters!$B$7</f>
        <v>161.928</v>
      </c>
      <c r="M783">
        <f t="shared" si="12"/>
        <v>213.0264</v>
      </c>
      <c r="N783">
        <v>0</v>
      </c>
      <c r="O783">
        <v>2400</v>
      </c>
      <c r="P783">
        <v>0</v>
      </c>
      <c r="Q783">
        <v>6000</v>
      </c>
    </row>
    <row r="784" spans="1:17">
      <c r="A784" t="s">
        <v>109</v>
      </c>
      <c r="B784" t="s">
        <v>32</v>
      </c>
      <c r="C784">
        <v>6</v>
      </c>
      <c r="D784">
        <v>2022</v>
      </c>
      <c r="E784" s="49" t="s">
        <v>147</v>
      </c>
      <c r="F784" s="49" t="s">
        <v>163</v>
      </c>
      <c r="G784">
        <f>'October to Jan, 2021 2022'!AE86+'October to Jan, 2021 2022'!AF86</f>
        <v>20</v>
      </c>
      <c r="H784">
        <f>'October to Jan, 2021 2022'!AG86</f>
        <v>0</v>
      </c>
      <c r="I784">
        <f>'October to Jan, 2021 2022'!AH86</f>
        <v>15</v>
      </c>
      <c r="J784">
        <f>G784*Parameters!$B$2*Parameters!$B$5</f>
        <v>42.581999999999994</v>
      </c>
      <c r="K784">
        <f>H784*Parameters!$B$3*Parameters!$B$6</f>
        <v>0</v>
      </c>
      <c r="L784">
        <f>I784*Parameters!$B$4*Parameters!$B$7</f>
        <v>121.44600000000001</v>
      </c>
      <c r="M784">
        <f t="shared" si="12"/>
        <v>164.02800000000002</v>
      </c>
      <c r="N784">
        <v>0</v>
      </c>
      <c r="O784">
        <v>2000</v>
      </c>
      <c r="P784">
        <v>0</v>
      </c>
      <c r="Q784">
        <v>4500</v>
      </c>
    </row>
    <row r="785" spans="1:17">
      <c r="A785" t="s">
        <v>110</v>
      </c>
      <c r="B785" t="s">
        <v>21</v>
      </c>
      <c r="C785">
        <v>3</v>
      </c>
      <c r="D785">
        <v>2022</v>
      </c>
      <c r="E785" s="49" t="s">
        <v>147</v>
      </c>
      <c r="F785" s="49" t="s">
        <v>163</v>
      </c>
      <c r="G785">
        <f>'October to Jan, 2021 2022'!AE87+'October to Jan, 2021 2022'!AF87</f>
        <v>25</v>
      </c>
      <c r="H785">
        <f>'October to Jan, 2021 2022'!AG87</f>
        <v>0</v>
      </c>
      <c r="I785">
        <f>'October to Jan, 2021 2022'!AH87</f>
        <v>5</v>
      </c>
      <c r="J785">
        <f>G785*Parameters!$B$2*Parameters!$B$5</f>
        <v>53.227499999999992</v>
      </c>
      <c r="K785">
        <f>H785*Parameters!$B$3*Parameters!$B$6</f>
        <v>0</v>
      </c>
      <c r="L785">
        <f>I785*Parameters!$B$4*Parameters!$B$7</f>
        <v>40.481999999999999</v>
      </c>
      <c r="M785">
        <f t="shared" si="12"/>
        <v>93.709499999999991</v>
      </c>
      <c r="N785">
        <v>0</v>
      </c>
      <c r="O785">
        <v>2500</v>
      </c>
      <c r="P785">
        <v>0</v>
      </c>
      <c r="Q785">
        <v>1500</v>
      </c>
    </row>
    <row r="786" spans="1:17">
      <c r="A786" t="s">
        <v>111</v>
      </c>
      <c r="B786" t="s">
        <v>26</v>
      </c>
      <c r="C786">
        <v>6</v>
      </c>
      <c r="D786">
        <v>2022</v>
      </c>
      <c r="E786" s="49" t="s">
        <v>147</v>
      </c>
      <c r="F786" s="49" t="s">
        <v>163</v>
      </c>
      <c r="G786">
        <f>'October to Jan, 2021 2022'!AE88+'October to Jan, 2021 2022'!AF88</f>
        <v>42</v>
      </c>
      <c r="H786">
        <f>'October to Jan, 2021 2022'!AG88</f>
        <v>0</v>
      </c>
      <c r="I786">
        <f>'October to Jan, 2021 2022'!AH88</f>
        <v>12</v>
      </c>
      <c r="J786">
        <f>G786*Parameters!$B$2*Parameters!$B$5</f>
        <v>89.422199999999975</v>
      </c>
      <c r="K786">
        <f>H786*Parameters!$B$3*Parameters!$B$6</f>
        <v>0</v>
      </c>
      <c r="L786">
        <f>I786*Parameters!$B$4*Parameters!$B$7</f>
        <v>97.156800000000018</v>
      </c>
      <c r="M786">
        <f t="shared" si="12"/>
        <v>186.57900000000001</v>
      </c>
      <c r="N786">
        <v>0</v>
      </c>
      <c r="O786">
        <v>4200</v>
      </c>
      <c r="P786">
        <v>0</v>
      </c>
      <c r="Q786">
        <v>3600</v>
      </c>
    </row>
    <row r="787" spans="1:17">
      <c r="A787" t="s">
        <v>112</v>
      </c>
      <c r="B787" t="s">
        <v>19</v>
      </c>
      <c r="C787">
        <v>7</v>
      </c>
      <c r="D787">
        <v>2022</v>
      </c>
      <c r="E787" s="49" t="s">
        <v>147</v>
      </c>
      <c r="F787" s="49" t="s">
        <v>163</v>
      </c>
      <c r="G787">
        <f>'October to Jan, 2021 2022'!AE89+'October to Jan, 2021 2022'!AF89</f>
        <v>0</v>
      </c>
      <c r="H787">
        <f>'October to Jan, 2021 2022'!AG89</f>
        <v>30</v>
      </c>
      <c r="I787">
        <f>'October to Jan, 2021 2022'!AH89</f>
        <v>10</v>
      </c>
      <c r="J787">
        <f>G787*Parameters!$B$2*Parameters!$B$5</f>
        <v>0</v>
      </c>
      <c r="K787">
        <f>H787*Parameters!$B$3*Parameters!$B$6</f>
        <v>188.124</v>
      </c>
      <c r="L787">
        <f>I787*Parameters!$B$4*Parameters!$B$7</f>
        <v>80.963999999999999</v>
      </c>
      <c r="M787">
        <f t="shared" si="12"/>
        <v>269.08799999999997</v>
      </c>
      <c r="N787">
        <v>0</v>
      </c>
      <c r="O787">
        <v>0</v>
      </c>
      <c r="P787">
        <v>9000</v>
      </c>
      <c r="Q787">
        <v>3000</v>
      </c>
    </row>
    <row r="788" spans="1:17">
      <c r="A788" t="s">
        <v>113</v>
      </c>
      <c r="B788" t="s">
        <v>26</v>
      </c>
      <c r="C788">
        <v>4</v>
      </c>
      <c r="D788">
        <v>2022</v>
      </c>
      <c r="E788" s="49" t="s">
        <v>147</v>
      </c>
      <c r="F788" s="49" t="s">
        <v>163</v>
      </c>
      <c r="G788">
        <f>'October to Jan, 2021 2022'!AE90+'October to Jan, 2021 2022'!AF90</f>
        <v>40</v>
      </c>
      <c r="H788">
        <f>'October to Jan, 2021 2022'!AG90</f>
        <v>0</v>
      </c>
      <c r="I788">
        <f>'October to Jan, 2021 2022'!AH90</f>
        <v>15</v>
      </c>
      <c r="J788">
        <f>G788*Parameters!$B$2*Parameters!$B$5</f>
        <v>85.163999999999987</v>
      </c>
      <c r="K788">
        <f>H788*Parameters!$B$3*Parameters!$B$6</f>
        <v>0</v>
      </c>
      <c r="L788">
        <f>I788*Parameters!$B$4*Parameters!$B$7</f>
        <v>121.44600000000001</v>
      </c>
      <c r="M788">
        <f t="shared" si="12"/>
        <v>206.61</v>
      </c>
      <c r="N788">
        <v>0</v>
      </c>
      <c r="O788">
        <v>4000</v>
      </c>
      <c r="P788">
        <v>0</v>
      </c>
      <c r="Q788">
        <v>4500</v>
      </c>
    </row>
    <row r="789" spans="1:17">
      <c r="A789" t="s">
        <v>114</v>
      </c>
      <c r="B789" t="s">
        <v>65</v>
      </c>
      <c r="C789">
        <v>8</v>
      </c>
      <c r="D789">
        <v>2022</v>
      </c>
      <c r="E789" s="49" t="s">
        <v>147</v>
      </c>
      <c r="F789" s="49" t="s">
        <v>163</v>
      </c>
      <c r="G789">
        <f>'October to Jan, 2021 2022'!AE91+'October to Jan, 2021 2022'!AF91</f>
        <v>58</v>
      </c>
      <c r="H789">
        <f>'October to Jan, 2021 2022'!AG91</f>
        <v>0</v>
      </c>
      <c r="I789">
        <f>'October to Jan, 2021 2022'!AH91</f>
        <v>20</v>
      </c>
      <c r="J789">
        <f>G789*Parameters!$B$2*Parameters!$B$5</f>
        <v>123.48779999999998</v>
      </c>
      <c r="K789">
        <f>H789*Parameters!$B$3*Parameters!$B$6</f>
        <v>0</v>
      </c>
      <c r="L789">
        <f>I789*Parameters!$B$4*Parameters!$B$7</f>
        <v>161.928</v>
      </c>
      <c r="M789">
        <f t="shared" si="12"/>
        <v>285.41579999999999</v>
      </c>
      <c r="N789">
        <v>0</v>
      </c>
      <c r="O789">
        <v>5800</v>
      </c>
      <c r="P789">
        <v>0</v>
      </c>
      <c r="Q789">
        <v>6000</v>
      </c>
    </row>
    <row r="790" spans="1:17">
      <c r="A790" t="s">
        <v>115</v>
      </c>
      <c r="B790" t="s">
        <v>19</v>
      </c>
      <c r="C790">
        <v>8</v>
      </c>
      <c r="D790">
        <v>2022</v>
      </c>
      <c r="E790" s="49" t="s">
        <v>147</v>
      </c>
      <c r="F790" s="49" t="s">
        <v>163</v>
      </c>
      <c r="G790">
        <f>'October to Jan, 2021 2022'!AE92+'October to Jan, 2021 2022'!AF92</f>
        <v>55</v>
      </c>
      <c r="H790">
        <f>'October to Jan, 2021 2022'!AG92</f>
        <v>0</v>
      </c>
      <c r="I790">
        <f>'October to Jan, 2021 2022'!AH92</f>
        <v>15</v>
      </c>
      <c r="J790">
        <f>G790*Parameters!$B$2*Parameters!$B$5</f>
        <v>117.10049999999998</v>
      </c>
      <c r="K790">
        <f>H790*Parameters!$B$3*Parameters!$B$6</f>
        <v>0</v>
      </c>
      <c r="L790">
        <f>I790*Parameters!$B$4*Parameters!$B$7</f>
        <v>121.44600000000001</v>
      </c>
      <c r="M790">
        <f t="shared" si="12"/>
        <v>238.54649999999998</v>
      </c>
      <c r="N790">
        <v>0</v>
      </c>
      <c r="O790">
        <v>5500</v>
      </c>
      <c r="P790">
        <v>0</v>
      </c>
      <c r="Q790">
        <v>4500</v>
      </c>
    </row>
    <row r="791" spans="1:17">
      <c r="A791" t="s">
        <v>116</v>
      </c>
      <c r="B791" t="s">
        <v>21</v>
      </c>
      <c r="C791">
        <v>4</v>
      </c>
      <c r="D791">
        <v>2022</v>
      </c>
      <c r="E791" s="49" t="s">
        <v>147</v>
      </c>
      <c r="F791" s="49" t="s">
        <v>163</v>
      </c>
      <c r="G791">
        <f>'October to Jan, 2021 2022'!AE93+'October to Jan, 2021 2022'!AF93</f>
        <v>30</v>
      </c>
      <c r="H791">
        <f>'October to Jan, 2021 2022'!AG93</f>
        <v>0</v>
      </c>
      <c r="I791">
        <f>'October to Jan, 2021 2022'!AH93</f>
        <v>20</v>
      </c>
      <c r="J791">
        <f>G791*Parameters!$B$2*Parameters!$B$5</f>
        <v>63.87299999999999</v>
      </c>
      <c r="K791">
        <f>H791*Parameters!$B$3*Parameters!$B$6</f>
        <v>0</v>
      </c>
      <c r="L791">
        <f>I791*Parameters!$B$4*Parameters!$B$7</f>
        <v>161.928</v>
      </c>
      <c r="M791">
        <f t="shared" si="12"/>
        <v>225.80099999999999</v>
      </c>
      <c r="N791">
        <v>0</v>
      </c>
      <c r="O791">
        <v>3000</v>
      </c>
      <c r="P791">
        <v>0</v>
      </c>
      <c r="Q791">
        <v>6000</v>
      </c>
    </row>
    <row r="792" spans="1:17">
      <c r="A792" t="s">
        <v>117</v>
      </c>
      <c r="B792" t="s">
        <v>17</v>
      </c>
      <c r="C792">
        <v>9</v>
      </c>
      <c r="D792">
        <v>2022</v>
      </c>
      <c r="E792" s="49" t="s">
        <v>147</v>
      </c>
      <c r="F792" s="49" t="s">
        <v>163</v>
      </c>
      <c r="G792">
        <f>'October to Jan, 2021 2022'!AE94+'October to Jan, 2021 2022'!AF94</f>
        <v>43</v>
      </c>
      <c r="H792">
        <f>'October to Jan, 2021 2022'!AG94</f>
        <v>0</v>
      </c>
      <c r="I792">
        <f>'October to Jan, 2021 2022'!AH94</f>
        <v>15</v>
      </c>
      <c r="J792">
        <f>G792*Parameters!$B$2*Parameters!$B$5</f>
        <v>91.551299999999983</v>
      </c>
      <c r="K792">
        <f>H792*Parameters!$B$3*Parameters!$B$6</f>
        <v>0</v>
      </c>
      <c r="L792">
        <f>I792*Parameters!$B$4*Parameters!$B$7</f>
        <v>121.44600000000001</v>
      </c>
      <c r="M792">
        <f t="shared" si="12"/>
        <v>212.9973</v>
      </c>
      <c r="N792">
        <v>0</v>
      </c>
      <c r="O792">
        <v>4300</v>
      </c>
      <c r="P792">
        <v>0</v>
      </c>
      <c r="Q792">
        <v>4500</v>
      </c>
    </row>
    <row r="793" spans="1:17">
      <c r="A793" t="s">
        <v>118</v>
      </c>
      <c r="B793" t="s">
        <v>19</v>
      </c>
      <c r="C793">
        <v>4</v>
      </c>
      <c r="D793">
        <v>2022</v>
      </c>
      <c r="E793" s="49" t="s">
        <v>147</v>
      </c>
      <c r="F793" s="49" t="s">
        <v>163</v>
      </c>
      <c r="G793">
        <f>'October to Jan, 2021 2022'!AE95+'October to Jan, 2021 2022'!AF95</f>
        <v>25</v>
      </c>
      <c r="H793">
        <f>'October to Jan, 2021 2022'!AG95</f>
        <v>0</v>
      </c>
      <c r="I793">
        <f>'October to Jan, 2021 2022'!AH95</f>
        <v>20</v>
      </c>
      <c r="J793">
        <f>G793*Parameters!$B$2*Parameters!$B$5</f>
        <v>53.227499999999992</v>
      </c>
      <c r="K793">
        <f>H793*Parameters!$B$3*Parameters!$B$6</f>
        <v>0</v>
      </c>
      <c r="L793">
        <f>I793*Parameters!$B$4*Parameters!$B$7</f>
        <v>161.928</v>
      </c>
      <c r="M793">
        <f t="shared" si="12"/>
        <v>215.15549999999999</v>
      </c>
      <c r="N793">
        <v>0</v>
      </c>
      <c r="O793">
        <v>2500</v>
      </c>
      <c r="P793">
        <v>0</v>
      </c>
      <c r="Q793">
        <v>6000</v>
      </c>
    </row>
    <row r="794" spans="1:17">
      <c r="A794" t="s">
        <v>119</v>
      </c>
      <c r="B794" t="s">
        <v>40</v>
      </c>
      <c r="C794">
        <v>6</v>
      </c>
      <c r="D794">
        <v>2022</v>
      </c>
      <c r="E794" s="49" t="s">
        <v>147</v>
      </c>
      <c r="F794" s="49" t="s">
        <v>163</v>
      </c>
      <c r="G794">
        <f>'October to Jan, 2021 2022'!AE96+'October to Jan, 2021 2022'!AF96</f>
        <v>0</v>
      </c>
      <c r="H794">
        <f>'October to Jan, 2021 2022'!AG96</f>
        <v>25</v>
      </c>
      <c r="I794">
        <f>'October to Jan, 2021 2022'!AH96</f>
        <v>10</v>
      </c>
      <c r="J794">
        <f>G794*Parameters!$B$2*Parameters!$B$5</f>
        <v>0</v>
      </c>
      <c r="K794">
        <f>H794*Parameters!$B$3*Parameters!$B$6</f>
        <v>156.77000000000001</v>
      </c>
      <c r="L794">
        <f>I794*Parameters!$B$4*Parameters!$B$7</f>
        <v>80.963999999999999</v>
      </c>
      <c r="M794">
        <f t="shared" si="12"/>
        <v>237.73400000000001</v>
      </c>
      <c r="N794">
        <v>0</v>
      </c>
      <c r="O794">
        <v>0</v>
      </c>
      <c r="P794">
        <v>7500</v>
      </c>
      <c r="Q794">
        <v>3000</v>
      </c>
    </row>
    <row r="795" spans="1:17">
      <c r="A795" t="s">
        <v>120</v>
      </c>
      <c r="B795" t="s">
        <v>32</v>
      </c>
      <c r="C795">
        <v>8</v>
      </c>
      <c r="D795">
        <v>2022</v>
      </c>
      <c r="E795" s="49" t="s">
        <v>147</v>
      </c>
      <c r="F795" s="49" t="s">
        <v>163</v>
      </c>
      <c r="G795">
        <f>'October to Jan, 2021 2022'!AE97+'October to Jan, 2021 2022'!AF97</f>
        <v>25</v>
      </c>
      <c r="H795">
        <f>'October to Jan, 2021 2022'!AG97</f>
        <v>15</v>
      </c>
      <c r="I795">
        <f>'October to Jan, 2021 2022'!AH97</f>
        <v>0</v>
      </c>
      <c r="J795">
        <f>G795*Parameters!$B$2*Parameters!$B$5</f>
        <v>53.227499999999992</v>
      </c>
      <c r="K795">
        <f>H795*Parameters!$B$3*Parameters!$B$6</f>
        <v>94.061999999999998</v>
      </c>
      <c r="L795">
        <f>I795*Parameters!$B$4*Parameters!$B$7</f>
        <v>0</v>
      </c>
      <c r="M795">
        <f t="shared" si="12"/>
        <v>147.28949999999998</v>
      </c>
      <c r="N795">
        <v>0</v>
      </c>
      <c r="O795">
        <v>2500</v>
      </c>
      <c r="P795">
        <v>4500</v>
      </c>
      <c r="Q795">
        <v>0</v>
      </c>
    </row>
    <row r="796" spans="1:17">
      <c r="A796" t="s">
        <v>121</v>
      </c>
      <c r="B796" t="s">
        <v>24</v>
      </c>
      <c r="C796">
        <v>5</v>
      </c>
      <c r="D796">
        <v>2022</v>
      </c>
      <c r="E796" s="49" t="s">
        <v>147</v>
      </c>
      <c r="F796" s="49" t="s">
        <v>163</v>
      </c>
      <c r="G796">
        <f>'October to Jan, 2021 2022'!AE98+'October to Jan, 2021 2022'!AF98</f>
        <v>35</v>
      </c>
      <c r="H796">
        <f>'October to Jan, 2021 2022'!AG98</f>
        <v>0</v>
      </c>
      <c r="I796">
        <f>'October to Jan, 2021 2022'!AH98</f>
        <v>20</v>
      </c>
      <c r="J796">
        <f>G796*Parameters!$B$2*Parameters!$B$5</f>
        <v>74.518499999999989</v>
      </c>
      <c r="K796">
        <f>H796*Parameters!$B$3*Parameters!$B$6</f>
        <v>0</v>
      </c>
      <c r="L796">
        <f>I796*Parameters!$B$4*Parameters!$B$7</f>
        <v>161.928</v>
      </c>
      <c r="M796">
        <f t="shared" si="12"/>
        <v>236.44649999999999</v>
      </c>
      <c r="N796">
        <v>0</v>
      </c>
      <c r="O796">
        <v>3500</v>
      </c>
      <c r="P796">
        <v>0</v>
      </c>
      <c r="Q796">
        <v>6000</v>
      </c>
    </row>
    <row r="797" spans="1:17">
      <c r="A797" t="s">
        <v>122</v>
      </c>
      <c r="B797" t="s">
        <v>26</v>
      </c>
      <c r="C797">
        <v>6</v>
      </c>
      <c r="D797">
        <v>2022</v>
      </c>
      <c r="E797" s="49" t="s">
        <v>147</v>
      </c>
      <c r="F797" s="49" t="s">
        <v>163</v>
      </c>
      <c r="G797">
        <f>'October to Jan, 2021 2022'!AE99+'October to Jan, 2021 2022'!AF99</f>
        <v>40</v>
      </c>
      <c r="H797">
        <f>'October to Jan, 2021 2022'!AG99</f>
        <v>0</v>
      </c>
      <c r="I797">
        <f>'October to Jan, 2021 2022'!AH99</f>
        <v>20</v>
      </c>
      <c r="J797">
        <f>G797*Parameters!$B$2*Parameters!$B$5</f>
        <v>85.163999999999987</v>
      </c>
      <c r="K797">
        <f>H797*Parameters!$B$3*Parameters!$B$6</f>
        <v>0</v>
      </c>
      <c r="L797">
        <f>I797*Parameters!$B$4*Parameters!$B$7</f>
        <v>161.928</v>
      </c>
      <c r="M797">
        <f t="shared" si="12"/>
        <v>247.09199999999998</v>
      </c>
      <c r="N797">
        <v>0</v>
      </c>
      <c r="O797">
        <v>4000</v>
      </c>
      <c r="P797">
        <v>0</v>
      </c>
      <c r="Q797">
        <v>6000</v>
      </c>
    </row>
    <row r="798" spans="1:17">
      <c r="A798" t="s">
        <v>123</v>
      </c>
      <c r="B798" t="s">
        <v>19</v>
      </c>
      <c r="C798">
        <v>8</v>
      </c>
      <c r="D798">
        <v>2022</v>
      </c>
      <c r="E798" s="49" t="s">
        <v>147</v>
      </c>
      <c r="F798" s="49" t="s">
        <v>163</v>
      </c>
      <c r="G798">
        <f>'October to Jan, 2021 2022'!AE100+'October to Jan, 2021 2022'!AF100</f>
        <v>45</v>
      </c>
      <c r="H798">
        <f>'October to Jan, 2021 2022'!AG100</f>
        <v>0</v>
      </c>
      <c r="I798">
        <f>'October to Jan, 2021 2022'!AH100</f>
        <v>10</v>
      </c>
      <c r="J798">
        <f>G798*Parameters!$B$2*Parameters!$B$5</f>
        <v>95.809499999999986</v>
      </c>
      <c r="K798">
        <f>H798*Parameters!$B$3*Parameters!$B$6</f>
        <v>0</v>
      </c>
      <c r="L798">
        <f>I798*Parameters!$B$4*Parameters!$B$7</f>
        <v>80.963999999999999</v>
      </c>
      <c r="M798">
        <f t="shared" si="12"/>
        <v>176.77349999999998</v>
      </c>
      <c r="N798">
        <v>0</v>
      </c>
      <c r="O798">
        <v>4500</v>
      </c>
      <c r="P798">
        <v>0</v>
      </c>
      <c r="Q798">
        <v>3000</v>
      </c>
    </row>
    <row r="799" spans="1:17">
      <c r="A799" t="s">
        <v>124</v>
      </c>
      <c r="B799" t="s">
        <v>56</v>
      </c>
      <c r="C799">
        <v>9</v>
      </c>
      <c r="D799">
        <v>2022</v>
      </c>
      <c r="E799" s="49" t="s">
        <v>147</v>
      </c>
      <c r="F799" s="49" t="s">
        <v>163</v>
      </c>
      <c r="G799">
        <f>'October to Jan, 2021 2022'!AE101+'October to Jan, 2021 2022'!AF101</f>
        <v>40</v>
      </c>
      <c r="H799">
        <f>'October to Jan, 2021 2022'!AG101</f>
        <v>0</v>
      </c>
      <c r="I799">
        <f>'October to Jan, 2021 2022'!AH101</f>
        <v>15</v>
      </c>
      <c r="J799">
        <f>G799*Parameters!$B$2*Parameters!$B$5</f>
        <v>85.163999999999987</v>
      </c>
      <c r="K799">
        <f>H799*Parameters!$B$3*Parameters!$B$6</f>
        <v>0</v>
      </c>
      <c r="L799">
        <f>I799*Parameters!$B$4*Parameters!$B$7</f>
        <v>121.44600000000001</v>
      </c>
      <c r="M799">
        <f t="shared" si="12"/>
        <v>206.61</v>
      </c>
      <c r="N799">
        <v>0</v>
      </c>
      <c r="O799">
        <v>4000</v>
      </c>
      <c r="P799">
        <v>0</v>
      </c>
      <c r="Q799">
        <v>4500</v>
      </c>
    </row>
    <row r="800" spans="1:17">
      <c r="A800" t="s">
        <v>125</v>
      </c>
      <c r="B800" t="s">
        <v>65</v>
      </c>
      <c r="C800">
        <v>7</v>
      </c>
      <c r="D800">
        <v>2022</v>
      </c>
      <c r="E800" s="49" t="s">
        <v>147</v>
      </c>
      <c r="F800" s="49" t="s">
        <v>163</v>
      </c>
      <c r="G800">
        <f>'October to Jan, 2021 2022'!AE102+'October to Jan, 2021 2022'!AF102</f>
        <v>27</v>
      </c>
      <c r="H800">
        <f>'October to Jan, 2021 2022'!AG102</f>
        <v>0</v>
      </c>
      <c r="I800">
        <f>'October to Jan, 2021 2022'!AH102</f>
        <v>20</v>
      </c>
      <c r="J800">
        <f>G800*Parameters!$B$2*Parameters!$B$5</f>
        <v>57.485699999999994</v>
      </c>
      <c r="K800">
        <f>H800*Parameters!$B$3*Parameters!$B$6</f>
        <v>0</v>
      </c>
      <c r="L800">
        <f>I800*Parameters!$B$4*Parameters!$B$7</f>
        <v>161.928</v>
      </c>
      <c r="M800">
        <f t="shared" si="12"/>
        <v>219.41370000000001</v>
      </c>
      <c r="N800">
        <v>0</v>
      </c>
      <c r="O800">
        <v>2700</v>
      </c>
      <c r="P800">
        <v>0</v>
      </c>
      <c r="Q800">
        <v>6000</v>
      </c>
    </row>
    <row r="801" spans="1:17">
      <c r="A801" t="s">
        <v>126</v>
      </c>
      <c r="B801" t="s">
        <v>65</v>
      </c>
      <c r="C801">
        <v>6</v>
      </c>
      <c r="D801">
        <v>2022</v>
      </c>
      <c r="E801" s="49" t="s">
        <v>147</v>
      </c>
      <c r="F801" s="49" t="s">
        <v>163</v>
      </c>
      <c r="G801">
        <f>'October to Jan, 2021 2022'!AE103+'October to Jan, 2021 2022'!AF103</f>
        <v>20</v>
      </c>
      <c r="H801">
        <f>'October to Jan, 2021 2022'!AG103</f>
        <v>0</v>
      </c>
      <c r="I801">
        <f>'October to Jan, 2021 2022'!AH103</f>
        <v>14</v>
      </c>
      <c r="J801">
        <f>G801*Parameters!$B$2*Parameters!$B$5</f>
        <v>42.581999999999994</v>
      </c>
      <c r="K801">
        <f>H801*Parameters!$B$3*Parameters!$B$6</f>
        <v>0</v>
      </c>
      <c r="L801">
        <f>I801*Parameters!$B$4*Parameters!$B$7</f>
        <v>113.34960000000001</v>
      </c>
      <c r="M801">
        <f t="shared" si="12"/>
        <v>155.9316</v>
      </c>
      <c r="N801">
        <v>0</v>
      </c>
      <c r="O801">
        <v>2000</v>
      </c>
      <c r="P801">
        <v>0</v>
      </c>
      <c r="Q801">
        <v>4200</v>
      </c>
    </row>
    <row r="802" spans="1:17">
      <c r="A802" t="s">
        <v>16</v>
      </c>
      <c r="B802" t="s">
        <v>17</v>
      </c>
      <c r="C802">
        <v>8</v>
      </c>
      <c r="D802">
        <v>2022</v>
      </c>
      <c r="E802" s="49" t="s">
        <v>153</v>
      </c>
      <c r="F802" s="49" t="s">
        <v>163</v>
      </c>
      <c r="G802">
        <f>'Feb to July, 2022'!G4+'Feb to July, 2022'!H4</f>
        <v>44</v>
      </c>
      <c r="H802">
        <f>'Feb to July, 2022'!I4</f>
        <v>0</v>
      </c>
      <c r="I802">
        <f>'Feb to July, 2022'!J4</f>
        <v>15</v>
      </c>
      <c r="J802">
        <f>G802*Parameters!$B$2*Parameters!$B$5</f>
        <v>93.680399999999992</v>
      </c>
      <c r="K802">
        <f>H802*Parameters!$B$3*Parameters!$B$6</f>
        <v>0</v>
      </c>
      <c r="L802">
        <f>I802*Parameters!$B$4*Parameters!$B$7</f>
        <v>121.44600000000001</v>
      </c>
      <c r="M802">
        <f t="shared" si="12"/>
        <v>215.12639999999999</v>
      </c>
      <c r="N802">
        <v>4400</v>
      </c>
      <c r="O802">
        <v>0</v>
      </c>
      <c r="P802">
        <v>0</v>
      </c>
      <c r="Q802">
        <v>4500</v>
      </c>
    </row>
    <row r="803" spans="1:17">
      <c r="A803" t="s">
        <v>18</v>
      </c>
      <c r="B803" t="s">
        <v>19</v>
      </c>
      <c r="C803">
        <v>7</v>
      </c>
      <c r="D803">
        <v>2022</v>
      </c>
      <c r="E803" s="49" t="s">
        <v>153</v>
      </c>
      <c r="F803" s="49" t="s">
        <v>163</v>
      </c>
      <c r="G803">
        <f>'Feb to July, 2022'!G5+'Feb to July, 2022'!H5</f>
        <v>42</v>
      </c>
      <c r="H803">
        <f>'Feb to July, 2022'!I5</f>
        <v>0</v>
      </c>
      <c r="I803">
        <f>'Feb to July, 2022'!J5</f>
        <v>10</v>
      </c>
      <c r="J803">
        <f>G803*Parameters!$B$2*Parameters!$B$5</f>
        <v>89.422199999999975</v>
      </c>
      <c r="K803">
        <f>H803*Parameters!$B$3*Parameters!$B$6</f>
        <v>0</v>
      </c>
      <c r="L803">
        <f>I803*Parameters!$B$4*Parameters!$B$7</f>
        <v>80.963999999999999</v>
      </c>
      <c r="M803">
        <f t="shared" si="12"/>
        <v>170.38619999999997</v>
      </c>
      <c r="N803">
        <v>4200</v>
      </c>
      <c r="O803">
        <v>0</v>
      </c>
      <c r="P803">
        <v>0</v>
      </c>
      <c r="Q803">
        <v>3000</v>
      </c>
    </row>
    <row r="804" spans="1:17">
      <c r="A804" t="s">
        <v>20</v>
      </c>
      <c r="B804" t="s">
        <v>21</v>
      </c>
      <c r="C804">
        <v>10</v>
      </c>
      <c r="D804">
        <v>2022</v>
      </c>
      <c r="E804" s="49" t="s">
        <v>153</v>
      </c>
      <c r="F804" s="49" t="s">
        <v>163</v>
      </c>
      <c r="G804">
        <f>'Feb to July, 2022'!G6+'Feb to July, 2022'!H6</f>
        <v>32</v>
      </c>
      <c r="H804">
        <f>'Feb to July, 2022'!I6</f>
        <v>0</v>
      </c>
      <c r="I804">
        <f>'Feb to July, 2022'!J6</f>
        <v>5</v>
      </c>
      <c r="J804">
        <f>G804*Parameters!$B$2*Parameters!$B$5</f>
        <v>68.131199999999993</v>
      </c>
      <c r="K804">
        <f>H804*Parameters!$B$3*Parameters!$B$6</f>
        <v>0</v>
      </c>
      <c r="L804">
        <f>I804*Parameters!$B$4*Parameters!$B$7</f>
        <v>40.481999999999999</v>
      </c>
      <c r="M804">
        <f t="shared" si="12"/>
        <v>108.61319999999999</v>
      </c>
      <c r="N804">
        <v>3200</v>
      </c>
      <c r="O804">
        <v>0</v>
      </c>
      <c r="P804">
        <v>0</v>
      </c>
      <c r="Q804">
        <v>1500</v>
      </c>
    </row>
    <row r="805" spans="1:17">
      <c r="A805" t="s">
        <v>22</v>
      </c>
      <c r="B805" t="s">
        <v>19</v>
      </c>
      <c r="C805">
        <v>7</v>
      </c>
      <c r="D805">
        <v>2022</v>
      </c>
      <c r="E805" s="49" t="s">
        <v>153</v>
      </c>
      <c r="F805" s="49" t="s">
        <v>163</v>
      </c>
      <c r="G805">
        <f>'Feb to July, 2022'!G7+'Feb to July, 2022'!H7</f>
        <v>35</v>
      </c>
      <c r="H805">
        <f>'Feb to July, 2022'!I7</f>
        <v>0</v>
      </c>
      <c r="I805">
        <f>'Feb to July, 2022'!J7</f>
        <v>10</v>
      </c>
      <c r="J805">
        <f>G805*Parameters!$B$2*Parameters!$B$5</f>
        <v>74.518499999999989</v>
      </c>
      <c r="K805">
        <f>H805*Parameters!$B$3*Parameters!$B$6</f>
        <v>0</v>
      </c>
      <c r="L805">
        <f>I805*Parameters!$B$4*Parameters!$B$7</f>
        <v>80.963999999999999</v>
      </c>
      <c r="M805">
        <f t="shared" si="12"/>
        <v>155.48249999999999</v>
      </c>
      <c r="N805">
        <v>3500</v>
      </c>
      <c r="O805">
        <v>0</v>
      </c>
      <c r="P805">
        <v>0</v>
      </c>
      <c r="Q805">
        <v>3000</v>
      </c>
    </row>
    <row r="806" spans="1:17">
      <c r="A806" t="s">
        <v>23</v>
      </c>
      <c r="B806" t="s">
        <v>24</v>
      </c>
      <c r="C806">
        <v>4</v>
      </c>
      <c r="D806">
        <v>2022</v>
      </c>
      <c r="E806" s="49" t="s">
        <v>153</v>
      </c>
      <c r="F806" s="49" t="s">
        <v>163</v>
      </c>
      <c r="G806">
        <f>'Feb to July, 2022'!G8+'Feb to July, 2022'!H8</f>
        <v>45</v>
      </c>
      <c r="H806">
        <f>'Feb to July, 2022'!I8</f>
        <v>0</v>
      </c>
      <c r="I806">
        <f>'Feb to July, 2022'!J8</f>
        <v>10</v>
      </c>
      <c r="J806">
        <f>G806*Parameters!$B$2*Parameters!$B$5</f>
        <v>95.809499999999986</v>
      </c>
      <c r="K806">
        <f>H806*Parameters!$B$3*Parameters!$B$6</f>
        <v>0</v>
      </c>
      <c r="L806">
        <f>I806*Parameters!$B$4*Parameters!$B$7</f>
        <v>80.963999999999999</v>
      </c>
      <c r="M806">
        <f t="shared" si="12"/>
        <v>176.77349999999998</v>
      </c>
      <c r="N806">
        <v>4500</v>
      </c>
      <c r="O806">
        <v>0</v>
      </c>
      <c r="P806">
        <v>0</v>
      </c>
      <c r="Q806">
        <v>3000</v>
      </c>
    </row>
    <row r="807" spans="1:17">
      <c r="A807" t="s">
        <v>25</v>
      </c>
      <c r="B807" t="s">
        <v>26</v>
      </c>
      <c r="C807">
        <v>3</v>
      </c>
      <c r="D807">
        <v>2022</v>
      </c>
      <c r="E807" s="49" t="s">
        <v>153</v>
      </c>
      <c r="F807" s="49" t="s">
        <v>163</v>
      </c>
      <c r="G807">
        <f>'Feb to July, 2022'!G9+'Feb to July, 2022'!H9</f>
        <v>37</v>
      </c>
      <c r="H807">
        <f>'Feb to July, 2022'!I9</f>
        <v>0</v>
      </c>
      <c r="I807">
        <f>'Feb to July, 2022'!J9</f>
        <v>10</v>
      </c>
      <c r="J807">
        <f>G807*Parameters!$B$2*Parameters!$B$5</f>
        <v>78.776699999999977</v>
      </c>
      <c r="K807">
        <f>H807*Parameters!$B$3*Parameters!$B$6</f>
        <v>0</v>
      </c>
      <c r="L807">
        <f>I807*Parameters!$B$4*Parameters!$B$7</f>
        <v>80.963999999999999</v>
      </c>
      <c r="M807">
        <f t="shared" si="12"/>
        <v>159.74069999999998</v>
      </c>
      <c r="N807">
        <v>3700</v>
      </c>
      <c r="O807">
        <v>0</v>
      </c>
      <c r="P807">
        <v>0</v>
      </c>
      <c r="Q807">
        <v>3000</v>
      </c>
    </row>
    <row r="808" spans="1:17">
      <c r="A808" t="s">
        <v>27</v>
      </c>
      <c r="B808" t="s">
        <v>21</v>
      </c>
      <c r="C808">
        <v>6</v>
      </c>
      <c r="D808">
        <v>2022</v>
      </c>
      <c r="E808" s="49" t="s">
        <v>153</v>
      </c>
      <c r="F808" s="49" t="s">
        <v>163</v>
      </c>
      <c r="G808">
        <f>'Feb to July, 2022'!G10+'Feb to July, 2022'!H10</f>
        <v>45</v>
      </c>
      <c r="H808">
        <f>'Feb to July, 2022'!I10</f>
        <v>0</v>
      </c>
      <c r="I808">
        <f>'Feb to July, 2022'!J10</f>
        <v>15</v>
      </c>
      <c r="J808">
        <f>G808*Parameters!$B$2*Parameters!$B$5</f>
        <v>95.809499999999986</v>
      </c>
      <c r="K808">
        <f>H808*Parameters!$B$3*Parameters!$B$6</f>
        <v>0</v>
      </c>
      <c r="L808">
        <f>I808*Parameters!$B$4*Parameters!$B$7</f>
        <v>121.44600000000001</v>
      </c>
      <c r="M808">
        <f t="shared" si="12"/>
        <v>217.25549999999998</v>
      </c>
      <c r="N808">
        <v>4500</v>
      </c>
      <c r="O808">
        <v>0</v>
      </c>
      <c r="P808">
        <v>0</v>
      </c>
      <c r="Q808">
        <v>4500</v>
      </c>
    </row>
    <row r="809" spans="1:17">
      <c r="A809" t="s">
        <v>28</v>
      </c>
      <c r="B809" t="s">
        <v>19</v>
      </c>
      <c r="C809">
        <v>9</v>
      </c>
      <c r="D809">
        <v>2022</v>
      </c>
      <c r="E809" s="49" t="s">
        <v>153</v>
      </c>
      <c r="F809" s="49" t="s">
        <v>163</v>
      </c>
      <c r="G809">
        <f>'Feb to July, 2022'!G11+'Feb to July, 2022'!H11</f>
        <v>50</v>
      </c>
      <c r="H809">
        <f>'Feb to July, 2022'!I11</f>
        <v>0</v>
      </c>
      <c r="I809">
        <f>'Feb to July, 2022'!J11</f>
        <v>20</v>
      </c>
      <c r="J809">
        <f>G809*Parameters!$B$2*Parameters!$B$5</f>
        <v>106.45499999999998</v>
      </c>
      <c r="K809">
        <f>H809*Parameters!$B$3*Parameters!$B$6</f>
        <v>0</v>
      </c>
      <c r="L809">
        <f>I809*Parameters!$B$4*Parameters!$B$7</f>
        <v>161.928</v>
      </c>
      <c r="M809">
        <f t="shared" si="12"/>
        <v>268.38299999999998</v>
      </c>
      <c r="N809">
        <v>5000</v>
      </c>
      <c r="O809">
        <v>0</v>
      </c>
      <c r="P809">
        <v>0</v>
      </c>
      <c r="Q809">
        <v>6000</v>
      </c>
    </row>
    <row r="810" spans="1:17">
      <c r="A810" t="s">
        <v>29</v>
      </c>
      <c r="B810" t="s">
        <v>24</v>
      </c>
      <c r="C810">
        <v>4</v>
      </c>
      <c r="D810">
        <v>2022</v>
      </c>
      <c r="E810" s="49" t="s">
        <v>153</v>
      </c>
      <c r="F810" s="49" t="s">
        <v>163</v>
      </c>
      <c r="G810">
        <f>'Feb to July, 2022'!G12+'Feb to July, 2022'!H12</f>
        <v>36</v>
      </c>
      <c r="H810">
        <f>'Feb to July, 2022'!I12</f>
        <v>0</v>
      </c>
      <c r="I810">
        <f>'Feb to July, 2022'!J12</f>
        <v>15</v>
      </c>
      <c r="J810">
        <f>G810*Parameters!$B$2*Parameters!$B$5</f>
        <v>76.647599999999997</v>
      </c>
      <c r="K810">
        <f>H810*Parameters!$B$3*Parameters!$B$6</f>
        <v>0</v>
      </c>
      <c r="L810">
        <f>I810*Parameters!$B$4*Parameters!$B$7</f>
        <v>121.44600000000001</v>
      </c>
      <c r="M810">
        <f t="shared" si="12"/>
        <v>198.09360000000001</v>
      </c>
      <c r="N810">
        <v>3600</v>
      </c>
      <c r="O810">
        <v>0</v>
      </c>
      <c r="P810">
        <v>0</v>
      </c>
      <c r="Q810">
        <v>4500</v>
      </c>
    </row>
    <row r="811" spans="1:17">
      <c r="A811" t="s">
        <v>30</v>
      </c>
      <c r="B811" t="s">
        <v>21</v>
      </c>
      <c r="C811">
        <v>6</v>
      </c>
      <c r="D811">
        <v>2022</v>
      </c>
      <c r="E811" s="49" t="s">
        <v>153</v>
      </c>
      <c r="F811" s="49" t="s">
        <v>163</v>
      </c>
      <c r="G811">
        <f>'Feb to July, 2022'!G13+'Feb to July, 2022'!H13</f>
        <v>20</v>
      </c>
      <c r="H811">
        <f>'Feb to July, 2022'!I13</f>
        <v>0</v>
      </c>
      <c r="I811">
        <f>'Feb to July, 2022'!J13</f>
        <v>20</v>
      </c>
      <c r="J811">
        <f>G811*Parameters!$B$2*Parameters!$B$5</f>
        <v>42.581999999999994</v>
      </c>
      <c r="K811">
        <f>H811*Parameters!$B$3*Parameters!$B$6</f>
        <v>0</v>
      </c>
      <c r="L811">
        <f>I811*Parameters!$B$4*Parameters!$B$7</f>
        <v>161.928</v>
      </c>
      <c r="M811">
        <f t="shared" si="12"/>
        <v>204.51</v>
      </c>
      <c r="N811">
        <v>2000</v>
      </c>
      <c r="O811">
        <v>0</v>
      </c>
      <c r="P811">
        <v>0</v>
      </c>
      <c r="Q811">
        <v>6000</v>
      </c>
    </row>
    <row r="812" spans="1:17">
      <c r="A812" t="s">
        <v>31</v>
      </c>
      <c r="B812" t="s">
        <v>32</v>
      </c>
      <c r="C812">
        <v>4</v>
      </c>
      <c r="D812">
        <v>2022</v>
      </c>
      <c r="E812" s="49" t="s">
        <v>153</v>
      </c>
      <c r="F812" s="49" t="s">
        <v>163</v>
      </c>
      <c r="G812">
        <f>'Feb to July, 2022'!G14+'Feb to July, 2022'!H14</f>
        <v>45</v>
      </c>
      <c r="H812">
        <f>'Feb to July, 2022'!I14</f>
        <v>0</v>
      </c>
      <c r="I812">
        <f>'Feb to July, 2022'!J14</f>
        <v>10</v>
      </c>
      <c r="J812">
        <f>G812*Parameters!$B$2*Parameters!$B$5</f>
        <v>95.809499999999986</v>
      </c>
      <c r="K812">
        <f>H812*Parameters!$B$3*Parameters!$B$6</f>
        <v>0</v>
      </c>
      <c r="L812">
        <f>I812*Parameters!$B$4*Parameters!$B$7</f>
        <v>80.963999999999999</v>
      </c>
      <c r="M812">
        <f t="shared" si="12"/>
        <v>176.77349999999998</v>
      </c>
      <c r="N812">
        <v>4500</v>
      </c>
      <c r="O812">
        <v>0</v>
      </c>
      <c r="P812">
        <v>0</v>
      </c>
      <c r="Q812">
        <v>3000</v>
      </c>
    </row>
    <row r="813" spans="1:17">
      <c r="A813" t="s">
        <v>33</v>
      </c>
      <c r="B813" t="s">
        <v>32</v>
      </c>
      <c r="C813">
        <v>6</v>
      </c>
      <c r="D813">
        <v>2022</v>
      </c>
      <c r="E813" s="49" t="s">
        <v>153</v>
      </c>
      <c r="F813" s="49" t="s">
        <v>163</v>
      </c>
      <c r="G813">
        <f>'Feb to July, 2022'!G15+'Feb to July, 2022'!H15</f>
        <v>22</v>
      </c>
      <c r="H813">
        <f>'Feb to July, 2022'!I15</f>
        <v>0</v>
      </c>
      <c r="I813">
        <f>'Feb to July, 2022'!J15</f>
        <v>15</v>
      </c>
      <c r="J813">
        <f>G813*Parameters!$B$2*Parameters!$B$5</f>
        <v>46.840199999999996</v>
      </c>
      <c r="K813">
        <f>H813*Parameters!$B$3*Parameters!$B$6</f>
        <v>0</v>
      </c>
      <c r="L813">
        <f>I813*Parameters!$B$4*Parameters!$B$7</f>
        <v>121.44600000000001</v>
      </c>
      <c r="M813">
        <f t="shared" si="12"/>
        <v>168.28620000000001</v>
      </c>
      <c r="N813">
        <v>2200</v>
      </c>
      <c r="O813">
        <v>0</v>
      </c>
      <c r="P813">
        <v>0</v>
      </c>
      <c r="Q813">
        <v>4500</v>
      </c>
    </row>
    <row r="814" spans="1:17">
      <c r="A814" t="s">
        <v>34</v>
      </c>
      <c r="B814" t="s">
        <v>21</v>
      </c>
      <c r="C814">
        <v>9</v>
      </c>
      <c r="D814">
        <v>2022</v>
      </c>
      <c r="E814" s="49" t="s">
        <v>153</v>
      </c>
      <c r="F814" s="49" t="s">
        <v>163</v>
      </c>
      <c r="G814">
        <f>'Feb to July, 2022'!G16+'Feb to July, 2022'!H16</f>
        <v>24</v>
      </c>
      <c r="H814">
        <f>'Feb to July, 2022'!I16</f>
        <v>0</v>
      </c>
      <c r="I814">
        <f>'Feb to July, 2022'!J16</f>
        <v>10</v>
      </c>
      <c r="J814">
        <f>G814*Parameters!$B$2*Parameters!$B$5</f>
        <v>51.098399999999991</v>
      </c>
      <c r="K814">
        <f>H814*Parameters!$B$3*Parameters!$B$6</f>
        <v>0</v>
      </c>
      <c r="L814">
        <f>I814*Parameters!$B$4*Parameters!$B$7</f>
        <v>80.963999999999999</v>
      </c>
      <c r="M814">
        <f t="shared" si="12"/>
        <v>132.0624</v>
      </c>
      <c r="N814">
        <v>2400</v>
      </c>
      <c r="O814">
        <v>0</v>
      </c>
      <c r="P814">
        <v>0</v>
      </c>
      <c r="Q814">
        <v>3000</v>
      </c>
    </row>
    <row r="815" spans="1:17">
      <c r="A815" t="s">
        <v>35</v>
      </c>
      <c r="B815" t="s">
        <v>21</v>
      </c>
      <c r="C815">
        <v>6</v>
      </c>
      <c r="D815">
        <v>2022</v>
      </c>
      <c r="E815" s="49" t="s">
        <v>153</v>
      </c>
      <c r="F815" s="49" t="s">
        <v>163</v>
      </c>
      <c r="G815">
        <f>'Feb to July, 2022'!G17+'Feb to July, 2022'!H17</f>
        <v>38</v>
      </c>
      <c r="H815">
        <f>'Feb to July, 2022'!I17</f>
        <v>0</v>
      </c>
      <c r="I815">
        <f>'Feb to July, 2022'!J17</f>
        <v>12.5</v>
      </c>
      <c r="J815">
        <f>G815*Parameters!$B$2*Parameters!$B$5</f>
        <v>80.905799999999985</v>
      </c>
      <c r="K815">
        <f>H815*Parameters!$B$3*Parameters!$B$6</f>
        <v>0</v>
      </c>
      <c r="L815">
        <f>I815*Parameters!$B$4*Parameters!$B$7</f>
        <v>101.20500000000001</v>
      </c>
      <c r="M815">
        <f t="shared" si="12"/>
        <v>182.11079999999998</v>
      </c>
      <c r="N815">
        <v>3800</v>
      </c>
      <c r="O815">
        <v>0</v>
      </c>
      <c r="P815">
        <v>0</v>
      </c>
      <c r="Q815">
        <v>3750</v>
      </c>
    </row>
    <row r="816" spans="1:17">
      <c r="A816" t="s">
        <v>36</v>
      </c>
      <c r="B816" t="s">
        <v>21</v>
      </c>
      <c r="C816">
        <v>12</v>
      </c>
      <c r="D816">
        <v>2022</v>
      </c>
      <c r="E816" s="49" t="s">
        <v>153</v>
      </c>
      <c r="F816" s="49" t="s">
        <v>163</v>
      </c>
      <c r="G816">
        <f>'Feb to July, 2022'!G18+'Feb to July, 2022'!H18</f>
        <v>35</v>
      </c>
      <c r="H816">
        <f>'Feb to July, 2022'!I18</f>
        <v>0</v>
      </c>
      <c r="I816">
        <f>'Feb to July, 2022'!J18</f>
        <v>10</v>
      </c>
      <c r="J816">
        <f>G816*Parameters!$B$2*Parameters!$B$5</f>
        <v>74.518499999999989</v>
      </c>
      <c r="K816">
        <f>H816*Parameters!$B$3*Parameters!$B$6</f>
        <v>0</v>
      </c>
      <c r="L816">
        <f>I816*Parameters!$B$4*Parameters!$B$7</f>
        <v>80.963999999999999</v>
      </c>
      <c r="M816">
        <f t="shared" si="12"/>
        <v>155.48249999999999</v>
      </c>
      <c r="N816">
        <v>3500</v>
      </c>
      <c r="O816">
        <v>0</v>
      </c>
      <c r="P816">
        <v>0</v>
      </c>
      <c r="Q816">
        <v>3000</v>
      </c>
    </row>
    <row r="817" spans="1:17">
      <c r="A817" t="s">
        <v>37</v>
      </c>
      <c r="B817" t="s">
        <v>38</v>
      </c>
      <c r="C817">
        <v>7</v>
      </c>
      <c r="D817">
        <v>2022</v>
      </c>
      <c r="E817" s="49" t="s">
        <v>153</v>
      </c>
      <c r="F817" s="49" t="s">
        <v>163</v>
      </c>
      <c r="G817">
        <f>'Feb to July, 2022'!G19+'Feb to July, 2022'!H19</f>
        <v>30</v>
      </c>
      <c r="H817">
        <f>'Feb to July, 2022'!I19</f>
        <v>0</v>
      </c>
      <c r="I817">
        <f>'Feb to July, 2022'!J19</f>
        <v>10</v>
      </c>
      <c r="J817">
        <f>G817*Parameters!$B$2*Parameters!$B$5</f>
        <v>63.87299999999999</v>
      </c>
      <c r="K817">
        <f>H817*Parameters!$B$3*Parameters!$B$6</f>
        <v>0</v>
      </c>
      <c r="L817">
        <f>I817*Parameters!$B$4*Parameters!$B$7</f>
        <v>80.963999999999999</v>
      </c>
      <c r="M817">
        <f t="shared" si="12"/>
        <v>144.83699999999999</v>
      </c>
      <c r="N817">
        <v>3000</v>
      </c>
      <c r="O817">
        <v>0</v>
      </c>
      <c r="P817">
        <v>0</v>
      </c>
      <c r="Q817">
        <v>3000</v>
      </c>
    </row>
    <row r="818" spans="1:17">
      <c r="A818" t="s">
        <v>39</v>
      </c>
      <c r="B818" t="s">
        <v>40</v>
      </c>
      <c r="C818">
        <v>6</v>
      </c>
      <c r="D818">
        <v>2022</v>
      </c>
      <c r="E818" s="49" t="s">
        <v>153</v>
      </c>
      <c r="F818" s="49" t="s">
        <v>163</v>
      </c>
      <c r="G818">
        <f>'Feb to July, 2022'!G20+'Feb to July, 2022'!H20</f>
        <v>40</v>
      </c>
      <c r="H818">
        <f>'Feb to July, 2022'!I20</f>
        <v>0</v>
      </c>
      <c r="I818">
        <f>'Feb to July, 2022'!J20</f>
        <v>0</v>
      </c>
      <c r="J818">
        <f>G818*Parameters!$B$2*Parameters!$B$5</f>
        <v>85.163999999999987</v>
      </c>
      <c r="K818">
        <f>H818*Parameters!$B$3*Parameters!$B$6</f>
        <v>0</v>
      </c>
      <c r="L818">
        <f>I818*Parameters!$B$4*Parameters!$B$7</f>
        <v>0</v>
      </c>
      <c r="M818">
        <f t="shared" si="12"/>
        <v>85.163999999999987</v>
      </c>
      <c r="N818">
        <v>4000</v>
      </c>
      <c r="O818">
        <v>0</v>
      </c>
      <c r="P818">
        <v>0</v>
      </c>
      <c r="Q818">
        <v>0</v>
      </c>
    </row>
    <row r="819" spans="1:17">
      <c r="A819" t="s">
        <v>41</v>
      </c>
      <c r="B819" t="s">
        <v>26</v>
      </c>
      <c r="C819">
        <v>5</v>
      </c>
      <c r="D819">
        <v>2022</v>
      </c>
      <c r="E819" s="49" t="s">
        <v>153</v>
      </c>
      <c r="F819" s="49" t="s">
        <v>163</v>
      </c>
      <c r="G819">
        <f>'Feb to July, 2022'!G21+'Feb to July, 2022'!H21</f>
        <v>30</v>
      </c>
      <c r="H819">
        <f>'Feb to July, 2022'!I21</f>
        <v>0</v>
      </c>
      <c r="I819">
        <f>'Feb to July, 2022'!J21</f>
        <v>15</v>
      </c>
      <c r="J819">
        <f>G819*Parameters!$B$2*Parameters!$B$5</f>
        <v>63.87299999999999</v>
      </c>
      <c r="K819">
        <f>H819*Parameters!$B$3*Parameters!$B$6</f>
        <v>0</v>
      </c>
      <c r="L819">
        <f>I819*Parameters!$B$4*Parameters!$B$7</f>
        <v>121.44600000000001</v>
      </c>
      <c r="M819">
        <f t="shared" si="12"/>
        <v>185.31900000000002</v>
      </c>
      <c r="N819">
        <v>3000</v>
      </c>
      <c r="O819">
        <v>0</v>
      </c>
      <c r="P819">
        <v>0</v>
      </c>
      <c r="Q819">
        <v>4500</v>
      </c>
    </row>
    <row r="820" spans="1:17">
      <c r="A820" t="s">
        <v>42</v>
      </c>
      <c r="B820" t="s">
        <v>24</v>
      </c>
      <c r="C820">
        <v>5</v>
      </c>
      <c r="D820">
        <v>2022</v>
      </c>
      <c r="E820" s="49" t="s">
        <v>153</v>
      </c>
      <c r="F820" s="49" t="s">
        <v>163</v>
      </c>
      <c r="G820">
        <f>'Feb to July, 2022'!G22+'Feb to July, 2022'!H22</f>
        <v>35</v>
      </c>
      <c r="H820">
        <f>'Feb to July, 2022'!I22</f>
        <v>0</v>
      </c>
      <c r="I820">
        <f>'Feb to July, 2022'!J22</f>
        <v>10</v>
      </c>
      <c r="J820">
        <f>G820*Parameters!$B$2*Parameters!$B$5</f>
        <v>74.518499999999989</v>
      </c>
      <c r="K820">
        <f>H820*Parameters!$B$3*Parameters!$B$6</f>
        <v>0</v>
      </c>
      <c r="L820">
        <f>I820*Parameters!$B$4*Parameters!$B$7</f>
        <v>80.963999999999999</v>
      </c>
      <c r="M820">
        <f t="shared" si="12"/>
        <v>155.48249999999999</v>
      </c>
      <c r="N820">
        <v>3500</v>
      </c>
      <c r="O820">
        <v>0</v>
      </c>
      <c r="P820">
        <v>0</v>
      </c>
      <c r="Q820">
        <v>3000</v>
      </c>
    </row>
    <row r="821" spans="1:17">
      <c r="A821" t="s">
        <v>43</v>
      </c>
      <c r="B821" t="s">
        <v>19</v>
      </c>
      <c r="C821">
        <v>8</v>
      </c>
      <c r="D821">
        <v>2022</v>
      </c>
      <c r="E821" s="49" t="s">
        <v>153</v>
      </c>
      <c r="F821" s="49" t="s">
        <v>163</v>
      </c>
      <c r="G821">
        <f>'Feb to July, 2022'!G23+'Feb to July, 2022'!H23</f>
        <v>50</v>
      </c>
      <c r="H821">
        <f>'Feb to July, 2022'!I23</f>
        <v>0</v>
      </c>
      <c r="I821">
        <f>'Feb to July, 2022'!J23</f>
        <v>12.5</v>
      </c>
      <c r="J821">
        <f>G821*Parameters!$B$2*Parameters!$B$5</f>
        <v>106.45499999999998</v>
      </c>
      <c r="K821">
        <f>H821*Parameters!$B$3*Parameters!$B$6</f>
        <v>0</v>
      </c>
      <c r="L821">
        <f>I821*Parameters!$B$4*Parameters!$B$7</f>
        <v>101.20500000000001</v>
      </c>
      <c r="M821">
        <f t="shared" si="12"/>
        <v>207.66</v>
      </c>
      <c r="N821">
        <v>5000</v>
      </c>
      <c r="O821">
        <v>0</v>
      </c>
      <c r="P821">
        <v>0</v>
      </c>
      <c r="Q821">
        <v>3750</v>
      </c>
    </row>
    <row r="822" spans="1:17">
      <c r="A822" t="s">
        <v>44</v>
      </c>
      <c r="B822" t="s">
        <v>40</v>
      </c>
      <c r="C822">
        <v>10</v>
      </c>
      <c r="D822">
        <v>2022</v>
      </c>
      <c r="E822" s="49" t="s">
        <v>153</v>
      </c>
      <c r="F822" s="49" t="s">
        <v>163</v>
      </c>
      <c r="G822">
        <f>'Feb to July, 2022'!G24+'Feb to July, 2022'!H24</f>
        <v>30</v>
      </c>
      <c r="H822">
        <f>'Feb to July, 2022'!I24</f>
        <v>0</v>
      </c>
      <c r="I822">
        <f>'Feb to July, 2022'!J24</f>
        <v>10</v>
      </c>
      <c r="J822">
        <f>G822*Parameters!$B$2*Parameters!$B$5</f>
        <v>63.87299999999999</v>
      </c>
      <c r="K822">
        <f>H822*Parameters!$B$3*Parameters!$B$6</f>
        <v>0</v>
      </c>
      <c r="L822">
        <f>I822*Parameters!$B$4*Parameters!$B$7</f>
        <v>80.963999999999999</v>
      </c>
      <c r="M822">
        <f t="shared" si="12"/>
        <v>144.83699999999999</v>
      </c>
      <c r="N822">
        <v>3000</v>
      </c>
      <c r="O822">
        <v>0</v>
      </c>
      <c r="P822">
        <v>0</v>
      </c>
      <c r="Q822">
        <v>3000</v>
      </c>
    </row>
    <row r="823" spans="1:17">
      <c r="A823" t="s">
        <v>45</v>
      </c>
      <c r="B823" t="s">
        <v>24</v>
      </c>
      <c r="C823">
        <v>8</v>
      </c>
      <c r="D823">
        <v>2022</v>
      </c>
      <c r="E823" s="49" t="s">
        <v>153</v>
      </c>
      <c r="F823" s="49" t="s">
        <v>163</v>
      </c>
      <c r="G823">
        <f>'Feb to July, 2022'!G25+'Feb to July, 2022'!H25</f>
        <v>35</v>
      </c>
      <c r="H823">
        <f>'Feb to July, 2022'!I25</f>
        <v>0</v>
      </c>
      <c r="I823">
        <f>'Feb to July, 2022'!J25</f>
        <v>10</v>
      </c>
      <c r="J823">
        <f>G823*Parameters!$B$2*Parameters!$B$5</f>
        <v>74.518499999999989</v>
      </c>
      <c r="K823">
        <f>H823*Parameters!$B$3*Parameters!$B$6</f>
        <v>0</v>
      </c>
      <c r="L823">
        <f>I823*Parameters!$B$4*Parameters!$B$7</f>
        <v>80.963999999999999</v>
      </c>
      <c r="M823">
        <f t="shared" si="12"/>
        <v>155.48249999999999</v>
      </c>
      <c r="N823">
        <v>3500</v>
      </c>
      <c r="O823">
        <v>0</v>
      </c>
      <c r="P823">
        <v>0</v>
      </c>
      <c r="Q823">
        <v>3000</v>
      </c>
    </row>
    <row r="824" spans="1:17">
      <c r="A824" t="s">
        <v>46</v>
      </c>
      <c r="B824" t="s">
        <v>24</v>
      </c>
      <c r="C824">
        <v>4</v>
      </c>
      <c r="D824">
        <v>2022</v>
      </c>
      <c r="E824" s="49" t="s">
        <v>153</v>
      </c>
      <c r="F824" s="49" t="s">
        <v>163</v>
      </c>
      <c r="G824">
        <f>'Feb to July, 2022'!G26+'Feb to July, 2022'!H26</f>
        <v>25</v>
      </c>
      <c r="H824">
        <f>'Feb to July, 2022'!I26</f>
        <v>0</v>
      </c>
      <c r="I824">
        <f>'Feb to July, 2022'!J26</f>
        <v>15</v>
      </c>
      <c r="J824">
        <f>G824*Parameters!$B$2*Parameters!$B$5</f>
        <v>53.227499999999992</v>
      </c>
      <c r="K824">
        <f>H824*Parameters!$B$3*Parameters!$B$6</f>
        <v>0</v>
      </c>
      <c r="L824">
        <f>I824*Parameters!$B$4*Parameters!$B$7</f>
        <v>121.44600000000001</v>
      </c>
      <c r="M824">
        <f t="shared" si="12"/>
        <v>174.67349999999999</v>
      </c>
      <c r="N824">
        <v>2500</v>
      </c>
      <c r="O824">
        <v>0</v>
      </c>
      <c r="P824">
        <v>0</v>
      </c>
      <c r="Q824">
        <v>4500</v>
      </c>
    </row>
    <row r="825" spans="1:17">
      <c r="A825" t="s">
        <v>47</v>
      </c>
      <c r="B825" t="s">
        <v>19</v>
      </c>
      <c r="C825">
        <v>6</v>
      </c>
      <c r="D825">
        <v>2022</v>
      </c>
      <c r="E825" s="49" t="s">
        <v>153</v>
      </c>
      <c r="F825" s="49" t="s">
        <v>163</v>
      </c>
      <c r="G825">
        <f>'Feb to July, 2022'!G27+'Feb to July, 2022'!H27</f>
        <v>0</v>
      </c>
      <c r="H825">
        <f>'Feb to July, 2022'!I27</f>
        <v>0</v>
      </c>
      <c r="I825">
        <f>'Feb to July, 2022'!J27</f>
        <v>5</v>
      </c>
      <c r="J825">
        <f>G825*Parameters!$B$2*Parameters!$B$5</f>
        <v>0</v>
      </c>
      <c r="K825">
        <f>H825*Parameters!$B$3*Parameters!$B$6</f>
        <v>0</v>
      </c>
      <c r="L825">
        <f>I825*Parameters!$B$4*Parameters!$B$7</f>
        <v>40.481999999999999</v>
      </c>
      <c r="M825">
        <f t="shared" si="12"/>
        <v>40.481999999999999</v>
      </c>
      <c r="N825">
        <v>0</v>
      </c>
      <c r="O825">
        <v>0</v>
      </c>
      <c r="P825">
        <v>0</v>
      </c>
      <c r="Q825">
        <v>1500</v>
      </c>
    </row>
    <row r="826" spans="1:17">
      <c r="A826" t="s">
        <v>48</v>
      </c>
      <c r="B826" t="s">
        <v>24</v>
      </c>
      <c r="C826">
        <v>4</v>
      </c>
      <c r="D826">
        <v>2022</v>
      </c>
      <c r="E826" s="49" t="s">
        <v>153</v>
      </c>
      <c r="F826" s="49" t="s">
        <v>163</v>
      </c>
      <c r="G826">
        <f>'Feb to July, 2022'!G28+'Feb to July, 2022'!H28</f>
        <v>43</v>
      </c>
      <c r="H826">
        <f>'Feb to July, 2022'!I28</f>
        <v>0</v>
      </c>
      <c r="I826">
        <f>'Feb to July, 2022'!J28</f>
        <v>7</v>
      </c>
      <c r="J826">
        <f>G826*Parameters!$B$2*Parameters!$B$5</f>
        <v>91.551299999999983</v>
      </c>
      <c r="K826">
        <f>H826*Parameters!$B$3*Parameters!$B$6</f>
        <v>0</v>
      </c>
      <c r="L826">
        <f>I826*Parameters!$B$4*Parameters!$B$7</f>
        <v>56.674800000000005</v>
      </c>
      <c r="M826">
        <f t="shared" si="12"/>
        <v>148.22609999999997</v>
      </c>
      <c r="N826">
        <v>4300</v>
      </c>
      <c r="O826">
        <v>0</v>
      </c>
      <c r="P826">
        <v>0</v>
      </c>
      <c r="Q826">
        <v>2100</v>
      </c>
    </row>
    <row r="827" spans="1:17">
      <c r="A827" t="s">
        <v>49</v>
      </c>
      <c r="B827" t="s">
        <v>38</v>
      </c>
      <c r="C827">
        <v>2</v>
      </c>
      <c r="D827">
        <v>2022</v>
      </c>
      <c r="E827" s="49" t="s">
        <v>153</v>
      </c>
      <c r="F827" s="49" t="s">
        <v>163</v>
      </c>
      <c r="G827">
        <f>'Feb to July, 2022'!G29+'Feb to July, 2022'!H29</f>
        <v>37</v>
      </c>
      <c r="H827">
        <f>'Feb to July, 2022'!I29</f>
        <v>0</v>
      </c>
      <c r="I827">
        <f>'Feb to July, 2022'!J29</f>
        <v>20</v>
      </c>
      <c r="J827">
        <f>G827*Parameters!$B$2*Parameters!$B$5</f>
        <v>78.776699999999977</v>
      </c>
      <c r="K827">
        <f>H827*Parameters!$B$3*Parameters!$B$6</f>
        <v>0</v>
      </c>
      <c r="L827">
        <f>I827*Parameters!$B$4*Parameters!$B$7</f>
        <v>161.928</v>
      </c>
      <c r="M827">
        <f t="shared" si="12"/>
        <v>240.70469999999997</v>
      </c>
      <c r="N827">
        <v>3700</v>
      </c>
      <c r="O827">
        <v>0</v>
      </c>
      <c r="P827">
        <v>0</v>
      </c>
      <c r="Q827">
        <v>6000</v>
      </c>
    </row>
    <row r="828" spans="1:17">
      <c r="A828" t="s">
        <v>50</v>
      </c>
      <c r="B828" t="s">
        <v>19</v>
      </c>
      <c r="C828">
        <v>8</v>
      </c>
      <c r="D828">
        <v>2022</v>
      </c>
      <c r="E828" s="49" t="s">
        <v>153</v>
      </c>
      <c r="F828" s="49" t="s">
        <v>163</v>
      </c>
      <c r="G828">
        <f>'Feb to July, 2022'!G30+'Feb to July, 2022'!H30</f>
        <v>25</v>
      </c>
      <c r="H828">
        <f>'Feb to July, 2022'!I30</f>
        <v>0</v>
      </c>
      <c r="I828">
        <f>'Feb to July, 2022'!J30</f>
        <v>10</v>
      </c>
      <c r="J828">
        <f>G828*Parameters!$B$2*Parameters!$B$5</f>
        <v>53.227499999999992</v>
      </c>
      <c r="K828">
        <f>H828*Parameters!$B$3*Parameters!$B$6</f>
        <v>0</v>
      </c>
      <c r="L828">
        <f>I828*Parameters!$B$4*Parameters!$B$7</f>
        <v>80.963999999999999</v>
      </c>
      <c r="M828">
        <f t="shared" si="12"/>
        <v>134.19149999999999</v>
      </c>
      <c r="N828">
        <v>2500</v>
      </c>
      <c r="O828">
        <v>0</v>
      </c>
      <c r="P828">
        <v>0</v>
      </c>
      <c r="Q828">
        <v>3000</v>
      </c>
    </row>
    <row r="829" spans="1:17">
      <c r="A829" t="s">
        <v>51</v>
      </c>
      <c r="B829" t="s">
        <v>19</v>
      </c>
      <c r="C829">
        <v>6</v>
      </c>
      <c r="D829">
        <v>2022</v>
      </c>
      <c r="E829" s="49" t="s">
        <v>153</v>
      </c>
      <c r="F829" s="49" t="s">
        <v>163</v>
      </c>
      <c r="G829">
        <f>'Feb to July, 2022'!G31+'Feb to July, 2022'!H31</f>
        <v>40</v>
      </c>
      <c r="H829">
        <f>'Feb to July, 2022'!I31</f>
        <v>0</v>
      </c>
      <c r="I829">
        <f>'Feb to July, 2022'!J31</f>
        <v>20</v>
      </c>
      <c r="J829">
        <f>G829*Parameters!$B$2*Parameters!$B$5</f>
        <v>85.163999999999987</v>
      </c>
      <c r="K829">
        <f>H829*Parameters!$B$3*Parameters!$B$6</f>
        <v>0</v>
      </c>
      <c r="L829">
        <f>I829*Parameters!$B$4*Parameters!$B$7</f>
        <v>161.928</v>
      </c>
      <c r="M829">
        <f t="shared" si="12"/>
        <v>247.09199999999998</v>
      </c>
      <c r="N829">
        <v>4000</v>
      </c>
      <c r="O829">
        <v>0</v>
      </c>
      <c r="P829">
        <v>0</v>
      </c>
      <c r="Q829">
        <v>6000</v>
      </c>
    </row>
    <row r="830" spans="1:17">
      <c r="A830" t="s">
        <v>52</v>
      </c>
      <c r="B830" t="s">
        <v>38</v>
      </c>
      <c r="C830">
        <v>12</v>
      </c>
      <c r="D830">
        <v>2022</v>
      </c>
      <c r="E830" s="49" t="s">
        <v>153</v>
      </c>
      <c r="F830" s="49" t="s">
        <v>163</v>
      </c>
      <c r="G830">
        <f>'Feb to July, 2022'!G32+'Feb to July, 2022'!H32</f>
        <v>40</v>
      </c>
      <c r="H830">
        <f>'Feb to July, 2022'!I32</f>
        <v>0</v>
      </c>
      <c r="I830">
        <f>'Feb to July, 2022'!J32</f>
        <v>20</v>
      </c>
      <c r="J830">
        <f>G830*Parameters!$B$2*Parameters!$B$5</f>
        <v>85.163999999999987</v>
      </c>
      <c r="K830">
        <f>H830*Parameters!$B$3*Parameters!$B$6</f>
        <v>0</v>
      </c>
      <c r="L830">
        <f>I830*Parameters!$B$4*Parameters!$B$7</f>
        <v>161.928</v>
      </c>
      <c r="M830">
        <f t="shared" si="12"/>
        <v>247.09199999999998</v>
      </c>
      <c r="N830">
        <v>4000</v>
      </c>
      <c r="O830">
        <v>0</v>
      </c>
      <c r="P830">
        <v>0</v>
      </c>
      <c r="Q830">
        <v>6000</v>
      </c>
    </row>
    <row r="831" spans="1:17">
      <c r="A831" t="s">
        <v>53</v>
      </c>
      <c r="B831" t="s">
        <v>40</v>
      </c>
      <c r="C831">
        <v>8</v>
      </c>
      <c r="D831">
        <v>2022</v>
      </c>
      <c r="E831" s="49" t="s">
        <v>153</v>
      </c>
      <c r="F831" s="49" t="s">
        <v>163</v>
      </c>
      <c r="G831">
        <f>'Feb to July, 2022'!G33+'Feb to July, 2022'!H33</f>
        <v>52</v>
      </c>
      <c r="H831">
        <f>'Feb to July, 2022'!I33</f>
        <v>0</v>
      </c>
      <c r="I831">
        <f>'Feb to July, 2022'!J33</f>
        <v>20</v>
      </c>
      <c r="J831">
        <f>G831*Parameters!$B$2*Parameters!$B$5</f>
        <v>110.71319999999999</v>
      </c>
      <c r="K831">
        <f>H831*Parameters!$B$3*Parameters!$B$6</f>
        <v>0</v>
      </c>
      <c r="L831">
        <f>I831*Parameters!$B$4*Parameters!$B$7</f>
        <v>161.928</v>
      </c>
      <c r="M831">
        <f t="shared" si="12"/>
        <v>272.64119999999997</v>
      </c>
      <c r="N831">
        <v>5200</v>
      </c>
      <c r="O831">
        <v>0</v>
      </c>
      <c r="P831">
        <v>0</v>
      </c>
      <c r="Q831">
        <v>6000</v>
      </c>
    </row>
    <row r="832" spans="1:17">
      <c r="A832" t="s">
        <v>54</v>
      </c>
      <c r="B832" t="s">
        <v>40</v>
      </c>
      <c r="C832">
        <v>6</v>
      </c>
      <c r="D832">
        <v>2022</v>
      </c>
      <c r="E832" s="49" t="s">
        <v>153</v>
      </c>
      <c r="F832" s="49" t="s">
        <v>163</v>
      </c>
      <c r="G832">
        <f>'Feb to July, 2022'!G34+'Feb to July, 2022'!H34</f>
        <v>50</v>
      </c>
      <c r="H832">
        <f>'Feb to July, 2022'!I34</f>
        <v>0</v>
      </c>
      <c r="I832">
        <f>'Feb to July, 2022'!J34</f>
        <v>15</v>
      </c>
      <c r="J832">
        <f>G832*Parameters!$B$2*Parameters!$B$5</f>
        <v>106.45499999999998</v>
      </c>
      <c r="K832">
        <f>H832*Parameters!$B$3*Parameters!$B$6</f>
        <v>0</v>
      </c>
      <c r="L832">
        <f>I832*Parameters!$B$4*Parameters!$B$7</f>
        <v>121.44600000000001</v>
      </c>
      <c r="M832">
        <f t="shared" si="12"/>
        <v>227.90100000000001</v>
      </c>
      <c r="N832">
        <v>5000</v>
      </c>
      <c r="O832">
        <v>0</v>
      </c>
      <c r="P832">
        <v>0</v>
      </c>
      <c r="Q832">
        <v>4500</v>
      </c>
    </row>
    <row r="833" spans="1:17">
      <c r="A833" t="s">
        <v>55</v>
      </c>
      <c r="B833" t="s">
        <v>56</v>
      </c>
      <c r="C833">
        <v>4</v>
      </c>
      <c r="D833">
        <v>2022</v>
      </c>
      <c r="E833" s="49" t="s">
        <v>153</v>
      </c>
      <c r="F833" s="49" t="s">
        <v>163</v>
      </c>
      <c r="G833">
        <f>'Feb to July, 2022'!G35+'Feb to July, 2022'!H35</f>
        <v>0</v>
      </c>
      <c r="H833">
        <f>'Feb to July, 2022'!I35</f>
        <v>0</v>
      </c>
      <c r="I833">
        <f>'Feb to July, 2022'!J35</f>
        <v>10</v>
      </c>
      <c r="J833">
        <f>G833*Parameters!$B$2*Parameters!$B$5</f>
        <v>0</v>
      </c>
      <c r="K833">
        <f>H833*Parameters!$B$3*Parameters!$B$6</f>
        <v>0</v>
      </c>
      <c r="L833">
        <f>I833*Parameters!$B$4*Parameters!$B$7</f>
        <v>80.963999999999999</v>
      </c>
      <c r="M833">
        <f t="shared" si="12"/>
        <v>80.963999999999999</v>
      </c>
      <c r="N833">
        <v>0</v>
      </c>
      <c r="O833">
        <v>0</v>
      </c>
      <c r="P833">
        <v>0</v>
      </c>
      <c r="Q833">
        <v>3000</v>
      </c>
    </row>
    <row r="834" spans="1:17">
      <c r="A834" t="s">
        <v>57</v>
      </c>
      <c r="B834" t="s">
        <v>40</v>
      </c>
      <c r="C834">
        <v>4</v>
      </c>
      <c r="D834">
        <v>2022</v>
      </c>
      <c r="E834" s="49" t="s">
        <v>153</v>
      </c>
      <c r="F834" s="49" t="s">
        <v>163</v>
      </c>
      <c r="G834">
        <f>'Feb to July, 2022'!G36+'Feb to July, 2022'!H36</f>
        <v>35</v>
      </c>
      <c r="H834">
        <f>'Feb to July, 2022'!I36</f>
        <v>0</v>
      </c>
      <c r="I834">
        <f>'Feb to July, 2022'!J36</f>
        <v>15</v>
      </c>
      <c r="J834">
        <f>G834*Parameters!$B$2*Parameters!$B$5</f>
        <v>74.518499999999989</v>
      </c>
      <c r="K834">
        <f>H834*Parameters!$B$3*Parameters!$B$6</f>
        <v>0</v>
      </c>
      <c r="L834">
        <f>I834*Parameters!$B$4*Parameters!$B$7</f>
        <v>121.44600000000001</v>
      </c>
      <c r="M834">
        <f t="shared" si="12"/>
        <v>195.96449999999999</v>
      </c>
      <c r="N834">
        <v>3500</v>
      </c>
      <c r="O834">
        <v>0</v>
      </c>
      <c r="P834">
        <v>0</v>
      </c>
      <c r="Q834">
        <v>4500</v>
      </c>
    </row>
    <row r="835" spans="1:17">
      <c r="A835" t="s">
        <v>58</v>
      </c>
      <c r="B835" t="s">
        <v>26</v>
      </c>
      <c r="C835">
        <v>6</v>
      </c>
      <c r="D835">
        <v>2022</v>
      </c>
      <c r="E835" s="49" t="s">
        <v>153</v>
      </c>
      <c r="F835" s="49" t="s">
        <v>163</v>
      </c>
      <c r="G835">
        <f>'Feb to July, 2022'!G37+'Feb to July, 2022'!H37</f>
        <v>28</v>
      </c>
      <c r="H835">
        <f>'Feb to July, 2022'!I37</f>
        <v>0</v>
      </c>
      <c r="I835">
        <f>'Feb to July, 2022'!J37</f>
        <v>15</v>
      </c>
      <c r="J835">
        <f>G835*Parameters!$B$2*Parameters!$B$5</f>
        <v>59.614799999999995</v>
      </c>
      <c r="K835">
        <f>H835*Parameters!$B$3*Parameters!$B$6</f>
        <v>0</v>
      </c>
      <c r="L835">
        <f>I835*Parameters!$B$4*Parameters!$B$7</f>
        <v>121.44600000000001</v>
      </c>
      <c r="M835">
        <f t="shared" ref="M835:M898" si="13">SUM(J835:L835)</f>
        <v>181.0608</v>
      </c>
      <c r="N835">
        <v>2800</v>
      </c>
      <c r="O835">
        <v>0</v>
      </c>
      <c r="P835">
        <v>0</v>
      </c>
      <c r="Q835">
        <v>4500</v>
      </c>
    </row>
    <row r="836" spans="1:17">
      <c r="A836" t="s">
        <v>59</v>
      </c>
      <c r="B836" t="s">
        <v>26</v>
      </c>
      <c r="C836">
        <v>7</v>
      </c>
      <c r="D836">
        <v>2022</v>
      </c>
      <c r="E836" s="49" t="s">
        <v>153</v>
      </c>
      <c r="F836" s="49" t="s">
        <v>163</v>
      </c>
      <c r="G836">
        <f>'Feb to July, 2022'!G38+'Feb to July, 2022'!H38</f>
        <v>30</v>
      </c>
      <c r="H836">
        <f>'Feb to July, 2022'!I38</f>
        <v>0</v>
      </c>
      <c r="I836">
        <f>'Feb to July, 2022'!J38</f>
        <v>15</v>
      </c>
      <c r="J836">
        <f>G836*Parameters!$B$2*Parameters!$B$5</f>
        <v>63.87299999999999</v>
      </c>
      <c r="K836">
        <f>H836*Parameters!$B$3*Parameters!$B$6</f>
        <v>0</v>
      </c>
      <c r="L836">
        <f>I836*Parameters!$B$4*Parameters!$B$7</f>
        <v>121.44600000000001</v>
      </c>
      <c r="M836">
        <f t="shared" si="13"/>
        <v>185.31900000000002</v>
      </c>
      <c r="N836">
        <v>3000</v>
      </c>
      <c r="O836">
        <v>0</v>
      </c>
      <c r="P836">
        <v>0</v>
      </c>
      <c r="Q836">
        <v>4500</v>
      </c>
    </row>
    <row r="837" spans="1:17">
      <c r="A837" t="s">
        <v>60</v>
      </c>
      <c r="B837" t="s">
        <v>26</v>
      </c>
      <c r="C837">
        <v>8</v>
      </c>
      <c r="D837">
        <v>2022</v>
      </c>
      <c r="E837" s="49" t="s">
        <v>153</v>
      </c>
      <c r="F837" s="49" t="s">
        <v>163</v>
      </c>
      <c r="G837">
        <f>'Feb to July, 2022'!G39+'Feb to July, 2022'!H39</f>
        <v>20</v>
      </c>
      <c r="H837">
        <f>'Feb to July, 2022'!I39</f>
        <v>0</v>
      </c>
      <c r="I837">
        <f>'Feb to July, 2022'!J39</f>
        <v>0</v>
      </c>
      <c r="J837">
        <f>G837*Parameters!$B$2*Parameters!$B$5</f>
        <v>42.581999999999994</v>
      </c>
      <c r="K837">
        <f>H837*Parameters!$B$3*Parameters!$B$6</f>
        <v>0</v>
      </c>
      <c r="L837">
        <f>I837*Parameters!$B$4*Parameters!$B$7</f>
        <v>0</v>
      </c>
      <c r="M837">
        <f t="shared" si="13"/>
        <v>42.581999999999994</v>
      </c>
      <c r="N837">
        <v>2000</v>
      </c>
      <c r="O837">
        <v>0</v>
      </c>
      <c r="P837">
        <v>0</v>
      </c>
      <c r="Q837">
        <v>0</v>
      </c>
    </row>
    <row r="838" spans="1:17">
      <c r="A838" t="s">
        <v>61</v>
      </c>
      <c r="B838" t="s">
        <v>56</v>
      </c>
      <c r="C838">
        <v>5</v>
      </c>
      <c r="D838">
        <v>2022</v>
      </c>
      <c r="E838" s="49" t="s">
        <v>153</v>
      </c>
      <c r="F838" s="49" t="s">
        <v>163</v>
      </c>
      <c r="G838">
        <f>'Feb to July, 2022'!G40+'Feb to July, 2022'!H40</f>
        <v>20</v>
      </c>
      <c r="H838">
        <f>'Feb to July, 2022'!I40</f>
        <v>0</v>
      </c>
      <c r="I838">
        <f>'Feb to July, 2022'!J40</f>
        <v>15</v>
      </c>
      <c r="J838">
        <f>G838*Parameters!$B$2*Parameters!$B$5</f>
        <v>42.581999999999994</v>
      </c>
      <c r="K838">
        <f>H838*Parameters!$B$3*Parameters!$B$6</f>
        <v>0</v>
      </c>
      <c r="L838">
        <f>I838*Parameters!$B$4*Parameters!$B$7</f>
        <v>121.44600000000001</v>
      </c>
      <c r="M838">
        <f t="shared" si="13"/>
        <v>164.02800000000002</v>
      </c>
      <c r="N838">
        <v>2000</v>
      </c>
      <c r="O838">
        <v>0</v>
      </c>
      <c r="P838">
        <v>0</v>
      </c>
      <c r="Q838">
        <v>4500</v>
      </c>
    </row>
    <row r="839" spans="1:17">
      <c r="A839" t="s">
        <v>62</v>
      </c>
      <c r="B839" t="s">
        <v>21</v>
      </c>
      <c r="C839">
        <v>6</v>
      </c>
      <c r="D839">
        <v>2022</v>
      </c>
      <c r="E839" s="49" t="s">
        <v>153</v>
      </c>
      <c r="F839" s="49" t="s">
        <v>163</v>
      </c>
      <c r="G839">
        <f>'Feb to July, 2022'!G41+'Feb to July, 2022'!H41</f>
        <v>48</v>
      </c>
      <c r="H839">
        <f>'Feb to July, 2022'!I41</f>
        <v>0</v>
      </c>
      <c r="I839">
        <f>'Feb to July, 2022'!J41</f>
        <v>20</v>
      </c>
      <c r="J839">
        <f>G839*Parameters!$B$2*Parameters!$B$5</f>
        <v>102.19679999999998</v>
      </c>
      <c r="K839">
        <f>H839*Parameters!$B$3*Parameters!$B$6</f>
        <v>0</v>
      </c>
      <c r="L839">
        <f>I839*Parameters!$B$4*Parameters!$B$7</f>
        <v>161.928</v>
      </c>
      <c r="M839">
        <f t="shared" si="13"/>
        <v>264.12479999999999</v>
      </c>
      <c r="N839">
        <v>4800</v>
      </c>
      <c r="O839">
        <v>0</v>
      </c>
      <c r="P839">
        <v>0</v>
      </c>
      <c r="Q839">
        <v>6000</v>
      </c>
    </row>
    <row r="840" spans="1:17">
      <c r="A840" t="s">
        <v>63</v>
      </c>
      <c r="B840" t="s">
        <v>21</v>
      </c>
      <c r="C840">
        <v>9</v>
      </c>
      <c r="D840">
        <v>2022</v>
      </c>
      <c r="E840" s="49" t="s">
        <v>153</v>
      </c>
      <c r="F840" s="49" t="s">
        <v>163</v>
      </c>
      <c r="G840">
        <f>'Feb to July, 2022'!G42+'Feb to July, 2022'!H42</f>
        <v>45</v>
      </c>
      <c r="H840">
        <f>'Feb to July, 2022'!I42</f>
        <v>0</v>
      </c>
      <c r="I840">
        <f>'Feb to July, 2022'!J42</f>
        <v>20</v>
      </c>
      <c r="J840">
        <f>G840*Parameters!$B$2*Parameters!$B$5</f>
        <v>95.809499999999986</v>
      </c>
      <c r="K840">
        <f>H840*Parameters!$B$3*Parameters!$B$6</f>
        <v>0</v>
      </c>
      <c r="L840">
        <f>I840*Parameters!$B$4*Parameters!$B$7</f>
        <v>161.928</v>
      </c>
      <c r="M840">
        <f t="shared" si="13"/>
        <v>257.73749999999995</v>
      </c>
      <c r="N840">
        <v>4500</v>
      </c>
      <c r="O840">
        <v>0</v>
      </c>
      <c r="P840">
        <v>0</v>
      </c>
      <c r="Q840">
        <v>6000</v>
      </c>
    </row>
    <row r="841" spans="1:17">
      <c r="A841" t="s">
        <v>64</v>
      </c>
      <c r="B841" t="s">
        <v>65</v>
      </c>
      <c r="C841">
        <v>3</v>
      </c>
      <c r="D841">
        <v>2022</v>
      </c>
      <c r="E841" s="49" t="s">
        <v>153</v>
      </c>
      <c r="F841" s="49" t="s">
        <v>163</v>
      </c>
      <c r="G841">
        <f>'Feb to July, 2022'!G43+'Feb to July, 2022'!H43</f>
        <v>0</v>
      </c>
      <c r="H841">
        <f>'Feb to July, 2022'!I43</f>
        <v>0</v>
      </c>
      <c r="I841">
        <f>'Feb to July, 2022'!J43</f>
        <v>20</v>
      </c>
      <c r="J841">
        <f>G841*Parameters!$B$2*Parameters!$B$5</f>
        <v>0</v>
      </c>
      <c r="K841">
        <f>H841*Parameters!$B$3*Parameters!$B$6</f>
        <v>0</v>
      </c>
      <c r="L841">
        <f>I841*Parameters!$B$4*Parameters!$B$7</f>
        <v>161.928</v>
      </c>
      <c r="M841">
        <f t="shared" si="13"/>
        <v>161.928</v>
      </c>
      <c r="N841">
        <v>0</v>
      </c>
      <c r="O841">
        <v>0</v>
      </c>
      <c r="P841">
        <v>0</v>
      </c>
      <c r="Q841">
        <v>6000</v>
      </c>
    </row>
    <row r="842" spans="1:17">
      <c r="A842" t="s">
        <v>66</v>
      </c>
      <c r="B842" t="s">
        <v>24</v>
      </c>
      <c r="C842">
        <v>4</v>
      </c>
      <c r="D842">
        <v>2022</v>
      </c>
      <c r="E842" s="49" t="s">
        <v>153</v>
      </c>
      <c r="F842" s="49" t="s">
        <v>163</v>
      </c>
      <c r="G842">
        <f>'Feb to July, 2022'!G44+'Feb to July, 2022'!H44</f>
        <v>40</v>
      </c>
      <c r="H842">
        <f>'Feb to July, 2022'!I44</f>
        <v>0</v>
      </c>
      <c r="I842">
        <f>'Feb to July, 2022'!J44</f>
        <v>15</v>
      </c>
      <c r="J842">
        <f>G842*Parameters!$B$2*Parameters!$B$5</f>
        <v>85.163999999999987</v>
      </c>
      <c r="K842">
        <f>H842*Parameters!$B$3*Parameters!$B$6</f>
        <v>0</v>
      </c>
      <c r="L842">
        <f>I842*Parameters!$B$4*Parameters!$B$7</f>
        <v>121.44600000000001</v>
      </c>
      <c r="M842">
        <f t="shared" si="13"/>
        <v>206.61</v>
      </c>
      <c r="N842">
        <v>4000</v>
      </c>
      <c r="O842">
        <v>0</v>
      </c>
      <c r="P842">
        <v>0</v>
      </c>
      <c r="Q842">
        <v>4500</v>
      </c>
    </row>
    <row r="843" spans="1:17">
      <c r="A843" t="s">
        <v>67</v>
      </c>
      <c r="B843" t="s">
        <v>56</v>
      </c>
      <c r="C843">
        <v>6</v>
      </c>
      <c r="D843">
        <v>2022</v>
      </c>
      <c r="E843" s="49" t="s">
        <v>153</v>
      </c>
      <c r="F843" s="49" t="s">
        <v>163</v>
      </c>
      <c r="G843">
        <f>'Feb to July, 2022'!G45+'Feb to July, 2022'!H45</f>
        <v>50</v>
      </c>
      <c r="H843">
        <f>'Feb to July, 2022'!I45</f>
        <v>0</v>
      </c>
      <c r="I843">
        <f>'Feb to July, 2022'!J45</f>
        <v>10</v>
      </c>
      <c r="J843">
        <f>G843*Parameters!$B$2*Parameters!$B$5</f>
        <v>106.45499999999998</v>
      </c>
      <c r="K843">
        <f>H843*Parameters!$B$3*Parameters!$B$6</f>
        <v>0</v>
      </c>
      <c r="L843">
        <f>I843*Parameters!$B$4*Parameters!$B$7</f>
        <v>80.963999999999999</v>
      </c>
      <c r="M843">
        <f t="shared" si="13"/>
        <v>187.41899999999998</v>
      </c>
      <c r="N843">
        <v>5000</v>
      </c>
      <c r="O843">
        <v>0</v>
      </c>
      <c r="P843">
        <v>0</v>
      </c>
      <c r="Q843">
        <v>3000</v>
      </c>
    </row>
    <row r="844" spans="1:17">
      <c r="A844" t="s">
        <v>68</v>
      </c>
      <c r="B844" t="s">
        <v>21</v>
      </c>
      <c r="C844">
        <v>4</v>
      </c>
      <c r="D844">
        <v>2022</v>
      </c>
      <c r="E844" s="49" t="s">
        <v>153</v>
      </c>
      <c r="F844" s="49" t="s">
        <v>163</v>
      </c>
      <c r="G844">
        <f>'Feb to July, 2022'!G46+'Feb to July, 2022'!H46</f>
        <v>40</v>
      </c>
      <c r="H844">
        <f>'Feb to July, 2022'!I46</f>
        <v>0</v>
      </c>
      <c r="I844">
        <f>'Feb to July, 2022'!J46</f>
        <v>15</v>
      </c>
      <c r="J844">
        <f>G844*Parameters!$B$2*Parameters!$B$5</f>
        <v>85.163999999999987</v>
      </c>
      <c r="K844">
        <f>H844*Parameters!$B$3*Parameters!$B$6</f>
        <v>0</v>
      </c>
      <c r="L844">
        <f>I844*Parameters!$B$4*Parameters!$B$7</f>
        <v>121.44600000000001</v>
      </c>
      <c r="M844">
        <f t="shared" si="13"/>
        <v>206.61</v>
      </c>
      <c r="N844">
        <v>4000</v>
      </c>
      <c r="O844">
        <v>0</v>
      </c>
      <c r="P844">
        <v>0</v>
      </c>
      <c r="Q844">
        <v>4500</v>
      </c>
    </row>
    <row r="845" spans="1:17">
      <c r="A845" t="s">
        <v>69</v>
      </c>
      <c r="B845" t="s">
        <v>24</v>
      </c>
      <c r="C845">
        <v>6</v>
      </c>
      <c r="D845">
        <v>2022</v>
      </c>
      <c r="E845" s="49" t="s">
        <v>153</v>
      </c>
      <c r="F845" s="49" t="s">
        <v>163</v>
      </c>
      <c r="G845">
        <f>'Feb to July, 2022'!G47+'Feb to July, 2022'!H47</f>
        <v>30</v>
      </c>
      <c r="H845">
        <f>'Feb to July, 2022'!I47</f>
        <v>0</v>
      </c>
      <c r="I845">
        <f>'Feb to July, 2022'!J47</f>
        <v>10</v>
      </c>
      <c r="J845">
        <f>G845*Parameters!$B$2*Parameters!$B$5</f>
        <v>63.87299999999999</v>
      </c>
      <c r="K845">
        <f>H845*Parameters!$B$3*Parameters!$B$6</f>
        <v>0</v>
      </c>
      <c r="L845">
        <f>I845*Parameters!$B$4*Parameters!$B$7</f>
        <v>80.963999999999999</v>
      </c>
      <c r="M845">
        <f t="shared" si="13"/>
        <v>144.83699999999999</v>
      </c>
      <c r="N845">
        <v>3000</v>
      </c>
      <c r="O845">
        <v>0</v>
      </c>
      <c r="P845">
        <v>0</v>
      </c>
      <c r="Q845">
        <v>3000</v>
      </c>
    </row>
    <row r="846" spans="1:17">
      <c r="A846" t="s">
        <v>70</v>
      </c>
      <c r="B846" t="s">
        <v>26</v>
      </c>
      <c r="C846">
        <v>6</v>
      </c>
      <c r="D846">
        <v>2022</v>
      </c>
      <c r="E846" s="49" t="s">
        <v>153</v>
      </c>
      <c r="F846" s="49" t="s">
        <v>163</v>
      </c>
      <c r="G846">
        <f>'Feb to July, 2022'!G48+'Feb to July, 2022'!H48</f>
        <v>40</v>
      </c>
      <c r="H846">
        <f>'Feb to July, 2022'!I48</f>
        <v>0</v>
      </c>
      <c r="I846">
        <f>'Feb to July, 2022'!J48</f>
        <v>15</v>
      </c>
      <c r="J846">
        <f>G846*Parameters!$B$2*Parameters!$B$5</f>
        <v>85.163999999999987</v>
      </c>
      <c r="K846">
        <f>H846*Parameters!$B$3*Parameters!$B$6</f>
        <v>0</v>
      </c>
      <c r="L846">
        <f>I846*Parameters!$B$4*Parameters!$B$7</f>
        <v>121.44600000000001</v>
      </c>
      <c r="M846">
        <f t="shared" si="13"/>
        <v>206.61</v>
      </c>
      <c r="N846">
        <v>4000</v>
      </c>
      <c r="O846">
        <v>0</v>
      </c>
      <c r="P846">
        <v>0</v>
      </c>
      <c r="Q846">
        <v>4500</v>
      </c>
    </row>
    <row r="847" spans="1:17">
      <c r="A847" t="s">
        <v>71</v>
      </c>
      <c r="B847" t="s">
        <v>26</v>
      </c>
      <c r="C847">
        <v>5</v>
      </c>
      <c r="D847">
        <v>2022</v>
      </c>
      <c r="E847" s="49" t="s">
        <v>153</v>
      </c>
      <c r="F847" s="49" t="s">
        <v>163</v>
      </c>
      <c r="G847">
        <f>'Feb to July, 2022'!G49+'Feb to July, 2022'!H49</f>
        <v>30</v>
      </c>
      <c r="H847">
        <f>'Feb to July, 2022'!I49</f>
        <v>0</v>
      </c>
      <c r="I847">
        <f>'Feb to July, 2022'!J49</f>
        <v>10</v>
      </c>
      <c r="J847">
        <f>G847*Parameters!$B$2*Parameters!$B$5</f>
        <v>63.87299999999999</v>
      </c>
      <c r="K847">
        <f>H847*Parameters!$B$3*Parameters!$B$6</f>
        <v>0</v>
      </c>
      <c r="L847">
        <f>I847*Parameters!$B$4*Parameters!$B$7</f>
        <v>80.963999999999999</v>
      </c>
      <c r="M847">
        <f t="shared" si="13"/>
        <v>144.83699999999999</v>
      </c>
      <c r="N847">
        <v>3000</v>
      </c>
      <c r="O847">
        <v>0</v>
      </c>
      <c r="P847">
        <v>0</v>
      </c>
      <c r="Q847">
        <v>3000</v>
      </c>
    </row>
    <row r="848" spans="1:17">
      <c r="A848" t="s">
        <v>72</v>
      </c>
      <c r="B848" t="s">
        <v>26</v>
      </c>
      <c r="C848">
        <v>8</v>
      </c>
      <c r="D848">
        <v>2022</v>
      </c>
      <c r="E848" s="49" t="s">
        <v>153</v>
      </c>
      <c r="F848" s="49" t="s">
        <v>163</v>
      </c>
      <c r="G848">
        <f>'Feb to July, 2022'!G50+'Feb to July, 2022'!H50</f>
        <v>35</v>
      </c>
      <c r="H848">
        <f>'Feb to July, 2022'!I50</f>
        <v>0</v>
      </c>
      <c r="I848">
        <f>'Feb to July, 2022'!J50</f>
        <v>101</v>
      </c>
      <c r="J848">
        <f>G848*Parameters!$B$2*Parameters!$B$5</f>
        <v>74.518499999999989</v>
      </c>
      <c r="K848">
        <f>H848*Parameters!$B$3*Parameters!$B$6</f>
        <v>0</v>
      </c>
      <c r="L848">
        <f>I848*Parameters!$B$4*Parameters!$B$7</f>
        <v>817.73640000000012</v>
      </c>
      <c r="M848">
        <f t="shared" si="13"/>
        <v>892.25490000000013</v>
      </c>
      <c r="N848">
        <v>3500</v>
      </c>
      <c r="O848">
        <v>0</v>
      </c>
      <c r="P848">
        <v>0</v>
      </c>
      <c r="Q848">
        <v>30300</v>
      </c>
    </row>
    <row r="849" spans="1:17">
      <c r="A849" t="s">
        <v>73</v>
      </c>
      <c r="B849" t="s">
        <v>17</v>
      </c>
      <c r="C849">
        <v>4</v>
      </c>
      <c r="D849">
        <v>2022</v>
      </c>
      <c r="E849" s="49" t="s">
        <v>153</v>
      </c>
      <c r="F849" s="49" t="s">
        <v>163</v>
      </c>
      <c r="G849">
        <f>'Feb to July, 2022'!G51+'Feb to July, 2022'!H51</f>
        <v>20</v>
      </c>
      <c r="H849">
        <f>'Feb to July, 2022'!I51</f>
        <v>0</v>
      </c>
      <c r="I849">
        <f>'Feb to July, 2022'!J51</f>
        <v>10</v>
      </c>
      <c r="J849">
        <f>G849*Parameters!$B$2*Parameters!$B$5</f>
        <v>42.581999999999994</v>
      </c>
      <c r="K849">
        <f>H849*Parameters!$B$3*Parameters!$B$6</f>
        <v>0</v>
      </c>
      <c r="L849">
        <f>I849*Parameters!$B$4*Parameters!$B$7</f>
        <v>80.963999999999999</v>
      </c>
      <c r="M849">
        <f t="shared" si="13"/>
        <v>123.54599999999999</v>
      </c>
      <c r="N849">
        <v>2000</v>
      </c>
      <c r="O849">
        <v>0</v>
      </c>
      <c r="P849">
        <v>0</v>
      </c>
      <c r="Q849">
        <v>3000</v>
      </c>
    </row>
    <row r="850" spans="1:17">
      <c r="A850" t="s">
        <v>74</v>
      </c>
      <c r="B850" t="s">
        <v>65</v>
      </c>
      <c r="C850">
        <v>8</v>
      </c>
      <c r="D850">
        <v>2022</v>
      </c>
      <c r="E850" s="49" t="s">
        <v>153</v>
      </c>
      <c r="F850" s="49" t="s">
        <v>163</v>
      </c>
      <c r="G850">
        <f>'Feb to July, 2022'!G52+'Feb to July, 2022'!H52</f>
        <v>32</v>
      </c>
      <c r="H850">
        <f>'Feb to July, 2022'!I52</f>
        <v>0</v>
      </c>
      <c r="I850">
        <f>'Feb to July, 2022'!J52</f>
        <v>0</v>
      </c>
      <c r="J850">
        <f>G850*Parameters!$B$2*Parameters!$B$5</f>
        <v>68.131199999999993</v>
      </c>
      <c r="K850">
        <f>H850*Parameters!$B$3*Parameters!$B$6</f>
        <v>0</v>
      </c>
      <c r="L850">
        <f>I850*Parameters!$B$4*Parameters!$B$7</f>
        <v>0</v>
      </c>
      <c r="M850">
        <f t="shared" si="13"/>
        <v>68.131199999999993</v>
      </c>
      <c r="N850">
        <v>3200</v>
      </c>
      <c r="O850">
        <v>0</v>
      </c>
      <c r="P850">
        <v>0</v>
      </c>
      <c r="Q850">
        <v>0</v>
      </c>
    </row>
    <row r="851" spans="1:17">
      <c r="A851" t="s">
        <v>75</v>
      </c>
      <c r="B851" t="s">
        <v>24</v>
      </c>
      <c r="C851">
        <v>4</v>
      </c>
      <c r="D851">
        <v>2022</v>
      </c>
      <c r="E851" s="49" t="s">
        <v>153</v>
      </c>
      <c r="F851" s="49" t="s">
        <v>163</v>
      </c>
      <c r="G851">
        <f>'Feb to July, 2022'!G53+'Feb to July, 2022'!H53</f>
        <v>30</v>
      </c>
      <c r="H851">
        <f>'Feb to July, 2022'!I53</f>
        <v>0</v>
      </c>
      <c r="I851">
        <f>'Feb to July, 2022'!J53</f>
        <v>10</v>
      </c>
      <c r="J851">
        <f>G851*Parameters!$B$2*Parameters!$B$5</f>
        <v>63.87299999999999</v>
      </c>
      <c r="K851">
        <f>H851*Parameters!$B$3*Parameters!$B$6</f>
        <v>0</v>
      </c>
      <c r="L851">
        <f>I851*Parameters!$B$4*Parameters!$B$7</f>
        <v>80.963999999999999</v>
      </c>
      <c r="M851">
        <f t="shared" si="13"/>
        <v>144.83699999999999</v>
      </c>
      <c r="N851">
        <v>3000</v>
      </c>
      <c r="O851">
        <v>0</v>
      </c>
      <c r="P851">
        <v>0</v>
      </c>
      <c r="Q851">
        <v>3000</v>
      </c>
    </row>
    <row r="852" spans="1:17">
      <c r="A852" t="s">
        <v>76</v>
      </c>
      <c r="B852" t="s">
        <v>56</v>
      </c>
      <c r="C852">
        <v>4</v>
      </c>
      <c r="D852">
        <v>2022</v>
      </c>
      <c r="E852" s="49" t="s">
        <v>153</v>
      </c>
      <c r="F852" s="49" t="s">
        <v>163</v>
      </c>
      <c r="G852">
        <f>'Feb to July, 2022'!G54+'Feb to July, 2022'!H54</f>
        <v>20</v>
      </c>
      <c r="H852">
        <f>'Feb to July, 2022'!I54</f>
        <v>0</v>
      </c>
      <c r="I852">
        <f>'Feb to July, 2022'!J54</f>
        <v>15</v>
      </c>
      <c r="J852">
        <f>G852*Parameters!$B$2*Parameters!$B$5</f>
        <v>42.581999999999994</v>
      </c>
      <c r="K852">
        <f>H852*Parameters!$B$3*Parameters!$B$6</f>
        <v>0</v>
      </c>
      <c r="L852">
        <f>I852*Parameters!$B$4*Parameters!$B$7</f>
        <v>121.44600000000001</v>
      </c>
      <c r="M852">
        <f t="shared" si="13"/>
        <v>164.02800000000002</v>
      </c>
      <c r="N852">
        <v>2000</v>
      </c>
      <c r="O852">
        <v>0</v>
      </c>
      <c r="P852">
        <v>0</v>
      </c>
      <c r="Q852">
        <v>4500</v>
      </c>
    </row>
    <row r="853" spans="1:17">
      <c r="A853" t="s">
        <v>77</v>
      </c>
      <c r="B853" t="s">
        <v>40</v>
      </c>
      <c r="C853">
        <v>12</v>
      </c>
      <c r="D853">
        <v>2022</v>
      </c>
      <c r="E853" s="49" t="s">
        <v>153</v>
      </c>
      <c r="F853" s="49" t="s">
        <v>163</v>
      </c>
      <c r="G853">
        <f>'Feb to July, 2022'!G55+'Feb to July, 2022'!H55</f>
        <v>38</v>
      </c>
      <c r="H853">
        <f>'Feb to July, 2022'!I55</f>
        <v>0</v>
      </c>
      <c r="I853">
        <f>'Feb to July, 2022'!J55</f>
        <v>15</v>
      </c>
      <c r="J853">
        <f>G853*Parameters!$B$2*Parameters!$B$5</f>
        <v>80.905799999999985</v>
      </c>
      <c r="K853">
        <f>H853*Parameters!$B$3*Parameters!$B$6</f>
        <v>0</v>
      </c>
      <c r="L853">
        <f>I853*Parameters!$B$4*Parameters!$B$7</f>
        <v>121.44600000000001</v>
      </c>
      <c r="M853">
        <f t="shared" si="13"/>
        <v>202.3518</v>
      </c>
      <c r="N853">
        <v>3800</v>
      </c>
      <c r="O853">
        <v>0</v>
      </c>
      <c r="P853">
        <v>0</v>
      </c>
      <c r="Q853">
        <v>4500</v>
      </c>
    </row>
    <row r="854" spans="1:17">
      <c r="A854" t="s">
        <v>78</v>
      </c>
      <c r="B854" t="s">
        <v>32</v>
      </c>
      <c r="C854">
        <v>6</v>
      </c>
      <c r="D854">
        <v>2022</v>
      </c>
      <c r="E854" s="49" t="s">
        <v>153</v>
      </c>
      <c r="F854" s="49" t="s">
        <v>163</v>
      </c>
      <c r="G854">
        <f>'Feb to July, 2022'!G56+'Feb to July, 2022'!H56</f>
        <v>25</v>
      </c>
      <c r="H854">
        <f>'Feb to July, 2022'!I56</f>
        <v>0</v>
      </c>
      <c r="I854">
        <f>'Feb to July, 2022'!J56</f>
        <v>8</v>
      </c>
      <c r="J854">
        <f>G854*Parameters!$B$2*Parameters!$B$5</f>
        <v>53.227499999999992</v>
      </c>
      <c r="K854">
        <f>H854*Parameters!$B$3*Parameters!$B$6</f>
        <v>0</v>
      </c>
      <c r="L854">
        <f>I854*Parameters!$B$4*Parameters!$B$7</f>
        <v>64.771200000000007</v>
      </c>
      <c r="M854">
        <f t="shared" si="13"/>
        <v>117.9987</v>
      </c>
      <c r="N854">
        <v>2500</v>
      </c>
      <c r="O854">
        <v>0</v>
      </c>
      <c r="P854">
        <v>0</v>
      </c>
      <c r="Q854">
        <v>2400</v>
      </c>
    </row>
    <row r="855" spans="1:17">
      <c r="A855" t="s">
        <v>79</v>
      </c>
      <c r="B855" t="s">
        <v>40</v>
      </c>
      <c r="C855">
        <v>4</v>
      </c>
      <c r="D855">
        <v>2022</v>
      </c>
      <c r="E855" s="49" t="s">
        <v>153</v>
      </c>
      <c r="F855" s="49" t="s">
        <v>163</v>
      </c>
      <c r="G855">
        <f>'Feb to July, 2022'!G57+'Feb to July, 2022'!H57</f>
        <v>41</v>
      </c>
      <c r="H855">
        <f>'Feb to July, 2022'!I57</f>
        <v>0</v>
      </c>
      <c r="I855">
        <f>'Feb to July, 2022'!J57</f>
        <v>10</v>
      </c>
      <c r="J855">
        <f>G855*Parameters!$B$2*Parameters!$B$5</f>
        <v>87.293099999999995</v>
      </c>
      <c r="K855">
        <f>H855*Parameters!$B$3*Parameters!$B$6</f>
        <v>0</v>
      </c>
      <c r="L855">
        <f>I855*Parameters!$B$4*Parameters!$B$7</f>
        <v>80.963999999999999</v>
      </c>
      <c r="M855">
        <f t="shared" si="13"/>
        <v>168.25709999999998</v>
      </c>
      <c r="N855">
        <v>4100</v>
      </c>
      <c r="O855">
        <v>0</v>
      </c>
      <c r="P855">
        <v>0</v>
      </c>
      <c r="Q855">
        <v>3000</v>
      </c>
    </row>
    <row r="856" spans="1:17">
      <c r="A856" t="s">
        <v>80</v>
      </c>
      <c r="B856" t="s">
        <v>26</v>
      </c>
      <c r="C856">
        <v>7</v>
      </c>
      <c r="D856">
        <v>2022</v>
      </c>
      <c r="E856" s="49" t="s">
        <v>153</v>
      </c>
      <c r="F856" s="49" t="s">
        <v>163</v>
      </c>
      <c r="G856">
        <f>'Feb to July, 2022'!G58+'Feb to July, 2022'!H58</f>
        <v>25</v>
      </c>
      <c r="H856">
        <f>'Feb to July, 2022'!I58</f>
        <v>0</v>
      </c>
      <c r="I856">
        <f>'Feb to July, 2022'!J58</f>
        <v>0</v>
      </c>
      <c r="J856">
        <f>G856*Parameters!$B$2*Parameters!$B$5</f>
        <v>53.227499999999992</v>
      </c>
      <c r="K856">
        <f>H856*Parameters!$B$3*Parameters!$B$6</f>
        <v>0</v>
      </c>
      <c r="L856">
        <f>I856*Parameters!$B$4*Parameters!$B$7</f>
        <v>0</v>
      </c>
      <c r="M856">
        <f t="shared" si="13"/>
        <v>53.227499999999992</v>
      </c>
      <c r="N856">
        <v>2500</v>
      </c>
      <c r="O856">
        <v>0</v>
      </c>
      <c r="P856">
        <v>0</v>
      </c>
      <c r="Q856">
        <v>0</v>
      </c>
    </row>
    <row r="857" spans="1:17">
      <c r="A857" t="s">
        <v>81</v>
      </c>
      <c r="B857" t="s">
        <v>24</v>
      </c>
      <c r="C857">
        <v>6</v>
      </c>
      <c r="D857">
        <v>2022</v>
      </c>
      <c r="E857" s="49" t="s">
        <v>153</v>
      </c>
      <c r="F857" s="49" t="s">
        <v>163</v>
      </c>
      <c r="G857">
        <f>'Feb to July, 2022'!G59+'Feb to July, 2022'!H59</f>
        <v>55</v>
      </c>
      <c r="H857">
        <f>'Feb to July, 2022'!I59</f>
        <v>0</v>
      </c>
      <c r="I857">
        <f>'Feb to July, 2022'!J59</f>
        <v>15</v>
      </c>
      <c r="J857">
        <f>G857*Parameters!$B$2*Parameters!$B$5</f>
        <v>117.10049999999998</v>
      </c>
      <c r="K857">
        <f>H857*Parameters!$B$3*Parameters!$B$6</f>
        <v>0</v>
      </c>
      <c r="L857">
        <f>I857*Parameters!$B$4*Parameters!$B$7</f>
        <v>121.44600000000001</v>
      </c>
      <c r="M857">
        <f t="shared" si="13"/>
        <v>238.54649999999998</v>
      </c>
      <c r="N857">
        <v>5500</v>
      </c>
      <c r="O857">
        <v>0</v>
      </c>
      <c r="P857">
        <v>0</v>
      </c>
      <c r="Q857">
        <v>4500</v>
      </c>
    </row>
    <row r="858" spans="1:17">
      <c r="A858" t="s">
        <v>82</v>
      </c>
      <c r="B858" t="s">
        <v>83</v>
      </c>
      <c r="C858">
        <v>4</v>
      </c>
      <c r="D858">
        <v>2022</v>
      </c>
      <c r="E858" s="49" t="s">
        <v>153</v>
      </c>
      <c r="F858" s="49" t="s">
        <v>163</v>
      </c>
      <c r="G858">
        <f>'Feb to July, 2022'!G60+'Feb to July, 2022'!H60</f>
        <v>28</v>
      </c>
      <c r="H858">
        <f>'Feb to July, 2022'!I60</f>
        <v>0</v>
      </c>
      <c r="I858">
        <f>'Feb to July, 2022'!J60</f>
        <v>10</v>
      </c>
      <c r="J858">
        <f>G858*Parameters!$B$2*Parameters!$B$5</f>
        <v>59.614799999999995</v>
      </c>
      <c r="K858">
        <f>H858*Parameters!$B$3*Parameters!$B$6</f>
        <v>0</v>
      </c>
      <c r="L858">
        <f>I858*Parameters!$B$4*Parameters!$B$7</f>
        <v>80.963999999999999</v>
      </c>
      <c r="M858">
        <f t="shared" si="13"/>
        <v>140.5788</v>
      </c>
      <c r="N858">
        <v>2800</v>
      </c>
      <c r="O858">
        <v>0</v>
      </c>
      <c r="P858">
        <v>0</v>
      </c>
      <c r="Q858">
        <v>3000</v>
      </c>
    </row>
    <row r="859" spans="1:17">
      <c r="A859" t="s">
        <v>84</v>
      </c>
      <c r="B859" t="s">
        <v>26</v>
      </c>
      <c r="C859">
        <v>7</v>
      </c>
      <c r="D859">
        <v>2022</v>
      </c>
      <c r="E859" s="49" t="s">
        <v>153</v>
      </c>
      <c r="F859" s="49" t="s">
        <v>163</v>
      </c>
      <c r="G859">
        <f>'Feb to July, 2022'!G61+'Feb to July, 2022'!H61</f>
        <v>60</v>
      </c>
      <c r="H859">
        <f>'Feb to July, 2022'!I61</f>
        <v>0</v>
      </c>
      <c r="I859">
        <f>'Feb to July, 2022'!J61</f>
        <v>15</v>
      </c>
      <c r="J859">
        <f>G859*Parameters!$B$2*Parameters!$B$5</f>
        <v>127.74599999999998</v>
      </c>
      <c r="K859">
        <f>H859*Parameters!$B$3*Parameters!$B$6</f>
        <v>0</v>
      </c>
      <c r="L859">
        <f>I859*Parameters!$B$4*Parameters!$B$7</f>
        <v>121.44600000000001</v>
      </c>
      <c r="M859">
        <f t="shared" si="13"/>
        <v>249.19200000000001</v>
      </c>
      <c r="N859">
        <v>6000</v>
      </c>
      <c r="O859">
        <v>0</v>
      </c>
      <c r="P859">
        <v>0</v>
      </c>
      <c r="Q859">
        <v>4500</v>
      </c>
    </row>
    <row r="860" spans="1:17">
      <c r="A860" t="s">
        <v>85</v>
      </c>
      <c r="B860" t="s">
        <v>24</v>
      </c>
      <c r="C860">
        <v>6</v>
      </c>
      <c r="D860">
        <v>2022</v>
      </c>
      <c r="E860" s="49" t="s">
        <v>153</v>
      </c>
      <c r="F860" s="49" t="s">
        <v>163</v>
      </c>
      <c r="G860">
        <f>'Feb to July, 2022'!G62+'Feb to July, 2022'!H62</f>
        <v>50</v>
      </c>
      <c r="H860">
        <f>'Feb to July, 2022'!I62</f>
        <v>0</v>
      </c>
      <c r="I860">
        <f>'Feb to July, 2022'!J62</f>
        <v>15</v>
      </c>
      <c r="J860">
        <f>G860*Parameters!$B$2*Parameters!$B$5</f>
        <v>106.45499999999998</v>
      </c>
      <c r="K860">
        <f>H860*Parameters!$B$3*Parameters!$B$6</f>
        <v>0</v>
      </c>
      <c r="L860">
        <f>I860*Parameters!$B$4*Parameters!$B$7</f>
        <v>121.44600000000001</v>
      </c>
      <c r="M860">
        <f t="shared" si="13"/>
        <v>227.90100000000001</v>
      </c>
      <c r="N860">
        <v>5000</v>
      </c>
      <c r="O860">
        <v>0</v>
      </c>
      <c r="P860">
        <v>0</v>
      </c>
      <c r="Q860">
        <v>4500</v>
      </c>
    </row>
    <row r="861" spans="1:17">
      <c r="A861" t="s">
        <v>86</v>
      </c>
      <c r="B861" t="s">
        <v>32</v>
      </c>
      <c r="C861">
        <v>4</v>
      </c>
      <c r="D861">
        <v>2022</v>
      </c>
      <c r="E861" s="49" t="s">
        <v>153</v>
      </c>
      <c r="F861" s="49" t="s">
        <v>163</v>
      </c>
      <c r="G861">
        <f>'Feb to July, 2022'!G63+'Feb to July, 2022'!H63</f>
        <v>20</v>
      </c>
      <c r="H861">
        <f>'Feb to July, 2022'!I63</f>
        <v>0</v>
      </c>
      <c r="I861">
        <f>'Feb to July, 2022'!J63</f>
        <v>10</v>
      </c>
      <c r="J861">
        <f>G861*Parameters!$B$2*Parameters!$B$5</f>
        <v>42.581999999999994</v>
      </c>
      <c r="K861">
        <f>H861*Parameters!$B$3*Parameters!$B$6</f>
        <v>0</v>
      </c>
      <c r="L861">
        <f>I861*Parameters!$B$4*Parameters!$B$7</f>
        <v>80.963999999999999</v>
      </c>
      <c r="M861">
        <f t="shared" si="13"/>
        <v>123.54599999999999</v>
      </c>
      <c r="N861">
        <v>2000</v>
      </c>
      <c r="O861">
        <v>0</v>
      </c>
      <c r="P861">
        <v>0</v>
      </c>
      <c r="Q861">
        <v>3000</v>
      </c>
    </row>
    <row r="862" spans="1:17">
      <c r="A862" t="s">
        <v>87</v>
      </c>
      <c r="B862" t="s">
        <v>32</v>
      </c>
      <c r="C862">
        <v>8</v>
      </c>
      <c r="D862">
        <v>2022</v>
      </c>
      <c r="E862" s="49" t="s">
        <v>153</v>
      </c>
      <c r="F862" s="49" t="s">
        <v>163</v>
      </c>
      <c r="G862">
        <f>'Feb to July, 2022'!G64+'Feb to July, 2022'!H64</f>
        <v>25</v>
      </c>
      <c r="H862">
        <f>'Feb to July, 2022'!I64</f>
        <v>0</v>
      </c>
      <c r="I862">
        <f>'Feb to July, 2022'!J64</f>
        <v>12.5</v>
      </c>
      <c r="J862">
        <f>G862*Parameters!$B$2*Parameters!$B$5</f>
        <v>53.227499999999992</v>
      </c>
      <c r="K862">
        <f>H862*Parameters!$B$3*Parameters!$B$6</f>
        <v>0</v>
      </c>
      <c r="L862">
        <f>I862*Parameters!$B$4*Parameters!$B$7</f>
        <v>101.20500000000001</v>
      </c>
      <c r="M862">
        <f t="shared" si="13"/>
        <v>154.4325</v>
      </c>
      <c r="N862">
        <v>2500</v>
      </c>
      <c r="O862">
        <v>0</v>
      </c>
      <c r="P862">
        <v>0</v>
      </c>
      <c r="Q862">
        <v>3750</v>
      </c>
    </row>
    <row r="863" spans="1:17">
      <c r="A863" t="s">
        <v>88</v>
      </c>
      <c r="B863" t="s">
        <v>32</v>
      </c>
      <c r="C863">
        <v>7</v>
      </c>
      <c r="D863">
        <v>2022</v>
      </c>
      <c r="E863" s="49" t="s">
        <v>153</v>
      </c>
      <c r="F863" s="49" t="s">
        <v>163</v>
      </c>
      <c r="G863">
        <f>'Feb to July, 2022'!G65+'Feb to July, 2022'!H65</f>
        <v>20</v>
      </c>
      <c r="H863">
        <f>'Feb to July, 2022'!I65</f>
        <v>0</v>
      </c>
      <c r="I863">
        <f>'Feb to July, 2022'!J65</f>
        <v>15</v>
      </c>
      <c r="J863">
        <f>G863*Parameters!$B$2*Parameters!$B$5</f>
        <v>42.581999999999994</v>
      </c>
      <c r="K863">
        <f>H863*Parameters!$B$3*Parameters!$B$6</f>
        <v>0</v>
      </c>
      <c r="L863">
        <f>I863*Parameters!$B$4*Parameters!$B$7</f>
        <v>121.44600000000001</v>
      </c>
      <c r="M863">
        <f t="shared" si="13"/>
        <v>164.02800000000002</v>
      </c>
      <c r="N863">
        <v>2000</v>
      </c>
      <c r="O863">
        <v>0</v>
      </c>
      <c r="P863">
        <v>0</v>
      </c>
      <c r="Q863">
        <v>4500</v>
      </c>
    </row>
    <row r="864" spans="1:17">
      <c r="A864" t="s">
        <v>89</v>
      </c>
      <c r="B864" t="s">
        <v>65</v>
      </c>
      <c r="C864">
        <v>8</v>
      </c>
      <c r="D864">
        <v>2022</v>
      </c>
      <c r="E864" s="49" t="s">
        <v>153</v>
      </c>
      <c r="F864" s="49" t="s">
        <v>163</v>
      </c>
      <c r="G864">
        <f>'Feb to July, 2022'!G66+'Feb to July, 2022'!H66</f>
        <v>25</v>
      </c>
      <c r="H864">
        <f>'Feb to July, 2022'!I66</f>
        <v>0</v>
      </c>
      <c r="I864">
        <f>'Feb to July, 2022'!J66</f>
        <v>9</v>
      </c>
      <c r="J864">
        <f>G864*Parameters!$B$2*Parameters!$B$5</f>
        <v>53.227499999999992</v>
      </c>
      <c r="K864">
        <f>H864*Parameters!$B$3*Parameters!$B$6</f>
        <v>0</v>
      </c>
      <c r="L864">
        <f>I864*Parameters!$B$4*Parameters!$B$7</f>
        <v>72.86760000000001</v>
      </c>
      <c r="M864">
        <f t="shared" si="13"/>
        <v>126.0951</v>
      </c>
      <c r="N864">
        <v>2500</v>
      </c>
      <c r="O864">
        <v>0</v>
      </c>
      <c r="P864">
        <v>0</v>
      </c>
      <c r="Q864">
        <v>2700</v>
      </c>
    </row>
    <row r="865" spans="1:17">
      <c r="A865" t="s">
        <v>90</v>
      </c>
      <c r="B865" t="s">
        <v>32</v>
      </c>
      <c r="C865">
        <v>6</v>
      </c>
      <c r="D865">
        <v>2022</v>
      </c>
      <c r="E865" s="49" t="s">
        <v>153</v>
      </c>
      <c r="F865" s="49" t="s">
        <v>163</v>
      </c>
      <c r="G865">
        <f>'Feb to July, 2022'!G67+'Feb to July, 2022'!H67</f>
        <v>36</v>
      </c>
      <c r="H865">
        <f>'Feb to July, 2022'!I67</f>
        <v>0</v>
      </c>
      <c r="I865">
        <f>'Feb to July, 2022'!J67</f>
        <v>10</v>
      </c>
      <c r="J865">
        <f>G865*Parameters!$B$2*Parameters!$B$5</f>
        <v>76.647599999999997</v>
      </c>
      <c r="K865">
        <f>H865*Parameters!$B$3*Parameters!$B$6</f>
        <v>0</v>
      </c>
      <c r="L865">
        <f>I865*Parameters!$B$4*Parameters!$B$7</f>
        <v>80.963999999999999</v>
      </c>
      <c r="M865">
        <f t="shared" si="13"/>
        <v>157.61160000000001</v>
      </c>
      <c r="N865">
        <v>3600</v>
      </c>
      <c r="O865">
        <v>0</v>
      </c>
      <c r="P865">
        <v>0</v>
      </c>
      <c r="Q865">
        <v>3000</v>
      </c>
    </row>
    <row r="866" spans="1:17">
      <c r="A866" t="s">
        <v>91</v>
      </c>
      <c r="B866" t="s">
        <v>24</v>
      </c>
      <c r="C866">
        <v>6</v>
      </c>
      <c r="D866">
        <v>2022</v>
      </c>
      <c r="E866" s="49" t="s">
        <v>153</v>
      </c>
      <c r="F866" s="49" t="s">
        <v>163</v>
      </c>
      <c r="G866">
        <f>'Feb to July, 2022'!G68+'Feb to July, 2022'!H68</f>
        <v>25</v>
      </c>
      <c r="H866">
        <f>'Feb to July, 2022'!I68</f>
        <v>0</v>
      </c>
      <c r="I866">
        <f>'Feb to July, 2022'!J68</f>
        <v>15</v>
      </c>
      <c r="J866">
        <f>G866*Parameters!$B$2*Parameters!$B$5</f>
        <v>53.227499999999992</v>
      </c>
      <c r="K866">
        <f>H866*Parameters!$B$3*Parameters!$B$6</f>
        <v>0</v>
      </c>
      <c r="L866">
        <f>I866*Parameters!$B$4*Parameters!$B$7</f>
        <v>121.44600000000001</v>
      </c>
      <c r="M866">
        <f t="shared" si="13"/>
        <v>174.67349999999999</v>
      </c>
      <c r="N866">
        <v>2500</v>
      </c>
      <c r="O866">
        <v>0</v>
      </c>
      <c r="P866">
        <v>0</v>
      </c>
      <c r="Q866">
        <v>4500</v>
      </c>
    </row>
    <row r="867" spans="1:17">
      <c r="A867" t="s">
        <v>92</v>
      </c>
      <c r="B867" t="s">
        <v>17</v>
      </c>
      <c r="C867">
        <v>4</v>
      </c>
      <c r="D867">
        <v>2022</v>
      </c>
      <c r="E867" s="49" t="s">
        <v>153</v>
      </c>
      <c r="F867" s="49" t="s">
        <v>163</v>
      </c>
      <c r="G867">
        <f>'Feb to July, 2022'!G69+'Feb to July, 2022'!H69</f>
        <v>0</v>
      </c>
      <c r="H867">
        <f>'Feb to July, 2022'!I69</f>
        <v>0</v>
      </c>
      <c r="I867">
        <f>'Feb to July, 2022'!J69</f>
        <v>0</v>
      </c>
      <c r="J867">
        <f>G867*Parameters!$B$2*Parameters!$B$5</f>
        <v>0</v>
      </c>
      <c r="K867">
        <f>H867*Parameters!$B$3*Parameters!$B$6</f>
        <v>0</v>
      </c>
      <c r="L867">
        <f>I867*Parameters!$B$4*Parameters!$B$7</f>
        <v>0</v>
      </c>
      <c r="M867">
        <f t="shared" si="13"/>
        <v>0</v>
      </c>
      <c r="N867">
        <v>0</v>
      </c>
      <c r="O867">
        <v>0</v>
      </c>
      <c r="P867">
        <v>0</v>
      </c>
      <c r="Q867">
        <v>0</v>
      </c>
    </row>
    <row r="868" spans="1:17">
      <c r="A868" t="s">
        <v>93</v>
      </c>
      <c r="B868" t="s">
        <v>19</v>
      </c>
      <c r="C868">
        <v>7</v>
      </c>
      <c r="D868">
        <v>2022</v>
      </c>
      <c r="E868" s="49" t="s">
        <v>153</v>
      </c>
      <c r="F868" s="49" t="s">
        <v>163</v>
      </c>
      <c r="G868">
        <f>'Feb to July, 2022'!G70+'Feb to July, 2022'!H70</f>
        <v>32</v>
      </c>
      <c r="H868">
        <f>'Feb to July, 2022'!I70</f>
        <v>0</v>
      </c>
      <c r="I868">
        <f>'Feb to July, 2022'!J70</f>
        <v>15</v>
      </c>
      <c r="J868">
        <f>G868*Parameters!$B$2*Parameters!$B$5</f>
        <v>68.131199999999993</v>
      </c>
      <c r="K868">
        <f>H868*Parameters!$B$3*Parameters!$B$6</f>
        <v>0</v>
      </c>
      <c r="L868">
        <f>I868*Parameters!$B$4*Parameters!$B$7</f>
        <v>121.44600000000001</v>
      </c>
      <c r="M868">
        <f t="shared" si="13"/>
        <v>189.5772</v>
      </c>
      <c r="N868">
        <v>3200</v>
      </c>
      <c r="O868">
        <v>0</v>
      </c>
      <c r="P868">
        <v>0</v>
      </c>
      <c r="Q868">
        <v>4500</v>
      </c>
    </row>
    <row r="869" spans="1:17">
      <c r="A869" t="s">
        <v>94</v>
      </c>
      <c r="B869" t="s">
        <v>19</v>
      </c>
      <c r="C869">
        <v>6</v>
      </c>
      <c r="D869">
        <v>2022</v>
      </c>
      <c r="E869" s="49" t="s">
        <v>153</v>
      </c>
      <c r="F869" s="49" t="s">
        <v>163</v>
      </c>
      <c r="G869">
        <f>'Feb to July, 2022'!G71+'Feb to July, 2022'!H71</f>
        <v>45</v>
      </c>
      <c r="H869">
        <f>'Feb to July, 2022'!I71</f>
        <v>0</v>
      </c>
      <c r="I869">
        <f>'Feb to July, 2022'!J71</f>
        <v>10</v>
      </c>
      <c r="J869">
        <f>G869*Parameters!$B$2*Parameters!$B$5</f>
        <v>95.809499999999986</v>
      </c>
      <c r="K869">
        <f>H869*Parameters!$B$3*Parameters!$B$6</f>
        <v>0</v>
      </c>
      <c r="L869">
        <f>I869*Parameters!$B$4*Parameters!$B$7</f>
        <v>80.963999999999999</v>
      </c>
      <c r="M869">
        <f t="shared" si="13"/>
        <v>176.77349999999998</v>
      </c>
      <c r="N869">
        <v>4500</v>
      </c>
      <c r="O869">
        <v>0</v>
      </c>
      <c r="P869">
        <v>0</v>
      </c>
      <c r="Q869">
        <v>3000</v>
      </c>
    </row>
    <row r="870" spans="1:17">
      <c r="A870" t="s">
        <v>95</v>
      </c>
      <c r="B870" t="s">
        <v>26</v>
      </c>
      <c r="C870">
        <v>8</v>
      </c>
      <c r="D870">
        <v>2022</v>
      </c>
      <c r="E870" s="49" t="s">
        <v>153</v>
      </c>
      <c r="F870" s="49" t="s">
        <v>163</v>
      </c>
      <c r="G870">
        <f>'Feb to July, 2022'!G72+'Feb to July, 2022'!H72</f>
        <v>40</v>
      </c>
      <c r="H870">
        <f>'Feb to July, 2022'!I72</f>
        <v>0</v>
      </c>
      <c r="I870">
        <f>'Feb to July, 2022'!J72</f>
        <v>15</v>
      </c>
      <c r="J870">
        <f>G870*Parameters!$B$2*Parameters!$B$5</f>
        <v>85.163999999999987</v>
      </c>
      <c r="K870">
        <f>H870*Parameters!$B$3*Parameters!$B$6</f>
        <v>0</v>
      </c>
      <c r="L870">
        <f>I870*Parameters!$B$4*Parameters!$B$7</f>
        <v>121.44600000000001</v>
      </c>
      <c r="M870">
        <f t="shared" si="13"/>
        <v>206.61</v>
      </c>
      <c r="N870">
        <v>4000</v>
      </c>
      <c r="O870">
        <v>0</v>
      </c>
      <c r="P870">
        <v>0</v>
      </c>
      <c r="Q870">
        <v>4500</v>
      </c>
    </row>
    <row r="871" spans="1:17">
      <c r="A871" t="s">
        <v>96</v>
      </c>
      <c r="B871" t="s">
        <v>19</v>
      </c>
      <c r="C871">
        <v>8</v>
      </c>
      <c r="D871">
        <v>2022</v>
      </c>
      <c r="E871" s="49" t="s">
        <v>153</v>
      </c>
      <c r="F871" s="49" t="s">
        <v>163</v>
      </c>
      <c r="G871">
        <f>'Feb to July, 2022'!G73+'Feb to July, 2022'!H73</f>
        <v>22</v>
      </c>
      <c r="H871">
        <f>'Feb to July, 2022'!I73</f>
        <v>0</v>
      </c>
      <c r="I871">
        <f>'Feb to July, 2022'!J73</f>
        <v>10</v>
      </c>
      <c r="J871">
        <f>G871*Parameters!$B$2*Parameters!$B$5</f>
        <v>46.840199999999996</v>
      </c>
      <c r="K871">
        <f>H871*Parameters!$B$3*Parameters!$B$6</f>
        <v>0</v>
      </c>
      <c r="L871">
        <f>I871*Parameters!$B$4*Parameters!$B$7</f>
        <v>80.963999999999999</v>
      </c>
      <c r="M871">
        <f t="shared" si="13"/>
        <v>127.80419999999999</v>
      </c>
      <c r="N871">
        <v>2200</v>
      </c>
      <c r="O871">
        <v>0</v>
      </c>
      <c r="P871">
        <v>0</v>
      </c>
      <c r="Q871">
        <v>3000</v>
      </c>
    </row>
    <row r="872" spans="1:17">
      <c r="A872" t="s">
        <v>97</v>
      </c>
      <c r="B872" t="s">
        <v>17</v>
      </c>
      <c r="C872">
        <v>4</v>
      </c>
      <c r="D872">
        <v>2022</v>
      </c>
      <c r="E872" s="49" t="s">
        <v>153</v>
      </c>
      <c r="F872" s="49" t="s">
        <v>163</v>
      </c>
      <c r="G872">
        <f>'Feb to July, 2022'!G74+'Feb to July, 2022'!H74</f>
        <v>30</v>
      </c>
      <c r="H872">
        <f>'Feb to July, 2022'!I74</f>
        <v>0</v>
      </c>
      <c r="I872">
        <f>'Feb to July, 2022'!J74</f>
        <v>10</v>
      </c>
      <c r="J872">
        <f>G872*Parameters!$B$2*Parameters!$B$5</f>
        <v>63.87299999999999</v>
      </c>
      <c r="K872">
        <f>H872*Parameters!$B$3*Parameters!$B$6</f>
        <v>0</v>
      </c>
      <c r="L872">
        <f>I872*Parameters!$B$4*Parameters!$B$7</f>
        <v>80.963999999999999</v>
      </c>
      <c r="M872">
        <f t="shared" si="13"/>
        <v>144.83699999999999</v>
      </c>
      <c r="N872">
        <v>3000</v>
      </c>
      <c r="O872">
        <v>0</v>
      </c>
      <c r="P872">
        <v>0</v>
      </c>
      <c r="Q872">
        <v>3000</v>
      </c>
    </row>
    <row r="873" spans="1:17">
      <c r="A873" t="s">
        <v>98</v>
      </c>
      <c r="B873" t="s">
        <v>65</v>
      </c>
      <c r="C873">
        <v>5</v>
      </c>
      <c r="D873">
        <v>2022</v>
      </c>
      <c r="E873" s="49" t="s">
        <v>153</v>
      </c>
      <c r="F873" s="49" t="s">
        <v>163</v>
      </c>
      <c r="G873">
        <f>'Feb to July, 2022'!G75+'Feb to July, 2022'!H75</f>
        <v>23</v>
      </c>
      <c r="H873">
        <f>'Feb to July, 2022'!I75</f>
        <v>0</v>
      </c>
      <c r="I873">
        <f>'Feb to July, 2022'!J75</f>
        <v>25</v>
      </c>
      <c r="J873">
        <f>G873*Parameters!$B$2*Parameters!$B$5</f>
        <v>48.969299999999997</v>
      </c>
      <c r="K873">
        <f>H873*Parameters!$B$3*Parameters!$B$6</f>
        <v>0</v>
      </c>
      <c r="L873">
        <f>I873*Parameters!$B$4*Parameters!$B$7</f>
        <v>202.41000000000003</v>
      </c>
      <c r="M873">
        <f t="shared" si="13"/>
        <v>251.37930000000003</v>
      </c>
      <c r="N873">
        <v>2300</v>
      </c>
      <c r="O873">
        <v>0</v>
      </c>
      <c r="P873">
        <v>0</v>
      </c>
      <c r="Q873">
        <v>7500</v>
      </c>
    </row>
    <row r="874" spans="1:17">
      <c r="A874" t="s">
        <v>99</v>
      </c>
      <c r="B874" t="s">
        <v>32</v>
      </c>
      <c r="C874">
        <v>9</v>
      </c>
      <c r="D874">
        <v>2022</v>
      </c>
      <c r="E874" s="49" t="s">
        <v>153</v>
      </c>
      <c r="F874" s="49" t="s">
        <v>163</v>
      </c>
      <c r="G874">
        <f>'Feb to July, 2022'!G76+'Feb to July, 2022'!H76</f>
        <v>55</v>
      </c>
      <c r="H874">
        <f>'Feb to July, 2022'!I76</f>
        <v>0</v>
      </c>
      <c r="I874">
        <f>'Feb to July, 2022'!J76</f>
        <v>10</v>
      </c>
      <c r="J874">
        <f>G874*Parameters!$B$2*Parameters!$B$5</f>
        <v>117.10049999999998</v>
      </c>
      <c r="K874">
        <f>H874*Parameters!$B$3*Parameters!$B$6</f>
        <v>0</v>
      </c>
      <c r="L874">
        <f>I874*Parameters!$B$4*Parameters!$B$7</f>
        <v>80.963999999999999</v>
      </c>
      <c r="M874">
        <f t="shared" si="13"/>
        <v>198.06449999999998</v>
      </c>
      <c r="N874">
        <v>5500</v>
      </c>
      <c r="O874">
        <v>0</v>
      </c>
      <c r="P874">
        <v>0</v>
      </c>
      <c r="Q874">
        <v>3000</v>
      </c>
    </row>
    <row r="875" spans="1:17">
      <c r="A875" t="s">
        <v>100</v>
      </c>
      <c r="B875" t="s">
        <v>40</v>
      </c>
      <c r="C875">
        <v>8</v>
      </c>
      <c r="D875">
        <v>2022</v>
      </c>
      <c r="E875" s="49" t="s">
        <v>153</v>
      </c>
      <c r="F875" s="49" t="s">
        <v>163</v>
      </c>
      <c r="G875">
        <f>'Feb to July, 2022'!G77+'Feb to July, 2022'!H77</f>
        <v>32</v>
      </c>
      <c r="H875">
        <f>'Feb to July, 2022'!I77</f>
        <v>0</v>
      </c>
      <c r="I875">
        <f>'Feb to July, 2022'!J77</f>
        <v>10</v>
      </c>
      <c r="J875">
        <f>G875*Parameters!$B$2*Parameters!$B$5</f>
        <v>68.131199999999993</v>
      </c>
      <c r="K875">
        <f>H875*Parameters!$B$3*Parameters!$B$6</f>
        <v>0</v>
      </c>
      <c r="L875">
        <f>I875*Parameters!$B$4*Parameters!$B$7</f>
        <v>80.963999999999999</v>
      </c>
      <c r="M875">
        <f t="shared" si="13"/>
        <v>149.09519999999998</v>
      </c>
      <c r="N875">
        <v>3200</v>
      </c>
      <c r="O875">
        <v>0</v>
      </c>
      <c r="P875">
        <v>0</v>
      </c>
      <c r="Q875">
        <v>3000</v>
      </c>
    </row>
    <row r="876" spans="1:17">
      <c r="A876" t="s">
        <v>101</v>
      </c>
      <c r="B876" t="s">
        <v>38</v>
      </c>
      <c r="C876">
        <v>5</v>
      </c>
      <c r="D876">
        <v>2022</v>
      </c>
      <c r="E876" s="49" t="s">
        <v>153</v>
      </c>
      <c r="F876" s="49" t="s">
        <v>163</v>
      </c>
      <c r="G876">
        <f>'Feb to July, 2022'!G78+'Feb to July, 2022'!H78</f>
        <v>20</v>
      </c>
      <c r="H876">
        <f>'Feb to July, 2022'!I78</f>
        <v>0</v>
      </c>
      <c r="I876">
        <f>'Feb to July, 2022'!J78</f>
        <v>0</v>
      </c>
      <c r="J876">
        <f>G876*Parameters!$B$2*Parameters!$B$5</f>
        <v>42.581999999999994</v>
      </c>
      <c r="K876">
        <f>H876*Parameters!$B$3*Parameters!$B$6</f>
        <v>0</v>
      </c>
      <c r="L876">
        <f>I876*Parameters!$B$4*Parameters!$B$7</f>
        <v>0</v>
      </c>
      <c r="M876">
        <f t="shared" si="13"/>
        <v>42.581999999999994</v>
      </c>
      <c r="N876">
        <v>2000</v>
      </c>
      <c r="O876">
        <v>0</v>
      </c>
      <c r="P876">
        <v>0</v>
      </c>
      <c r="Q876">
        <v>0</v>
      </c>
    </row>
    <row r="877" spans="1:17">
      <c r="A877" t="s">
        <v>102</v>
      </c>
      <c r="B877" t="s">
        <v>17</v>
      </c>
      <c r="C877">
        <v>4</v>
      </c>
      <c r="D877">
        <v>2022</v>
      </c>
      <c r="E877" s="49" t="s">
        <v>153</v>
      </c>
      <c r="F877" s="49" t="s">
        <v>163</v>
      </c>
      <c r="G877">
        <f>'Feb to July, 2022'!G79+'Feb to July, 2022'!H79</f>
        <v>30</v>
      </c>
      <c r="H877">
        <f>'Feb to July, 2022'!I79</f>
        <v>0</v>
      </c>
      <c r="I877">
        <f>'Feb to July, 2022'!J79</f>
        <v>15</v>
      </c>
      <c r="J877">
        <f>G877*Parameters!$B$2*Parameters!$B$5</f>
        <v>63.87299999999999</v>
      </c>
      <c r="K877">
        <f>H877*Parameters!$B$3*Parameters!$B$6</f>
        <v>0</v>
      </c>
      <c r="L877">
        <f>I877*Parameters!$B$4*Parameters!$B$7</f>
        <v>121.44600000000001</v>
      </c>
      <c r="M877">
        <f t="shared" si="13"/>
        <v>185.31900000000002</v>
      </c>
      <c r="N877">
        <v>3000</v>
      </c>
      <c r="O877">
        <v>0</v>
      </c>
      <c r="P877">
        <v>0</v>
      </c>
      <c r="Q877">
        <v>4500</v>
      </c>
    </row>
    <row r="878" spans="1:17">
      <c r="A878" t="s">
        <v>103</v>
      </c>
      <c r="B878" t="s">
        <v>26</v>
      </c>
      <c r="C878">
        <v>6</v>
      </c>
      <c r="D878">
        <v>2022</v>
      </c>
      <c r="E878" s="49" t="s">
        <v>153</v>
      </c>
      <c r="F878" s="49" t="s">
        <v>163</v>
      </c>
      <c r="G878">
        <f>'Feb to July, 2022'!G80+'Feb to July, 2022'!H80</f>
        <v>30</v>
      </c>
      <c r="H878">
        <f>'Feb to July, 2022'!I80</f>
        <v>0</v>
      </c>
      <c r="I878">
        <f>'Feb to July, 2022'!J80</f>
        <v>15</v>
      </c>
      <c r="J878">
        <f>G878*Parameters!$B$2*Parameters!$B$5</f>
        <v>63.87299999999999</v>
      </c>
      <c r="K878">
        <f>H878*Parameters!$B$3*Parameters!$B$6</f>
        <v>0</v>
      </c>
      <c r="L878">
        <f>I878*Parameters!$B$4*Parameters!$B$7</f>
        <v>121.44600000000001</v>
      </c>
      <c r="M878">
        <f t="shared" si="13"/>
        <v>185.31900000000002</v>
      </c>
      <c r="N878">
        <v>3000</v>
      </c>
      <c r="O878">
        <v>0</v>
      </c>
      <c r="P878">
        <v>0</v>
      </c>
      <c r="Q878">
        <v>4500</v>
      </c>
    </row>
    <row r="879" spans="1:17">
      <c r="A879" t="s">
        <v>104</v>
      </c>
      <c r="B879" t="s">
        <v>26</v>
      </c>
      <c r="C879">
        <v>7</v>
      </c>
      <c r="D879">
        <v>2022</v>
      </c>
      <c r="E879" s="49" t="s">
        <v>153</v>
      </c>
      <c r="F879" s="49" t="s">
        <v>163</v>
      </c>
      <c r="G879">
        <f>'Feb to July, 2022'!G81+'Feb to July, 2022'!H81</f>
        <v>32</v>
      </c>
      <c r="H879">
        <f>'Feb to July, 2022'!I81</f>
        <v>0</v>
      </c>
      <c r="I879">
        <f>'Feb to July, 2022'!J81</f>
        <v>5</v>
      </c>
      <c r="J879">
        <f>G879*Parameters!$B$2*Parameters!$B$5</f>
        <v>68.131199999999993</v>
      </c>
      <c r="K879">
        <f>H879*Parameters!$B$3*Parameters!$B$6</f>
        <v>0</v>
      </c>
      <c r="L879">
        <f>I879*Parameters!$B$4*Parameters!$B$7</f>
        <v>40.481999999999999</v>
      </c>
      <c r="M879">
        <f t="shared" si="13"/>
        <v>108.61319999999999</v>
      </c>
      <c r="N879">
        <v>3200</v>
      </c>
      <c r="O879">
        <v>0</v>
      </c>
      <c r="P879">
        <v>0</v>
      </c>
      <c r="Q879">
        <v>1500</v>
      </c>
    </row>
    <row r="880" spans="1:17">
      <c r="A880" t="s">
        <v>105</v>
      </c>
      <c r="B880" t="s">
        <v>21</v>
      </c>
      <c r="C880">
        <v>5</v>
      </c>
      <c r="D880">
        <v>2022</v>
      </c>
      <c r="E880" s="49" t="s">
        <v>153</v>
      </c>
      <c r="F880" s="49" t="s">
        <v>163</v>
      </c>
      <c r="G880">
        <f>'Feb to July, 2022'!G82+'Feb to July, 2022'!H82</f>
        <v>33</v>
      </c>
      <c r="H880">
        <f>'Feb to July, 2022'!I82</f>
        <v>0</v>
      </c>
      <c r="I880">
        <f>'Feb to July, 2022'!J82</f>
        <v>20</v>
      </c>
      <c r="J880">
        <f>G880*Parameters!$B$2*Parameters!$B$5</f>
        <v>70.260300000000001</v>
      </c>
      <c r="K880">
        <f>H880*Parameters!$B$3*Parameters!$B$6</f>
        <v>0</v>
      </c>
      <c r="L880">
        <f>I880*Parameters!$B$4*Parameters!$B$7</f>
        <v>161.928</v>
      </c>
      <c r="M880">
        <f t="shared" si="13"/>
        <v>232.1883</v>
      </c>
      <c r="N880">
        <v>3300</v>
      </c>
      <c r="O880">
        <v>0</v>
      </c>
      <c r="P880">
        <v>0</v>
      </c>
      <c r="Q880">
        <v>6000</v>
      </c>
    </row>
    <row r="881" spans="1:17">
      <c r="A881" t="s">
        <v>106</v>
      </c>
      <c r="B881" t="s">
        <v>24</v>
      </c>
      <c r="C881">
        <v>6</v>
      </c>
      <c r="D881">
        <v>2022</v>
      </c>
      <c r="E881" s="49" t="s">
        <v>153</v>
      </c>
      <c r="F881" s="49" t="s">
        <v>163</v>
      </c>
      <c r="G881">
        <f>'Feb to July, 2022'!G83+'Feb to July, 2022'!H83</f>
        <v>28</v>
      </c>
      <c r="H881">
        <f>'Feb to July, 2022'!I83</f>
        <v>0</v>
      </c>
      <c r="I881">
        <f>'Feb to July, 2022'!J83</f>
        <v>10</v>
      </c>
      <c r="J881">
        <f>G881*Parameters!$B$2*Parameters!$B$5</f>
        <v>59.614799999999995</v>
      </c>
      <c r="K881">
        <f>H881*Parameters!$B$3*Parameters!$B$6</f>
        <v>0</v>
      </c>
      <c r="L881">
        <f>I881*Parameters!$B$4*Parameters!$B$7</f>
        <v>80.963999999999999</v>
      </c>
      <c r="M881">
        <f t="shared" si="13"/>
        <v>140.5788</v>
      </c>
      <c r="N881">
        <v>2800</v>
      </c>
      <c r="O881">
        <v>0</v>
      </c>
      <c r="P881">
        <v>0</v>
      </c>
      <c r="Q881">
        <v>3000</v>
      </c>
    </row>
    <row r="882" spans="1:17">
      <c r="A882" t="s">
        <v>107</v>
      </c>
      <c r="B882" t="s">
        <v>21</v>
      </c>
      <c r="C882">
        <v>4</v>
      </c>
      <c r="D882">
        <v>2022</v>
      </c>
      <c r="E882" s="49" t="s">
        <v>153</v>
      </c>
      <c r="F882" s="49" t="s">
        <v>163</v>
      </c>
      <c r="G882">
        <f>'Feb to July, 2022'!G84+'Feb to July, 2022'!H84</f>
        <v>20</v>
      </c>
      <c r="H882">
        <f>'Feb to July, 2022'!I84</f>
        <v>0</v>
      </c>
      <c r="I882">
        <f>'Feb to July, 2022'!J84</f>
        <v>10</v>
      </c>
      <c r="J882">
        <f>G882*Parameters!$B$2*Parameters!$B$5</f>
        <v>42.581999999999994</v>
      </c>
      <c r="K882">
        <f>H882*Parameters!$B$3*Parameters!$B$6</f>
        <v>0</v>
      </c>
      <c r="L882">
        <f>I882*Parameters!$B$4*Parameters!$B$7</f>
        <v>80.963999999999999</v>
      </c>
      <c r="M882">
        <f t="shared" si="13"/>
        <v>123.54599999999999</v>
      </c>
      <c r="N882">
        <v>2000</v>
      </c>
      <c r="O882">
        <v>0</v>
      </c>
      <c r="P882">
        <v>0</v>
      </c>
      <c r="Q882">
        <v>3000</v>
      </c>
    </row>
    <row r="883" spans="1:17">
      <c r="A883" t="s">
        <v>108</v>
      </c>
      <c r="B883" t="s">
        <v>24</v>
      </c>
      <c r="C883">
        <v>5</v>
      </c>
      <c r="D883">
        <v>2022</v>
      </c>
      <c r="E883" s="49" t="s">
        <v>153</v>
      </c>
      <c r="F883" s="49" t="s">
        <v>163</v>
      </c>
      <c r="G883">
        <f>'Feb to July, 2022'!G85+'Feb to July, 2022'!H85</f>
        <v>25</v>
      </c>
      <c r="H883">
        <f>'Feb to July, 2022'!I85</f>
        <v>0</v>
      </c>
      <c r="I883">
        <f>'Feb to July, 2022'!J85</f>
        <v>15</v>
      </c>
      <c r="J883">
        <f>G883*Parameters!$B$2*Parameters!$B$5</f>
        <v>53.227499999999992</v>
      </c>
      <c r="K883">
        <f>H883*Parameters!$B$3*Parameters!$B$6</f>
        <v>0</v>
      </c>
      <c r="L883">
        <f>I883*Parameters!$B$4*Parameters!$B$7</f>
        <v>121.44600000000001</v>
      </c>
      <c r="M883">
        <f t="shared" si="13"/>
        <v>174.67349999999999</v>
      </c>
      <c r="N883">
        <v>2500</v>
      </c>
      <c r="O883">
        <v>0</v>
      </c>
      <c r="P883">
        <v>0</v>
      </c>
      <c r="Q883">
        <v>4500</v>
      </c>
    </row>
    <row r="884" spans="1:17">
      <c r="A884" t="s">
        <v>109</v>
      </c>
      <c r="B884" t="s">
        <v>32</v>
      </c>
      <c r="C884">
        <v>6</v>
      </c>
      <c r="D884">
        <v>2022</v>
      </c>
      <c r="E884" s="49" t="s">
        <v>153</v>
      </c>
      <c r="F884" s="49" t="s">
        <v>163</v>
      </c>
      <c r="G884">
        <f>'Feb to July, 2022'!G86+'Feb to July, 2022'!H86</f>
        <v>25</v>
      </c>
      <c r="H884">
        <f>'Feb to July, 2022'!I86</f>
        <v>0</v>
      </c>
      <c r="I884">
        <f>'Feb to July, 2022'!J86</f>
        <v>25</v>
      </c>
      <c r="J884">
        <f>G884*Parameters!$B$2*Parameters!$B$5</f>
        <v>53.227499999999992</v>
      </c>
      <c r="K884">
        <f>H884*Parameters!$B$3*Parameters!$B$6</f>
        <v>0</v>
      </c>
      <c r="L884">
        <f>I884*Parameters!$B$4*Parameters!$B$7</f>
        <v>202.41000000000003</v>
      </c>
      <c r="M884">
        <f t="shared" si="13"/>
        <v>255.63750000000002</v>
      </c>
      <c r="N884">
        <v>2500</v>
      </c>
      <c r="O884">
        <v>0</v>
      </c>
      <c r="P884">
        <v>0</v>
      </c>
      <c r="Q884">
        <v>7500</v>
      </c>
    </row>
    <row r="885" spans="1:17">
      <c r="A885" t="s">
        <v>110</v>
      </c>
      <c r="B885" t="s">
        <v>21</v>
      </c>
      <c r="C885">
        <v>3</v>
      </c>
      <c r="D885">
        <v>2022</v>
      </c>
      <c r="E885" s="49" t="s">
        <v>153</v>
      </c>
      <c r="F885" s="49" t="s">
        <v>163</v>
      </c>
      <c r="G885">
        <f>'Feb to July, 2022'!G87+'Feb to July, 2022'!H87</f>
        <v>20</v>
      </c>
      <c r="H885">
        <f>'Feb to July, 2022'!I87</f>
        <v>0</v>
      </c>
      <c r="I885">
        <f>'Feb to July, 2022'!J87</f>
        <v>10</v>
      </c>
      <c r="J885">
        <f>G885*Parameters!$B$2*Parameters!$B$5</f>
        <v>42.581999999999994</v>
      </c>
      <c r="K885">
        <f>H885*Parameters!$B$3*Parameters!$B$6</f>
        <v>0</v>
      </c>
      <c r="L885">
        <f>I885*Parameters!$B$4*Parameters!$B$7</f>
        <v>80.963999999999999</v>
      </c>
      <c r="M885">
        <f t="shared" si="13"/>
        <v>123.54599999999999</v>
      </c>
      <c r="N885">
        <v>2000</v>
      </c>
      <c r="O885">
        <v>0</v>
      </c>
      <c r="P885">
        <v>0</v>
      </c>
      <c r="Q885">
        <v>3000</v>
      </c>
    </row>
    <row r="886" spans="1:17">
      <c r="A886" t="s">
        <v>111</v>
      </c>
      <c r="B886" t="s">
        <v>26</v>
      </c>
      <c r="C886">
        <v>6</v>
      </c>
      <c r="D886">
        <v>2022</v>
      </c>
      <c r="E886" s="49" t="s">
        <v>153</v>
      </c>
      <c r="F886" s="49" t="s">
        <v>163</v>
      </c>
      <c r="G886">
        <f>'Feb to July, 2022'!G88+'Feb to July, 2022'!H88</f>
        <v>40</v>
      </c>
      <c r="H886">
        <f>'Feb to July, 2022'!I88</f>
        <v>0</v>
      </c>
      <c r="I886">
        <f>'Feb to July, 2022'!J88</f>
        <v>10</v>
      </c>
      <c r="J886">
        <f>G886*Parameters!$B$2*Parameters!$B$5</f>
        <v>85.163999999999987</v>
      </c>
      <c r="K886">
        <f>H886*Parameters!$B$3*Parameters!$B$6</f>
        <v>0</v>
      </c>
      <c r="L886">
        <f>I886*Parameters!$B$4*Parameters!$B$7</f>
        <v>80.963999999999999</v>
      </c>
      <c r="M886">
        <f t="shared" si="13"/>
        <v>166.12799999999999</v>
      </c>
      <c r="N886">
        <v>4000</v>
      </c>
      <c r="O886">
        <v>0</v>
      </c>
      <c r="P886">
        <v>0</v>
      </c>
      <c r="Q886">
        <v>3000</v>
      </c>
    </row>
    <row r="887" spans="1:17">
      <c r="A887" t="s">
        <v>112</v>
      </c>
      <c r="B887" t="s">
        <v>19</v>
      </c>
      <c r="C887">
        <v>7</v>
      </c>
      <c r="D887">
        <v>2022</v>
      </c>
      <c r="E887" s="49" t="s">
        <v>153</v>
      </c>
      <c r="F887" s="49" t="s">
        <v>163</v>
      </c>
      <c r="G887">
        <f>'Feb to July, 2022'!G89+'Feb to July, 2022'!H89</f>
        <v>0</v>
      </c>
      <c r="H887">
        <f>'Feb to July, 2022'!I89</f>
        <v>0</v>
      </c>
      <c r="I887">
        <f>'Feb to July, 2022'!J89</f>
        <v>5</v>
      </c>
      <c r="J887">
        <f>G887*Parameters!$B$2*Parameters!$B$5</f>
        <v>0</v>
      </c>
      <c r="K887">
        <f>H887*Parameters!$B$3*Parameters!$B$6</f>
        <v>0</v>
      </c>
      <c r="L887">
        <f>I887*Parameters!$B$4*Parameters!$B$7</f>
        <v>40.481999999999999</v>
      </c>
      <c r="M887">
        <f t="shared" si="13"/>
        <v>40.481999999999999</v>
      </c>
      <c r="N887">
        <v>0</v>
      </c>
      <c r="O887">
        <v>0</v>
      </c>
      <c r="P887">
        <v>0</v>
      </c>
      <c r="Q887">
        <v>1500</v>
      </c>
    </row>
    <row r="888" spans="1:17">
      <c r="A888" t="s">
        <v>113</v>
      </c>
      <c r="B888" t="s">
        <v>26</v>
      </c>
      <c r="C888">
        <v>4</v>
      </c>
      <c r="D888">
        <v>2022</v>
      </c>
      <c r="E888" s="49" t="s">
        <v>153</v>
      </c>
      <c r="F888" s="49" t="s">
        <v>163</v>
      </c>
      <c r="G888">
        <f>'Feb to July, 2022'!G90+'Feb to July, 2022'!H90</f>
        <v>45</v>
      </c>
      <c r="H888">
        <f>'Feb to July, 2022'!I90</f>
        <v>0</v>
      </c>
      <c r="I888">
        <f>'Feb to July, 2022'!J90</f>
        <v>10</v>
      </c>
      <c r="J888">
        <f>G888*Parameters!$B$2*Parameters!$B$5</f>
        <v>95.809499999999986</v>
      </c>
      <c r="K888">
        <f>H888*Parameters!$B$3*Parameters!$B$6</f>
        <v>0</v>
      </c>
      <c r="L888">
        <f>I888*Parameters!$B$4*Parameters!$B$7</f>
        <v>80.963999999999999</v>
      </c>
      <c r="M888">
        <f t="shared" si="13"/>
        <v>176.77349999999998</v>
      </c>
      <c r="N888">
        <v>4500</v>
      </c>
      <c r="O888">
        <v>0</v>
      </c>
      <c r="P888">
        <v>0</v>
      </c>
      <c r="Q888">
        <v>3000</v>
      </c>
    </row>
    <row r="889" spans="1:17">
      <c r="A889" t="s">
        <v>114</v>
      </c>
      <c r="B889" t="s">
        <v>65</v>
      </c>
      <c r="C889">
        <v>8</v>
      </c>
      <c r="D889">
        <v>2022</v>
      </c>
      <c r="E889" s="49" t="s">
        <v>153</v>
      </c>
      <c r="F889" s="49" t="s">
        <v>163</v>
      </c>
      <c r="G889">
        <f>'Feb to July, 2022'!G91+'Feb to July, 2022'!H91</f>
        <v>50</v>
      </c>
      <c r="H889">
        <f>'Feb to July, 2022'!I91</f>
        <v>0</v>
      </c>
      <c r="I889">
        <f>'Feb to July, 2022'!J91</f>
        <v>17.5</v>
      </c>
      <c r="J889">
        <f>G889*Parameters!$B$2*Parameters!$B$5</f>
        <v>106.45499999999998</v>
      </c>
      <c r="K889">
        <f>H889*Parameters!$B$3*Parameters!$B$6</f>
        <v>0</v>
      </c>
      <c r="L889">
        <f>I889*Parameters!$B$4*Parameters!$B$7</f>
        <v>141.68700000000001</v>
      </c>
      <c r="M889">
        <f t="shared" si="13"/>
        <v>248.142</v>
      </c>
      <c r="N889">
        <v>5000</v>
      </c>
      <c r="O889">
        <v>0</v>
      </c>
      <c r="P889">
        <v>0</v>
      </c>
      <c r="Q889">
        <v>5250</v>
      </c>
    </row>
    <row r="890" spans="1:17">
      <c r="A890" t="s">
        <v>115</v>
      </c>
      <c r="B890" t="s">
        <v>19</v>
      </c>
      <c r="C890">
        <v>8</v>
      </c>
      <c r="D890">
        <v>2022</v>
      </c>
      <c r="E890" s="49" t="s">
        <v>153</v>
      </c>
      <c r="F890" s="49" t="s">
        <v>163</v>
      </c>
      <c r="G890">
        <f>'Feb to July, 2022'!G92+'Feb to July, 2022'!H92</f>
        <v>50</v>
      </c>
      <c r="H890">
        <f>'Feb to July, 2022'!I92</f>
        <v>0</v>
      </c>
      <c r="I890">
        <f>'Feb to July, 2022'!J92</f>
        <v>10</v>
      </c>
      <c r="J890">
        <f>G890*Parameters!$B$2*Parameters!$B$5</f>
        <v>106.45499999999998</v>
      </c>
      <c r="K890">
        <f>H890*Parameters!$B$3*Parameters!$B$6</f>
        <v>0</v>
      </c>
      <c r="L890">
        <f>I890*Parameters!$B$4*Parameters!$B$7</f>
        <v>80.963999999999999</v>
      </c>
      <c r="M890">
        <f t="shared" si="13"/>
        <v>187.41899999999998</v>
      </c>
      <c r="N890">
        <v>5000</v>
      </c>
      <c r="O890">
        <v>0</v>
      </c>
      <c r="P890">
        <v>0</v>
      </c>
      <c r="Q890">
        <v>3000</v>
      </c>
    </row>
    <row r="891" spans="1:17">
      <c r="A891" t="s">
        <v>116</v>
      </c>
      <c r="B891" t="s">
        <v>21</v>
      </c>
      <c r="C891">
        <v>4</v>
      </c>
      <c r="D891">
        <v>2022</v>
      </c>
      <c r="E891" s="49" t="s">
        <v>153</v>
      </c>
      <c r="F891" s="49" t="s">
        <v>163</v>
      </c>
      <c r="G891">
        <f>'Feb to July, 2022'!G93+'Feb to July, 2022'!H93</f>
        <v>30</v>
      </c>
      <c r="H891">
        <f>'Feb to July, 2022'!I93</f>
        <v>0</v>
      </c>
      <c r="I891">
        <f>'Feb to July, 2022'!J93</f>
        <v>22.5</v>
      </c>
      <c r="J891">
        <f>G891*Parameters!$B$2*Parameters!$B$5</f>
        <v>63.87299999999999</v>
      </c>
      <c r="K891">
        <f>H891*Parameters!$B$3*Parameters!$B$6</f>
        <v>0</v>
      </c>
      <c r="L891">
        <f>I891*Parameters!$B$4*Parameters!$B$7</f>
        <v>182.16900000000001</v>
      </c>
      <c r="M891">
        <f t="shared" si="13"/>
        <v>246.042</v>
      </c>
      <c r="N891">
        <v>3000</v>
      </c>
      <c r="O891">
        <v>0</v>
      </c>
      <c r="P891">
        <v>0</v>
      </c>
      <c r="Q891">
        <v>6750</v>
      </c>
    </row>
    <row r="892" spans="1:17">
      <c r="A892" t="s">
        <v>117</v>
      </c>
      <c r="B892" t="s">
        <v>17</v>
      </c>
      <c r="C892">
        <v>9</v>
      </c>
      <c r="D892">
        <v>2022</v>
      </c>
      <c r="E892" s="49" t="s">
        <v>153</v>
      </c>
      <c r="F892" s="49" t="s">
        <v>163</v>
      </c>
      <c r="G892">
        <f>'Feb to July, 2022'!G94+'Feb to July, 2022'!H94</f>
        <v>40</v>
      </c>
      <c r="H892">
        <f>'Feb to July, 2022'!I94</f>
        <v>0</v>
      </c>
      <c r="I892">
        <f>'Feb to July, 2022'!J94</f>
        <v>15</v>
      </c>
      <c r="J892">
        <f>G892*Parameters!$B$2*Parameters!$B$5</f>
        <v>85.163999999999987</v>
      </c>
      <c r="K892">
        <f>H892*Parameters!$B$3*Parameters!$B$6</f>
        <v>0</v>
      </c>
      <c r="L892">
        <f>I892*Parameters!$B$4*Parameters!$B$7</f>
        <v>121.44600000000001</v>
      </c>
      <c r="M892">
        <f t="shared" si="13"/>
        <v>206.61</v>
      </c>
      <c r="N892">
        <v>4000</v>
      </c>
      <c r="O892">
        <v>0</v>
      </c>
      <c r="P892">
        <v>0</v>
      </c>
      <c r="Q892">
        <v>4500</v>
      </c>
    </row>
    <row r="893" spans="1:17">
      <c r="A893" t="s">
        <v>118</v>
      </c>
      <c r="B893" t="s">
        <v>19</v>
      </c>
      <c r="C893">
        <v>4</v>
      </c>
      <c r="D893">
        <v>2022</v>
      </c>
      <c r="E893" s="49" t="s">
        <v>153</v>
      </c>
      <c r="F893" s="49" t="s">
        <v>163</v>
      </c>
      <c r="G893">
        <f>'Feb to July, 2022'!G95+'Feb to July, 2022'!H95</f>
        <v>30</v>
      </c>
      <c r="H893">
        <f>'Feb to July, 2022'!I95</f>
        <v>0</v>
      </c>
      <c r="I893">
        <f>'Feb to July, 2022'!J95</f>
        <v>16</v>
      </c>
      <c r="J893">
        <f>G893*Parameters!$B$2*Parameters!$B$5</f>
        <v>63.87299999999999</v>
      </c>
      <c r="K893">
        <f>H893*Parameters!$B$3*Parameters!$B$6</f>
        <v>0</v>
      </c>
      <c r="L893">
        <f>I893*Parameters!$B$4*Parameters!$B$7</f>
        <v>129.54240000000001</v>
      </c>
      <c r="M893">
        <f t="shared" si="13"/>
        <v>193.41540000000001</v>
      </c>
      <c r="N893">
        <v>3000</v>
      </c>
      <c r="O893">
        <v>0</v>
      </c>
      <c r="P893">
        <v>0</v>
      </c>
      <c r="Q893">
        <v>4800</v>
      </c>
    </row>
    <row r="894" spans="1:17">
      <c r="A894" t="s">
        <v>119</v>
      </c>
      <c r="B894" t="s">
        <v>40</v>
      </c>
      <c r="C894">
        <v>6</v>
      </c>
      <c r="D894">
        <v>2022</v>
      </c>
      <c r="E894" s="49" t="s">
        <v>153</v>
      </c>
      <c r="F894" s="49" t="s">
        <v>163</v>
      </c>
      <c r="G894">
        <f>'Feb to July, 2022'!G96+'Feb to July, 2022'!H96</f>
        <v>0</v>
      </c>
      <c r="H894">
        <f>'Feb to July, 2022'!I96</f>
        <v>0</v>
      </c>
      <c r="I894">
        <f>'Feb to July, 2022'!J96</f>
        <v>15</v>
      </c>
      <c r="J894">
        <f>G894*Parameters!$B$2*Parameters!$B$5</f>
        <v>0</v>
      </c>
      <c r="K894">
        <f>H894*Parameters!$B$3*Parameters!$B$6</f>
        <v>0</v>
      </c>
      <c r="L894">
        <f>I894*Parameters!$B$4*Parameters!$B$7</f>
        <v>121.44600000000001</v>
      </c>
      <c r="M894">
        <f t="shared" si="13"/>
        <v>121.44600000000001</v>
      </c>
      <c r="N894">
        <v>0</v>
      </c>
      <c r="O894">
        <v>0</v>
      </c>
      <c r="P894">
        <v>0</v>
      </c>
      <c r="Q894">
        <v>4500</v>
      </c>
    </row>
    <row r="895" spans="1:17">
      <c r="A895" t="s">
        <v>120</v>
      </c>
      <c r="B895" t="s">
        <v>32</v>
      </c>
      <c r="C895">
        <v>8</v>
      </c>
      <c r="D895">
        <v>2022</v>
      </c>
      <c r="E895" s="49" t="s">
        <v>153</v>
      </c>
      <c r="F895" s="49" t="s">
        <v>163</v>
      </c>
      <c r="G895">
        <f>'Feb to July, 2022'!G97+'Feb to July, 2022'!H97</f>
        <v>30</v>
      </c>
      <c r="H895">
        <f>'Feb to July, 2022'!I97</f>
        <v>0</v>
      </c>
      <c r="I895">
        <f>'Feb to July, 2022'!J97</f>
        <v>0</v>
      </c>
      <c r="J895">
        <f>G895*Parameters!$B$2*Parameters!$B$5</f>
        <v>63.87299999999999</v>
      </c>
      <c r="K895">
        <f>H895*Parameters!$B$3*Parameters!$B$6</f>
        <v>0</v>
      </c>
      <c r="L895">
        <f>I895*Parameters!$B$4*Parameters!$B$7</f>
        <v>0</v>
      </c>
      <c r="M895">
        <f t="shared" si="13"/>
        <v>63.87299999999999</v>
      </c>
      <c r="N895">
        <v>3000</v>
      </c>
      <c r="O895">
        <v>0</v>
      </c>
      <c r="P895">
        <v>0</v>
      </c>
      <c r="Q895">
        <v>0</v>
      </c>
    </row>
    <row r="896" spans="1:17">
      <c r="A896" t="s">
        <v>121</v>
      </c>
      <c r="B896" t="s">
        <v>24</v>
      </c>
      <c r="C896">
        <v>5</v>
      </c>
      <c r="D896">
        <v>2022</v>
      </c>
      <c r="E896" s="49" t="s">
        <v>153</v>
      </c>
      <c r="F896" s="49" t="s">
        <v>163</v>
      </c>
      <c r="G896">
        <f>'Feb to July, 2022'!G98+'Feb to July, 2022'!H98</f>
        <v>38</v>
      </c>
      <c r="H896">
        <f>'Feb to July, 2022'!I98</f>
        <v>0</v>
      </c>
      <c r="I896">
        <f>'Feb to July, 2022'!J98</f>
        <v>20</v>
      </c>
      <c r="J896">
        <f>G896*Parameters!$B$2*Parameters!$B$5</f>
        <v>80.905799999999985</v>
      </c>
      <c r="K896">
        <f>H896*Parameters!$B$3*Parameters!$B$6</f>
        <v>0</v>
      </c>
      <c r="L896">
        <f>I896*Parameters!$B$4*Parameters!$B$7</f>
        <v>161.928</v>
      </c>
      <c r="M896">
        <f t="shared" si="13"/>
        <v>242.8338</v>
      </c>
      <c r="N896">
        <v>3800</v>
      </c>
      <c r="O896">
        <v>0</v>
      </c>
      <c r="P896">
        <v>0</v>
      </c>
      <c r="Q896">
        <v>6000</v>
      </c>
    </row>
    <row r="897" spans="1:17">
      <c r="A897" t="s">
        <v>122</v>
      </c>
      <c r="B897" t="s">
        <v>26</v>
      </c>
      <c r="C897">
        <v>6</v>
      </c>
      <c r="D897">
        <v>2022</v>
      </c>
      <c r="E897" s="49" t="s">
        <v>153</v>
      </c>
      <c r="F897" s="49" t="s">
        <v>163</v>
      </c>
      <c r="G897">
        <f>'Feb to July, 2022'!G99+'Feb to July, 2022'!H99</f>
        <v>47</v>
      </c>
      <c r="H897">
        <f>'Feb to July, 2022'!I99</f>
        <v>0</v>
      </c>
      <c r="I897">
        <f>'Feb to July, 2022'!J99</f>
        <v>10</v>
      </c>
      <c r="J897">
        <f>G897*Parameters!$B$2*Parameters!$B$5</f>
        <v>100.06769999999997</v>
      </c>
      <c r="K897">
        <f>H897*Parameters!$B$3*Parameters!$B$6</f>
        <v>0</v>
      </c>
      <c r="L897">
        <f>I897*Parameters!$B$4*Parameters!$B$7</f>
        <v>80.963999999999999</v>
      </c>
      <c r="M897">
        <f t="shared" si="13"/>
        <v>181.03169999999997</v>
      </c>
      <c r="N897">
        <v>4700</v>
      </c>
      <c r="O897">
        <v>0</v>
      </c>
      <c r="P897">
        <v>0</v>
      </c>
      <c r="Q897">
        <v>3000</v>
      </c>
    </row>
    <row r="898" spans="1:17">
      <c r="A898" t="s">
        <v>123</v>
      </c>
      <c r="B898" t="s">
        <v>19</v>
      </c>
      <c r="C898">
        <v>8</v>
      </c>
      <c r="D898">
        <v>2022</v>
      </c>
      <c r="E898" s="49" t="s">
        <v>153</v>
      </c>
      <c r="F898" s="49" t="s">
        <v>163</v>
      </c>
      <c r="G898">
        <f>'Feb to July, 2022'!G100+'Feb to July, 2022'!H100</f>
        <v>43</v>
      </c>
      <c r="H898">
        <f>'Feb to July, 2022'!I100</f>
        <v>0</v>
      </c>
      <c r="I898">
        <f>'Feb to July, 2022'!J100</f>
        <v>15</v>
      </c>
      <c r="J898">
        <f>G898*Parameters!$B$2*Parameters!$B$5</f>
        <v>91.551299999999983</v>
      </c>
      <c r="K898">
        <f>H898*Parameters!$B$3*Parameters!$B$6</f>
        <v>0</v>
      </c>
      <c r="L898">
        <f>I898*Parameters!$B$4*Parameters!$B$7</f>
        <v>121.44600000000001</v>
      </c>
      <c r="M898">
        <f t="shared" si="13"/>
        <v>212.9973</v>
      </c>
      <c r="N898">
        <v>4300</v>
      </c>
      <c r="O898">
        <v>0</v>
      </c>
      <c r="P898">
        <v>0</v>
      </c>
      <c r="Q898">
        <v>4500</v>
      </c>
    </row>
    <row r="899" spans="1:17">
      <c r="A899" t="s">
        <v>124</v>
      </c>
      <c r="B899" t="s">
        <v>56</v>
      </c>
      <c r="C899">
        <v>9</v>
      </c>
      <c r="D899">
        <v>2022</v>
      </c>
      <c r="E899" s="49" t="s">
        <v>153</v>
      </c>
      <c r="F899" s="49" t="s">
        <v>163</v>
      </c>
      <c r="G899">
        <f>'Feb to July, 2022'!G101+'Feb to July, 2022'!H101</f>
        <v>35</v>
      </c>
      <c r="H899">
        <f>'Feb to July, 2022'!I101</f>
        <v>0</v>
      </c>
      <c r="I899">
        <f>'Feb to July, 2022'!J101</f>
        <v>10</v>
      </c>
      <c r="J899">
        <f>G899*Parameters!$B$2*Parameters!$B$5</f>
        <v>74.518499999999989</v>
      </c>
      <c r="K899">
        <f>H899*Parameters!$B$3*Parameters!$B$6</f>
        <v>0</v>
      </c>
      <c r="L899">
        <f>I899*Parameters!$B$4*Parameters!$B$7</f>
        <v>80.963999999999999</v>
      </c>
      <c r="M899">
        <f t="shared" ref="M899:M962" si="14">SUM(J899:L899)</f>
        <v>155.48249999999999</v>
      </c>
      <c r="N899">
        <v>3500</v>
      </c>
      <c r="O899">
        <v>0</v>
      </c>
      <c r="P899">
        <v>0</v>
      </c>
      <c r="Q899">
        <v>3000</v>
      </c>
    </row>
    <row r="900" spans="1:17">
      <c r="A900" t="s">
        <v>125</v>
      </c>
      <c r="B900" t="s">
        <v>65</v>
      </c>
      <c r="C900">
        <v>7</v>
      </c>
      <c r="D900">
        <v>2022</v>
      </c>
      <c r="E900" s="49" t="s">
        <v>153</v>
      </c>
      <c r="F900" s="49" t="s">
        <v>163</v>
      </c>
      <c r="G900">
        <f>'Feb to July, 2022'!G102+'Feb to July, 2022'!H102</f>
        <v>15</v>
      </c>
      <c r="H900">
        <f>'Feb to July, 2022'!I102</f>
        <v>0</v>
      </c>
      <c r="I900">
        <f>'Feb to July, 2022'!J102</f>
        <v>20</v>
      </c>
      <c r="J900">
        <f>G900*Parameters!$B$2*Parameters!$B$5</f>
        <v>31.936499999999995</v>
      </c>
      <c r="K900">
        <f>H900*Parameters!$B$3*Parameters!$B$6</f>
        <v>0</v>
      </c>
      <c r="L900">
        <f>I900*Parameters!$B$4*Parameters!$B$7</f>
        <v>161.928</v>
      </c>
      <c r="M900">
        <f t="shared" si="14"/>
        <v>193.86449999999999</v>
      </c>
      <c r="N900">
        <v>1500</v>
      </c>
      <c r="O900">
        <v>0</v>
      </c>
      <c r="P900">
        <v>0</v>
      </c>
      <c r="Q900">
        <v>6000</v>
      </c>
    </row>
    <row r="901" spans="1:17">
      <c r="A901" t="s">
        <v>126</v>
      </c>
      <c r="B901" t="s">
        <v>65</v>
      </c>
      <c r="C901">
        <v>6</v>
      </c>
      <c r="D901">
        <v>2022</v>
      </c>
      <c r="E901" s="49" t="s">
        <v>153</v>
      </c>
      <c r="F901" s="49" t="s">
        <v>163</v>
      </c>
      <c r="G901">
        <f>'Feb to July, 2022'!G103+'Feb to July, 2022'!H103</f>
        <v>23</v>
      </c>
      <c r="H901">
        <f>'Feb to July, 2022'!I103</f>
        <v>0</v>
      </c>
      <c r="I901">
        <f>'Feb to July, 2022'!J103</f>
        <v>14</v>
      </c>
      <c r="J901">
        <f>G901*Parameters!$B$2*Parameters!$B$5</f>
        <v>48.969299999999997</v>
      </c>
      <c r="K901">
        <f>H901*Parameters!$B$3*Parameters!$B$6</f>
        <v>0</v>
      </c>
      <c r="L901">
        <f>I901*Parameters!$B$4*Parameters!$B$7</f>
        <v>113.34960000000001</v>
      </c>
      <c r="M901">
        <f t="shared" si="14"/>
        <v>162.31890000000001</v>
      </c>
      <c r="N901">
        <v>2300</v>
      </c>
      <c r="O901">
        <v>0</v>
      </c>
      <c r="P901">
        <v>0</v>
      </c>
      <c r="Q901">
        <v>4200</v>
      </c>
    </row>
    <row r="902" spans="1:17">
      <c r="A902" t="s">
        <v>16</v>
      </c>
      <c r="B902" t="s">
        <v>17</v>
      </c>
      <c r="C902">
        <v>8</v>
      </c>
      <c r="D902">
        <v>2022</v>
      </c>
      <c r="E902" s="49" t="s">
        <v>154</v>
      </c>
      <c r="F902" s="49" t="s">
        <v>163</v>
      </c>
      <c r="G902">
        <f>'Feb to July, 2022'!O4+'Feb to July, 2022'!P4</f>
        <v>40</v>
      </c>
      <c r="H902">
        <f>'Feb to July, 2022'!Q4</f>
        <v>0</v>
      </c>
      <c r="I902">
        <f>'Feb to July, 2022'!R4</f>
        <v>10</v>
      </c>
      <c r="J902">
        <f>G902*Parameters!$B$2*Parameters!$B$5</f>
        <v>85.163999999999987</v>
      </c>
      <c r="K902">
        <f>H902*Parameters!$B$3*Parameters!$B$6</f>
        <v>0</v>
      </c>
      <c r="L902">
        <f>I902*Parameters!$B$4*Parameters!$B$7</f>
        <v>80.963999999999999</v>
      </c>
      <c r="M902">
        <f t="shared" si="14"/>
        <v>166.12799999999999</v>
      </c>
      <c r="N902">
        <v>4000</v>
      </c>
      <c r="O902">
        <v>0</v>
      </c>
      <c r="P902">
        <v>0</v>
      </c>
      <c r="Q902">
        <v>3000</v>
      </c>
    </row>
    <row r="903" spans="1:17">
      <c r="A903" t="s">
        <v>18</v>
      </c>
      <c r="B903" t="s">
        <v>19</v>
      </c>
      <c r="C903">
        <v>7</v>
      </c>
      <c r="D903">
        <v>2022</v>
      </c>
      <c r="E903" s="49" t="s">
        <v>154</v>
      </c>
      <c r="F903" s="49" t="s">
        <v>163</v>
      </c>
      <c r="G903">
        <f>'Feb to July, 2022'!O5+'Feb to July, 2022'!P5</f>
        <v>40</v>
      </c>
      <c r="H903">
        <f>'Feb to July, 2022'!Q5</f>
        <v>0</v>
      </c>
      <c r="I903">
        <f>'Feb to July, 2022'!R5</f>
        <v>10</v>
      </c>
      <c r="J903">
        <f>G903*Parameters!$B$2*Parameters!$B$5</f>
        <v>85.163999999999987</v>
      </c>
      <c r="K903">
        <f>H903*Parameters!$B$3*Parameters!$B$6</f>
        <v>0</v>
      </c>
      <c r="L903">
        <f>I903*Parameters!$B$4*Parameters!$B$7</f>
        <v>80.963999999999999</v>
      </c>
      <c r="M903">
        <f t="shared" si="14"/>
        <v>166.12799999999999</v>
      </c>
      <c r="N903">
        <v>4000</v>
      </c>
      <c r="O903">
        <v>0</v>
      </c>
      <c r="P903">
        <v>0</v>
      </c>
      <c r="Q903">
        <v>3000</v>
      </c>
    </row>
    <row r="904" spans="1:17">
      <c r="A904" t="s">
        <v>20</v>
      </c>
      <c r="B904" t="s">
        <v>21</v>
      </c>
      <c r="C904">
        <v>10</v>
      </c>
      <c r="D904">
        <v>2022</v>
      </c>
      <c r="E904" s="49" t="s">
        <v>154</v>
      </c>
      <c r="F904" s="49" t="s">
        <v>163</v>
      </c>
      <c r="G904">
        <f>'Feb to July, 2022'!O6+'Feb to July, 2022'!P6</f>
        <v>35</v>
      </c>
      <c r="H904">
        <f>'Feb to July, 2022'!Q6</f>
        <v>0</v>
      </c>
      <c r="I904">
        <f>'Feb to July, 2022'!R6</f>
        <v>5</v>
      </c>
      <c r="J904">
        <f>G904*Parameters!$B$2*Parameters!$B$5</f>
        <v>74.518499999999989</v>
      </c>
      <c r="K904">
        <f>H904*Parameters!$B$3*Parameters!$B$6</f>
        <v>0</v>
      </c>
      <c r="L904">
        <f>I904*Parameters!$B$4*Parameters!$B$7</f>
        <v>40.481999999999999</v>
      </c>
      <c r="M904">
        <f t="shared" si="14"/>
        <v>115.00049999999999</v>
      </c>
      <c r="N904">
        <v>3500</v>
      </c>
      <c r="O904">
        <v>0</v>
      </c>
      <c r="P904">
        <v>0</v>
      </c>
      <c r="Q904">
        <v>1500</v>
      </c>
    </row>
    <row r="905" spans="1:17">
      <c r="A905" t="s">
        <v>22</v>
      </c>
      <c r="B905" t="s">
        <v>19</v>
      </c>
      <c r="C905">
        <v>7</v>
      </c>
      <c r="D905">
        <v>2022</v>
      </c>
      <c r="E905" s="49" t="s">
        <v>154</v>
      </c>
      <c r="F905" s="49" t="s">
        <v>163</v>
      </c>
      <c r="G905">
        <f>'Feb to July, 2022'!O7+'Feb to July, 2022'!P7</f>
        <v>30</v>
      </c>
      <c r="H905">
        <f>'Feb to July, 2022'!Q7</f>
        <v>0</v>
      </c>
      <c r="I905">
        <f>'Feb to July, 2022'!R7</f>
        <v>10</v>
      </c>
      <c r="J905">
        <f>G905*Parameters!$B$2*Parameters!$B$5</f>
        <v>63.87299999999999</v>
      </c>
      <c r="K905">
        <f>H905*Parameters!$B$3*Parameters!$B$6</f>
        <v>0</v>
      </c>
      <c r="L905">
        <f>I905*Parameters!$B$4*Parameters!$B$7</f>
        <v>80.963999999999999</v>
      </c>
      <c r="M905">
        <f t="shared" si="14"/>
        <v>144.83699999999999</v>
      </c>
      <c r="N905">
        <v>3000</v>
      </c>
      <c r="O905">
        <v>0</v>
      </c>
      <c r="P905">
        <v>0</v>
      </c>
      <c r="Q905">
        <v>3000</v>
      </c>
    </row>
    <row r="906" spans="1:17">
      <c r="A906" t="s">
        <v>23</v>
      </c>
      <c r="B906" t="s">
        <v>24</v>
      </c>
      <c r="C906">
        <v>4</v>
      </c>
      <c r="D906">
        <v>2022</v>
      </c>
      <c r="E906" s="49" t="s">
        <v>154</v>
      </c>
      <c r="F906" s="49" t="s">
        <v>163</v>
      </c>
      <c r="G906">
        <f>'Feb to July, 2022'!O8+'Feb to July, 2022'!P8</f>
        <v>42</v>
      </c>
      <c r="H906">
        <f>'Feb to July, 2022'!Q8</f>
        <v>0</v>
      </c>
      <c r="I906">
        <f>'Feb to July, 2022'!R8</f>
        <v>5</v>
      </c>
      <c r="J906">
        <f>G906*Parameters!$B$2*Parameters!$B$5</f>
        <v>89.422199999999975</v>
      </c>
      <c r="K906">
        <f>H906*Parameters!$B$3*Parameters!$B$6</f>
        <v>0</v>
      </c>
      <c r="L906">
        <f>I906*Parameters!$B$4*Parameters!$B$7</f>
        <v>40.481999999999999</v>
      </c>
      <c r="M906">
        <f t="shared" si="14"/>
        <v>129.90419999999997</v>
      </c>
      <c r="N906">
        <v>4200</v>
      </c>
      <c r="O906">
        <v>0</v>
      </c>
      <c r="P906">
        <v>0</v>
      </c>
      <c r="Q906">
        <v>1500</v>
      </c>
    </row>
    <row r="907" spans="1:17">
      <c r="A907" t="s">
        <v>25</v>
      </c>
      <c r="B907" t="s">
        <v>26</v>
      </c>
      <c r="C907">
        <v>3</v>
      </c>
      <c r="D907">
        <v>2022</v>
      </c>
      <c r="E907" s="49" t="s">
        <v>154</v>
      </c>
      <c r="F907" s="49" t="s">
        <v>163</v>
      </c>
      <c r="G907">
        <f>'Feb to July, 2022'!O9+'Feb to July, 2022'!P9</f>
        <v>30</v>
      </c>
      <c r="H907">
        <f>'Feb to July, 2022'!Q9</f>
        <v>0</v>
      </c>
      <c r="I907">
        <f>'Feb to July, 2022'!R9</f>
        <v>5</v>
      </c>
      <c r="J907">
        <f>G907*Parameters!$B$2*Parameters!$B$5</f>
        <v>63.87299999999999</v>
      </c>
      <c r="K907">
        <f>H907*Parameters!$B$3*Parameters!$B$6</f>
        <v>0</v>
      </c>
      <c r="L907">
        <f>I907*Parameters!$B$4*Parameters!$B$7</f>
        <v>40.481999999999999</v>
      </c>
      <c r="M907">
        <f t="shared" si="14"/>
        <v>104.35499999999999</v>
      </c>
      <c r="N907">
        <v>3000</v>
      </c>
      <c r="O907">
        <v>0</v>
      </c>
      <c r="P907">
        <v>0</v>
      </c>
      <c r="Q907">
        <v>1500</v>
      </c>
    </row>
    <row r="908" spans="1:17">
      <c r="A908" t="s">
        <v>27</v>
      </c>
      <c r="B908" t="s">
        <v>21</v>
      </c>
      <c r="C908">
        <v>6</v>
      </c>
      <c r="D908">
        <v>2022</v>
      </c>
      <c r="E908" s="49" t="s">
        <v>154</v>
      </c>
      <c r="F908" s="49" t="s">
        <v>163</v>
      </c>
      <c r="G908">
        <f>'Feb to July, 2022'!O10+'Feb to July, 2022'!P10</f>
        <v>45</v>
      </c>
      <c r="H908">
        <f>'Feb to July, 2022'!Q10</f>
        <v>0</v>
      </c>
      <c r="I908">
        <f>'Feb to July, 2022'!R10</f>
        <v>15</v>
      </c>
      <c r="J908">
        <f>G908*Parameters!$B$2*Parameters!$B$5</f>
        <v>95.809499999999986</v>
      </c>
      <c r="K908">
        <f>H908*Parameters!$B$3*Parameters!$B$6</f>
        <v>0</v>
      </c>
      <c r="L908">
        <f>I908*Parameters!$B$4*Parameters!$B$7</f>
        <v>121.44600000000001</v>
      </c>
      <c r="M908">
        <f t="shared" si="14"/>
        <v>217.25549999999998</v>
      </c>
      <c r="N908">
        <v>4500</v>
      </c>
      <c r="O908">
        <v>0</v>
      </c>
      <c r="P908">
        <v>0</v>
      </c>
      <c r="Q908">
        <v>4500</v>
      </c>
    </row>
    <row r="909" spans="1:17">
      <c r="A909" t="s">
        <v>28</v>
      </c>
      <c r="B909" t="s">
        <v>19</v>
      </c>
      <c r="C909">
        <v>9</v>
      </c>
      <c r="D909">
        <v>2022</v>
      </c>
      <c r="E909" s="49" t="s">
        <v>154</v>
      </c>
      <c r="F909" s="49" t="s">
        <v>163</v>
      </c>
      <c r="G909">
        <f>'Feb to July, 2022'!O11+'Feb to July, 2022'!P11</f>
        <v>55</v>
      </c>
      <c r="H909">
        <f>'Feb to July, 2022'!Q11</f>
        <v>0</v>
      </c>
      <c r="I909">
        <f>'Feb to July, 2022'!R11</f>
        <v>15</v>
      </c>
      <c r="J909">
        <f>G909*Parameters!$B$2*Parameters!$B$5</f>
        <v>117.10049999999998</v>
      </c>
      <c r="K909">
        <f>H909*Parameters!$B$3*Parameters!$B$6</f>
        <v>0</v>
      </c>
      <c r="L909">
        <f>I909*Parameters!$B$4*Parameters!$B$7</f>
        <v>121.44600000000001</v>
      </c>
      <c r="M909">
        <f t="shared" si="14"/>
        <v>238.54649999999998</v>
      </c>
      <c r="N909">
        <v>5500</v>
      </c>
      <c r="O909">
        <v>0</v>
      </c>
      <c r="P909">
        <v>0</v>
      </c>
      <c r="Q909">
        <v>4500</v>
      </c>
    </row>
    <row r="910" spans="1:17">
      <c r="A910" t="s">
        <v>29</v>
      </c>
      <c r="B910" t="s">
        <v>24</v>
      </c>
      <c r="C910">
        <v>4</v>
      </c>
      <c r="D910">
        <v>2022</v>
      </c>
      <c r="E910" s="49" t="s">
        <v>154</v>
      </c>
      <c r="F910" s="49" t="s">
        <v>163</v>
      </c>
      <c r="G910">
        <f>'Feb to July, 2022'!O12+'Feb to July, 2022'!P12</f>
        <v>30</v>
      </c>
      <c r="H910">
        <f>'Feb to July, 2022'!Q12</f>
        <v>0</v>
      </c>
      <c r="I910">
        <f>'Feb to July, 2022'!R12</f>
        <v>15</v>
      </c>
      <c r="J910">
        <f>G910*Parameters!$B$2*Parameters!$B$5</f>
        <v>63.87299999999999</v>
      </c>
      <c r="K910">
        <f>H910*Parameters!$B$3*Parameters!$B$6</f>
        <v>0</v>
      </c>
      <c r="L910">
        <f>I910*Parameters!$B$4*Parameters!$B$7</f>
        <v>121.44600000000001</v>
      </c>
      <c r="M910">
        <f t="shared" si="14"/>
        <v>185.31900000000002</v>
      </c>
      <c r="N910">
        <v>3000</v>
      </c>
      <c r="O910">
        <v>0</v>
      </c>
      <c r="P910">
        <v>0</v>
      </c>
      <c r="Q910">
        <v>4500</v>
      </c>
    </row>
    <row r="911" spans="1:17">
      <c r="A911" t="s">
        <v>30</v>
      </c>
      <c r="B911" t="s">
        <v>21</v>
      </c>
      <c r="C911">
        <v>6</v>
      </c>
      <c r="D911">
        <v>2022</v>
      </c>
      <c r="E911" s="49" t="s">
        <v>154</v>
      </c>
      <c r="F911" s="49" t="s">
        <v>163</v>
      </c>
      <c r="G911">
        <f>'Feb to July, 2022'!O13+'Feb to July, 2022'!P13</f>
        <v>15</v>
      </c>
      <c r="H911">
        <f>'Feb to July, 2022'!Q13</f>
        <v>0</v>
      </c>
      <c r="I911">
        <f>'Feb to July, 2022'!R13</f>
        <v>20</v>
      </c>
      <c r="J911">
        <f>G911*Parameters!$B$2*Parameters!$B$5</f>
        <v>31.936499999999995</v>
      </c>
      <c r="K911">
        <f>H911*Parameters!$B$3*Parameters!$B$6</f>
        <v>0</v>
      </c>
      <c r="L911">
        <f>I911*Parameters!$B$4*Parameters!$B$7</f>
        <v>161.928</v>
      </c>
      <c r="M911">
        <f t="shared" si="14"/>
        <v>193.86449999999999</v>
      </c>
      <c r="N911">
        <v>1500</v>
      </c>
      <c r="O911">
        <v>0</v>
      </c>
      <c r="P911">
        <v>0</v>
      </c>
      <c r="Q911">
        <v>6000</v>
      </c>
    </row>
    <row r="912" spans="1:17">
      <c r="A912" t="s">
        <v>31</v>
      </c>
      <c r="B912" t="s">
        <v>32</v>
      </c>
      <c r="C912">
        <v>4</v>
      </c>
      <c r="D912">
        <v>2022</v>
      </c>
      <c r="E912" s="49" t="s">
        <v>154</v>
      </c>
      <c r="F912" s="49" t="s">
        <v>163</v>
      </c>
      <c r="G912">
        <f>'Feb to July, 2022'!O14+'Feb to July, 2022'!P14</f>
        <v>50</v>
      </c>
      <c r="H912">
        <f>'Feb to July, 2022'!Q14</f>
        <v>0</v>
      </c>
      <c r="I912">
        <f>'Feb to July, 2022'!R14</f>
        <v>10</v>
      </c>
      <c r="J912">
        <f>G912*Parameters!$B$2*Parameters!$B$5</f>
        <v>106.45499999999998</v>
      </c>
      <c r="K912">
        <f>H912*Parameters!$B$3*Parameters!$B$6</f>
        <v>0</v>
      </c>
      <c r="L912">
        <f>I912*Parameters!$B$4*Parameters!$B$7</f>
        <v>80.963999999999999</v>
      </c>
      <c r="M912">
        <f t="shared" si="14"/>
        <v>187.41899999999998</v>
      </c>
      <c r="N912">
        <v>5000</v>
      </c>
      <c r="O912">
        <v>0</v>
      </c>
      <c r="P912">
        <v>0</v>
      </c>
      <c r="Q912">
        <v>3000</v>
      </c>
    </row>
    <row r="913" spans="1:17">
      <c r="A913" t="s">
        <v>33</v>
      </c>
      <c r="B913" t="s">
        <v>32</v>
      </c>
      <c r="C913">
        <v>6</v>
      </c>
      <c r="D913">
        <v>2022</v>
      </c>
      <c r="E913" s="49" t="s">
        <v>154</v>
      </c>
      <c r="F913" s="49" t="s">
        <v>163</v>
      </c>
      <c r="G913">
        <f>'Feb to July, 2022'!O15+'Feb to July, 2022'!P15</f>
        <v>25</v>
      </c>
      <c r="H913">
        <f>'Feb to July, 2022'!Q15</f>
        <v>0</v>
      </c>
      <c r="I913">
        <f>'Feb to July, 2022'!R15</f>
        <v>10</v>
      </c>
      <c r="J913">
        <f>G913*Parameters!$B$2*Parameters!$B$5</f>
        <v>53.227499999999992</v>
      </c>
      <c r="K913">
        <f>H913*Parameters!$B$3*Parameters!$B$6</f>
        <v>0</v>
      </c>
      <c r="L913">
        <f>I913*Parameters!$B$4*Parameters!$B$7</f>
        <v>80.963999999999999</v>
      </c>
      <c r="M913">
        <f t="shared" si="14"/>
        <v>134.19149999999999</v>
      </c>
      <c r="N913">
        <v>2500</v>
      </c>
      <c r="O913">
        <v>0</v>
      </c>
      <c r="P913">
        <v>0</v>
      </c>
      <c r="Q913">
        <v>3000</v>
      </c>
    </row>
    <row r="914" spans="1:17">
      <c r="A914" t="s">
        <v>34</v>
      </c>
      <c r="B914" t="s">
        <v>21</v>
      </c>
      <c r="C914">
        <v>9</v>
      </c>
      <c r="D914">
        <v>2022</v>
      </c>
      <c r="E914" s="49" t="s">
        <v>154</v>
      </c>
      <c r="F914" s="49" t="s">
        <v>163</v>
      </c>
      <c r="G914">
        <f>'Feb to July, 2022'!O16+'Feb to July, 2022'!P16</f>
        <v>20</v>
      </c>
      <c r="H914">
        <f>'Feb to July, 2022'!Q16</f>
        <v>0</v>
      </c>
      <c r="I914">
        <f>'Feb to July, 2022'!R16</f>
        <v>5</v>
      </c>
      <c r="J914">
        <f>G914*Parameters!$B$2*Parameters!$B$5</f>
        <v>42.581999999999994</v>
      </c>
      <c r="K914">
        <f>H914*Parameters!$B$3*Parameters!$B$6</f>
        <v>0</v>
      </c>
      <c r="L914">
        <f>I914*Parameters!$B$4*Parameters!$B$7</f>
        <v>40.481999999999999</v>
      </c>
      <c r="M914">
        <f t="shared" si="14"/>
        <v>83.063999999999993</v>
      </c>
      <c r="N914">
        <v>2000</v>
      </c>
      <c r="O914">
        <v>0</v>
      </c>
      <c r="P914">
        <v>0</v>
      </c>
      <c r="Q914">
        <v>1500</v>
      </c>
    </row>
    <row r="915" spans="1:17">
      <c r="A915" t="s">
        <v>35</v>
      </c>
      <c r="B915" t="s">
        <v>21</v>
      </c>
      <c r="C915">
        <v>6</v>
      </c>
      <c r="D915">
        <v>2022</v>
      </c>
      <c r="E915" s="49" t="s">
        <v>154</v>
      </c>
      <c r="F915" s="49" t="s">
        <v>163</v>
      </c>
      <c r="G915">
        <f>'Feb to July, 2022'!O17+'Feb to July, 2022'!P17</f>
        <v>35</v>
      </c>
      <c r="H915">
        <f>'Feb to July, 2022'!Q17</f>
        <v>0</v>
      </c>
      <c r="I915">
        <f>'Feb to July, 2022'!R17</f>
        <v>15</v>
      </c>
      <c r="J915">
        <f>G915*Parameters!$B$2*Parameters!$B$5</f>
        <v>74.518499999999989</v>
      </c>
      <c r="K915">
        <f>H915*Parameters!$B$3*Parameters!$B$6</f>
        <v>0</v>
      </c>
      <c r="L915">
        <f>I915*Parameters!$B$4*Parameters!$B$7</f>
        <v>121.44600000000001</v>
      </c>
      <c r="M915">
        <f t="shared" si="14"/>
        <v>195.96449999999999</v>
      </c>
      <c r="N915">
        <v>3500</v>
      </c>
      <c r="O915">
        <v>0</v>
      </c>
      <c r="P915">
        <v>0</v>
      </c>
      <c r="Q915">
        <v>4500</v>
      </c>
    </row>
    <row r="916" spans="1:17">
      <c r="A916" t="s">
        <v>36</v>
      </c>
      <c r="B916" t="s">
        <v>21</v>
      </c>
      <c r="C916">
        <v>12</v>
      </c>
      <c r="D916">
        <v>2022</v>
      </c>
      <c r="E916" s="49" t="s">
        <v>154</v>
      </c>
      <c r="F916" s="49" t="s">
        <v>163</v>
      </c>
      <c r="G916">
        <f>'Feb to July, 2022'!O18+'Feb to July, 2022'!P18</f>
        <v>25</v>
      </c>
      <c r="H916">
        <f>'Feb to July, 2022'!Q18</f>
        <v>0</v>
      </c>
      <c r="I916">
        <f>'Feb to July, 2022'!R18</f>
        <v>5</v>
      </c>
      <c r="J916">
        <f>G916*Parameters!$B$2*Parameters!$B$5</f>
        <v>53.227499999999992</v>
      </c>
      <c r="K916">
        <f>H916*Parameters!$B$3*Parameters!$B$6</f>
        <v>0</v>
      </c>
      <c r="L916">
        <f>I916*Parameters!$B$4*Parameters!$B$7</f>
        <v>40.481999999999999</v>
      </c>
      <c r="M916">
        <f t="shared" si="14"/>
        <v>93.709499999999991</v>
      </c>
      <c r="N916">
        <v>2500</v>
      </c>
      <c r="O916">
        <v>0</v>
      </c>
      <c r="P916">
        <v>0</v>
      </c>
      <c r="Q916">
        <v>1500</v>
      </c>
    </row>
    <row r="917" spans="1:17">
      <c r="A917" t="s">
        <v>37</v>
      </c>
      <c r="B917" t="s">
        <v>38</v>
      </c>
      <c r="C917">
        <v>7</v>
      </c>
      <c r="D917">
        <v>2022</v>
      </c>
      <c r="E917" s="49" t="s">
        <v>154</v>
      </c>
      <c r="F917" s="49" t="s">
        <v>163</v>
      </c>
      <c r="G917">
        <f>'Feb to July, 2022'!O19+'Feb to July, 2022'!P19</f>
        <v>25</v>
      </c>
      <c r="H917">
        <f>'Feb to July, 2022'!Q19</f>
        <v>0</v>
      </c>
      <c r="I917">
        <f>'Feb to July, 2022'!R19</f>
        <v>10</v>
      </c>
      <c r="J917">
        <f>G917*Parameters!$B$2*Parameters!$B$5</f>
        <v>53.227499999999992</v>
      </c>
      <c r="K917">
        <f>H917*Parameters!$B$3*Parameters!$B$6</f>
        <v>0</v>
      </c>
      <c r="L917">
        <f>I917*Parameters!$B$4*Parameters!$B$7</f>
        <v>80.963999999999999</v>
      </c>
      <c r="M917">
        <f t="shared" si="14"/>
        <v>134.19149999999999</v>
      </c>
      <c r="N917">
        <v>2500</v>
      </c>
      <c r="O917">
        <v>0</v>
      </c>
      <c r="P917">
        <v>0</v>
      </c>
      <c r="Q917">
        <v>3000</v>
      </c>
    </row>
    <row r="918" spans="1:17">
      <c r="A918" t="s">
        <v>39</v>
      </c>
      <c r="B918" t="s">
        <v>40</v>
      </c>
      <c r="C918">
        <v>6</v>
      </c>
      <c r="D918">
        <v>2022</v>
      </c>
      <c r="E918" s="49" t="s">
        <v>154</v>
      </c>
      <c r="F918" s="49" t="s">
        <v>163</v>
      </c>
      <c r="G918">
        <f>'Feb to July, 2022'!O20+'Feb to July, 2022'!P20</f>
        <v>45</v>
      </c>
      <c r="H918">
        <f>'Feb to July, 2022'!Q20</f>
        <v>0</v>
      </c>
      <c r="I918">
        <f>'Feb to July, 2022'!R20</f>
        <v>0</v>
      </c>
      <c r="J918">
        <f>G918*Parameters!$B$2*Parameters!$B$5</f>
        <v>95.809499999999986</v>
      </c>
      <c r="K918">
        <f>H918*Parameters!$B$3*Parameters!$B$6</f>
        <v>0</v>
      </c>
      <c r="L918">
        <f>I918*Parameters!$B$4*Parameters!$B$7</f>
        <v>0</v>
      </c>
      <c r="M918">
        <f t="shared" si="14"/>
        <v>95.809499999999986</v>
      </c>
      <c r="N918">
        <v>4500</v>
      </c>
      <c r="O918">
        <v>0</v>
      </c>
      <c r="P918">
        <v>0</v>
      </c>
      <c r="Q918">
        <v>0</v>
      </c>
    </row>
    <row r="919" spans="1:17">
      <c r="A919" t="s">
        <v>41</v>
      </c>
      <c r="B919" t="s">
        <v>26</v>
      </c>
      <c r="C919">
        <v>5</v>
      </c>
      <c r="D919">
        <v>2022</v>
      </c>
      <c r="E919" s="49" t="s">
        <v>154</v>
      </c>
      <c r="F919" s="49" t="s">
        <v>163</v>
      </c>
      <c r="G919">
        <f>'Feb to July, 2022'!O21+'Feb to July, 2022'!P21</f>
        <v>30</v>
      </c>
      <c r="H919">
        <f>'Feb to July, 2022'!Q21</f>
        <v>0</v>
      </c>
      <c r="I919">
        <f>'Feb to July, 2022'!R21</f>
        <v>10</v>
      </c>
      <c r="J919">
        <f>G919*Parameters!$B$2*Parameters!$B$5</f>
        <v>63.87299999999999</v>
      </c>
      <c r="K919">
        <f>H919*Parameters!$B$3*Parameters!$B$6</f>
        <v>0</v>
      </c>
      <c r="L919">
        <f>I919*Parameters!$B$4*Parameters!$B$7</f>
        <v>80.963999999999999</v>
      </c>
      <c r="M919">
        <f t="shared" si="14"/>
        <v>144.83699999999999</v>
      </c>
      <c r="N919">
        <v>3000</v>
      </c>
      <c r="O919">
        <v>0</v>
      </c>
      <c r="P919">
        <v>0</v>
      </c>
      <c r="Q919">
        <v>3000</v>
      </c>
    </row>
    <row r="920" spans="1:17">
      <c r="A920" t="s">
        <v>42</v>
      </c>
      <c r="B920" t="s">
        <v>24</v>
      </c>
      <c r="C920">
        <v>5</v>
      </c>
      <c r="D920">
        <v>2022</v>
      </c>
      <c r="E920" s="49" t="s">
        <v>154</v>
      </c>
      <c r="F920" s="49" t="s">
        <v>163</v>
      </c>
      <c r="G920">
        <f>'Feb to July, 2022'!O22+'Feb to July, 2022'!P22</f>
        <v>30</v>
      </c>
      <c r="H920">
        <f>'Feb to July, 2022'!Q22</f>
        <v>0</v>
      </c>
      <c r="I920">
        <f>'Feb to July, 2022'!R22</f>
        <v>7.5</v>
      </c>
      <c r="J920">
        <f>G920*Parameters!$B$2*Parameters!$B$5</f>
        <v>63.87299999999999</v>
      </c>
      <c r="K920">
        <f>H920*Parameters!$B$3*Parameters!$B$6</f>
        <v>0</v>
      </c>
      <c r="L920">
        <f>I920*Parameters!$B$4*Parameters!$B$7</f>
        <v>60.723000000000006</v>
      </c>
      <c r="M920">
        <f t="shared" si="14"/>
        <v>124.596</v>
      </c>
      <c r="N920">
        <v>3000</v>
      </c>
      <c r="O920">
        <v>0</v>
      </c>
      <c r="P920">
        <v>0</v>
      </c>
      <c r="Q920">
        <v>2250</v>
      </c>
    </row>
    <row r="921" spans="1:17">
      <c r="A921" t="s">
        <v>43</v>
      </c>
      <c r="B921" t="s">
        <v>19</v>
      </c>
      <c r="C921">
        <v>8</v>
      </c>
      <c r="D921">
        <v>2022</v>
      </c>
      <c r="E921" s="49" t="s">
        <v>154</v>
      </c>
      <c r="F921" s="49" t="s">
        <v>163</v>
      </c>
      <c r="G921">
        <f>'Feb to July, 2022'!O23+'Feb to July, 2022'!P23</f>
        <v>45</v>
      </c>
      <c r="H921">
        <f>'Feb to July, 2022'!Q23</f>
        <v>0</v>
      </c>
      <c r="I921">
        <f>'Feb to July, 2022'!R23</f>
        <v>15</v>
      </c>
      <c r="J921">
        <f>G921*Parameters!$B$2*Parameters!$B$5</f>
        <v>95.809499999999986</v>
      </c>
      <c r="K921">
        <f>H921*Parameters!$B$3*Parameters!$B$6</f>
        <v>0</v>
      </c>
      <c r="L921">
        <f>I921*Parameters!$B$4*Parameters!$B$7</f>
        <v>121.44600000000001</v>
      </c>
      <c r="M921">
        <f t="shared" si="14"/>
        <v>217.25549999999998</v>
      </c>
      <c r="N921">
        <v>4500</v>
      </c>
      <c r="O921">
        <v>0</v>
      </c>
      <c r="P921">
        <v>0</v>
      </c>
      <c r="Q921">
        <v>4500</v>
      </c>
    </row>
    <row r="922" spans="1:17">
      <c r="A922" t="s">
        <v>44</v>
      </c>
      <c r="B922" t="s">
        <v>40</v>
      </c>
      <c r="C922">
        <v>10</v>
      </c>
      <c r="D922">
        <v>2022</v>
      </c>
      <c r="E922" s="49" t="s">
        <v>154</v>
      </c>
      <c r="F922" s="49" t="s">
        <v>163</v>
      </c>
      <c r="G922">
        <f>'Feb to July, 2022'!O24+'Feb to July, 2022'!P24</f>
        <v>25</v>
      </c>
      <c r="H922">
        <f>'Feb to July, 2022'!Q24</f>
        <v>0</v>
      </c>
      <c r="I922">
        <f>'Feb to July, 2022'!R24</f>
        <v>15</v>
      </c>
      <c r="J922">
        <f>G922*Parameters!$B$2*Parameters!$B$5</f>
        <v>53.227499999999992</v>
      </c>
      <c r="K922">
        <f>H922*Parameters!$B$3*Parameters!$B$6</f>
        <v>0</v>
      </c>
      <c r="L922">
        <f>I922*Parameters!$B$4*Parameters!$B$7</f>
        <v>121.44600000000001</v>
      </c>
      <c r="M922">
        <f t="shared" si="14"/>
        <v>174.67349999999999</v>
      </c>
      <c r="N922">
        <v>2500</v>
      </c>
      <c r="O922">
        <v>0</v>
      </c>
      <c r="P922">
        <v>0</v>
      </c>
      <c r="Q922">
        <v>4500</v>
      </c>
    </row>
    <row r="923" spans="1:17">
      <c r="A923" t="s">
        <v>45</v>
      </c>
      <c r="B923" t="s">
        <v>24</v>
      </c>
      <c r="C923">
        <v>8</v>
      </c>
      <c r="D923">
        <v>2022</v>
      </c>
      <c r="E923" s="49" t="s">
        <v>154</v>
      </c>
      <c r="F923" s="49" t="s">
        <v>163</v>
      </c>
      <c r="G923">
        <f>'Feb to July, 2022'!O25+'Feb to July, 2022'!P25</f>
        <v>30</v>
      </c>
      <c r="H923">
        <f>'Feb to July, 2022'!Q25</f>
        <v>0</v>
      </c>
      <c r="I923">
        <f>'Feb to July, 2022'!R25</f>
        <v>10</v>
      </c>
      <c r="J923">
        <f>G923*Parameters!$B$2*Parameters!$B$5</f>
        <v>63.87299999999999</v>
      </c>
      <c r="K923">
        <f>H923*Parameters!$B$3*Parameters!$B$6</f>
        <v>0</v>
      </c>
      <c r="L923">
        <f>I923*Parameters!$B$4*Parameters!$B$7</f>
        <v>80.963999999999999</v>
      </c>
      <c r="M923">
        <f t="shared" si="14"/>
        <v>144.83699999999999</v>
      </c>
      <c r="N923">
        <v>3000</v>
      </c>
      <c r="O923">
        <v>0</v>
      </c>
      <c r="P923">
        <v>0</v>
      </c>
      <c r="Q923">
        <v>3000</v>
      </c>
    </row>
    <row r="924" spans="1:17">
      <c r="A924" t="s">
        <v>46</v>
      </c>
      <c r="B924" t="s">
        <v>24</v>
      </c>
      <c r="C924">
        <v>4</v>
      </c>
      <c r="D924">
        <v>2022</v>
      </c>
      <c r="E924" s="49" t="s">
        <v>154</v>
      </c>
      <c r="F924" s="49" t="s">
        <v>163</v>
      </c>
      <c r="G924">
        <f>'Feb to July, 2022'!O26+'Feb to July, 2022'!P26</f>
        <v>30</v>
      </c>
      <c r="H924">
        <f>'Feb to July, 2022'!Q26</f>
        <v>0</v>
      </c>
      <c r="I924">
        <f>'Feb to July, 2022'!R26</f>
        <v>12.5</v>
      </c>
      <c r="J924">
        <f>G924*Parameters!$B$2*Parameters!$B$5</f>
        <v>63.87299999999999</v>
      </c>
      <c r="K924">
        <f>H924*Parameters!$B$3*Parameters!$B$6</f>
        <v>0</v>
      </c>
      <c r="L924">
        <f>I924*Parameters!$B$4*Parameters!$B$7</f>
        <v>101.20500000000001</v>
      </c>
      <c r="M924">
        <f t="shared" si="14"/>
        <v>165.078</v>
      </c>
      <c r="N924">
        <v>3000</v>
      </c>
      <c r="O924">
        <v>0</v>
      </c>
      <c r="P924">
        <v>0</v>
      </c>
      <c r="Q924">
        <v>3750</v>
      </c>
    </row>
    <row r="925" spans="1:17">
      <c r="A925" t="s">
        <v>47</v>
      </c>
      <c r="B925" t="s">
        <v>19</v>
      </c>
      <c r="C925">
        <v>6</v>
      </c>
      <c r="D925">
        <v>2022</v>
      </c>
      <c r="E925" s="49" t="s">
        <v>154</v>
      </c>
      <c r="F925" s="49" t="s">
        <v>163</v>
      </c>
      <c r="G925">
        <f>'Feb to July, 2022'!O27+'Feb to July, 2022'!P27</f>
        <v>0</v>
      </c>
      <c r="H925">
        <f>'Feb to July, 2022'!Q27</f>
        <v>0</v>
      </c>
      <c r="I925">
        <f>'Feb to July, 2022'!R27</f>
        <v>10</v>
      </c>
      <c r="J925">
        <f>G925*Parameters!$B$2*Parameters!$B$5</f>
        <v>0</v>
      </c>
      <c r="K925">
        <f>H925*Parameters!$B$3*Parameters!$B$6</f>
        <v>0</v>
      </c>
      <c r="L925">
        <f>I925*Parameters!$B$4*Parameters!$B$7</f>
        <v>80.963999999999999</v>
      </c>
      <c r="M925">
        <f t="shared" si="14"/>
        <v>80.963999999999999</v>
      </c>
      <c r="N925">
        <v>0</v>
      </c>
      <c r="O925">
        <v>0</v>
      </c>
      <c r="P925">
        <v>0</v>
      </c>
      <c r="Q925">
        <v>3000</v>
      </c>
    </row>
    <row r="926" spans="1:17">
      <c r="A926" t="s">
        <v>48</v>
      </c>
      <c r="B926" t="s">
        <v>24</v>
      </c>
      <c r="C926">
        <v>4</v>
      </c>
      <c r="D926">
        <v>2022</v>
      </c>
      <c r="E926" s="49" t="s">
        <v>154</v>
      </c>
      <c r="F926" s="49" t="s">
        <v>163</v>
      </c>
      <c r="G926">
        <f>'Feb to July, 2022'!O28+'Feb to July, 2022'!P28</f>
        <v>25</v>
      </c>
      <c r="H926">
        <f>'Feb to July, 2022'!Q28</f>
        <v>0</v>
      </c>
      <c r="I926">
        <f>'Feb to July, 2022'!R28</f>
        <v>10</v>
      </c>
      <c r="J926">
        <f>G926*Parameters!$B$2*Parameters!$B$5</f>
        <v>53.227499999999992</v>
      </c>
      <c r="K926">
        <f>H926*Parameters!$B$3*Parameters!$B$6</f>
        <v>0</v>
      </c>
      <c r="L926">
        <f>I926*Parameters!$B$4*Parameters!$B$7</f>
        <v>80.963999999999999</v>
      </c>
      <c r="M926">
        <f t="shared" si="14"/>
        <v>134.19149999999999</v>
      </c>
      <c r="N926">
        <v>2500</v>
      </c>
      <c r="O926">
        <v>0</v>
      </c>
      <c r="P926">
        <v>0</v>
      </c>
      <c r="Q926">
        <v>3000</v>
      </c>
    </row>
    <row r="927" spans="1:17">
      <c r="A927" t="s">
        <v>49</v>
      </c>
      <c r="B927" t="s">
        <v>38</v>
      </c>
      <c r="C927">
        <v>2</v>
      </c>
      <c r="D927">
        <v>2022</v>
      </c>
      <c r="E927" s="49" t="s">
        <v>154</v>
      </c>
      <c r="F927" s="49" t="s">
        <v>163</v>
      </c>
      <c r="G927">
        <f>'Feb to July, 2022'!O29+'Feb to July, 2022'!P29</f>
        <v>30</v>
      </c>
      <c r="H927">
        <f>'Feb to July, 2022'!Q29</f>
        <v>0</v>
      </c>
      <c r="I927">
        <f>'Feb to July, 2022'!R29</f>
        <v>20</v>
      </c>
      <c r="J927">
        <f>G927*Parameters!$B$2*Parameters!$B$5</f>
        <v>63.87299999999999</v>
      </c>
      <c r="K927">
        <f>H927*Parameters!$B$3*Parameters!$B$6</f>
        <v>0</v>
      </c>
      <c r="L927">
        <f>I927*Parameters!$B$4*Parameters!$B$7</f>
        <v>161.928</v>
      </c>
      <c r="M927">
        <f t="shared" si="14"/>
        <v>225.80099999999999</v>
      </c>
      <c r="N927">
        <v>3000</v>
      </c>
      <c r="O927">
        <v>0</v>
      </c>
      <c r="P927">
        <v>0</v>
      </c>
      <c r="Q927">
        <v>6000</v>
      </c>
    </row>
    <row r="928" spans="1:17">
      <c r="A928" t="s">
        <v>50</v>
      </c>
      <c r="B928" t="s">
        <v>19</v>
      </c>
      <c r="C928">
        <v>8</v>
      </c>
      <c r="D928">
        <v>2022</v>
      </c>
      <c r="E928" s="49" t="s">
        <v>154</v>
      </c>
      <c r="F928" s="49" t="s">
        <v>163</v>
      </c>
      <c r="G928">
        <f>'Feb to July, 2022'!O30+'Feb to July, 2022'!P30</f>
        <v>30</v>
      </c>
      <c r="H928">
        <f>'Feb to July, 2022'!Q30</f>
        <v>0</v>
      </c>
      <c r="I928">
        <f>'Feb to July, 2022'!R30</f>
        <v>7.5</v>
      </c>
      <c r="J928">
        <f>G928*Parameters!$B$2*Parameters!$B$5</f>
        <v>63.87299999999999</v>
      </c>
      <c r="K928">
        <f>H928*Parameters!$B$3*Parameters!$B$6</f>
        <v>0</v>
      </c>
      <c r="L928">
        <f>I928*Parameters!$B$4*Parameters!$B$7</f>
        <v>60.723000000000006</v>
      </c>
      <c r="M928">
        <f t="shared" si="14"/>
        <v>124.596</v>
      </c>
      <c r="N928">
        <v>3000</v>
      </c>
      <c r="O928">
        <v>0</v>
      </c>
      <c r="P928">
        <v>0</v>
      </c>
      <c r="Q928">
        <v>2250</v>
      </c>
    </row>
    <row r="929" spans="1:17">
      <c r="A929" t="s">
        <v>51</v>
      </c>
      <c r="B929" t="s">
        <v>19</v>
      </c>
      <c r="C929">
        <v>6</v>
      </c>
      <c r="D929">
        <v>2022</v>
      </c>
      <c r="E929" s="49" t="s">
        <v>154</v>
      </c>
      <c r="F929" s="49" t="s">
        <v>163</v>
      </c>
      <c r="G929">
        <f>'Feb to July, 2022'!O31+'Feb to July, 2022'!P31</f>
        <v>25</v>
      </c>
      <c r="H929">
        <f>'Feb to July, 2022'!Q31</f>
        <v>0</v>
      </c>
      <c r="I929">
        <f>'Feb to July, 2022'!R31</f>
        <v>20</v>
      </c>
      <c r="J929">
        <f>G929*Parameters!$B$2*Parameters!$B$5</f>
        <v>53.227499999999992</v>
      </c>
      <c r="K929">
        <f>H929*Parameters!$B$3*Parameters!$B$6</f>
        <v>0</v>
      </c>
      <c r="L929">
        <f>I929*Parameters!$B$4*Parameters!$B$7</f>
        <v>161.928</v>
      </c>
      <c r="M929">
        <f t="shared" si="14"/>
        <v>215.15549999999999</v>
      </c>
      <c r="N929">
        <v>2500</v>
      </c>
      <c r="O929">
        <v>0</v>
      </c>
      <c r="P929">
        <v>0</v>
      </c>
      <c r="Q929">
        <v>6000</v>
      </c>
    </row>
    <row r="930" spans="1:17">
      <c r="A930" t="s">
        <v>52</v>
      </c>
      <c r="B930" t="s">
        <v>38</v>
      </c>
      <c r="C930">
        <v>12</v>
      </c>
      <c r="D930">
        <v>2022</v>
      </c>
      <c r="E930" s="49" t="s">
        <v>154</v>
      </c>
      <c r="F930" s="49" t="s">
        <v>163</v>
      </c>
      <c r="G930">
        <f>'Feb to July, 2022'!O32+'Feb to July, 2022'!P32</f>
        <v>55</v>
      </c>
      <c r="H930">
        <f>'Feb to July, 2022'!Q32</f>
        <v>0</v>
      </c>
      <c r="I930">
        <f>'Feb to July, 2022'!R32</f>
        <v>10</v>
      </c>
      <c r="J930">
        <f>G930*Parameters!$B$2*Parameters!$B$5</f>
        <v>117.10049999999998</v>
      </c>
      <c r="K930">
        <f>H930*Parameters!$B$3*Parameters!$B$6</f>
        <v>0</v>
      </c>
      <c r="L930">
        <f>I930*Parameters!$B$4*Parameters!$B$7</f>
        <v>80.963999999999999</v>
      </c>
      <c r="M930">
        <f t="shared" si="14"/>
        <v>198.06449999999998</v>
      </c>
      <c r="N930">
        <v>5500</v>
      </c>
      <c r="O930">
        <v>0</v>
      </c>
      <c r="P930">
        <v>0</v>
      </c>
      <c r="Q930">
        <v>3000</v>
      </c>
    </row>
    <row r="931" spans="1:17">
      <c r="A931" t="s">
        <v>53</v>
      </c>
      <c r="B931" t="s">
        <v>40</v>
      </c>
      <c r="C931">
        <v>8</v>
      </c>
      <c r="D931">
        <v>2022</v>
      </c>
      <c r="E931" s="49" t="s">
        <v>154</v>
      </c>
      <c r="F931" s="49" t="s">
        <v>163</v>
      </c>
      <c r="G931">
        <f>'Feb to July, 2022'!O33+'Feb to July, 2022'!P33</f>
        <v>60</v>
      </c>
      <c r="H931">
        <f>'Feb to July, 2022'!Q33</f>
        <v>0</v>
      </c>
      <c r="I931">
        <f>'Feb to July, 2022'!R33</f>
        <v>15</v>
      </c>
      <c r="J931">
        <f>G931*Parameters!$B$2*Parameters!$B$5</f>
        <v>127.74599999999998</v>
      </c>
      <c r="K931">
        <f>H931*Parameters!$B$3*Parameters!$B$6</f>
        <v>0</v>
      </c>
      <c r="L931">
        <f>I931*Parameters!$B$4*Parameters!$B$7</f>
        <v>121.44600000000001</v>
      </c>
      <c r="M931">
        <f t="shared" si="14"/>
        <v>249.19200000000001</v>
      </c>
      <c r="N931">
        <v>6000</v>
      </c>
      <c r="O931">
        <v>0</v>
      </c>
      <c r="P931">
        <v>0</v>
      </c>
      <c r="Q931">
        <v>4500</v>
      </c>
    </row>
    <row r="932" spans="1:17">
      <c r="A932" t="s">
        <v>54</v>
      </c>
      <c r="B932" t="s">
        <v>40</v>
      </c>
      <c r="C932">
        <v>6</v>
      </c>
      <c r="D932">
        <v>2022</v>
      </c>
      <c r="E932" s="49" t="s">
        <v>154</v>
      </c>
      <c r="F932" s="49" t="s">
        <v>163</v>
      </c>
      <c r="G932">
        <f>'Feb to July, 2022'!O34+'Feb to July, 2022'!P34</f>
        <v>40</v>
      </c>
      <c r="H932">
        <f>'Feb to July, 2022'!Q34</f>
        <v>0</v>
      </c>
      <c r="I932">
        <f>'Feb to July, 2022'!R34</f>
        <v>10</v>
      </c>
      <c r="J932">
        <f>G932*Parameters!$B$2*Parameters!$B$5</f>
        <v>85.163999999999987</v>
      </c>
      <c r="K932">
        <f>H932*Parameters!$B$3*Parameters!$B$6</f>
        <v>0</v>
      </c>
      <c r="L932">
        <f>I932*Parameters!$B$4*Parameters!$B$7</f>
        <v>80.963999999999999</v>
      </c>
      <c r="M932">
        <f t="shared" si="14"/>
        <v>166.12799999999999</v>
      </c>
      <c r="N932">
        <v>4000</v>
      </c>
      <c r="O932">
        <v>0</v>
      </c>
      <c r="P932">
        <v>0</v>
      </c>
      <c r="Q932">
        <v>3000</v>
      </c>
    </row>
    <row r="933" spans="1:17">
      <c r="A933" t="s">
        <v>55</v>
      </c>
      <c r="B933" t="s">
        <v>56</v>
      </c>
      <c r="C933">
        <v>4</v>
      </c>
      <c r="D933">
        <v>2022</v>
      </c>
      <c r="E933" s="49" t="s">
        <v>154</v>
      </c>
      <c r="F933" s="49" t="s">
        <v>163</v>
      </c>
      <c r="G933">
        <f>'Feb to July, 2022'!O35+'Feb to July, 2022'!P35</f>
        <v>0</v>
      </c>
      <c r="H933">
        <f>'Feb to July, 2022'!Q35</f>
        <v>0</v>
      </c>
      <c r="I933">
        <f>'Feb to July, 2022'!R35</f>
        <v>15</v>
      </c>
      <c r="J933">
        <f>G933*Parameters!$B$2*Parameters!$B$5</f>
        <v>0</v>
      </c>
      <c r="K933">
        <f>H933*Parameters!$B$3*Parameters!$B$6</f>
        <v>0</v>
      </c>
      <c r="L933">
        <f>I933*Parameters!$B$4*Parameters!$B$7</f>
        <v>121.44600000000001</v>
      </c>
      <c r="M933">
        <f t="shared" si="14"/>
        <v>121.44600000000001</v>
      </c>
      <c r="N933">
        <v>0</v>
      </c>
      <c r="O933">
        <v>0</v>
      </c>
      <c r="P933">
        <v>0</v>
      </c>
      <c r="Q933">
        <v>4500</v>
      </c>
    </row>
    <row r="934" spans="1:17">
      <c r="A934" t="s">
        <v>57</v>
      </c>
      <c r="B934" t="s">
        <v>40</v>
      </c>
      <c r="C934">
        <v>4</v>
      </c>
      <c r="D934">
        <v>2022</v>
      </c>
      <c r="E934" s="49" t="s">
        <v>154</v>
      </c>
      <c r="F934" s="49" t="s">
        <v>163</v>
      </c>
      <c r="G934">
        <f>'Feb to July, 2022'!O36+'Feb to July, 2022'!P36</f>
        <v>30</v>
      </c>
      <c r="H934">
        <f>'Feb to July, 2022'!Q36</f>
        <v>0</v>
      </c>
      <c r="I934">
        <f>'Feb to July, 2022'!R36</f>
        <v>10</v>
      </c>
      <c r="J934">
        <f>G934*Parameters!$B$2*Parameters!$B$5</f>
        <v>63.87299999999999</v>
      </c>
      <c r="K934">
        <f>H934*Parameters!$B$3*Parameters!$B$6</f>
        <v>0</v>
      </c>
      <c r="L934">
        <f>I934*Parameters!$B$4*Parameters!$B$7</f>
        <v>80.963999999999999</v>
      </c>
      <c r="M934">
        <f t="shared" si="14"/>
        <v>144.83699999999999</v>
      </c>
      <c r="N934">
        <v>3000</v>
      </c>
      <c r="O934">
        <v>0</v>
      </c>
      <c r="P934">
        <v>0</v>
      </c>
      <c r="Q934">
        <v>3000</v>
      </c>
    </row>
    <row r="935" spans="1:17">
      <c r="A935" t="s">
        <v>58</v>
      </c>
      <c r="B935" t="s">
        <v>26</v>
      </c>
      <c r="C935">
        <v>6</v>
      </c>
      <c r="D935">
        <v>2022</v>
      </c>
      <c r="E935" s="49" t="s">
        <v>154</v>
      </c>
      <c r="F935" s="49" t="s">
        <v>163</v>
      </c>
      <c r="G935">
        <f>'Feb to July, 2022'!O37+'Feb to July, 2022'!P37</f>
        <v>30</v>
      </c>
      <c r="H935">
        <f>'Feb to July, 2022'!Q37</f>
        <v>0</v>
      </c>
      <c r="I935">
        <f>'Feb to July, 2022'!R37</f>
        <v>10</v>
      </c>
      <c r="J935">
        <f>G935*Parameters!$B$2*Parameters!$B$5</f>
        <v>63.87299999999999</v>
      </c>
      <c r="K935">
        <f>H935*Parameters!$B$3*Parameters!$B$6</f>
        <v>0</v>
      </c>
      <c r="L935">
        <f>I935*Parameters!$B$4*Parameters!$B$7</f>
        <v>80.963999999999999</v>
      </c>
      <c r="M935">
        <f t="shared" si="14"/>
        <v>144.83699999999999</v>
      </c>
      <c r="N935">
        <v>3000</v>
      </c>
      <c r="O935">
        <v>0</v>
      </c>
      <c r="P935">
        <v>0</v>
      </c>
      <c r="Q935">
        <v>3000</v>
      </c>
    </row>
    <row r="936" spans="1:17">
      <c r="A936" t="s">
        <v>59</v>
      </c>
      <c r="B936" t="s">
        <v>26</v>
      </c>
      <c r="C936">
        <v>7</v>
      </c>
      <c r="D936">
        <v>2022</v>
      </c>
      <c r="E936" s="49" t="s">
        <v>154</v>
      </c>
      <c r="F936" s="49" t="s">
        <v>163</v>
      </c>
      <c r="G936">
        <f>'Feb to July, 2022'!O38+'Feb to July, 2022'!P38</f>
        <v>40</v>
      </c>
      <c r="H936">
        <f>'Feb to July, 2022'!Q38</f>
        <v>0</v>
      </c>
      <c r="I936">
        <f>'Feb to July, 2022'!R38</f>
        <v>10</v>
      </c>
      <c r="J936">
        <f>G936*Parameters!$B$2*Parameters!$B$5</f>
        <v>85.163999999999987</v>
      </c>
      <c r="K936">
        <f>H936*Parameters!$B$3*Parameters!$B$6</f>
        <v>0</v>
      </c>
      <c r="L936">
        <f>I936*Parameters!$B$4*Parameters!$B$7</f>
        <v>80.963999999999999</v>
      </c>
      <c r="M936">
        <f t="shared" si="14"/>
        <v>166.12799999999999</v>
      </c>
      <c r="N936">
        <v>4000</v>
      </c>
      <c r="O936">
        <v>0</v>
      </c>
      <c r="P936">
        <v>0</v>
      </c>
      <c r="Q936">
        <v>3000</v>
      </c>
    </row>
    <row r="937" spans="1:17">
      <c r="A937" t="s">
        <v>60</v>
      </c>
      <c r="B937" t="s">
        <v>26</v>
      </c>
      <c r="C937">
        <v>8</v>
      </c>
      <c r="D937">
        <v>2022</v>
      </c>
      <c r="E937" s="49" t="s">
        <v>154</v>
      </c>
      <c r="F937" s="49" t="s">
        <v>163</v>
      </c>
      <c r="G937">
        <f>'Feb to July, 2022'!O39+'Feb to July, 2022'!P39</f>
        <v>25</v>
      </c>
      <c r="H937">
        <f>'Feb to July, 2022'!Q39</f>
        <v>0</v>
      </c>
      <c r="I937">
        <f>'Feb to July, 2022'!R39</f>
        <v>0</v>
      </c>
      <c r="J937">
        <f>G937*Parameters!$B$2*Parameters!$B$5</f>
        <v>53.227499999999992</v>
      </c>
      <c r="K937">
        <f>H937*Parameters!$B$3*Parameters!$B$6</f>
        <v>0</v>
      </c>
      <c r="L937">
        <f>I937*Parameters!$B$4*Parameters!$B$7</f>
        <v>0</v>
      </c>
      <c r="M937">
        <f t="shared" si="14"/>
        <v>53.227499999999992</v>
      </c>
      <c r="N937">
        <v>2500</v>
      </c>
      <c r="O937">
        <v>0</v>
      </c>
      <c r="P937">
        <v>0</v>
      </c>
      <c r="Q937">
        <v>0</v>
      </c>
    </row>
    <row r="938" spans="1:17">
      <c r="A938" t="s">
        <v>61</v>
      </c>
      <c r="B938" t="s">
        <v>56</v>
      </c>
      <c r="C938">
        <v>5</v>
      </c>
      <c r="D938">
        <v>2022</v>
      </c>
      <c r="E938" s="49" t="s">
        <v>154</v>
      </c>
      <c r="F938" s="49" t="s">
        <v>163</v>
      </c>
      <c r="G938">
        <f>'Feb to July, 2022'!O40+'Feb to July, 2022'!P40</f>
        <v>22</v>
      </c>
      <c r="H938">
        <f>'Feb to July, 2022'!Q40</f>
        <v>0</v>
      </c>
      <c r="I938">
        <f>'Feb to July, 2022'!R40</f>
        <v>20</v>
      </c>
      <c r="J938">
        <f>G938*Parameters!$B$2*Parameters!$B$5</f>
        <v>46.840199999999996</v>
      </c>
      <c r="K938">
        <f>H938*Parameters!$B$3*Parameters!$B$6</f>
        <v>0</v>
      </c>
      <c r="L938">
        <f>I938*Parameters!$B$4*Parameters!$B$7</f>
        <v>161.928</v>
      </c>
      <c r="M938">
        <f t="shared" si="14"/>
        <v>208.76819999999998</v>
      </c>
      <c r="N938">
        <v>2200</v>
      </c>
      <c r="O938">
        <v>0</v>
      </c>
      <c r="P938">
        <v>0</v>
      </c>
      <c r="Q938">
        <v>6000</v>
      </c>
    </row>
    <row r="939" spans="1:17">
      <c r="A939" t="s">
        <v>62</v>
      </c>
      <c r="B939" t="s">
        <v>21</v>
      </c>
      <c r="C939">
        <v>6</v>
      </c>
      <c r="D939">
        <v>2022</v>
      </c>
      <c r="E939" s="49" t="s">
        <v>154</v>
      </c>
      <c r="F939" s="49" t="s">
        <v>163</v>
      </c>
      <c r="G939">
        <f>'Feb to July, 2022'!O41+'Feb to July, 2022'!P41</f>
        <v>40</v>
      </c>
      <c r="H939">
        <f>'Feb to July, 2022'!Q41</f>
        <v>0</v>
      </c>
      <c r="I939">
        <f>'Feb to July, 2022'!R41</f>
        <v>15</v>
      </c>
      <c r="J939">
        <f>G939*Parameters!$B$2*Parameters!$B$5</f>
        <v>85.163999999999987</v>
      </c>
      <c r="K939">
        <f>H939*Parameters!$B$3*Parameters!$B$6</f>
        <v>0</v>
      </c>
      <c r="L939">
        <f>I939*Parameters!$B$4*Parameters!$B$7</f>
        <v>121.44600000000001</v>
      </c>
      <c r="M939">
        <f t="shared" si="14"/>
        <v>206.61</v>
      </c>
      <c r="N939">
        <v>4000</v>
      </c>
      <c r="O939">
        <v>0</v>
      </c>
      <c r="P939">
        <v>0</v>
      </c>
      <c r="Q939">
        <v>4500</v>
      </c>
    </row>
    <row r="940" spans="1:17">
      <c r="A940" t="s">
        <v>63</v>
      </c>
      <c r="B940" t="s">
        <v>21</v>
      </c>
      <c r="C940">
        <v>9</v>
      </c>
      <c r="D940">
        <v>2022</v>
      </c>
      <c r="E940" s="49" t="s">
        <v>154</v>
      </c>
      <c r="F940" s="49" t="s">
        <v>163</v>
      </c>
      <c r="G940">
        <f>'Feb to July, 2022'!O42+'Feb to July, 2022'!P42</f>
        <v>50</v>
      </c>
      <c r="H940">
        <f>'Feb to July, 2022'!Q42</f>
        <v>0</v>
      </c>
      <c r="I940">
        <f>'Feb to July, 2022'!R42</f>
        <v>20</v>
      </c>
      <c r="J940">
        <f>G940*Parameters!$B$2*Parameters!$B$5</f>
        <v>106.45499999999998</v>
      </c>
      <c r="K940">
        <f>H940*Parameters!$B$3*Parameters!$B$6</f>
        <v>0</v>
      </c>
      <c r="L940">
        <f>I940*Parameters!$B$4*Parameters!$B$7</f>
        <v>161.928</v>
      </c>
      <c r="M940">
        <f t="shared" si="14"/>
        <v>268.38299999999998</v>
      </c>
      <c r="N940">
        <v>5000</v>
      </c>
      <c r="O940">
        <v>0</v>
      </c>
      <c r="P940">
        <v>0</v>
      </c>
      <c r="Q940">
        <v>6000</v>
      </c>
    </row>
    <row r="941" spans="1:17">
      <c r="A941" t="s">
        <v>64</v>
      </c>
      <c r="B941" t="s">
        <v>65</v>
      </c>
      <c r="C941">
        <v>3</v>
      </c>
      <c r="D941">
        <v>2022</v>
      </c>
      <c r="E941" s="49" t="s">
        <v>154</v>
      </c>
      <c r="F941" s="49" t="s">
        <v>163</v>
      </c>
      <c r="G941">
        <f>'Feb to July, 2022'!O43+'Feb to July, 2022'!P43</f>
        <v>0</v>
      </c>
      <c r="H941">
        <f>'Feb to July, 2022'!Q43</f>
        <v>0</v>
      </c>
      <c r="I941">
        <f>'Feb to July, 2022'!R43</f>
        <v>20</v>
      </c>
      <c r="J941">
        <f>G941*Parameters!$B$2*Parameters!$B$5</f>
        <v>0</v>
      </c>
      <c r="K941">
        <f>H941*Parameters!$B$3*Parameters!$B$6</f>
        <v>0</v>
      </c>
      <c r="L941">
        <f>I941*Parameters!$B$4*Parameters!$B$7</f>
        <v>161.928</v>
      </c>
      <c r="M941">
        <f t="shared" si="14"/>
        <v>161.928</v>
      </c>
      <c r="N941">
        <v>0</v>
      </c>
      <c r="O941">
        <v>0</v>
      </c>
      <c r="P941">
        <v>0</v>
      </c>
      <c r="Q941">
        <v>6000</v>
      </c>
    </row>
    <row r="942" spans="1:17">
      <c r="A942" t="s">
        <v>66</v>
      </c>
      <c r="B942" t="s">
        <v>24</v>
      </c>
      <c r="C942">
        <v>4</v>
      </c>
      <c r="D942">
        <v>2022</v>
      </c>
      <c r="E942" s="49" t="s">
        <v>154</v>
      </c>
      <c r="F942" s="49" t="s">
        <v>163</v>
      </c>
      <c r="G942">
        <f>'Feb to July, 2022'!O44+'Feb to July, 2022'!P44</f>
        <v>35</v>
      </c>
      <c r="H942">
        <f>'Feb to July, 2022'!Q44</f>
        <v>0</v>
      </c>
      <c r="I942">
        <f>'Feb to July, 2022'!R44</f>
        <v>15</v>
      </c>
      <c r="J942">
        <f>G942*Parameters!$B$2*Parameters!$B$5</f>
        <v>74.518499999999989</v>
      </c>
      <c r="K942">
        <f>H942*Parameters!$B$3*Parameters!$B$6</f>
        <v>0</v>
      </c>
      <c r="L942">
        <f>I942*Parameters!$B$4*Parameters!$B$7</f>
        <v>121.44600000000001</v>
      </c>
      <c r="M942">
        <f t="shared" si="14"/>
        <v>195.96449999999999</v>
      </c>
      <c r="N942">
        <v>3500</v>
      </c>
      <c r="O942">
        <v>0</v>
      </c>
      <c r="P942">
        <v>0</v>
      </c>
      <c r="Q942">
        <v>4500</v>
      </c>
    </row>
    <row r="943" spans="1:17">
      <c r="A943" t="s">
        <v>67</v>
      </c>
      <c r="B943" t="s">
        <v>56</v>
      </c>
      <c r="C943">
        <v>6</v>
      </c>
      <c r="D943">
        <v>2022</v>
      </c>
      <c r="E943" s="49" t="s">
        <v>154</v>
      </c>
      <c r="F943" s="49" t="s">
        <v>163</v>
      </c>
      <c r="G943">
        <f>'Feb to July, 2022'!O45+'Feb to July, 2022'!P45</f>
        <v>48</v>
      </c>
      <c r="H943">
        <f>'Feb to July, 2022'!Q45</f>
        <v>0</v>
      </c>
      <c r="I943">
        <f>'Feb to July, 2022'!R45</f>
        <v>10</v>
      </c>
      <c r="J943">
        <f>G943*Parameters!$B$2*Parameters!$B$5</f>
        <v>102.19679999999998</v>
      </c>
      <c r="K943">
        <f>H943*Parameters!$B$3*Parameters!$B$6</f>
        <v>0</v>
      </c>
      <c r="L943">
        <f>I943*Parameters!$B$4*Parameters!$B$7</f>
        <v>80.963999999999999</v>
      </c>
      <c r="M943">
        <f t="shared" si="14"/>
        <v>183.16079999999999</v>
      </c>
      <c r="N943">
        <v>4800</v>
      </c>
      <c r="O943">
        <v>0</v>
      </c>
      <c r="P943">
        <v>0</v>
      </c>
      <c r="Q943">
        <v>3000</v>
      </c>
    </row>
    <row r="944" spans="1:17">
      <c r="A944" t="s">
        <v>68</v>
      </c>
      <c r="B944" t="s">
        <v>21</v>
      </c>
      <c r="C944">
        <v>4</v>
      </c>
      <c r="D944">
        <v>2022</v>
      </c>
      <c r="E944" s="49" t="s">
        <v>154</v>
      </c>
      <c r="F944" s="49" t="s">
        <v>163</v>
      </c>
      <c r="G944">
        <f>'Feb to July, 2022'!O46+'Feb to July, 2022'!P46</f>
        <v>38</v>
      </c>
      <c r="H944">
        <f>'Feb to July, 2022'!Q46</f>
        <v>0</v>
      </c>
      <c r="I944">
        <f>'Feb to July, 2022'!R46</f>
        <v>15</v>
      </c>
      <c r="J944">
        <f>G944*Parameters!$B$2*Parameters!$B$5</f>
        <v>80.905799999999985</v>
      </c>
      <c r="K944">
        <f>H944*Parameters!$B$3*Parameters!$B$6</f>
        <v>0</v>
      </c>
      <c r="L944">
        <f>I944*Parameters!$B$4*Parameters!$B$7</f>
        <v>121.44600000000001</v>
      </c>
      <c r="M944">
        <f t="shared" si="14"/>
        <v>202.3518</v>
      </c>
      <c r="N944">
        <v>3800</v>
      </c>
      <c r="O944">
        <v>0</v>
      </c>
      <c r="P944">
        <v>0</v>
      </c>
      <c r="Q944">
        <v>4500</v>
      </c>
    </row>
    <row r="945" spans="1:17">
      <c r="A945" t="s">
        <v>69</v>
      </c>
      <c r="B945" t="s">
        <v>24</v>
      </c>
      <c r="C945">
        <v>6</v>
      </c>
      <c r="D945">
        <v>2022</v>
      </c>
      <c r="E945" s="49" t="s">
        <v>154</v>
      </c>
      <c r="F945" s="49" t="s">
        <v>163</v>
      </c>
      <c r="G945">
        <f>'Feb to July, 2022'!O47+'Feb to July, 2022'!P47</f>
        <v>30</v>
      </c>
      <c r="H945">
        <f>'Feb to July, 2022'!Q47</f>
        <v>0</v>
      </c>
      <c r="I945">
        <f>'Feb to July, 2022'!R47</f>
        <v>10</v>
      </c>
      <c r="J945">
        <f>G945*Parameters!$B$2*Parameters!$B$5</f>
        <v>63.87299999999999</v>
      </c>
      <c r="K945">
        <f>H945*Parameters!$B$3*Parameters!$B$6</f>
        <v>0</v>
      </c>
      <c r="L945">
        <f>I945*Parameters!$B$4*Parameters!$B$7</f>
        <v>80.963999999999999</v>
      </c>
      <c r="M945">
        <f t="shared" si="14"/>
        <v>144.83699999999999</v>
      </c>
      <c r="N945">
        <v>3000</v>
      </c>
      <c r="O945">
        <v>0</v>
      </c>
      <c r="P945">
        <v>0</v>
      </c>
      <c r="Q945">
        <v>3000</v>
      </c>
    </row>
    <row r="946" spans="1:17">
      <c r="A946" t="s">
        <v>70</v>
      </c>
      <c r="B946" t="s">
        <v>26</v>
      </c>
      <c r="C946">
        <v>6</v>
      </c>
      <c r="D946">
        <v>2022</v>
      </c>
      <c r="E946" s="49" t="s">
        <v>154</v>
      </c>
      <c r="F946" s="49" t="s">
        <v>163</v>
      </c>
      <c r="G946">
        <f>'Feb to July, 2022'!O48+'Feb to July, 2022'!P48</f>
        <v>42</v>
      </c>
      <c r="H946">
        <f>'Feb to July, 2022'!Q48</f>
        <v>0</v>
      </c>
      <c r="I946">
        <f>'Feb to July, 2022'!R48</f>
        <v>10</v>
      </c>
      <c r="J946">
        <f>G946*Parameters!$B$2*Parameters!$B$5</f>
        <v>89.422199999999975</v>
      </c>
      <c r="K946">
        <f>H946*Parameters!$B$3*Parameters!$B$6</f>
        <v>0</v>
      </c>
      <c r="L946">
        <f>I946*Parameters!$B$4*Parameters!$B$7</f>
        <v>80.963999999999999</v>
      </c>
      <c r="M946">
        <f t="shared" si="14"/>
        <v>170.38619999999997</v>
      </c>
      <c r="N946">
        <v>4200</v>
      </c>
      <c r="O946">
        <v>0</v>
      </c>
      <c r="P946">
        <v>0</v>
      </c>
      <c r="Q946">
        <v>3000</v>
      </c>
    </row>
    <row r="947" spans="1:17">
      <c r="A947" t="s">
        <v>71</v>
      </c>
      <c r="B947" t="s">
        <v>26</v>
      </c>
      <c r="C947">
        <v>5</v>
      </c>
      <c r="D947">
        <v>2022</v>
      </c>
      <c r="E947" s="49" t="s">
        <v>154</v>
      </c>
      <c r="F947" s="49" t="s">
        <v>163</v>
      </c>
      <c r="G947">
        <f>'Feb to July, 2022'!O49+'Feb to July, 2022'!P49</f>
        <v>25</v>
      </c>
      <c r="H947">
        <f>'Feb to July, 2022'!Q49</f>
        <v>0</v>
      </c>
      <c r="I947">
        <f>'Feb to July, 2022'!R49</f>
        <v>5</v>
      </c>
      <c r="J947">
        <f>G947*Parameters!$B$2*Parameters!$B$5</f>
        <v>53.227499999999992</v>
      </c>
      <c r="K947">
        <f>H947*Parameters!$B$3*Parameters!$B$6</f>
        <v>0</v>
      </c>
      <c r="L947">
        <f>I947*Parameters!$B$4*Parameters!$B$7</f>
        <v>40.481999999999999</v>
      </c>
      <c r="M947">
        <f t="shared" si="14"/>
        <v>93.709499999999991</v>
      </c>
      <c r="N947">
        <v>2500</v>
      </c>
      <c r="O947">
        <v>0</v>
      </c>
      <c r="P947">
        <v>0</v>
      </c>
      <c r="Q947">
        <v>1500</v>
      </c>
    </row>
    <row r="948" spans="1:17">
      <c r="A948" t="s">
        <v>72</v>
      </c>
      <c r="B948" t="s">
        <v>26</v>
      </c>
      <c r="C948">
        <v>8</v>
      </c>
      <c r="D948">
        <v>2022</v>
      </c>
      <c r="E948" s="49" t="s">
        <v>154</v>
      </c>
      <c r="F948" s="49" t="s">
        <v>163</v>
      </c>
      <c r="G948">
        <f>'Feb to July, 2022'!O50+'Feb to July, 2022'!P50</f>
        <v>35</v>
      </c>
      <c r="H948">
        <f>'Feb to July, 2022'!Q50</f>
        <v>0</v>
      </c>
      <c r="I948">
        <f>'Feb to July, 2022'!R50</f>
        <v>0</v>
      </c>
      <c r="J948">
        <f>G948*Parameters!$B$2*Parameters!$B$5</f>
        <v>74.518499999999989</v>
      </c>
      <c r="K948">
        <f>H948*Parameters!$B$3*Parameters!$B$6</f>
        <v>0</v>
      </c>
      <c r="L948">
        <f>I948*Parameters!$B$4*Parameters!$B$7</f>
        <v>0</v>
      </c>
      <c r="M948">
        <f t="shared" si="14"/>
        <v>74.518499999999989</v>
      </c>
      <c r="N948">
        <v>3500</v>
      </c>
      <c r="O948">
        <v>0</v>
      </c>
      <c r="P948">
        <v>0</v>
      </c>
      <c r="Q948">
        <v>0</v>
      </c>
    </row>
    <row r="949" spans="1:17">
      <c r="A949" t="s">
        <v>73</v>
      </c>
      <c r="B949" t="s">
        <v>17</v>
      </c>
      <c r="C949">
        <v>4</v>
      </c>
      <c r="D949">
        <v>2022</v>
      </c>
      <c r="E949" s="49" t="s">
        <v>154</v>
      </c>
      <c r="F949" s="49" t="s">
        <v>163</v>
      </c>
      <c r="G949">
        <f>'Feb to July, 2022'!O51+'Feb to July, 2022'!P51</f>
        <v>25</v>
      </c>
      <c r="H949">
        <f>'Feb to July, 2022'!Q51</f>
        <v>0</v>
      </c>
      <c r="I949">
        <f>'Feb to July, 2022'!R51</f>
        <v>10</v>
      </c>
      <c r="J949">
        <f>G949*Parameters!$B$2*Parameters!$B$5</f>
        <v>53.227499999999992</v>
      </c>
      <c r="K949">
        <f>H949*Parameters!$B$3*Parameters!$B$6</f>
        <v>0</v>
      </c>
      <c r="L949">
        <f>I949*Parameters!$B$4*Parameters!$B$7</f>
        <v>80.963999999999999</v>
      </c>
      <c r="M949">
        <f t="shared" si="14"/>
        <v>134.19149999999999</v>
      </c>
      <c r="N949">
        <v>2500</v>
      </c>
      <c r="O949">
        <v>0</v>
      </c>
      <c r="P949">
        <v>0</v>
      </c>
      <c r="Q949">
        <v>3000</v>
      </c>
    </row>
    <row r="950" spans="1:17">
      <c r="A950" t="s">
        <v>74</v>
      </c>
      <c r="B950" t="s">
        <v>65</v>
      </c>
      <c r="C950">
        <v>8</v>
      </c>
      <c r="D950">
        <v>2022</v>
      </c>
      <c r="E950" s="49" t="s">
        <v>154</v>
      </c>
      <c r="F950" s="49" t="s">
        <v>163</v>
      </c>
      <c r="G950">
        <f>'Feb to July, 2022'!O52+'Feb to July, 2022'!P52</f>
        <v>30</v>
      </c>
      <c r="H950">
        <f>'Feb to July, 2022'!Q52</f>
        <v>0</v>
      </c>
      <c r="I950">
        <f>'Feb to July, 2022'!R52</f>
        <v>0</v>
      </c>
      <c r="J950">
        <f>G950*Parameters!$B$2*Parameters!$B$5</f>
        <v>63.87299999999999</v>
      </c>
      <c r="K950">
        <f>H950*Parameters!$B$3*Parameters!$B$6</f>
        <v>0</v>
      </c>
      <c r="L950">
        <f>I950*Parameters!$B$4*Parameters!$B$7</f>
        <v>0</v>
      </c>
      <c r="M950">
        <f t="shared" si="14"/>
        <v>63.87299999999999</v>
      </c>
      <c r="N950">
        <v>3000</v>
      </c>
      <c r="O950">
        <v>0</v>
      </c>
      <c r="P950">
        <v>0</v>
      </c>
      <c r="Q950">
        <v>0</v>
      </c>
    </row>
    <row r="951" spans="1:17">
      <c r="A951" t="s">
        <v>75</v>
      </c>
      <c r="B951" t="s">
        <v>24</v>
      </c>
      <c r="C951">
        <v>4</v>
      </c>
      <c r="D951">
        <v>2022</v>
      </c>
      <c r="E951" s="49" t="s">
        <v>154</v>
      </c>
      <c r="F951" s="49" t="s">
        <v>163</v>
      </c>
      <c r="G951">
        <f>'Feb to July, 2022'!O53+'Feb to July, 2022'!P53</f>
        <v>35</v>
      </c>
      <c r="H951">
        <f>'Feb to July, 2022'!Q53</f>
        <v>0</v>
      </c>
      <c r="I951">
        <f>'Feb to July, 2022'!R53</f>
        <v>10</v>
      </c>
      <c r="J951">
        <f>G951*Parameters!$B$2*Parameters!$B$5</f>
        <v>74.518499999999989</v>
      </c>
      <c r="K951">
        <f>H951*Parameters!$B$3*Parameters!$B$6</f>
        <v>0</v>
      </c>
      <c r="L951">
        <f>I951*Parameters!$B$4*Parameters!$B$7</f>
        <v>80.963999999999999</v>
      </c>
      <c r="M951">
        <f t="shared" si="14"/>
        <v>155.48249999999999</v>
      </c>
      <c r="N951">
        <v>3500</v>
      </c>
      <c r="O951">
        <v>0</v>
      </c>
      <c r="P951">
        <v>0</v>
      </c>
      <c r="Q951">
        <v>3000</v>
      </c>
    </row>
    <row r="952" spans="1:17">
      <c r="A952" t="s">
        <v>76</v>
      </c>
      <c r="B952" t="s">
        <v>56</v>
      </c>
      <c r="C952">
        <v>4</v>
      </c>
      <c r="D952">
        <v>2022</v>
      </c>
      <c r="E952" s="49" t="s">
        <v>154</v>
      </c>
      <c r="F952" s="49" t="s">
        <v>163</v>
      </c>
      <c r="G952">
        <f>'Feb to July, 2022'!O54+'Feb to July, 2022'!P54</f>
        <v>25</v>
      </c>
      <c r="H952">
        <f>'Feb to July, 2022'!Q54</f>
        <v>0</v>
      </c>
      <c r="I952">
        <f>'Feb to July, 2022'!R54</f>
        <v>15</v>
      </c>
      <c r="J952">
        <f>G952*Parameters!$B$2*Parameters!$B$5</f>
        <v>53.227499999999992</v>
      </c>
      <c r="K952">
        <f>H952*Parameters!$B$3*Parameters!$B$6</f>
        <v>0</v>
      </c>
      <c r="L952">
        <f>I952*Parameters!$B$4*Parameters!$B$7</f>
        <v>121.44600000000001</v>
      </c>
      <c r="M952">
        <f t="shared" si="14"/>
        <v>174.67349999999999</v>
      </c>
      <c r="N952">
        <v>2500</v>
      </c>
      <c r="O952">
        <v>0</v>
      </c>
      <c r="P952">
        <v>0</v>
      </c>
      <c r="Q952">
        <v>4500</v>
      </c>
    </row>
    <row r="953" spans="1:17">
      <c r="A953" t="s">
        <v>77</v>
      </c>
      <c r="B953" t="s">
        <v>40</v>
      </c>
      <c r="C953">
        <v>12</v>
      </c>
      <c r="D953">
        <v>2022</v>
      </c>
      <c r="E953" s="49" t="s">
        <v>154</v>
      </c>
      <c r="F953" s="49" t="s">
        <v>163</v>
      </c>
      <c r="G953">
        <f>'Feb to July, 2022'!O55+'Feb to July, 2022'!P55</f>
        <v>35</v>
      </c>
      <c r="H953">
        <f>'Feb to July, 2022'!Q55</f>
        <v>0</v>
      </c>
      <c r="I953">
        <f>'Feb to July, 2022'!R55</f>
        <v>10</v>
      </c>
      <c r="J953">
        <f>G953*Parameters!$B$2*Parameters!$B$5</f>
        <v>74.518499999999989</v>
      </c>
      <c r="K953">
        <f>H953*Parameters!$B$3*Parameters!$B$6</f>
        <v>0</v>
      </c>
      <c r="L953">
        <f>I953*Parameters!$B$4*Parameters!$B$7</f>
        <v>80.963999999999999</v>
      </c>
      <c r="M953">
        <f t="shared" si="14"/>
        <v>155.48249999999999</v>
      </c>
      <c r="N953">
        <v>3500</v>
      </c>
      <c r="O953">
        <v>0</v>
      </c>
      <c r="P953">
        <v>0</v>
      </c>
      <c r="Q953">
        <v>3000</v>
      </c>
    </row>
    <row r="954" spans="1:17">
      <c r="A954" t="s">
        <v>78</v>
      </c>
      <c r="B954" t="s">
        <v>32</v>
      </c>
      <c r="C954">
        <v>6</v>
      </c>
      <c r="D954">
        <v>2022</v>
      </c>
      <c r="E954" s="49" t="s">
        <v>154</v>
      </c>
      <c r="F954" s="49" t="s">
        <v>163</v>
      </c>
      <c r="G954">
        <f>'Feb to July, 2022'!O56+'Feb to July, 2022'!P56</f>
        <v>30</v>
      </c>
      <c r="H954">
        <f>'Feb to July, 2022'!Q56</f>
        <v>0</v>
      </c>
      <c r="I954">
        <f>'Feb to July, 2022'!R56</f>
        <v>5</v>
      </c>
      <c r="J954">
        <f>G954*Parameters!$B$2*Parameters!$B$5</f>
        <v>63.87299999999999</v>
      </c>
      <c r="K954">
        <f>H954*Parameters!$B$3*Parameters!$B$6</f>
        <v>0</v>
      </c>
      <c r="L954">
        <f>I954*Parameters!$B$4*Parameters!$B$7</f>
        <v>40.481999999999999</v>
      </c>
      <c r="M954">
        <f t="shared" si="14"/>
        <v>104.35499999999999</v>
      </c>
      <c r="N954">
        <v>3000</v>
      </c>
      <c r="O954">
        <v>0</v>
      </c>
      <c r="P954">
        <v>0</v>
      </c>
      <c r="Q954">
        <v>1500</v>
      </c>
    </row>
    <row r="955" spans="1:17">
      <c r="A955" t="s">
        <v>79</v>
      </c>
      <c r="B955" t="s">
        <v>40</v>
      </c>
      <c r="C955">
        <v>4</v>
      </c>
      <c r="D955">
        <v>2022</v>
      </c>
      <c r="E955" s="49" t="s">
        <v>154</v>
      </c>
      <c r="F955" s="49" t="s">
        <v>163</v>
      </c>
      <c r="G955">
        <f>'Feb to July, 2022'!O57+'Feb to July, 2022'!P57</f>
        <v>45</v>
      </c>
      <c r="H955">
        <f>'Feb to July, 2022'!Q57</f>
        <v>0</v>
      </c>
      <c r="I955">
        <f>'Feb to July, 2022'!R57</f>
        <v>10</v>
      </c>
      <c r="J955">
        <f>G955*Parameters!$B$2*Parameters!$B$5</f>
        <v>95.809499999999986</v>
      </c>
      <c r="K955">
        <f>H955*Parameters!$B$3*Parameters!$B$6</f>
        <v>0</v>
      </c>
      <c r="L955">
        <f>I955*Parameters!$B$4*Parameters!$B$7</f>
        <v>80.963999999999999</v>
      </c>
      <c r="M955">
        <f t="shared" si="14"/>
        <v>176.77349999999998</v>
      </c>
      <c r="N955">
        <v>4500</v>
      </c>
      <c r="O955">
        <v>0</v>
      </c>
      <c r="P955">
        <v>0</v>
      </c>
      <c r="Q955">
        <v>3000</v>
      </c>
    </row>
    <row r="956" spans="1:17">
      <c r="A956" t="s">
        <v>80</v>
      </c>
      <c r="B956" t="s">
        <v>26</v>
      </c>
      <c r="C956">
        <v>7</v>
      </c>
      <c r="D956">
        <v>2022</v>
      </c>
      <c r="E956" s="49" t="s">
        <v>154</v>
      </c>
      <c r="F956" s="49" t="s">
        <v>163</v>
      </c>
      <c r="G956">
        <f>'Feb to July, 2022'!O58+'Feb to July, 2022'!P58</f>
        <v>35</v>
      </c>
      <c r="H956">
        <f>'Feb to July, 2022'!Q58</f>
        <v>0</v>
      </c>
      <c r="I956">
        <f>'Feb to July, 2022'!R58</f>
        <v>0</v>
      </c>
      <c r="J956">
        <f>G956*Parameters!$B$2*Parameters!$B$5</f>
        <v>74.518499999999989</v>
      </c>
      <c r="K956">
        <f>H956*Parameters!$B$3*Parameters!$B$6</f>
        <v>0</v>
      </c>
      <c r="L956">
        <f>I956*Parameters!$B$4*Parameters!$B$7</f>
        <v>0</v>
      </c>
      <c r="M956">
        <f t="shared" si="14"/>
        <v>74.518499999999989</v>
      </c>
      <c r="N956">
        <v>3500</v>
      </c>
      <c r="O956">
        <v>0</v>
      </c>
      <c r="P956">
        <v>0</v>
      </c>
      <c r="Q956">
        <v>0</v>
      </c>
    </row>
    <row r="957" spans="1:17">
      <c r="A957" t="s">
        <v>81</v>
      </c>
      <c r="B957" t="s">
        <v>24</v>
      </c>
      <c r="C957">
        <v>6</v>
      </c>
      <c r="D957">
        <v>2022</v>
      </c>
      <c r="E957" s="49" t="s">
        <v>154</v>
      </c>
      <c r="F957" s="49" t="s">
        <v>163</v>
      </c>
      <c r="G957">
        <f>'Feb to July, 2022'!O59+'Feb to July, 2022'!P59</f>
        <v>35</v>
      </c>
      <c r="H957">
        <f>'Feb to July, 2022'!Q59</f>
        <v>0</v>
      </c>
      <c r="I957">
        <f>'Feb to July, 2022'!R59</f>
        <v>17.5</v>
      </c>
      <c r="J957">
        <f>G957*Parameters!$B$2*Parameters!$B$5</f>
        <v>74.518499999999989</v>
      </c>
      <c r="K957">
        <f>H957*Parameters!$B$3*Parameters!$B$6</f>
        <v>0</v>
      </c>
      <c r="L957">
        <f>I957*Parameters!$B$4*Parameters!$B$7</f>
        <v>141.68700000000001</v>
      </c>
      <c r="M957">
        <f t="shared" si="14"/>
        <v>216.2055</v>
      </c>
      <c r="N957">
        <v>3500</v>
      </c>
      <c r="O957">
        <v>0</v>
      </c>
      <c r="P957">
        <v>0</v>
      </c>
      <c r="Q957">
        <v>5250</v>
      </c>
    </row>
    <row r="958" spans="1:17">
      <c r="A958" t="s">
        <v>82</v>
      </c>
      <c r="B958" t="s">
        <v>83</v>
      </c>
      <c r="C958">
        <v>4</v>
      </c>
      <c r="D958">
        <v>2022</v>
      </c>
      <c r="E958" s="49" t="s">
        <v>154</v>
      </c>
      <c r="F958" s="49" t="s">
        <v>163</v>
      </c>
      <c r="G958">
        <f>'Feb to July, 2022'!O60+'Feb to July, 2022'!P60</f>
        <v>30</v>
      </c>
      <c r="H958">
        <f>'Feb to July, 2022'!Q60</f>
        <v>0</v>
      </c>
      <c r="I958">
        <f>'Feb to July, 2022'!R60</f>
        <v>10</v>
      </c>
      <c r="J958">
        <f>G958*Parameters!$B$2*Parameters!$B$5</f>
        <v>63.87299999999999</v>
      </c>
      <c r="K958">
        <f>H958*Parameters!$B$3*Parameters!$B$6</f>
        <v>0</v>
      </c>
      <c r="L958">
        <f>I958*Parameters!$B$4*Parameters!$B$7</f>
        <v>80.963999999999999</v>
      </c>
      <c r="M958">
        <f t="shared" si="14"/>
        <v>144.83699999999999</v>
      </c>
      <c r="N958">
        <v>3000</v>
      </c>
      <c r="O958">
        <v>0</v>
      </c>
      <c r="P958">
        <v>0</v>
      </c>
      <c r="Q958">
        <v>3000</v>
      </c>
    </row>
    <row r="959" spans="1:17">
      <c r="A959" t="s">
        <v>84</v>
      </c>
      <c r="B959" t="s">
        <v>26</v>
      </c>
      <c r="C959">
        <v>7</v>
      </c>
      <c r="D959">
        <v>2022</v>
      </c>
      <c r="E959" s="49" t="s">
        <v>154</v>
      </c>
      <c r="F959" s="49" t="s">
        <v>163</v>
      </c>
      <c r="G959">
        <f>'Feb to July, 2022'!O61+'Feb to July, 2022'!P61</f>
        <v>50</v>
      </c>
      <c r="H959">
        <f>'Feb to July, 2022'!Q61</f>
        <v>0</v>
      </c>
      <c r="I959">
        <f>'Feb to July, 2022'!R61</f>
        <v>10</v>
      </c>
      <c r="J959">
        <f>G959*Parameters!$B$2*Parameters!$B$5</f>
        <v>106.45499999999998</v>
      </c>
      <c r="K959">
        <f>H959*Parameters!$B$3*Parameters!$B$6</f>
        <v>0</v>
      </c>
      <c r="L959">
        <f>I959*Parameters!$B$4*Parameters!$B$7</f>
        <v>80.963999999999999</v>
      </c>
      <c r="M959">
        <f t="shared" si="14"/>
        <v>187.41899999999998</v>
      </c>
      <c r="N959">
        <v>5000</v>
      </c>
      <c r="O959">
        <v>0</v>
      </c>
      <c r="P959">
        <v>0</v>
      </c>
      <c r="Q959">
        <v>3000</v>
      </c>
    </row>
    <row r="960" spans="1:17">
      <c r="A960" t="s">
        <v>85</v>
      </c>
      <c r="B960" t="s">
        <v>24</v>
      </c>
      <c r="C960">
        <v>6</v>
      </c>
      <c r="D960">
        <v>2022</v>
      </c>
      <c r="E960" s="49" t="s">
        <v>154</v>
      </c>
      <c r="F960" s="49" t="s">
        <v>163</v>
      </c>
      <c r="G960">
        <f>'Feb to July, 2022'!O62+'Feb to July, 2022'!P62</f>
        <v>35</v>
      </c>
      <c r="H960">
        <f>'Feb to July, 2022'!Q62</f>
        <v>0</v>
      </c>
      <c r="I960">
        <f>'Feb to July, 2022'!R62</f>
        <v>20</v>
      </c>
      <c r="J960">
        <f>G960*Parameters!$B$2*Parameters!$B$5</f>
        <v>74.518499999999989</v>
      </c>
      <c r="K960">
        <f>H960*Parameters!$B$3*Parameters!$B$6</f>
        <v>0</v>
      </c>
      <c r="L960">
        <f>I960*Parameters!$B$4*Parameters!$B$7</f>
        <v>161.928</v>
      </c>
      <c r="M960">
        <f t="shared" si="14"/>
        <v>236.44649999999999</v>
      </c>
      <c r="N960">
        <v>3500</v>
      </c>
      <c r="O960">
        <v>0</v>
      </c>
      <c r="P960">
        <v>0</v>
      </c>
      <c r="Q960">
        <v>6000</v>
      </c>
    </row>
    <row r="961" spans="1:17">
      <c r="A961" t="s">
        <v>86</v>
      </c>
      <c r="B961" t="s">
        <v>32</v>
      </c>
      <c r="C961">
        <v>4</v>
      </c>
      <c r="D961">
        <v>2022</v>
      </c>
      <c r="E961" s="49" t="s">
        <v>154</v>
      </c>
      <c r="F961" s="49" t="s">
        <v>163</v>
      </c>
      <c r="G961">
        <f>'Feb to July, 2022'!O63+'Feb to July, 2022'!P63</f>
        <v>25</v>
      </c>
      <c r="H961">
        <f>'Feb to July, 2022'!Q63</f>
        <v>0</v>
      </c>
      <c r="I961">
        <f>'Feb to July, 2022'!R63</f>
        <v>15</v>
      </c>
      <c r="J961">
        <f>G961*Parameters!$B$2*Parameters!$B$5</f>
        <v>53.227499999999992</v>
      </c>
      <c r="K961">
        <f>H961*Parameters!$B$3*Parameters!$B$6</f>
        <v>0</v>
      </c>
      <c r="L961">
        <f>I961*Parameters!$B$4*Parameters!$B$7</f>
        <v>121.44600000000001</v>
      </c>
      <c r="M961">
        <f t="shared" si="14"/>
        <v>174.67349999999999</v>
      </c>
      <c r="N961">
        <v>2500</v>
      </c>
      <c r="O961">
        <v>0</v>
      </c>
      <c r="P961">
        <v>0</v>
      </c>
      <c r="Q961">
        <v>4500</v>
      </c>
    </row>
    <row r="962" spans="1:17">
      <c r="A962" t="s">
        <v>87</v>
      </c>
      <c r="B962" t="s">
        <v>32</v>
      </c>
      <c r="C962">
        <v>8</v>
      </c>
      <c r="D962">
        <v>2022</v>
      </c>
      <c r="E962" s="49" t="s">
        <v>154</v>
      </c>
      <c r="F962" s="49" t="s">
        <v>163</v>
      </c>
      <c r="G962">
        <f>'Feb to July, 2022'!O64+'Feb to July, 2022'!P64</f>
        <v>30</v>
      </c>
      <c r="H962">
        <f>'Feb to July, 2022'!Q64</f>
        <v>0</v>
      </c>
      <c r="I962">
        <f>'Feb to July, 2022'!R64</f>
        <v>10</v>
      </c>
      <c r="J962">
        <f>G962*Parameters!$B$2*Parameters!$B$5</f>
        <v>63.87299999999999</v>
      </c>
      <c r="K962">
        <f>H962*Parameters!$B$3*Parameters!$B$6</f>
        <v>0</v>
      </c>
      <c r="L962">
        <f>I962*Parameters!$B$4*Parameters!$B$7</f>
        <v>80.963999999999999</v>
      </c>
      <c r="M962">
        <f t="shared" si="14"/>
        <v>144.83699999999999</v>
      </c>
      <c r="N962">
        <v>3000</v>
      </c>
      <c r="O962">
        <v>0</v>
      </c>
      <c r="P962">
        <v>0</v>
      </c>
      <c r="Q962">
        <v>3000</v>
      </c>
    </row>
    <row r="963" spans="1:17">
      <c r="A963" t="s">
        <v>88</v>
      </c>
      <c r="B963" t="s">
        <v>32</v>
      </c>
      <c r="C963">
        <v>7</v>
      </c>
      <c r="D963">
        <v>2022</v>
      </c>
      <c r="E963" s="49" t="s">
        <v>154</v>
      </c>
      <c r="F963" s="49" t="s">
        <v>163</v>
      </c>
      <c r="G963">
        <f>'Feb to July, 2022'!O65+'Feb to July, 2022'!P65</f>
        <v>25</v>
      </c>
      <c r="H963">
        <f>'Feb to July, 2022'!Q65</f>
        <v>0</v>
      </c>
      <c r="I963">
        <f>'Feb to July, 2022'!R65</f>
        <v>12.5</v>
      </c>
      <c r="J963">
        <f>G963*Parameters!$B$2*Parameters!$B$5</f>
        <v>53.227499999999992</v>
      </c>
      <c r="K963">
        <f>H963*Parameters!$B$3*Parameters!$B$6</f>
        <v>0</v>
      </c>
      <c r="L963">
        <f>I963*Parameters!$B$4*Parameters!$B$7</f>
        <v>101.20500000000001</v>
      </c>
      <c r="M963">
        <f t="shared" ref="M963:M1026" si="15">SUM(J963:L963)</f>
        <v>154.4325</v>
      </c>
      <c r="N963">
        <v>2500</v>
      </c>
      <c r="O963">
        <v>0</v>
      </c>
      <c r="P963">
        <v>0</v>
      </c>
      <c r="Q963">
        <v>3750</v>
      </c>
    </row>
    <row r="964" spans="1:17">
      <c r="A964" t="s">
        <v>89</v>
      </c>
      <c r="B964" t="s">
        <v>65</v>
      </c>
      <c r="C964">
        <v>8</v>
      </c>
      <c r="D964">
        <v>2022</v>
      </c>
      <c r="E964" s="49" t="s">
        <v>154</v>
      </c>
      <c r="F964" s="49" t="s">
        <v>163</v>
      </c>
      <c r="G964">
        <f>'Feb to July, 2022'!O66+'Feb to July, 2022'!P66</f>
        <v>30</v>
      </c>
      <c r="H964">
        <f>'Feb to July, 2022'!Q66</f>
        <v>0</v>
      </c>
      <c r="I964">
        <f>'Feb to July, 2022'!R66</f>
        <v>9</v>
      </c>
      <c r="J964">
        <f>G964*Parameters!$B$2*Parameters!$B$5</f>
        <v>63.87299999999999</v>
      </c>
      <c r="K964">
        <f>H964*Parameters!$B$3*Parameters!$B$6</f>
        <v>0</v>
      </c>
      <c r="L964">
        <f>I964*Parameters!$B$4*Parameters!$B$7</f>
        <v>72.86760000000001</v>
      </c>
      <c r="M964">
        <f t="shared" si="15"/>
        <v>136.7406</v>
      </c>
      <c r="N964">
        <v>3000</v>
      </c>
      <c r="O964">
        <v>0</v>
      </c>
      <c r="P964">
        <v>0</v>
      </c>
      <c r="Q964">
        <v>2700</v>
      </c>
    </row>
    <row r="965" spans="1:17">
      <c r="A965" t="s">
        <v>90</v>
      </c>
      <c r="B965" t="s">
        <v>32</v>
      </c>
      <c r="C965">
        <v>6</v>
      </c>
      <c r="D965">
        <v>2022</v>
      </c>
      <c r="E965" s="49" t="s">
        <v>154</v>
      </c>
      <c r="F965" s="49" t="s">
        <v>163</v>
      </c>
      <c r="G965">
        <f>'Feb to July, 2022'!O67+'Feb to July, 2022'!P67</f>
        <v>30</v>
      </c>
      <c r="H965">
        <f>'Feb to July, 2022'!Q67</f>
        <v>0</v>
      </c>
      <c r="I965">
        <f>'Feb to July, 2022'!R67</f>
        <v>20</v>
      </c>
      <c r="J965">
        <f>G965*Parameters!$B$2*Parameters!$B$5</f>
        <v>63.87299999999999</v>
      </c>
      <c r="K965">
        <f>H965*Parameters!$B$3*Parameters!$B$6</f>
        <v>0</v>
      </c>
      <c r="L965">
        <f>I965*Parameters!$B$4*Parameters!$B$7</f>
        <v>161.928</v>
      </c>
      <c r="M965">
        <f t="shared" si="15"/>
        <v>225.80099999999999</v>
      </c>
      <c r="N965">
        <v>3000</v>
      </c>
      <c r="O965">
        <v>0</v>
      </c>
      <c r="P965">
        <v>0</v>
      </c>
      <c r="Q965">
        <v>6000</v>
      </c>
    </row>
    <row r="966" spans="1:17">
      <c r="A966" t="s">
        <v>91</v>
      </c>
      <c r="B966" t="s">
        <v>24</v>
      </c>
      <c r="C966">
        <v>6</v>
      </c>
      <c r="D966">
        <v>2022</v>
      </c>
      <c r="E966" s="49" t="s">
        <v>154</v>
      </c>
      <c r="F966" s="49" t="s">
        <v>163</v>
      </c>
      <c r="G966">
        <f>'Feb to July, 2022'!O68+'Feb to July, 2022'!P68</f>
        <v>30</v>
      </c>
      <c r="H966">
        <f>'Feb to July, 2022'!Q68</f>
        <v>0</v>
      </c>
      <c r="I966">
        <f>'Feb to July, 2022'!R68</f>
        <v>10</v>
      </c>
      <c r="J966">
        <f>G966*Parameters!$B$2*Parameters!$B$5</f>
        <v>63.87299999999999</v>
      </c>
      <c r="K966">
        <f>H966*Parameters!$B$3*Parameters!$B$6</f>
        <v>0</v>
      </c>
      <c r="L966">
        <f>I966*Parameters!$B$4*Parameters!$B$7</f>
        <v>80.963999999999999</v>
      </c>
      <c r="M966">
        <f t="shared" si="15"/>
        <v>144.83699999999999</v>
      </c>
      <c r="N966">
        <v>3000</v>
      </c>
      <c r="O966">
        <v>0</v>
      </c>
      <c r="P966">
        <v>0</v>
      </c>
      <c r="Q966">
        <v>3000</v>
      </c>
    </row>
    <row r="967" spans="1:17">
      <c r="A967" t="s">
        <v>92</v>
      </c>
      <c r="B967" t="s">
        <v>17</v>
      </c>
      <c r="C967">
        <v>4</v>
      </c>
      <c r="D967">
        <v>2022</v>
      </c>
      <c r="E967" s="49" t="s">
        <v>154</v>
      </c>
      <c r="F967" s="49" t="s">
        <v>163</v>
      </c>
      <c r="G967">
        <f>'Feb to July, 2022'!O69+'Feb to July, 2022'!P69</f>
        <v>0</v>
      </c>
      <c r="H967">
        <f>'Feb to July, 2022'!Q69</f>
        <v>40</v>
      </c>
      <c r="I967">
        <f>'Feb to July, 2022'!R69</f>
        <v>0</v>
      </c>
      <c r="J967">
        <f>G967*Parameters!$B$2*Parameters!$B$5</f>
        <v>0</v>
      </c>
      <c r="K967">
        <f>H967*Parameters!$B$3*Parameters!$B$6</f>
        <v>250.83199999999999</v>
      </c>
      <c r="L967">
        <f>I967*Parameters!$B$4*Parameters!$B$7</f>
        <v>0</v>
      </c>
      <c r="M967">
        <f t="shared" si="15"/>
        <v>250.83199999999999</v>
      </c>
      <c r="N967">
        <v>0</v>
      </c>
      <c r="O967">
        <v>0</v>
      </c>
      <c r="P967">
        <v>12000</v>
      </c>
      <c r="Q967">
        <v>0</v>
      </c>
    </row>
    <row r="968" spans="1:17">
      <c r="A968" t="s">
        <v>93</v>
      </c>
      <c r="B968" t="s">
        <v>19</v>
      </c>
      <c r="C968">
        <v>7</v>
      </c>
      <c r="D968">
        <v>2022</v>
      </c>
      <c r="E968" s="49" t="s">
        <v>154</v>
      </c>
      <c r="F968" s="49" t="s">
        <v>163</v>
      </c>
      <c r="G968">
        <f>'Feb to July, 2022'!O70+'Feb to July, 2022'!P70</f>
        <v>30</v>
      </c>
      <c r="H968">
        <f>'Feb to July, 2022'!Q70</f>
        <v>0</v>
      </c>
      <c r="I968">
        <f>'Feb to July, 2022'!R70</f>
        <v>15</v>
      </c>
      <c r="J968">
        <f>G968*Parameters!$B$2*Parameters!$B$5</f>
        <v>63.87299999999999</v>
      </c>
      <c r="K968">
        <f>H968*Parameters!$B$3*Parameters!$B$6</f>
        <v>0</v>
      </c>
      <c r="L968">
        <f>I968*Parameters!$B$4*Parameters!$B$7</f>
        <v>121.44600000000001</v>
      </c>
      <c r="M968">
        <f t="shared" si="15"/>
        <v>185.31900000000002</v>
      </c>
      <c r="N968">
        <v>3000</v>
      </c>
      <c r="O968">
        <v>0</v>
      </c>
      <c r="P968">
        <v>0</v>
      </c>
      <c r="Q968">
        <v>4500</v>
      </c>
    </row>
    <row r="969" spans="1:17">
      <c r="A969" t="s">
        <v>94</v>
      </c>
      <c r="B969" t="s">
        <v>19</v>
      </c>
      <c r="C969">
        <v>6</v>
      </c>
      <c r="D969">
        <v>2022</v>
      </c>
      <c r="E969" s="49" t="s">
        <v>154</v>
      </c>
      <c r="F969" s="49" t="s">
        <v>163</v>
      </c>
      <c r="G969">
        <f>'Feb to July, 2022'!O71+'Feb to July, 2022'!P71</f>
        <v>40</v>
      </c>
      <c r="H969">
        <f>'Feb to July, 2022'!Q71</f>
        <v>0</v>
      </c>
      <c r="I969">
        <f>'Feb to July, 2022'!R71</f>
        <v>10</v>
      </c>
      <c r="J969">
        <f>G969*Parameters!$B$2*Parameters!$B$5</f>
        <v>85.163999999999987</v>
      </c>
      <c r="K969">
        <f>H969*Parameters!$B$3*Parameters!$B$6</f>
        <v>0</v>
      </c>
      <c r="L969">
        <f>I969*Parameters!$B$4*Parameters!$B$7</f>
        <v>80.963999999999999</v>
      </c>
      <c r="M969">
        <f t="shared" si="15"/>
        <v>166.12799999999999</v>
      </c>
      <c r="N969">
        <v>4000</v>
      </c>
      <c r="O969">
        <v>0</v>
      </c>
      <c r="P969">
        <v>0</v>
      </c>
      <c r="Q969">
        <v>3000</v>
      </c>
    </row>
    <row r="970" spans="1:17">
      <c r="A970" t="s">
        <v>95</v>
      </c>
      <c r="B970" t="s">
        <v>26</v>
      </c>
      <c r="C970">
        <v>8</v>
      </c>
      <c r="D970">
        <v>2022</v>
      </c>
      <c r="E970" s="49" t="s">
        <v>154</v>
      </c>
      <c r="F970" s="49" t="s">
        <v>163</v>
      </c>
      <c r="G970">
        <f>'Feb to July, 2022'!O72+'Feb to July, 2022'!P72</f>
        <v>35</v>
      </c>
      <c r="H970">
        <f>'Feb to July, 2022'!Q72</f>
        <v>0</v>
      </c>
      <c r="I970">
        <f>'Feb to July, 2022'!R72</f>
        <v>15</v>
      </c>
      <c r="J970">
        <f>G970*Parameters!$B$2*Parameters!$B$5</f>
        <v>74.518499999999989</v>
      </c>
      <c r="K970">
        <f>H970*Parameters!$B$3*Parameters!$B$6</f>
        <v>0</v>
      </c>
      <c r="L970">
        <f>I970*Parameters!$B$4*Parameters!$B$7</f>
        <v>121.44600000000001</v>
      </c>
      <c r="M970">
        <f t="shared" si="15"/>
        <v>195.96449999999999</v>
      </c>
      <c r="N970">
        <v>3500</v>
      </c>
      <c r="O970">
        <v>0</v>
      </c>
      <c r="P970">
        <v>0</v>
      </c>
      <c r="Q970">
        <v>4500</v>
      </c>
    </row>
    <row r="971" spans="1:17">
      <c r="A971" t="s">
        <v>96</v>
      </c>
      <c r="B971" t="s">
        <v>19</v>
      </c>
      <c r="C971">
        <v>8</v>
      </c>
      <c r="D971">
        <v>2022</v>
      </c>
      <c r="E971" s="49" t="s">
        <v>154</v>
      </c>
      <c r="F971" s="49" t="s">
        <v>163</v>
      </c>
      <c r="G971">
        <f>'Feb to July, 2022'!O73+'Feb to July, 2022'!P73</f>
        <v>20</v>
      </c>
      <c r="H971">
        <f>'Feb to July, 2022'!Q73</f>
        <v>0</v>
      </c>
      <c r="I971">
        <f>'Feb to July, 2022'!R73</f>
        <v>5</v>
      </c>
      <c r="J971">
        <f>G971*Parameters!$B$2*Parameters!$B$5</f>
        <v>42.581999999999994</v>
      </c>
      <c r="K971">
        <f>H971*Parameters!$B$3*Parameters!$B$6</f>
        <v>0</v>
      </c>
      <c r="L971">
        <f>I971*Parameters!$B$4*Parameters!$B$7</f>
        <v>40.481999999999999</v>
      </c>
      <c r="M971">
        <f t="shared" si="15"/>
        <v>83.063999999999993</v>
      </c>
      <c r="N971">
        <v>2000</v>
      </c>
      <c r="O971">
        <v>0</v>
      </c>
      <c r="P971">
        <v>0</v>
      </c>
      <c r="Q971">
        <v>1500</v>
      </c>
    </row>
    <row r="972" spans="1:17">
      <c r="A972" t="s">
        <v>97</v>
      </c>
      <c r="B972" t="s">
        <v>17</v>
      </c>
      <c r="C972">
        <v>4</v>
      </c>
      <c r="D972">
        <v>2022</v>
      </c>
      <c r="E972" s="49" t="s">
        <v>154</v>
      </c>
      <c r="F972" s="49" t="s">
        <v>163</v>
      </c>
      <c r="G972">
        <f>'Feb to July, 2022'!O74+'Feb to July, 2022'!P74</f>
        <v>30</v>
      </c>
      <c r="H972">
        <f>'Feb to July, 2022'!Q74</f>
        <v>0</v>
      </c>
      <c r="I972">
        <f>'Feb to July, 2022'!R74</f>
        <v>10</v>
      </c>
      <c r="J972">
        <f>G972*Parameters!$B$2*Parameters!$B$5</f>
        <v>63.87299999999999</v>
      </c>
      <c r="K972">
        <f>H972*Parameters!$B$3*Parameters!$B$6</f>
        <v>0</v>
      </c>
      <c r="L972">
        <f>I972*Parameters!$B$4*Parameters!$B$7</f>
        <v>80.963999999999999</v>
      </c>
      <c r="M972">
        <f t="shared" si="15"/>
        <v>144.83699999999999</v>
      </c>
      <c r="N972">
        <v>3000</v>
      </c>
      <c r="O972">
        <v>0</v>
      </c>
      <c r="P972">
        <v>0</v>
      </c>
      <c r="Q972">
        <v>3000</v>
      </c>
    </row>
    <row r="973" spans="1:17">
      <c r="A973" t="s">
        <v>98</v>
      </c>
      <c r="B973" t="s">
        <v>65</v>
      </c>
      <c r="C973">
        <v>5</v>
      </c>
      <c r="D973">
        <v>2022</v>
      </c>
      <c r="E973" s="49" t="s">
        <v>154</v>
      </c>
      <c r="F973" s="49" t="s">
        <v>163</v>
      </c>
      <c r="G973">
        <f>'Feb to July, 2022'!O75+'Feb to July, 2022'!P75</f>
        <v>25</v>
      </c>
      <c r="H973">
        <f>'Feb to July, 2022'!Q75</f>
        <v>0</v>
      </c>
      <c r="I973">
        <f>'Feb to July, 2022'!R75</f>
        <v>20</v>
      </c>
      <c r="J973">
        <f>G973*Parameters!$B$2*Parameters!$B$5</f>
        <v>53.227499999999992</v>
      </c>
      <c r="K973">
        <f>H973*Parameters!$B$3*Parameters!$B$6</f>
        <v>0</v>
      </c>
      <c r="L973">
        <f>I973*Parameters!$B$4*Parameters!$B$7</f>
        <v>161.928</v>
      </c>
      <c r="M973">
        <f t="shared" si="15"/>
        <v>215.15549999999999</v>
      </c>
      <c r="N973">
        <v>2500</v>
      </c>
      <c r="O973">
        <v>0</v>
      </c>
      <c r="P973">
        <v>0</v>
      </c>
      <c r="Q973">
        <v>6000</v>
      </c>
    </row>
    <row r="974" spans="1:17">
      <c r="A974" t="s">
        <v>99</v>
      </c>
      <c r="B974" t="s">
        <v>32</v>
      </c>
      <c r="C974">
        <v>9</v>
      </c>
      <c r="D974">
        <v>2022</v>
      </c>
      <c r="E974" s="49" t="s">
        <v>154</v>
      </c>
      <c r="F974" s="49" t="s">
        <v>163</v>
      </c>
      <c r="G974">
        <f>'Feb to July, 2022'!O76+'Feb to July, 2022'!P76</f>
        <v>55</v>
      </c>
      <c r="H974">
        <f>'Feb to July, 2022'!Q76</f>
        <v>0</v>
      </c>
      <c r="I974">
        <f>'Feb to July, 2022'!R76</f>
        <v>10</v>
      </c>
      <c r="J974">
        <f>G974*Parameters!$B$2*Parameters!$B$5</f>
        <v>117.10049999999998</v>
      </c>
      <c r="K974">
        <f>H974*Parameters!$B$3*Parameters!$B$6</f>
        <v>0</v>
      </c>
      <c r="L974">
        <f>I974*Parameters!$B$4*Parameters!$B$7</f>
        <v>80.963999999999999</v>
      </c>
      <c r="M974">
        <f t="shared" si="15"/>
        <v>198.06449999999998</v>
      </c>
      <c r="N974">
        <v>5500</v>
      </c>
      <c r="O974">
        <v>0</v>
      </c>
      <c r="P974">
        <v>0</v>
      </c>
      <c r="Q974">
        <v>3000</v>
      </c>
    </row>
    <row r="975" spans="1:17">
      <c r="A975" t="s">
        <v>100</v>
      </c>
      <c r="B975" t="s">
        <v>40</v>
      </c>
      <c r="C975">
        <v>8</v>
      </c>
      <c r="D975">
        <v>2022</v>
      </c>
      <c r="E975" s="49" t="s">
        <v>154</v>
      </c>
      <c r="F975" s="49" t="s">
        <v>163</v>
      </c>
      <c r="G975">
        <f>'Feb to July, 2022'!O77+'Feb to July, 2022'!P77</f>
        <v>30</v>
      </c>
      <c r="H975">
        <f>'Feb to July, 2022'!Q77</f>
        <v>0</v>
      </c>
      <c r="I975">
        <f>'Feb to July, 2022'!R77</f>
        <v>15</v>
      </c>
      <c r="J975">
        <f>G975*Parameters!$B$2*Parameters!$B$5</f>
        <v>63.87299999999999</v>
      </c>
      <c r="K975">
        <f>H975*Parameters!$B$3*Parameters!$B$6</f>
        <v>0</v>
      </c>
      <c r="L975">
        <f>I975*Parameters!$B$4*Parameters!$B$7</f>
        <v>121.44600000000001</v>
      </c>
      <c r="M975">
        <f t="shared" si="15"/>
        <v>185.31900000000002</v>
      </c>
      <c r="N975">
        <v>3000</v>
      </c>
      <c r="O975">
        <v>0</v>
      </c>
      <c r="P975">
        <v>0</v>
      </c>
      <c r="Q975">
        <v>4500</v>
      </c>
    </row>
    <row r="976" spans="1:17">
      <c r="A976" t="s">
        <v>101</v>
      </c>
      <c r="B976" t="s">
        <v>38</v>
      </c>
      <c r="C976">
        <v>5</v>
      </c>
      <c r="D976">
        <v>2022</v>
      </c>
      <c r="E976" s="49" t="s">
        <v>154</v>
      </c>
      <c r="F976" s="49" t="s">
        <v>163</v>
      </c>
      <c r="G976">
        <f>'Feb to July, 2022'!O78+'Feb to July, 2022'!P78</f>
        <v>25</v>
      </c>
      <c r="H976">
        <f>'Feb to July, 2022'!Q78</f>
        <v>0</v>
      </c>
      <c r="I976">
        <f>'Feb to July, 2022'!R78</f>
        <v>5</v>
      </c>
      <c r="J976">
        <f>G976*Parameters!$B$2*Parameters!$B$5</f>
        <v>53.227499999999992</v>
      </c>
      <c r="K976">
        <f>H976*Parameters!$B$3*Parameters!$B$6</f>
        <v>0</v>
      </c>
      <c r="L976">
        <f>I976*Parameters!$B$4*Parameters!$B$7</f>
        <v>40.481999999999999</v>
      </c>
      <c r="M976">
        <f t="shared" si="15"/>
        <v>93.709499999999991</v>
      </c>
      <c r="N976">
        <v>2500</v>
      </c>
      <c r="O976">
        <v>0</v>
      </c>
      <c r="P976">
        <v>0</v>
      </c>
      <c r="Q976">
        <v>1500</v>
      </c>
    </row>
    <row r="977" spans="1:17">
      <c r="A977" t="s">
        <v>102</v>
      </c>
      <c r="B977" t="s">
        <v>17</v>
      </c>
      <c r="C977">
        <v>4</v>
      </c>
      <c r="D977">
        <v>2022</v>
      </c>
      <c r="E977" s="49" t="s">
        <v>154</v>
      </c>
      <c r="F977" s="49" t="s">
        <v>163</v>
      </c>
      <c r="G977">
        <f>'Feb to July, 2022'!O79+'Feb to July, 2022'!P79</f>
        <v>30</v>
      </c>
      <c r="H977">
        <f>'Feb to July, 2022'!Q79</f>
        <v>0</v>
      </c>
      <c r="I977">
        <f>'Feb to July, 2022'!R79</f>
        <v>20</v>
      </c>
      <c r="J977">
        <f>G977*Parameters!$B$2*Parameters!$B$5</f>
        <v>63.87299999999999</v>
      </c>
      <c r="K977">
        <f>H977*Parameters!$B$3*Parameters!$B$6</f>
        <v>0</v>
      </c>
      <c r="L977">
        <f>I977*Parameters!$B$4*Parameters!$B$7</f>
        <v>161.928</v>
      </c>
      <c r="M977">
        <f t="shared" si="15"/>
        <v>225.80099999999999</v>
      </c>
      <c r="N977">
        <v>3000</v>
      </c>
      <c r="O977">
        <v>0</v>
      </c>
      <c r="P977">
        <v>0</v>
      </c>
      <c r="Q977">
        <v>6000</v>
      </c>
    </row>
    <row r="978" spans="1:17">
      <c r="A978" t="s">
        <v>103</v>
      </c>
      <c r="B978" t="s">
        <v>26</v>
      </c>
      <c r="C978">
        <v>6</v>
      </c>
      <c r="D978">
        <v>2022</v>
      </c>
      <c r="E978" s="49" t="s">
        <v>154</v>
      </c>
      <c r="F978" s="49" t="s">
        <v>163</v>
      </c>
      <c r="G978">
        <f>'Feb to July, 2022'!O80+'Feb to July, 2022'!P80</f>
        <v>25</v>
      </c>
      <c r="H978">
        <f>'Feb to July, 2022'!Q80</f>
        <v>0</v>
      </c>
      <c r="I978">
        <f>'Feb to July, 2022'!R80</f>
        <v>10</v>
      </c>
      <c r="J978">
        <f>G978*Parameters!$B$2*Parameters!$B$5</f>
        <v>53.227499999999992</v>
      </c>
      <c r="K978">
        <f>H978*Parameters!$B$3*Parameters!$B$6</f>
        <v>0</v>
      </c>
      <c r="L978">
        <f>I978*Parameters!$B$4*Parameters!$B$7</f>
        <v>80.963999999999999</v>
      </c>
      <c r="M978">
        <f t="shared" si="15"/>
        <v>134.19149999999999</v>
      </c>
      <c r="N978">
        <v>2500</v>
      </c>
      <c r="O978">
        <v>0</v>
      </c>
      <c r="P978">
        <v>0</v>
      </c>
      <c r="Q978">
        <v>3000</v>
      </c>
    </row>
    <row r="979" spans="1:17">
      <c r="A979" t="s">
        <v>104</v>
      </c>
      <c r="B979" t="s">
        <v>26</v>
      </c>
      <c r="C979">
        <v>7</v>
      </c>
      <c r="D979">
        <v>2022</v>
      </c>
      <c r="E979" s="49" t="s">
        <v>154</v>
      </c>
      <c r="F979" s="49" t="s">
        <v>163</v>
      </c>
      <c r="G979">
        <f>'Feb to July, 2022'!O81+'Feb to July, 2022'!P81</f>
        <v>25</v>
      </c>
      <c r="H979">
        <f>'Feb to July, 2022'!Q81</f>
        <v>0</v>
      </c>
      <c r="I979">
        <f>'Feb to July, 2022'!R81</f>
        <v>10</v>
      </c>
      <c r="J979">
        <f>G979*Parameters!$B$2*Parameters!$B$5</f>
        <v>53.227499999999992</v>
      </c>
      <c r="K979">
        <f>H979*Parameters!$B$3*Parameters!$B$6</f>
        <v>0</v>
      </c>
      <c r="L979">
        <f>I979*Parameters!$B$4*Parameters!$B$7</f>
        <v>80.963999999999999</v>
      </c>
      <c r="M979">
        <f t="shared" si="15"/>
        <v>134.19149999999999</v>
      </c>
      <c r="N979">
        <v>2500</v>
      </c>
      <c r="O979">
        <v>0</v>
      </c>
      <c r="P979">
        <v>0</v>
      </c>
      <c r="Q979">
        <v>3000</v>
      </c>
    </row>
    <row r="980" spans="1:17">
      <c r="A980" t="s">
        <v>105</v>
      </c>
      <c r="B980" t="s">
        <v>21</v>
      </c>
      <c r="C980">
        <v>5</v>
      </c>
      <c r="D980">
        <v>2022</v>
      </c>
      <c r="E980" s="49" t="s">
        <v>154</v>
      </c>
      <c r="F980" s="49" t="s">
        <v>163</v>
      </c>
      <c r="G980">
        <f>'Feb to July, 2022'!O82+'Feb to July, 2022'!P82</f>
        <v>30</v>
      </c>
      <c r="H980">
        <f>'Feb to July, 2022'!Q82</f>
        <v>0</v>
      </c>
      <c r="I980">
        <f>'Feb to July, 2022'!R82</f>
        <v>20</v>
      </c>
      <c r="J980">
        <f>G980*Parameters!$B$2*Parameters!$B$5</f>
        <v>63.87299999999999</v>
      </c>
      <c r="K980">
        <f>H980*Parameters!$B$3*Parameters!$B$6</f>
        <v>0</v>
      </c>
      <c r="L980">
        <f>I980*Parameters!$B$4*Parameters!$B$7</f>
        <v>161.928</v>
      </c>
      <c r="M980">
        <f t="shared" si="15"/>
        <v>225.80099999999999</v>
      </c>
      <c r="N980">
        <v>3000</v>
      </c>
      <c r="O980">
        <v>0</v>
      </c>
      <c r="P980">
        <v>0</v>
      </c>
      <c r="Q980">
        <v>6000</v>
      </c>
    </row>
    <row r="981" spans="1:17">
      <c r="A981" t="s">
        <v>106</v>
      </c>
      <c r="B981" t="s">
        <v>24</v>
      </c>
      <c r="C981">
        <v>6</v>
      </c>
      <c r="D981">
        <v>2022</v>
      </c>
      <c r="E981" s="49" t="s">
        <v>154</v>
      </c>
      <c r="F981" s="49" t="s">
        <v>163</v>
      </c>
      <c r="G981">
        <f>'Feb to July, 2022'!O83+'Feb to July, 2022'!P83</f>
        <v>30</v>
      </c>
      <c r="H981">
        <f>'Feb to July, 2022'!Q83</f>
        <v>0</v>
      </c>
      <c r="I981">
        <f>'Feb to July, 2022'!R83</f>
        <v>10</v>
      </c>
      <c r="J981">
        <f>G981*Parameters!$B$2*Parameters!$B$5</f>
        <v>63.87299999999999</v>
      </c>
      <c r="K981">
        <f>H981*Parameters!$B$3*Parameters!$B$6</f>
        <v>0</v>
      </c>
      <c r="L981">
        <f>I981*Parameters!$B$4*Parameters!$B$7</f>
        <v>80.963999999999999</v>
      </c>
      <c r="M981">
        <f t="shared" si="15"/>
        <v>144.83699999999999</v>
      </c>
      <c r="N981">
        <v>3000</v>
      </c>
      <c r="O981">
        <v>0</v>
      </c>
      <c r="P981">
        <v>0</v>
      </c>
      <c r="Q981">
        <v>3000</v>
      </c>
    </row>
    <row r="982" spans="1:17">
      <c r="A982" t="s">
        <v>107</v>
      </c>
      <c r="B982" t="s">
        <v>21</v>
      </c>
      <c r="C982">
        <v>4</v>
      </c>
      <c r="D982">
        <v>2022</v>
      </c>
      <c r="E982" s="49" t="s">
        <v>154</v>
      </c>
      <c r="F982" s="49" t="s">
        <v>163</v>
      </c>
      <c r="G982">
        <f>'Feb to July, 2022'!O84+'Feb to July, 2022'!P84</f>
        <v>20</v>
      </c>
      <c r="H982">
        <f>'Feb to July, 2022'!Q84</f>
        <v>0</v>
      </c>
      <c r="I982">
        <f>'Feb to July, 2022'!R84</f>
        <v>10</v>
      </c>
      <c r="J982">
        <f>G982*Parameters!$B$2*Parameters!$B$5</f>
        <v>42.581999999999994</v>
      </c>
      <c r="K982">
        <f>H982*Parameters!$B$3*Parameters!$B$6</f>
        <v>0</v>
      </c>
      <c r="L982">
        <f>I982*Parameters!$B$4*Parameters!$B$7</f>
        <v>80.963999999999999</v>
      </c>
      <c r="M982">
        <f t="shared" si="15"/>
        <v>123.54599999999999</v>
      </c>
      <c r="N982">
        <v>2000</v>
      </c>
      <c r="O982">
        <v>0</v>
      </c>
      <c r="P982">
        <v>0</v>
      </c>
      <c r="Q982">
        <v>3000</v>
      </c>
    </row>
    <row r="983" spans="1:17">
      <c r="A983" t="s">
        <v>108</v>
      </c>
      <c r="B983" t="s">
        <v>24</v>
      </c>
      <c r="C983">
        <v>5</v>
      </c>
      <c r="D983">
        <v>2022</v>
      </c>
      <c r="E983" s="49" t="s">
        <v>154</v>
      </c>
      <c r="F983" s="49" t="s">
        <v>163</v>
      </c>
      <c r="G983">
        <f>'Feb to July, 2022'!O85+'Feb to July, 2022'!P85</f>
        <v>25</v>
      </c>
      <c r="H983">
        <f>'Feb to July, 2022'!Q85</f>
        <v>0</v>
      </c>
      <c r="I983">
        <f>'Feb to July, 2022'!R85</f>
        <v>15</v>
      </c>
      <c r="J983">
        <f>G983*Parameters!$B$2*Parameters!$B$5</f>
        <v>53.227499999999992</v>
      </c>
      <c r="K983">
        <f>H983*Parameters!$B$3*Parameters!$B$6</f>
        <v>0</v>
      </c>
      <c r="L983">
        <f>I983*Parameters!$B$4*Parameters!$B$7</f>
        <v>121.44600000000001</v>
      </c>
      <c r="M983">
        <f t="shared" si="15"/>
        <v>174.67349999999999</v>
      </c>
      <c r="N983">
        <v>2500</v>
      </c>
      <c r="O983">
        <v>0</v>
      </c>
      <c r="P983">
        <v>0</v>
      </c>
      <c r="Q983">
        <v>4500</v>
      </c>
    </row>
    <row r="984" spans="1:17">
      <c r="A984" t="s">
        <v>109</v>
      </c>
      <c r="B984" t="s">
        <v>32</v>
      </c>
      <c r="C984">
        <v>6</v>
      </c>
      <c r="D984">
        <v>2022</v>
      </c>
      <c r="E984" s="49" t="s">
        <v>154</v>
      </c>
      <c r="F984" s="49" t="s">
        <v>163</v>
      </c>
      <c r="G984">
        <f>'Feb to July, 2022'!O86+'Feb to July, 2022'!P86</f>
        <v>45</v>
      </c>
      <c r="H984">
        <f>'Feb to July, 2022'!Q86</f>
        <v>0</v>
      </c>
      <c r="I984">
        <f>'Feb to July, 2022'!R86</f>
        <v>10</v>
      </c>
      <c r="J984">
        <f>G984*Parameters!$B$2*Parameters!$B$5</f>
        <v>95.809499999999986</v>
      </c>
      <c r="K984">
        <f>H984*Parameters!$B$3*Parameters!$B$6</f>
        <v>0</v>
      </c>
      <c r="L984">
        <f>I984*Parameters!$B$4*Parameters!$B$7</f>
        <v>80.963999999999999</v>
      </c>
      <c r="M984">
        <f t="shared" si="15"/>
        <v>176.77349999999998</v>
      </c>
      <c r="N984">
        <v>4500</v>
      </c>
      <c r="O984">
        <v>0</v>
      </c>
      <c r="P984">
        <v>0</v>
      </c>
      <c r="Q984">
        <v>3000</v>
      </c>
    </row>
    <row r="985" spans="1:17">
      <c r="A985" t="s">
        <v>110</v>
      </c>
      <c r="B985" t="s">
        <v>21</v>
      </c>
      <c r="C985">
        <v>3</v>
      </c>
      <c r="D985">
        <v>2022</v>
      </c>
      <c r="E985" s="49" t="s">
        <v>154</v>
      </c>
      <c r="F985" s="49" t="s">
        <v>163</v>
      </c>
      <c r="G985">
        <f>'Feb to July, 2022'!O87+'Feb to July, 2022'!P87</f>
        <v>20</v>
      </c>
      <c r="H985">
        <f>'Feb to July, 2022'!Q87</f>
        <v>0</v>
      </c>
      <c r="I985">
        <f>'Feb to July, 2022'!R87</f>
        <v>10</v>
      </c>
      <c r="J985">
        <f>G985*Parameters!$B$2*Parameters!$B$5</f>
        <v>42.581999999999994</v>
      </c>
      <c r="K985">
        <f>H985*Parameters!$B$3*Parameters!$B$6</f>
        <v>0</v>
      </c>
      <c r="L985">
        <f>I985*Parameters!$B$4*Parameters!$B$7</f>
        <v>80.963999999999999</v>
      </c>
      <c r="M985">
        <f t="shared" si="15"/>
        <v>123.54599999999999</v>
      </c>
      <c r="N985">
        <v>2000</v>
      </c>
      <c r="O985">
        <v>0</v>
      </c>
      <c r="P985">
        <v>0</v>
      </c>
      <c r="Q985">
        <v>3000</v>
      </c>
    </row>
    <row r="986" spans="1:17">
      <c r="A986" t="s">
        <v>111</v>
      </c>
      <c r="B986" t="s">
        <v>26</v>
      </c>
      <c r="C986">
        <v>6</v>
      </c>
      <c r="D986">
        <v>2022</v>
      </c>
      <c r="E986" s="49" t="s">
        <v>154</v>
      </c>
      <c r="F986" s="49" t="s">
        <v>163</v>
      </c>
      <c r="G986">
        <f>'Feb to July, 2022'!O88+'Feb to July, 2022'!P88</f>
        <v>35</v>
      </c>
      <c r="H986">
        <f>'Feb to July, 2022'!Q88</f>
        <v>0</v>
      </c>
      <c r="I986">
        <f>'Feb to July, 2022'!R88</f>
        <v>5</v>
      </c>
      <c r="J986">
        <f>G986*Parameters!$B$2*Parameters!$B$5</f>
        <v>74.518499999999989</v>
      </c>
      <c r="K986">
        <f>H986*Parameters!$B$3*Parameters!$B$6</f>
        <v>0</v>
      </c>
      <c r="L986">
        <f>I986*Parameters!$B$4*Parameters!$B$7</f>
        <v>40.481999999999999</v>
      </c>
      <c r="M986">
        <f t="shared" si="15"/>
        <v>115.00049999999999</v>
      </c>
      <c r="N986">
        <v>3500</v>
      </c>
      <c r="O986">
        <v>0</v>
      </c>
      <c r="P986">
        <v>0</v>
      </c>
      <c r="Q986">
        <v>1500</v>
      </c>
    </row>
    <row r="987" spans="1:17">
      <c r="A987" t="s">
        <v>112</v>
      </c>
      <c r="B987" t="s">
        <v>19</v>
      </c>
      <c r="C987">
        <v>7</v>
      </c>
      <c r="D987">
        <v>2022</v>
      </c>
      <c r="E987" s="49" t="s">
        <v>154</v>
      </c>
      <c r="F987" s="49" t="s">
        <v>163</v>
      </c>
      <c r="G987">
        <f>'Feb to July, 2022'!O89+'Feb to July, 2022'!P89</f>
        <v>0</v>
      </c>
      <c r="H987">
        <f>'Feb to July, 2022'!Q89</f>
        <v>0</v>
      </c>
      <c r="I987">
        <f>'Feb to July, 2022'!R89</f>
        <v>5</v>
      </c>
      <c r="J987">
        <f>G987*Parameters!$B$2*Parameters!$B$5</f>
        <v>0</v>
      </c>
      <c r="K987">
        <f>H987*Parameters!$B$3*Parameters!$B$6</f>
        <v>0</v>
      </c>
      <c r="L987">
        <f>I987*Parameters!$B$4*Parameters!$B$7</f>
        <v>40.481999999999999</v>
      </c>
      <c r="M987">
        <f t="shared" si="15"/>
        <v>40.481999999999999</v>
      </c>
      <c r="N987">
        <v>0</v>
      </c>
      <c r="O987">
        <v>0</v>
      </c>
      <c r="P987">
        <v>0</v>
      </c>
      <c r="Q987">
        <v>1500</v>
      </c>
    </row>
    <row r="988" spans="1:17">
      <c r="A988" t="s">
        <v>113</v>
      </c>
      <c r="B988" t="s">
        <v>26</v>
      </c>
      <c r="C988">
        <v>4</v>
      </c>
      <c r="D988">
        <v>2022</v>
      </c>
      <c r="E988" s="49" t="s">
        <v>154</v>
      </c>
      <c r="F988" s="49" t="s">
        <v>163</v>
      </c>
      <c r="G988">
        <f>'Feb to July, 2022'!O90+'Feb to July, 2022'!P90</f>
        <v>40</v>
      </c>
      <c r="H988">
        <f>'Feb to July, 2022'!Q90</f>
        <v>0</v>
      </c>
      <c r="I988">
        <f>'Feb to July, 2022'!R90</f>
        <v>10</v>
      </c>
      <c r="J988">
        <f>G988*Parameters!$B$2*Parameters!$B$5</f>
        <v>85.163999999999987</v>
      </c>
      <c r="K988">
        <f>H988*Parameters!$B$3*Parameters!$B$6</f>
        <v>0</v>
      </c>
      <c r="L988">
        <f>I988*Parameters!$B$4*Parameters!$B$7</f>
        <v>80.963999999999999</v>
      </c>
      <c r="M988">
        <f t="shared" si="15"/>
        <v>166.12799999999999</v>
      </c>
      <c r="N988">
        <v>4000</v>
      </c>
      <c r="O988">
        <v>0</v>
      </c>
      <c r="P988">
        <v>0</v>
      </c>
      <c r="Q988">
        <v>3000</v>
      </c>
    </row>
    <row r="989" spans="1:17">
      <c r="A989" t="s">
        <v>114</v>
      </c>
      <c r="B989" t="s">
        <v>65</v>
      </c>
      <c r="C989">
        <v>8</v>
      </c>
      <c r="D989">
        <v>2022</v>
      </c>
      <c r="E989" s="49" t="s">
        <v>154</v>
      </c>
      <c r="F989" s="49" t="s">
        <v>163</v>
      </c>
      <c r="G989">
        <f>'Feb to July, 2022'!O91+'Feb to July, 2022'!P91</f>
        <v>45</v>
      </c>
      <c r="H989">
        <f>'Feb to July, 2022'!Q91</f>
        <v>0</v>
      </c>
      <c r="I989">
        <f>'Feb to July, 2022'!R91</f>
        <v>20</v>
      </c>
      <c r="J989">
        <f>G989*Parameters!$B$2*Parameters!$B$5</f>
        <v>95.809499999999986</v>
      </c>
      <c r="K989">
        <f>H989*Parameters!$B$3*Parameters!$B$6</f>
        <v>0</v>
      </c>
      <c r="L989">
        <f>I989*Parameters!$B$4*Parameters!$B$7</f>
        <v>161.928</v>
      </c>
      <c r="M989">
        <f t="shared" si="15"/>
        <v>257.73749999999995</v>
      </c>
      <c r="N989">
        <v>4500</v>
      </c>
      <c r="O989">
        <v>0</v>
      </c>
      <c r="P989">
        <v>0</v>
      </c>
      <c r="Q989">
        <v>6000</v>
      </c>
    </row>
    <row r="990" spans="1:17">
      <c r="A990" t="s">
        <v>115</v>
      </c>
      <c r="B990" t="s">
        <v>19</v>
      </c>
      <c r="C990">
        <v>8</v>
      </c>
      <c r="D990">
        <v>2022</v>
      </c>
      <c r="E990" s="49" t="s">
        <v>154</v>
      </c>
      <c r="F990" s="49" t="s">
        <v>163</v>
      </c>
      <c r="G990">
        <f>'Feb to July, 2022'!O92+'Feb to July, 2022'!P92</f>
        <v>35</v>
      </c>
      <c r="H990">
        <f>'Feb to July, 2022'!Q92</f>
        <v>0</v>
      </c>
      <c r="I990">
        <f>'Feb to July, 2022'!R92</f>
        <v>15</v>
      </c>
      <c r="J990">
        <f>G990*Parameters!$B$2*Parameters!$B$5</f>
        <v>74.518499999999989</v>
      </c>
      <c r="K990">
        <f>H990*Parameters!$B$3*Parameters!$B$6</f>
        <v>0</v>
      </c>
      <c r="L990">
        <f>I990*Parameters!$B$4*Parameters!$B$7</f>
        <v>121.44600000000001</v>
      </c>
      <c r="M990">
        <f t="shared" si="15"/>
        <v>195.96449999999999</v>
      </c>
      <c r="N990">
        <v>3500</v>
      </c>
      <c r="O990">
        <v>0</v>
      </c>
      <c r="P990">
        <v>0</v>
      </c>
      <c r="Q990">
        <v>4500</v>
      </c>
    </row>
    <row r="991" spans="1:17">
      <c r="A991" t="s">
        <v>116</v>
      </c>
      <c r="B991" t="s">
        <v>21</v>
      </c>
      <c r="C991">
        <v>4</v>
      </c>
      <c r="D991">
        <v>2022</v>
      </c>
      <c r="E991" s="49" t="s">
        <v>154</v>
      </c>
      <c r="F991" s="49" t="s">
        <v>163</v>
      </c>
      <c r="G991">
        <f>'Feb to July, 2022'!O93+'Feb to July, 2022'!P93</f>
        <v>35</v>
      </c>
      <c r="H991">
        <f>'Feb to July, 2022'!Q93</f>
        <v>0</v>
      </c>
      <c r="I991">
        <f>'Feb to July, 2022'!R93</f>
        <v>20</v>
      </c>
      <c r="J991">
        <f>G991*Parameters!$B$2*Parameters!$B$5</f>
        <v>74.518499999999989</v>
      </c>
      <c r="K991">
        <f>H991*Parameters!$B$3*Parameters!$B$6</f>
        <v>0</v>
      </c>
      <c r="L991">
        <f>I991*Parameters!$B$4*Parameters!$B$7</f>
        <v>161.928</v>
      </c>
      <c r="M991">
        <f t="shared" si="15"/>
        <v>236.44649999999999</v>
      </c>
      <c r="N991">
        <v>3500</v>
      </c>
      <c r="O991">
        <v>0</v>
      </c>
      <c r="P991">
        <v>0</v>
      </c>
      <c r="Q991">
        <v>6000</v>
      </c>
    </row>
    <row r="992" spans="1:17">
      <c r="A992" t="s">
        <v>117</v>
      </c>
      <c r="B992" t="s">
        <v>17</v>
      </c>
      <c r="C992">
        <v>9</v>
      </c>
      <c r="D992">
        <v>2022</v>
      </c>
      <c r="E992" s="49" t="s">
        <v>154</v>
      </c>
      <c r="F992" s="49" t="s">
        <v>163</v>
      </c>
      <c r="G992">
        <f>'Feb to July, 2022'!O94+'Feb to July, 2022'!P94</f>
        <v>20</v>
      </c>
      <c r="H992">
        <f>'Feb to July, 2022'!Q94</f>
        <v>0</v>
      </c>
      <c r="I992">
        <f>'Feb to July, 2022'!R94</f>
        <v>10</v>
      </c>
      <c r="J992">
        <f>G992*Parameters!$B$2*Parameters!$B$5</f>
        <v>42.581999999999994</v>
      </c>
      <c r="K992">
        <f>H992*Parameters!$B$3*Parameters!$B$6</f>
        <v>0</v>
      </c>
      <c r="L992">
        <f>I992*Parameters!$B$4*Parameters!$B$7</f>
        <v>80.963999999999999</v>
      </c>
      <c r="M992">
        <f t="shared" si="15"/>
        <v>123.54599999999999</v>
      </c>
      <c r="N992">
        <v>2000</v>
      </c>
      <c r="O992">
        <v>0</v>
      </c>
      <c r="P992">
        <v>0</v>
      </c>
      <c r="Q992">
        <v>3000</v>
      </c>
    </row>
    <row r="993" spans="1:17">
      <c r="A993" t="s">
        <v>118</v>
      </c>
      <c r="B993" t="s">
        <v>19</v>
      </c>
      <c r="C993">
        <v>4</v>
      </c>
      <c r="D993">
        <v>2022</v>
      </c>
      <c r="E993" s="49" t="s">
        <v>154</v>
      </c>
      <c r="F993" s="49" t="s">
        <v>163</v>
      </c>
      <c r="G993">
        <f>'Feb to July, 2022'!O95+'Feb to July, 2022'!P95</f>
        <v>30</v>
      </c>
      <c r="H993">
        <f>'Feb to July, 2022'!Q95</f>
        <v>0</v>
      </c>
      <c r="I993">
        <f>'Feb to July, 2022'!R95</f>
        <v>15</v>
      </c>
      <c r="J993">
        <f>G993*Parameters!$B$2*Parameters!$B$5</f>
        <v>63.87299999999999</v>
      </c>
      <c r="K993">
        <f>H993*Parameters!$B$3*Parameters!$B$6</f>
        <v>0</v>
      </c>
      <c r="L993">
        <f>I993*Parameters!$B$4*Parameters!$B$7</f>
        <v>121.44600000000001</v>
      </c>
      <c r="M993">
        <f t="shared" si="15"/>
        <v>185.31900000000002</v>
      </c>
      <c r="N993">
        <v>3000</v>
      </c>
      <c r="O993">
        <v>0</v>
      </c>
      <c r="P993">
        <v>0</v>
      </c>
      <c r="Q993">
        <v>4500</v>
      </c>
    </row>
    <row r="994" spans="1:17">
      <c r="A994" t="s">
        <v>119</v>
      </c>
      <c r="B994" t="s">
        <v>40</v>
      </c>
      <c r="C994">
        <v>6</v>
      </c>
      <c r="D994">
        <v>2022</v>
      </c>
      <c r="E994" s="49" t="s">
        <v>154</v>
      </c>
      <c r="F994" s="49" t="s">
        <v>163</v>
      </c>
      <c r="G994">
        <f>'Feb to July, 2022'!O96+'Feb to July, 2022'!P96</f>
        <v>0</v>
      </c>
      <c r="H994">
        <f>'Feb to July, 2022'!Q96</f>
        <v>0</v>
      </c>
      <c r="I994">
        <f>'Feb to July, 2022'!R96</f>
        <v>20</v>
      </c>
      <c r="J994">
        <f>G994*Parameters!$B$2*Parameters!$B$5</f>
        <v>0</v>
      </c>
      <c r="K994">
        <f>H994*Parameters!$B$3*Parameters!$B$6</f>
        <v>0</v>
      </c>
      <c r="L994">
        <f>I994*Parameters!$B$4*Parameters!$B$7</f>
        <v>161.928</v>
      </c>
      <c r="M994">
        <f t="shared" si="15"/>
        <v>161.928</v>
      </c>
      <c r="N994">
        <v>0</v>
      </c>
      <c r="O994">
        <v>0</v>
      </c>
      <c r="P994">
        <v>0</v>
      </c>
      <c r="Q994">
        <v>6000</v>
      </c>
    </row>
    <row r="995" spans="1:17">
      <c r="A995" t="s">
        <v>120</v>
      </c>
      <c r="B995" t="s">
        <v>32</v>
      </c>
      <c r="C995">
        <v>8</v>
      </c>
      <c r="D995">
        <v>2022</v>
      </c>
      <c r="E995" s="49" t="s">
        <v>154</v>
      </c>
      <c r="F995" s="49" t="s">
        <v>163</v>
      </c>
      <c r="G995">
        <f>'Feb to July, 2022'!O97+'Feb to July, 2022'!P97</f>
        <v>35</v>
      </c>
      <c r="H995">
        <f>'Feb to July, 2022'!Q97</f>
        <v>0</v>
      </c>
      <c r="I995">
        <f>'Feb to July, 2022'!R97</f>
        <v>0</v>
      </c>
      <c r="J995">
        <f>G995*Parameters!$B$2*Parameters!$B$5</f>
        <v>74.518499999999989</v>
      </c>
      <c r="K995">
        <f>H995*Parameters!$B$3*Parameters!$B$6</f>
        <v>0</v>
      </c>
      <c r="L995">
        <f>I995*Parameters!$B$4*Parameters!$B$7</f>
        <v>0</v>
      </c>
      <c r="M995">
        <f t="shared" si="15"/>
        <v>74.518499999999989</v>
      </c>
      <c r="N995">
        <v>3500</v>
      </c>
      <c r="O995">
        <v>0</v>
      </c>
      <c r="P995">
        <v>0</v>
      </c>
      <c r="Q995">
        <v>0</v>
      </c>
    </row>
    <row r="996" spans="1:17">
      <c r="A996" t="s">
        <v>121</v>
      </c>
      <c r="B996" t="s">
        <v>24</v>
      </c>
      <c r="C996">
        <v>5</v>
      </c>
      <c r="D996">
        <v>2022</v>
      </c>
      <c r="E996" s="49" t="s">
        <v>154</v>
      </c>
      <c r="F996" s="49" t="s">
        <v>163</v>
      </c>
      <c r="G996">
        <f>'Feb to July, 2022'!O98+'Feb to July, 2022'!P98</f>
        <v>42</v>
      </c>
      <c r="H996">
        <f>'Feb to July, 2022'!Q98</f>
        <v>0</v>
      </c>
      <c r="I996">
        <f>'Feb to July, 2022'!R98</f>
        <v>20</v>
      </c>
      <c r="J996">
        <f>G996*Parameters!$B$2*Parameters!$B$5</f>
        <v>89.422199999999975</v>
      </c>
      <c r="K996">
        <f>H996*Parameters!$B$3*Parameters!$B$6</f>
        <v>0</v>
      </c>
      <c r="L996">
        <f>I996*Parameters!$B$4*Parameters!$B$7</f>
        <v>161.928</v>
      </c>
      <c r="M996">
        <f t="shared" si="15"/>
        <v>251.35019999999997</v>
      </c>
      <c r="N996">
        <v>4200</v>
      </c>
      <c r="O996">
        <v>0</v>
      </c>
      <c r="P996">
        <v>0</v>
      </c>
      <c r="Q996">
        <v>6000</v>
      </c>
    </row>
    <row r="997" spans="1:17">
      <c r="A997" t="s">
        <v>122</v>
      </c>
      <c r="B997" t="s">
        <v>26</v>
      </c>
      <c r="C997">
        <v>6</v>
      </c>
      <c r="D997">
        <v>2022</v>
      </c>
      <c r="E997" s="49" t="s">
        <v>154</v>
      </c>
      <c r="F997" s="49" t="s">
        <v>163</v>
      </c>
      <c r="G997">
        <f>'Feb to July, 2022'!O99+'Feb to July, 2022'!P99</f>
        <v>40</v>
      </c>
      <c r="H997">
        <f>'Feb to July, 2022'!Q99</f>
        <v>0</v>
      </c>
      <c r="I997">
        <f>'Feb to July, 2022'!R99</f>
        <v>5</v>
      </c>
      <c r="J997">
        <f>G997*Parameters!$B$2*Parameters!$B$5</f>
        <v>85.163999999999987</v>
      </c>
      <c r="K997">
        <f>H997*Parameters!$B$3*Parameters!$B$6</f>
        <v>0</v>
      </c>
      <c r="L997">
        <f>I997*Parameters!$B$4*Parameters!$B$7</f>
        <v>40.481999999999999</v>
      </c>
      <c r="M997">
        <f t="shared" si="15"/>
        <v>125.64599999999999</v>
      </c>
      <c r="N997">
        <v>4000</v>
      </c>
      <c r="O997">
        <v>0</v>
      </c>
      <c r="P997">
        <v>0</v>
      </c>
      <c r="Q997">
        <v>1500</v>
      </c>
    </row>
    <row r="998" spans="1:17">
      <c r="A998" t="s">
        <v>123</v>
      </c>
      <c r="B998" t="s">
        <v>19</v>
      </c>
      <c r="C998">
        <v>8</v>
      </c>
      <c r="D998">
        <v>2022</v>
      </c>
      <c r="E998" s="49" t="s">
        <v>154</v>
      </c>
      <c r="F998" s="49" t="s">
        <v>163</v>
      </c>
      <c r="G998">
        <f>'Feb to July, 2022'!O100+'Feb to July, 2022'!P100</f>
        <v>43</v>
      </c>
      <c r="H998">
        <f>'Feb to July, 2022'!Q100</f>
        <v>0</v>
      </c>
      <c r="I998">
        <f>'Feb to July, 2022'!R100</f>
        <v>10</v>
      </c>
      <c r="J998">
        <f>G998*Parameters!$B$2*Parameters!$B$5</f>
        <v>91.551299999999983</v>
      </c>
      <c r="K998">
        <f>H998*Parameters!$B$3*Parameters!$B$6</f>
        <v>0</v>
      </c>
      <c r="L998">
        <f>I998*Parameters!$B$4*Parameters!$B$7</f>
        <v>80.963999999999999</v>
      </c>
      <c r="M998">
        <f t="shared" si="15"/>
        <v>172.51529999999997</v>
      </c>
      <c r="N998">
        <v>4300</v>
      </c>
      <c r="O998">
        <v>0</v>
      </c>
      <c r="P998">
        <v>0</v>
      </c>
      <c r="Q998">
        <v>3000</v>
      </c>
    </row>
    <row r="999" spans="1:17">
      <c r="A999" t="s">
        <v>124</v>
      </c>
      <c r="B999" t="s">
        <v>56</v>
      </c>
      <c r="C999">
        <v>9</v>
      </c>
      <c r="D999">
        <v>2022</v>
      </c>
      <c r="E999" s="49" t="s">
        <v>154</v>
      </c>
      <c r="F999" s="49" t="s">
        <v>163</v>
      </c>
      <c r="G999">
        <f>'Feb to July, 2022'!O101+'Feb to July, 2022'!P101</f>
        <v>35</v>
      </c>
      <c r="H999">
        <f>'Feb to July, 2022'!Q101</f>
        <v>0</v>
      </c>
      <c r="I999">
        <f>'Feb to July, 2022'!R101</f>
        <v>5</v>
      </c>
      <c r="J999">
        <f>G999*Parameters!$B$2*Parameters!$B$5</f>
        <v>74.518499999999989</v>
      </c>
      <c r="K999">
        <f>H999*Parameters!$B$3*Parameters!$B$6</f>
        <v>0</v>
      </c>
      <c r="L999">
        <f>I999*Parameters!$B$4*Parameters!$B$7</f>
        <v>40.481999999999999</v>
      </c>
      <c r="M999">
        <f t="shared" si="15"/>
        <v>115.00049999999999</v>
      </c>
      <c r="N999">
        <v>3500</v>
      </c>
      <c r="O999">
        <v>0</v>
      </c>
      <c r="P999">
        <v>0</v>
      </c>
      <c r="Q999">
        <v>1500</v>
      </c>
    </row>
    <row r="1000" spans="1:17">
      <c r="A1000" t="s">
        <v>125</v>
      </c>
      <c r="B1000" t="s">
        <v>65</v>
      </c>
      <c r="C1000">
        <v>7</v>
      </c>
      <c r="D1000">
        <v>2022</v>
      </c>
      <c r="E1000" s="49" t="s">
        <v>154</v>
      </c>
      <c r="F1000" s="49" t="s">
        <v>163</v>
      </c>
      <c r="G1000">
        <f>'Feb to July, 2022'!O102+'Feb to July, 2022'!P102</f>
        <v>15</v>
      </c>
      <c r="H1000">
        <f>'Feb to July, 2022'!Q102</f>
        <v>0</v>
      </c>
      <c r="I1000">
        <f>'Feb to July, 2022'!R102</f>
        <v>15</v>
      </c>
      <c r="J1000">
        <f>G1000*Parameters!$B$2*Parameters!$B$5</f>
        <v>31.936499999999995</v>
      </c>
      <c r="K1000">
        <f>H1000*Parameters!$B$3*Parameters!$B$6</f>
        <v>0</v>
      </c>
      <c r="L1000">
        <f>I1000*Parameters!$B$4*Parameters!$B$7</f>
        <v>121.44600000000001</v>
      </c>
      <c r="M1000">
        <f t="shared" si="15"/>
        <v>153.38249999999999</v>
      </c>
      <c r="N1000">
        <v>1500</v>
      </c>
      <c r="O1000">
        <v>0</v>
      </c>
      <c r="P1000">
        <v>0</v>
      </c>
      <c r="Q1000">
        <v>4500</v>
      </c>
    </row>
    <row r="1001" spans="1:17">
      <c r="A1001" t="s">
        <v>126</v>
      </c>
      <c r="B1001" t="s">
        <v>65</v>
      </c>
      <c r="C1001">
        <v>6</v>
      </c>
      <c r="D1001">
        <v>2022</v>
      </c>
      <c r="E1001" s="49" t="s">
        <v>154</v>
      </c>
      <c r="F1001" s="49" t="s">
        <v>163</v>
      </c>
      <c r="G1001">
        <f>'Feb to July, 2022'!O103+'Feb to July, 2022'!P103</f>
        <v>27</v>
      </c>
      <c r="H1001">
        <f>'Feb to July, 2022'!Q103</f>
        <v>0</v>
      </c>
      <c r="I1001">
        <f>'Feb to July, 2022'!R103</f>
        <v>15</v>
      </c>
      <c r="J1001">
        <f>G1001*Parameters!$B$2*Parameters!$B$5</f>
        <v>57.485699999999994</v>
      </c>
      <c r="K1001">
        <f>H1001*Parameters!$B$3*Parameters!$B$6</f>
        <v>0</v>
      </c>
      <c r="L1001">
        <f>I1001*Parameters!$B$4*Parameters!$B$7</f>
        <v>121.44600000000001</v>
      </c>
      <c r="M1001">
        <f t="shared" si="15"/>
        <v>178.93170000000001</v>
      </c>
      <c r="N1001">
        <v>2700</v>
      </c>
      <c r="O1001">
        <v>0</v>
      </c>
      <c r="P1001">
        <v>0</v>
      </c>
      <c r="Q1001">
        <v>4500</v>
      </c>
    </row>
    <row r="1002" spans="1:17">
      <c r="A1002" t="s">
        <v>16</v>
      </c>
      <c r="B1002" t="s">
        <v>17</v>
      </c>
      <c r="C1002">
        <v>8</v>
      </c>
      <c r="D1002">
        <v>2022</v>
      </c>
      <c r="E1002" s="49" t="s">
        <v>155</v>
      </c>
      <c r="F1002" s="49" t="s">
        <v>163</v>
      </c>
      <c r="G1002">
        <f>'Feb to July, 2022'!W4+'Feb to July, 2022'!X4</f>
        <v>40</v>
      </c>
      <c r="H1002">
        <f>'Feb to July, 2022'!Y4</f>
        <v>0</v>
      </c>
      <c r="I1002">
        <f>'Feb to July, 2022'!Z4</f>
        <v>10</v>
      </c>
      <c r="J1002">
        <f>G1002*Parameters!$B$2*Parameters!$B$5</f>
        <v>85.163999999999987</v>
      </c>
      <c r="K1002">
        <f>H1002*Parameters!$B$3*Parameters!$B$6</f>
        <v>0</v>
      </c>
      <c r="L1002">
        <f>I1002*Parameters!$B$4*Parameters!$B$7</f>
        <v>80.963999999999999</v>
      </c>
      <c r="M1002">
        <f t="shared" si="15"/>
        <v>166.12799999999999</v>
      </c>
      <c r="N1002">
        <v>4000</v>
      </c>
      <c r="O1002">
        <v>0</v>
      </c>
      <c r="P1002">
        <v>0</v>
      </c>
      <c r="Q1002">
        <v>3000</v>
      </c>
    </row>
    <row r="1003" spans="1:17">
      <c r="A1003" t="s">
        <v>18</v>
      </c>
      <c r="B1003" t="s">
        <v>19</v>
      </c>
      <c r="C1003">
        <v>7</v>
      </c>
      <c r="D1003">
        <v>2022</v>
      </c>
      <c r="E1003" s="49" t="s">
        <v>155</v>
      </c>
      <c r="F1003" s="49" t="s">
        <v>163</v>
      </c>
      <c r="G1003">
        <f>'Feb to July, 2022'!W5+'Feb to July, 2022'!X5</f>
        <v>45</v>
      </c>
      <c r="H1003">
        <f>'Feb to July, 2022'!Y5</f>
        <v>0</v>
      </c>
      <c r="I1003">
        <f>'Feb to July, 2022'!Z5</f>
        <v>8</v>
      </c>
      <c r="J1003">
        <f>G1003*Parameters!$B$2*Parameters!$B$5</f>
        <v>95.809499999999986</v>
      </c>
      <c r="K1003">
        <f>H1003*Parameters!$B$3*Parameters!$B$6</f>
        <v>0</v>
      </c>
      <c r="L1003">
        <f>I1003*Parameters!$B$4*Parameters!$B$7</f>
        <v>64.771200000000007</v>
      </c>
      <c r="M1003">
        <f t="shared" si="15"/>
        <v>160.58069999999998</v>
      </c>
      <c r="N1003">
        <v>4500</v>
      </c>
      <c r="O1003">
        <v>0</v>
      </c>
      <c r="P1003">
        <v>0</v>
      </c>
      <c r="Q1003">
        <v>2400</v>
      </c>
    </row>
    <row r="1004" spans="1:17">
      <c r="A1004" t="s">
        <v>20</v>
      </c>
      <c r="B1004" t="s">
        <v>21</v>
      </c>
      <c r="C1004">
        <v>10</v>
      </c>
      <c r="D1004">
        <v>2022</v>
      </c>
      <c r="E1004" s="49" t="s">
        <v>155</v>
      </c>
      <c r="F1004" s="49" t="s">
        <v>163</v>
      </c>
      <c r="G1004">
        <f>'Feb to July, 2022'!W6+'Feb to July, 2022'!X6</f>
        <v>35</v>
      </c>
      <c r="H1004">
        <f>'Feb to July, 2022'!Y6</f>
        <v>0</v>
      </c>
      <c r="I1004">
        <f>'Feb to July, 2022'!Z6</f>
        <v>10</v>
      </c>
      <c r="J1004">
        <f>G1004*Parameters!$B$2*Parameters!$B$5</f>
        <v>74.518499999999989</v>
      </c>
      <c r="K1004">
        <f>H1004*Parameters!$B$3*Parameters!$B$6</f>
        <v>0</v>
      </c>
      <c r="L1004">
        <f>I1004*Parameters!$B$4*Parameters!$B$7</f>
        <v>80.963999999999999</v>
      </c>
      <c r="M1004">
        <f t="shared" si="15"/>
        <v>155.48249999999999</v>
      </c>
      <c r="N1004">
        <v>3500</v>
      </c>
      <c r="O1004">
        <v>0</v>
      </c>
      <c r="P1004">
        <v>0</v>
      </c>
      <c r="Q1004">
        <v>3000</v>
      </c>
    </row>
    <row r="1005" spans="1:17">
      <c r="A1005" t="s">
        <v>22</v>
      </c>
      <c r="B1005" t="s">
        <v>19</v>
      </c>
      <c r="C1005">
        <v>7</v>
      </c>
      <c r="D1005">
        <v>2022</v>
      </c>
      <c r="E1005" s="49" t="s">
        <v>155</v>
      </c>
      <c r="F1005" s="49" t="s">
        <v>163</v>
      </c>
      <c r="G1005">
        <f>'Feb to July, 2022'!W7+'Feb to July, 2022'!X7</f>
        <v>30</v>
      </c>
      <c r="H1005">
        <f>'Feb to July, 2022'!Y7</f>
        <v>0</v>
      </c>
      <c r="I1005">
        <f>'Feb to July, 2022'!Z7</f>
        <v>10</v>
      </c>
      <c r="J1005">
        <f>G1005*Parameters!$B$2*Parameters!$B$5</f>
        <v>63.87299999999999</v>
      </c>
      <c r="K1005">
        <f>H1005*Parameters!$B$3*Parameters!$B$6</f>
        <v>0</v>
      </c>
      <c r="L1005">
        <f>I1005*Parameters!$B$4*Parameters!$B$7</f>
        <v>80.963999999999999</v>
      </c>
      <c r="M1005">
        <f t="shared" si="15"/>
        <v>144.83699999999999</v>
      </c>
      <c r="N1005">
        <v>3000</v>
      </c>
      <c r="O1005">
        <v>0</v>
      </c>
      <c r="P1005">
        <v>0</v>
      </c>
      <c r="Q1005">
        <v>3000</v>
      </c>
    </row>
    <row r="1006" spans="1:17">
      <c r="A1006" t="s">
        <v>23</v>
      </c>
      <c r="B1006" t="s">
        <v>24</v>
      </c>
      <c r="C1006">
        <v>4</v>
      </c>
      <c r="D1006">
        <v>2022</v>
      </c>
      <c r="E1006" s="49" t="s">
        <v>155</v>
      </c>
      <c r="F1006" s="49" t="s">
        <v>163</v>
      </c>
      <c r="G1006">
        <f>'Feb to July, 2022'!W8+'Feb to July, 2022'!X8</f>
        <v>50</v>
      </c>
      <c r="H1006">
        <f>'Feb to July, 2022'!Y8</f>
        <v>0</v>
      </c>
      <c r="I1006">
        <f>'Feb to July, 2022'!Z8</f>
        <v>3</v>
      </c>
      <c r="J1006">
        <f>G1006*Parameters!$B$2*Parameters!$B$5</f>
        <v>106.45499999999998</v>
      </c>
      <c r="K1006">
        <f>H1006*Parameters!$B$3*Parameters!$B$6</f>
        <v>0</v>
      </c>
      <c r="L1006">
        <f>I1006*Parameters!$B$4*Parameters!$B$7</f>
        <v>24.289200000000005</v>
      </c>
      <c r="M1006">
        <f t="shared" si="15"/>
        <v>130.74419999999998</v>
      </c>
      <c r="N1006">
        <v>5000</v>
      </c>
      <c r="O1006">
        <v>0</v>
      </c>
      <c r="P1006">
        <v>0</v>
      </c>
      <c r="Q1006">
        <v>900</v>
      </c>
    </row>
    <row r="1007" spans="1:17">
      <c r="A1007" t="s">
        <v>25</v>
      </c>
      <c r="B1007" t="s">
        <v>26</v>
      </c>
      <c r="C1007">
        <v>3</v>
      </c>
      <c r="D1007">
        <v>2022</v>
      </c>
      <c r="E1007" s="49" t="s">
        <v>155</v>
      </c>
      <c r="F1007" s="49" t="s">
        <v>163</v>
      </c>
      <c r="G1007">
        <f>'Feb to July, 2022'!W9+'Feb to July, 2022'!X9</f>
        <v>30</v>
      </c>
      <c r="H1007">
        <f>'Feb to July, 2022'!Y9</f>
        <v>0</v>
      </c>
      <c r="I1007">
        <f>'Feb to July, 2022'!Z9</f>
        <v>5</v>
      </c>
      <c r="J1007">
        <f>G1007*Parameters!$B$2*Parameters!$B$5</f>
        <v>63.87299999999999</v>
      </c>
      <c r="K1007">
        <f>H1007*Parameters!$B$3*Parameters!$B$6</f>
        <v>0</v>
      </c>
      <c r="L1007">
        <f>I1007*Parameters!$B$4*Parameters!$B$7</f>
        <v>40.481999999999999</v>
      </c>
      <c r="M1007">
        <f t="shared" si="15"/>
        <v>104.35499999999999</v>
      </c>
      <c r="N1007">
        <v>3000</v>
      </c>
      <c r="O1007">
        <v>0</v>
      </c>
      <c r="P1007">
        <v>0</v>
      </c>
      <c r="Q1007">
        <v>1500</v>
      </c>
    </row>
    <row r="1008" spans="1:17">
      <c r="A1008" t="s">
        <v>27</v>
      </c>
      <c r="B1008" t="s">
        <v>21</v>
      </c>
      <c r="C1008">
        <v>6</v>
      </c>
      <c r="D1008">
        <v>2022</v>
      </c>
      <c r="E1008" s="49" t="s">
        <v>155</v>
      </c>
      <c r="F1008" s="49" t="s">
        <v>163</v>
      </c>
      <c r="G1008">
        <f>'Feb to July, 2022'!W10+'Feb to July, 2022'!X10</f>
        <v>45</v>
      </c>
      <c r="H1008">
        <f>'Feb to July, 2022'!Y10</f>
        <v>0</v>
      </c>
      <c r="I1008">
        <f>'Feb to July, 2022'!Z10</f>
        <v>10</v>
      </c>
      <c r="J1008">
        <f>G1008*Parameters!$B$2*Parameters!$B$5</f>
        <v>95.809499999999986</v>
      </c>
      <c r="K1008">
        <f>H1008*Parameters!$B$3*Parameters!$B$6</f>
        <v>0</v>
      </c>
      <c r="L1008">
        <f>I1008*Parameters!$B$4*Parameters!$B$7</f>
        <v>80.963999999999999</v>
      </c>
      <c r="M1008">
        <f t="shared" si="15"/>
        <v>176.77349999999998</v>
      </c>
      <c r="N1008">
        <v>4500</v>
      </c>
      <c r="O1008">
        <v>0</v>
      </c>
      <c r="P1008">
        <v>0</v>
      </c>
      <c r="Q1008">
        <v>3000</v>
      </c>
    </row>
    <row r="1009" spans="1:17">
      <c r="A1009" t="s">
        <v>28</v>
      </c>
      <c r="B1009" t="s">
        <v>19</v>
      </c>
      <c r="C1009">
        <v>9</v>
      </c>
      <c r="D1009">
        <v>2022</v>
      </c>
      <c r="E1009" s="49" t="s">
        <v>155</v>
      </c>
      <c r="F1009" s="49" t="s">
        <v>163</v>
      </c>
      <c r="G1009">
        <f>'Feb to July, 2022'!W11+'Feb to July, 2022'!X11</f>
        <v>50</v>
      </c>
      <c r="H1009">
        <f>'Feb to July, 2022'!Y11</f>
        <v>0</v>
      </c>
      <c r="I1009">
        <f>'Feb to July, 2022'!Z11</f>
        <v>15</v>
      </c>
      <c r="J1009">
        <f>G1009*Parameters!$B$2*Parameters!$B$5</f>
        <v>106.45499999999998</v>
      </c>
      <c r="K1009">
        <f>H1009*Parameters!$B$3*Parameters!$B$6</f>
        <v>0</v>
      </c>
      <c r="L1009">
        <f>I1009*Parameters!$B$4*Parameters!$B$7</f>
        <v>121.44600000000001</v>
      </c>
      <c r="M1009">
        <f t="shared" si="15"/>
        <v>227.90100000000001</v>
      </c>
      <c r="N1009">
        <v>5000</v>
      </c>
      <c r="O1009">
        <v>0</v>
      </c>
      <c r="P1009">
        <v>0</v>
      </c>
      <c r="Q1009">
        <v>4500</v>
      </c>
    </row>
    <row r="1010" spans="1:17">
      <c r="A1010" t="s">
        <v>29</v>
      </c>
      <c r="B1010" t="s">
        <v>24</v>
      </c>
      <c r="C1010">
        <v>4</v>
      </c>
      <c r="D1010">
        <v>2022</v>
      </c>
      <c r="E1010" s="49" t="s">
        <v>155</v>
      </c>
      <c r="F1010" s="49" t="s">
        <v>163</v>
      </c>
      <c r="G1010">
        <f>'Feb to July, 2022'!W12+'Feb to July, 2022'!X12</f>
        <v>30</v>
      </c>
      <c r="H1010">
        <f>'Feb to July, 2022'!Y12</f>
        <v>0</v>
      </c>
      <c r="I1010">
        <f>'Feb to July, 2022'!Z12</f>
        <v>12</v>
      </c>
      <c r="J1010">
        <f>G1010*Parameters!$B$2*Parameters!$B$5</f>
        <v>63.87299999999999</v>
      </c>
      <c r="K1010">
        <f>H1010*Parameters!$B$3*Parameters!$B$6</f>
        <v>0</v>
      </c>
      <c r="L1010">
        <f>I1010*Parameters!$B$4*Parameters!$B$7</f>
        <v>97.156800000000018</v>
      </c>
      <c r="M1010">
        <f t="shared" si="15"/>
        <v>161.02980000000002</v>
      </c>
      <c r="N1010">
        <v>3000</v>
      </c>
      <c r="O1010">
        <v>0</v>
      </c>
      <c r="P1010">
        <v>0</v>
      </c>
      <c r="Q1010">
        <v>3600</v>
      </c>
    </row>
    <row r="1011" spans="1:17">
      <c r="A1011" t="s">
        <v>30</v>
      </c>
      <c r="B1011" t="s">
        <v>21</v>
      </c>
      <c r="C1011">
        <v>6</v>
      </c>
      <c r="D1011">
        <v>2022</v>
      </c>
      <c r="E1011" s="49" t="s">
        <v>155</v>
      </c>
      <c r="F1011" s="49" t="s">
        <v>163</v>
      </c>
      <c r="G1011">
        <f>'Feb to July, 2022'!W13+'Feb to July, 2022'!X13</f>
        <v>15</v>
      </c>
      <c r="H1011">
        <f>'Feb to July, 2022'!Y13</f>
        <v>0</v>
      </c>
      <c r="I1011">
        <f>'Feb to July, 2022'!Z13</f>
        <v>10</v>
      </c>
      <c r="J1011">
        <f>G1011*Parameters!$B$2*Parameters!$B$5</f>
        <v>31.936499999999995</v>
      </c>
      <c r="K1011">
        <f>H1011*Parameters!$B$3*Parameters!$B$6</f>
        <v>0</v>
      </c>
      <c r="L1011">
        <f>I1011*Parameters!$B$4*Parameters!$B$7</f>
        <v>80.963999999999999</v>
      </c>
      <c r="M1011">
        <f t="shared" si="15"/>
        <v>112.90049999999999</v>
      </c>
      <c r="N1011">
        <v>1500</v>
      </c>
      <c r="O1011">
        <v>0</v>
      </c>
      <c r="P1011">
        <v>0</v>
      </c>
      <c r="Q1011">
        <v>3000</v>
      </c>
    </row>
    <row r="1012" spans="1:17">
      <c r="A1012" t="s">
        <v>31</v>
      </c>
      <c r="B1012" t="s">
        <v>32</v>
      </c>
      <c r="C1012">
        <v>4</v>
      </c>
      <c r="D1012">
        <v>2022</v>
      </c>
      <c r="E1012" s="49" t="s">
        <v>155</v>
      </c>
      <c r="F1012" s="49" t="s">
        <v>163</v>
      </c>
      <c r="G1012">
        <f>'Feb to July, 2022'!W14+'Feb to July, 2022'!X14</f>
        <v>50</v>
      </c>
      <c r="H1012">
        <f>'Feb to July, 2022'!Y14</f>
        <v>0</v>
      </c>
      <c r="I1012">
        <f>'Feb to July, 2022'!Z14</f>
        <v>10</v>
      </c>
      <c r="J1012">
        <f>G1012*Parameters!$B$2*Parameters!$B$5</f>
        <v>106.45499999999998</v>
      </c>
      <c r="K1012">
        <f>H1012*Parameters!$B$3*Parameters!$B$6</f>
        <v>0</v>
      </c>
      <c r="L1012">
        <f>I1012*Parameters!$B$4*Parameters!$B$7</f>
        <v>80.963999999999999</v>
      </c>
      <c r="M1012">
        <f t="shared" si="15"/>
        <v>187.41899999999998</v>
      </c>
      <c r="N1012">
        <v>5000</v>
      </c>
      <c r="O1012">
        <v>0</v>
      </c>
      <c r="P1012">
        <v>0</v>
      </c>
      <c r="Q1012">
        <v>3000</v>
      </c>
    </row>
    <row r="1013" spans="1:17">
      <c r="A1013" t="s">
        <v>33</v>
      </c>
      <c r="B1013" t="s">
        <v>32</v>
      </c>
      <c r="C1013">
        <v>6</v>
      </c>
      <c r="D1013">
        <v>2022</v>
      </c>
      <c r="E1013" s="49" t="s">
        <v>155</v>
      </c>
      <c r="F1013" s="49" t="s">
        <v>163</v>
      </c>
      <c r="G1013">
        <f>'Feb to July, 2022'!W15+'Feb to July, 2022'!X15</f>
        <v>25</v>
      </c>
      <c r="H1013">
        <f>'Feb to July, 2022'!Y15</f>
        <v>0</v>
      </c>
      <c r="I1013">
        <f>'Feb to July, 2022'!Z15</f>
        <v>10</v>
      </c>
      <c r="J1013">
        <f>G1013*Parameters!$B$2*Parameters!$B$5</f>
        <v>53.227499999999992</v>
      </c>
      <c r="K1013">
        <f>H1013*Parameters!$B$3*Parameters!$B$6</f>
        <v>0</v>
      </c>
      <c r="L1013">
        <f>I1013*Parameters!$B$4*Parameters!$B$7</f>
        <v>80.963999999999999</v>
      </c>
      <c r="M1013">
        <f t="shared" si="15"/>
        <v>134.19149999999999</v>
      </c>
      <c r="N1013">
        <v>2500</v>
      </c>
      <c r="O1013">
        <v>0</v>
      </c>
      <c r="P1013">
        <v>0</v>
      </c>
      <c r="Q1013">
        <v>3000</v>
      </c>
    </row>
    <row r="1014" spans="1:17">
      <c r="A1014" t="s">
        <v>34</v>
      </c>
      <c r="B1014" t="s">
        <v>21</v>
      </c>
      <c r="C1014">
        <v>9</v>
      </c>
      <c r="D1014">
        <v>2022</v>
      </c>
      <c r="E1014" s="49" t="s">
        <v>155</v>
      </c>
      <c r="F1014" s="49" t="s">
        <v>163</v>
      </c>
      <c r="G1014">
        <f>'Feb to July, 2022'!W16+'Feb to July, 2022'!X16</f>
        <v>25</v>
      </c>
      <c r="H1014">
        <f>'Feb to July, 2022'!Y16</f>
        <v>0</v>
      </c>
      <c r="I1014">
        <f>'Feb to July, 2022'!Z16</f>
        <v>5</v>
      </c>
      <c r="J1014">
        <f>G1014*Parameters!$B$2*Parameters!$B$5</f>
        <v>53.227499999999992</v>
      </c>
      <c r="K1014">
        <f>H1014*Parameters!$B$3*Parameters!$B$6</f>
        <v>0</v>
      </c>
      <c r="L1014">
        <f>I1014*Parameters!$B$4*Parameters!$B$7</f>
        <v>40.481999999999999</v>
      </c>
      <c r="M1014">
        <f t="shared" si="15"/>
        <v>93.709499999999991</v>
      </c>
      <c r="N1014">
        <v>2500</v>
      </c>
      <c r="O1014">
        <v>0</v>
      </c>
      <c r="P1014">
        <v>0</v>
      </c>
      <c r="Q1014">
        <v>1500</v>
      </c>
    </row>
    <row r="1015" spans="1:17">
      <c r="A1015" t="s">
        <v>35</v>
      </c>
      <c r="B1015" t="s">
        <v>21</v>
      </c>
      <c r="C1015">
        <v>6</v>
      </c>
      <c r="D1015">
        <v>2022</v>
      </c>
      <c r="E1015" s="49" t="s">
        <v>155</v>
      </c>
      <c r="F1015" s="49" t="s">
        <v>163</v>
      </c>
      <c r="G1015">
        <f>'Feb to July, 2022'!W17+'Feb to July, 2022'!X17</f>
        <v>35</v>
      </c>
      <c r="H1015">
        <f>'Feb to July, 2022'!Y17</f>
        <v>0</v>
      </c>
      <c r="I1015">
        <f>'Feb to July, 2022'!Z17</f>
        <v>10.5</v>
      </c>
      <c r="J1015">
        <f>G1015*Parameters!$B$2*Parameters!$B$5</f>
        <v>74.518499999999989</v>
      </c>
      <c r="K1015">
        <f>H1015*Parameters!$B$3*Parameters!$B$6</f>
        <v>0</v>
      </c>
      <c r="L1015">
        <f>I1015*Parameters!$B$4*Parameters!$B$7</f>
        <v>85.012200000000007</v>
      </c>
      <c r="M1015">
        <f t="shared" si="15"/>
        <v>159.5307</v>
      </c>
      <c r="N1015">
        <v>3500</v>
      </c>
      <c r="O1015">
        <v>0</v>
      </c>
      <c r="P1015">
        <v>0</v>
      </c>
      <c r="Q1015">
        <v>3150</v>
      </c>
    </row>
    <row r="1016" spans="1:17">
      <c r="A1016" t="s">
        <v>36</v>
      </c>
      <c r="B1016" t="s">
        <v>21</v>
      </c>
      <c r="C1016">
        <v>12</v>
      </c>
      <c r="D1016">
        <v>2022</v>
      </c>
      <c r="E1016" s="49" t="s">
        <v>155</v>
      </c>
      <c r="F1016" s="49" t="s">
        <v>163</v>
      </c>
      <c r="G1016">
        <f>'Feb to July, 2022'!W18+'Feb to July, 2022'!X18</f>
        <v>25</v>
      </c>
      <c r="H1016">
        <f>'Feb to July, 2022'!Y18</f>
        <v>0</v>
      </c>
      <c r="I1016">
        <f>'Feb to July, 2022'!Z18</f>
        <v>10</v>
      </c>
      <c r="J1016">
        <f>G1016*Parameters!$B$2*Parameters!$B$5</f>
        <v>53.227499999999992</v>
      </c>
      <c r="K1016">
        <f>H1016*Parameters!$B$3*Parameters!$B$6</f>
        <v>0</v>
      </c>
      <c r="L1016">
        <f>I1016*Parameters!$B$4*Parameters!$B$7</f>
        <v>80.963999999999999</v>
      </c>
      <c r="M1016">
        <f t="shared" si="15"/>
        <v>134.19149999999999</v>
      </c>
      <c r="N1016">
        <v>2500</v>
      </c>
      <c r="O1016">
        <v>0</v>
      </c>
      <c r="P1016">
        <v>0</v>
      </c>
      <c r="Q1016">
        <v>3000</v>
      </c>
    </row>
    <row r="1017" spans="1:17">
      <c r="A1017" t="s">
        <v>37</v>
      </c>
      <c r="B1017" t="s">
        <v>38</v>
      </c>
      <c r="C1017">
        <v>7</v>
      </c>
      <c r="D1017">
        <v>2022</v>
      </c>
      <c r="E1017" s="49" t="s">
        <v>155</v>
      </c>
      <c r="F1017" s="49" t="s">
        <v>163</v>
      </c>
      <c r="G1017">
        <f>'Feb to July, 2022'!W19+'Feb to July, 2022'!X19</f>
        <v>25</v>
      </c>
      <c r="H1017">
        <f>'Feb to July, 2022'!Y19</f>
        <v>0</v>
      </c>
      <c r="I1017">
        <f>'Feb to July, 2022'!Z19</f>
        <v>10</v>
      </c>
      <c r="J1017">
        <f>G1017*Parameters!$B$2*Parameters!$B$5</f>
        <v>53.227499999999992</v>
      </c>
      <c r="K1017">
        <f>H1017*Parameters!$B$3*Parameters!$B$6</f>
        <v>0</v>
      </c>
      <c r="L1017">
        <f>I1017*Parameters!$B$4*Parameters!$B$7</f>
        <v>80.963999999999999</v>
      </c>
      <c r="M1017">
        <f t="shared" si="15"/>
        <v>134.19149999999999</v>
      </c>
      <c r="N1017">
        <v>2500</v>
      </c>
      <c r="O1017">
        <v>0</v>
      </c>
      <c r="P1017">
        <v>0</v>
      </c>
      <c r="Q1017">
        <v>3000</v>
      </c>
    </row>
    <row r="1018" spans="1:17">
      <c r="A1018" t="s">
        <v>39</v>
      </c>
      <c r="B1018" t="s">
        <v>40</v>
      </c>
      <c r="C1018">
        <v>6</v>
      </c>
      <c r="D1018">
        <v>2022</v>
      </c>
      <c r="E1018" s="49" t="s">
        <v>155</v>
      </c>
      <c r="F1018" s="49" t="s">
        <v>163</v>
      </c>
      <c r="G1018">
        <f>'Feb to July, 2022'!W20+'Feb to July, 2022'!X20</f>
        <v>50</v>
      </c>
      <c r="H1018">
        <f>'Feb to July, 2022'!Y20</f>
        <v>0</v>
      </c>
      <c r="I1018">
        <f>'Feb to July, 2022'!Z20</f>
        <v>0</v>
      </c>
      <c r="J1018">
        <f>G1018*Parameters!$B$2*Parameters!$B$5</f>
        <v>106.45499999999998</v>
      </c>
      <c r="K1018">
        <f>H1018*Parameters!$B$3*Parameters!$B$6</f>
        <v>0</v>
      </c>
      <c r="L1018">
        <f>I1018*Parameters!$B$4*Parameters!$B$7</f>
        <v>0</v>
      </c>
      <c r="M1018">
        <f t="shared" si="15"/>
        <v>106.45499999999998</v>
      </c>
      <c r="N1018">
        <v>5000</v>
      </c>
      <c r="O1018">
        <v>0</v>
      </c>
      <c r="P1018">
        <v>0</v>
      </c>
      <c r="Q1018">
        <v>0</v>
      </c>
    </row>
    <row r="1019" spans="1:17">
      <c r="A1019" t="s">
        <v>41</v>
      </c>
      <c r="B1019" t="s">
        <v>26</v>
      </c>
      <c r="C1019">
        <v>5</v>
      </c>
      <c r="D1019">
        <v>2022</v>
      </c>
      <c r="E1019" s="49" t="s">
        <v>155</v>
      </c>
      <c r="F1019" s="49" t="s">
        <v>163</v>
      </c>
      <c r="G1019">
        <f>'Feb to July, 2022'!W21+'Feb to July, 2022'!X21</f>
        <v>30</v>
      </c>
      <c r="H1019">
        <f>'Feb to July, 2022'!Y21</f>
        <v>0</v>
      </c>
      <c r="I1019">
        <f>'Feb to July, 2022'!Z21</f>
        <v>10</v>
      </c>
      <c r="J1019">
        <f>G1019*Parameters!$B$2*Parameters!$B$5</f>
        <v>63.87299999999999</v>
      </c>
      <c r="K1019">
        <f>H1019*Parameters!$B$3*Parameters!$B$6</f>
        <v>0</v>
      </c>
      <c r="L1019">
        <f>I1019*Parameters!$B$4*Parameters!$B$7</f>
        <v>80.963999999999999</v>
      </c>
      <c r="M1019">
        <f t="shared" si="15"/>
        <v>144.83699999999999</v>
      </c>
      <c r="N1019">
        <v>3000</v>
      </c>
      <c r="O1019">
        <v>0</v>
      </c>
      <c r="P1019">
        <v>0</v>
      </c>
      <c r="Q1019">
        <v>3000</v>
      </c>
    </row>
    <row r="1020" spans="1:17">
      <c r="A1020" t="s">
        <v>42</v>
      </c>
      <c r="B1020" t="s">
        <v>24</v>
      </c>
      <c r="C1020">
        <v>5</v>
      </c>
      <c r="D1020">
        <v>2022</v>
      </c>
      <c r="E1020" s="49" t="s">
        <v>155</v>
      </c>
      <c r="F1020" s="49" t="s">
        <v>163</v>
      </c>
      <c r="G1020">
        <f>'Feb to July, 2022'!W22+'Feb to July, 2022'!X22</f>
        <v>33</v>
      </c>
      <c r="H1020">
        <f>'Feb to July, 2022'!Y22</f>
        <v>0</v>
      </c>
      <c r="I1020">
        <f>'Feb to July, 2022'!Z22</f>
        <v>7.5</v>
      </c>
      <c r="J1020">
        <f>G1020*Parameters!$B$2*Parameters!$B$5</f>
        <v>70.260300000000001</v>
      </c>
      <c r="K1020">
        <f>H1020*Parameters!$B$3*Parameters!$B$6</f>
        <v>0</v>
      </c>
      <c r="L1020">
        <f>I1020*Parameters!$B$4*Parameters!$B$7</f>
        <v>60.723000000000006</v>
      </c>
      <c r="M1020">
        <f t="shared" si="15"/>
        <v>130.98330000000001</v>
      </c>
      <c r="N1020">
        <v>3300</v>
      </c>
      <c r="O1020">
        <v>0</v>
      </c>
      <c r="P1020">
        <v>0</v>
      </c>
      <c r="Q1020">
        <v>2250</v>
      </c>
    </row>
    <row r="1021" spans="1:17">
      <c r="A1021" t="s">
        <v>43</v>
      </c>
      <c r="B1021" t="s">
        <v>19</v>
      </c>
      <c r="C1021">
        <v>8</v>
      </c>
      <c r="D1021">
        <v>2022</v>
      </c>
      <c r="E1021" s="49" t="s">
        <v>155</v>
      </c>
      <c r="F1021" s="49" t="s">
        <v>163</v>
      </c>
      <c r="G1021">
        <f>'Feb to July, 2022'!W23+'Feb to July, 2022'!X23</f>
        <v>45</v>
      </c>
      <c r="H1021">
        <f>'Feb to July, 2022'!Y23</f>
        <v>0</v>
      </c>
      <c r="I1021">
        <f>'Feb to July, 2022'!Z23</f>
        <v>10</v>
      </c>
      <c r="J1021">
        <f>G1021*Parameters!$B$2*Parameters!$B$5</f>
        <v>95.809499999999986</v>
      </c>
      <c r="K1021">
        <f>H1021*Parameters!$B$3*Parameters!$B$6</f>
        <v>0</v>
      </c>
      <c r="L1021">
        <f>I1021*Parameters!$B$4*Parameters!$B$7</f>
        <v>80.963999999999999</v>
      </c>
      <c r="M1021">
        <f t="shared" si="15"/>
        <v>176.77349999999998</v>
      </c>
      <c r="N1021">
        <v>4500</v>
      </c>
      <c r="O1021">
        <v>0</v>
      </c>
      <c r="P1021">
        <v>0</v>
      </c>
      <c r="Q1021">
        <v>3000</v>
      </c>
    </row>
    <row r="1022" spans="1:17">
      <c r="A1022" t="s">
        <v>44</v>
      </c>
      <c r="B1022" t="s">
        <v>40</v>
      </c>
      <c r="C1022">
        <v>10</v>
      </c>
      <c r="D1022">
        <v>2022</v>
      </c>
      <c r="E1022" s="49" t="s">
        <v>155</v>
      </c>
      <c r="F1022" s="49" t="s">
        <v>163</v>
      </c>
      <c r="G1022">
        <f>'Feb to July, 2022'!W24+'Feb to July, 2022'!X24</f>
        <v>25</v>
      </c>
      <c r="H1022">
        <f>'Feb to July, 2022'!Y24</f>
        <v>0</v>
      </c>
      <c r="I1022">
        <f>'Feb to July, 2022'!Z24</f>
        <v>12</v>
      </c>
      <c r="J1022">
        <f>G1022*Parameters!$B$2*Parameters!$B$5</f>
        <v>53.227499999999992</v>
      </c>
      <c r="K1022">
        <f>H1022*Parameters!$B$3*Parameters!$B$6</f>
        <v>0</v>
      </c>
      <c r="L1022">
        <f>I1022*Parameters!$B$4*Parameters!$B$7</f>
        <v>97.156800000000018</v>
      </c>
      <c r="M1022">
        <f t="shared" si="15"/>
        <v>150.3843</v>
      </c>
      <c r="N1022">
        <v>2500</v>
      </c>
      <c r="O1022">
        <v>0</v>
      </c>
      <c r="P1022">
        <v>0</v>
      </c>
      <c r="Q1022">
        <v>3600</v>
      </c>
    </row>
    <row r="1023" spans="1:17">
      <c r="A1023" t="s">
        <v>45</v>
      </c>
      <c r="B1023" t="s">
        <v>24</v>
      </c>
      <c r="C1023">
        <v>8</v>
      </c>
      <c r="D1023">
        <v>2022</v>
      </c>
      <c r="E1023" s="49" t="s">
        <v>155</v>
      </c>
      <c r="F1023" s="49" t="s">
        <v>163</v>
      </c>
      <c r="G1023">
        <f>'Feb to July, 2022'!W25+'Feb to July, 2022'!X25</f>
        <v>38</v>
      </c>
      <c r="H1023">
        <f>'Feb to July, 2022'!Y25</f>
        <v>0</v>
      </c>
      <c r="I1023">
        <f>'Feb to July, 2022'!Z25</f>
        <v>10</v>
      </c>
      <c r="J1023">
        <f>G1023*Parameters!$B$2*Parameters!$B$5</f>
        <v>80.905799999999985</v>
      </c>
      <c r="K1023">
        <f>H1023*Parameters!$B$3*Parameters!$B$6</f>
        <v>0</v>
      </c>
      <c r="L1023">
        <f>I1023*Parameters!$B$4*Parameters!$B$7</f>
        <v>80.963999999999999</v>
      </c>
      <c r="M1023">
        <f t="shared" si="15"/>
        <v>161.8698</v>
      </c>
      <c r="N1023">
        <v>3800</v>
      </c>
      <c r="O1023">
        <v>0</v>
      </c>
      <c r="P1023">
        <v>0</v>
      </c>
      <c r="Q1023">
        <v>3000</v>
      </c>
    </row>
    <row r="1024" spans="1:17">
      <c r="A1024" t="s">
        <v>46</v>
      </c>
      <c r="B1024" t="s">
        <v>24</v>
      </c>
      <c r="C1024">
        <v>4</v>
      </c>
      <c r="D1024">
        <v>2022</v>
      </c>
      <c r="E1024" s="49" t="s">
        <v>155</v>
      </c>
      <c r="F1024" s="49" t="s">
        <v>163</v>
      </c>
      <c r="G1024">
        <f>'Feb to July, 2022'!W26+'Feb to July, 2022'!X26</f>
        <v>30</v>
      </c>
      <c r="H1024">
        <f>'Feb to July, 2022'!Y26</f>
        <v>0</v>
      </c>
      <c r="I1024">
        <f>'Feb to July, 2022'!Z26</f>
        <v>8</v>
      </c>
      <c r="J1024">
        <f>G1024*Parameters!$B$2*Parameters!$B$5</f>
        <v>63.87299999999999</v>
      </c>
      <c r="K1024">
        <f>H1024*Parameters!$B$3*Parameters!$B$6</f>
        <v>0</v>
      </c>
      <c r="L1024">
        <f>I1024*Parameters!$B$4*Parameters!$B$7</f>
        <v>64.771200000000007</v>
      </c>
      <c r="M1024">
        <f t="shared" si="15"/>
        <v>128.64420000000001</v>
      </c>
      <c r="N1024">
        <v>3000</v>
      </c>
      <c r="O1024">
        <v>0</v>
      </c>
      <c r="P1024">
        <v>0</v>
      </c>
      <c r="Q1024">
        <v>2400</v>
      </c>
    </row>
    <row r="1025" spans="1:17">
      <c r="A1025" t="s">
        <v>47</v>
      </c>
      <c r="B1025" t="s">
        <v>19</v>
      </c>
      <c r="C1025">
        <v>6</v>
      </c>
      <c r="D1025">
        <v>2022</v>
      </c>
      <c r="E1025" s="49" t="s">
        <v>155</v>
      </c>
      <c r="F1025" s="49" t="s">
        <v>163</v>
      </c>
      <c r="G1025">
        <f>'Feb to July, 2022'!W27+'Feb to July, 2022'!X27</f>
        <v>20</v>
      </c>
      <c r="H1025">
        <f>'Feb to July, 2022'!Y27</f>
        <v>0</v>
      </c>
      <c r="I1025">
        <f>'Feb to July, 2022'!Z27</f>
        <v>10</v>
      </c>
      <c r="J1025">
        <f>G1025*Parameters!$B$2*Parameters!$B$5</f>
        <v>42.581999999999994</v>
      </c>
      <c r="K1025">
        <f>H1025*Parameters!$B$3*Parameters!$B$6</f>
        <v>0</v>
      </c>
      <c r="L1025">
        <f>I1025*Parameters!$B$4*Parameters!$B$7</f>
        <v>80.963999999999999</v>
      </c>
      <c r="M1025">
        <f t="shared" si="15"/>
        <v>123.54599999999999</v>
      </c>
      <c r="N1025">
        <v>2000</v>
      </c>
      <c r="O1025">
        <v>0</v>
      </c>
      <c r="P1025">
        <v>0</v>
      </c>
      <c r="Q1025">
        <v>3000</v>
      </c>
    </row>
    <row r="1026" spans="1:17">
      <c r="A1026" t="s">
        <v>48</v>
      </c>
      <c r="B1026" t="s">
        <v>24</v>
      </c>
      <c r="C1026">
        <v>4</v>
      </c>
      <c r="D1026">
        <v>2022</v>
      </c>
      <c r="E1026" s="49" t="s">
        <v>155</v>
      </c>
      <c r="F1026" s="49" t="s">
        <v>163</v>
      </c>
      <c r="G1026">
        <f>'Feb to July, 2022'!W28+'Feb to July, 2022'!X28</f>
        <v>25</v>
      </c>
      <c r="H1026">
        <f>'Feb to July, 2022'!Y28</f>
        <v>0</v>
      </c>
      <c r="I1026">
        <f>'Feb to July, 2022'!Z28</f>
        <v>10</v>
      </c>
      <c r="J1026">
        <f>G1026*Parameters!$B$2*Parameters!$B$5</f>
        <v>53.227499999999992</v>
      </c>
      <c r="K1026">
        <f>H1026*Parameters!$B$3*Parameters!$B$6</f>
        <v>0</v>
      </c>
      <c r="L1026">
        <f>I1026*Parameters!$B$4*Parameters!$B$7</f>
        <v>80.963999999999999</v>
      </c>
      <c r="M1026">
        <f t="shared" si="15"/>
        <v>134.19149999999999</v>
      </c>
      <c r="N1026">
        <v>2500</v>
      </c>
      <c r="O1026">
        <v>0</v>
      </c>
      <c r="P1026">
        <v>0</v>
      </c>
      <c r="Q1026">
        <v>3000</v>
      </c>
    </row>
    <row r="1027" spans="1:17">
      <c r="A1027" t="s">
        <v>49</v>
      </c>
      <c r="B1027" t="s">
        <v>38</v>
      </c>
      <c r="C1027">
        <v>2</v>
      </c>
      <c r="D1027">
        <v>2022</v>
      </c>
      <c r="E1027" s="49" t="s">
        <v>155</v>
      </c>
      <c r="F1027" s="49" t="s">
        <v>163</v>
      </c>
      <c r="G1027">
        <f>'Feb to July, 2022'!W29+'Feb to July, 2022'!X29</f>
        <v>30</v>
      </c>
      <c r="H1027">
        <f>'Feb to July, 2022'!Y29</f>
        <v>0</v>
      </c>
      <c r="I1027">
        <f>'Feb to July, 2022'!Z29</f>
        <v>15</v>
      </c>
      <c r="J1027">
        <f>G1027*Parameters!$B$2*Parameters!$B$5</f>
        <v>63.87299999999999</v>
      </c>
      <c r="K1027">
        <f>H1027*Parameters!$B$3*Parameters!$B$6</f>
        <v>0</v>
      </c>
      <c r="L1027">
        <f>I1027*Parameters!$B$4*Parameters!$B$7</f>
        <v>121.44600000000001</v>
      </c>
      <c r="M1027">
        <f t="shared" ref="M1027:M1090" si="16">SUM(J1027:L1027)</f>
        <v>185.31900000000002</v>
      </c>
      <c r="N1027">
        <v>3000</v>
      </c>
      <c r="O1027">
        <v>0</v>
      </c>
      <c r="P1027">
        <v>0</v>
      </c>
      <c r="Q1027">
        <v>4500</v>
      </c>
    </row>
    <row r="1028" spans="1:17">
      <c r="A1028" t="s">
        <v>50</v>
      </c>
      <c r="B1028" t="s">
        <v>19</v>
      </c>
      <c r="C1028">
        <v>8</v>
      </c>
      <c r="D1028">
        <v>2022</v>
      </c>
      <c r="E1028" s="49" t="s">
        <v>155</v>
      </c>
      <c r="F1028" s="49" t="s">
        <v>163</v>
      </c>
      <c r="G1028">
        <f>'Feb to July, 2022'!W30+'Feb to July, 2022'!X30</f>
        <v>30</v>
      </c>
      <c r="H1028">
        <f>'Feb to July, 2022'!Y30</f>
        <v>0</v>
      </c>
      <c r="I1028">
        <f>'Feb to July, 2022'!Z30</f>
        <v>7.5</v>
      </c>
      <c r="J1028">
        <f>G1028*Parameters!$B$2*Parameters!$B$5</f>
        <v>63.87299999999999</v>
      </c>
      <c r="K1028">
        <f>H1028*Parameters!$B$3*Parameters!$B$6</f>
        <v>0</v>
      </c>
      <c r="L1028">
        <f>I1028*Parameters!$B$4*Parameters!$B$7</f>
        <v>60.723000000000006</v>
      </c>
      <c r="M1028">
        <f t="shared" si="16"/>
        <v>124.596</v>
      </c>
      <c r="N1028">
        <v>3000</v>
      </c>
      <c r="O1028">
        <v>0</v>
      </c>
      <c r="P1028">
        <v>0</v>
      </c>
      <c r="Q1028">
        <v>2250</v>
      </c>
    </row>
    <row r="1029" spans="1:17">
      <c r="A1029" t="s">
        <v>51</v>
      </c>
      <c r="B1029" t="s">
        <v>19</v>
      </c>
      <c r="C1029">
        <v>6</v>
      </c>
      <c r="D1029">
        <v>2022</v>
      </c>
      <c r="E1029" s="49" t="s">
        <v>155</v>
      </c>
      <c r="F1029" s="49" t="s">
        <v>163</v>
      </c>
      <c r="G1029">
        <f>'Feb to July, 2022'!W31+'Feb to July, 2022'!X31</f>
        <v>25</v>
      </c>
      <c r="H1029">
        <f>'Feb to July, 2022'!Y31</f>
        <v>0</v>
      </c>
      <c r="I1029">
        <f>'Feb to July, 2022'!Z31</f>
        <v>20</v>
      </c>
      <c r="J1029">
        <f>G1029*Parameters!$B$2*Parameters!$B$5</f>
        <v>53.227499999999992</v>
      </c>
      <c r="K1029">
        <f>H1029*Parameters!$B$3*Parameters!$B$6</f>
        <v>0</v>
      </c>
      <c r="L1029">
        <f>I1029*Parameters!$B$4*Parameters!$B$7</f>
        <v>161.928</v>
      </c>
      <c r="M1029">
        <f t="shared" si="16"/>
        <v>215.15549999999999</v>
      </c>
      <c r="N1029">
        <v>2500</v>
      </c>
      <c r="O1029">
        <v>0</v>
      </c>
      <c r="P1029">
        <v>0</v>
      </c>
      <c r="Q1029">
        <v>6000</v>
      </c>
    </row>
    <row r="1030" spans="1:17">
      <c r="A1030" t="s">
        <v>52</v>
      </c>
      <c r="B1030" t="s">
        <v>38</v>
      </c>
      <c r="C1030">
        <v>12</v>
      </c>
      <c r="D1030">
        <v>2022</v>
      </c>
      <c r="E1030" s="49" t="s">
        <v>155</v>
      </c>
      <c r="F1030" s="49" t="s">
        <v>163</v>
      </c>
      <c r="G1030">
        <f>'Feb to July, 2022'!W32+'Feb to July, 2022'!X32</f>
        <v>55</v>
      </c>
      <c r="H1030">
        <f>'Feb to July, 2022'!Y32</f>
        <v>0</v>
      </c>
      <c r="I1030">
        <f>'Feb to July, 2022'!Z32</f>
        <v>10</v>
      </c>
      <c r="J1030">
        <f>G1030*Parameters!$B$2*Parameters!$B$5</f>
        <v>117.10049999999998</v>
      </c>
      <c r="K1030">
        <f>H1030*Parameters!$B$3*Parameters!$B$6</f>
        <v>0</v>
      </c>
      <c r="L1030">
        <f>I1030*Parameters!$B$4*Parameters!$B$7</f>
        <v>80.963999999999999</v>
      </c>
      <c r="M1030">
        <f t="shared" si="16"/>
        <v>198.06449999999998</v>
      </c>
      <c r="N1030">
        <v>5500</v>
      </c>
      <c r="O1030">
        <v>0</v>
      </c>
      <c r="P1030">
        <v>0</v>
      </c>
      <c r="Q1030">
        <v>3000</v>
      </c>
    </row>
    <row r="1031" spans="1:17">
      <c r="A1031" t="s">
        <v>53</v>
      </c>
      <c r="B1031" t="s">
        <v>40</v>
      </c>
      <c r="C1031">
        <v>8</v>
      </c>
      <c r="D1031">
        <v>2022</v>
      </c>
      <c r="E1031" s="49" t="s">
        <v>155</v>
      </c>
      <c r="F1031" s="49" t="s">
        <v>163</v>
      </c>
      <c r="G1031">
        <f>'Feb to July, 2022'!W33+'Feb to July, 2022'!X33</f>
        <v>60</v>
      </c>
      <c r="H1031">
        <f>'Feb to July, 2022'!Y33</f>
        <v>0</v>
      </c>
      <c r="I1031">
        <f>'Feb to July, 2022'!Z33</f>
        <v>15</v>
      </c>
      <c r="J1031">
        <f>G1031*Parameters!$B$2*Parameters!$B$5</f>
        <v>127.74599999999998</v>
      </c>
      <c r="K1031">
        <f>H1031*Parameters!$B$3*Parameters!$B$6</f>
        <v>0</v>
      </c>
      <c r="L1031">
        <f>I1031*Parameters!$B$4*Parameters!$B$7</f>
        <v>121.44600000000001</v>
      </c>
      <c r="M1031">
        <f t="shared" si="16"/>
        <v>249.19200000000001</v>
      </c>
      <c r="N1031">
        <v>6000</v>
      </c>
      <c r="O1031">
        <v>0</v>
      </c>
      <c r="P1031">
        <v>0</v>
      </c>
      <c r="Q1031">
        <v>4500</v>
      </c>
    </row>
    <row r="1032" spans="1:17">
      <c r="A1032" t="s">
        <v>54</v>
      </c>
      <c r="B1032" t="s">
        <v>40</v>
      </c>
      <c r="C1032">
        <v>6</v>
      </c>
      <c r="D1032">
        <v>2022</v>
      </c>
      <c r="E1032" s="49" t="s">
        <v>155</v>
      </c>
      <c r="F1032" s="49" t="s">
        <v>163</v>
      </c>
      <c r="G1032">
        <f>'Feb to July, 2022'!W34+'Feb to July, 2022'!X34</f>
        <v>40</v>
      </c>
      <c r="H1032">
        <f>'Feb to July, 2022'!Y34</f>
        <v>0</v>
      </c>
      <c r="I1032">
        <f>'Feb to July, 2022'!Z34</f>
        <v>10</v>
      </c>
      <c r="J1032">
        <f>G1032*Parameters!$B$2*Parameters!$B$5</f>
        <v>85.163999999999987</v>
      </c>
      <c r="K1032">
        <f>H1032*Parameters!$B$3*Parameters!$B$6</f>
        <v>0</v>
      </c>
      <c r="L1032">
        <f>I1032*Parameters!$B$4*Parameters!$B$7</f>
        <v>80.963999999999999</v>
      </c>
      <c r="M1032">
        <f t="shared" si="16"/>
        <v>166.12799999999999</v>
      </c>
      <c r="N1032">
        <v>4000</v>
      </c>
      <c r="O1032">
        <v>0</v>
      </c>
      <c r="P1032">
        <v>0</v>
      </c>
      <c r="Q1032">
        <v>3000</v>
      </c>
    </row>
    <row r="1033" spans="1:17">
      <c r="A1033" t="s">
        <v>55</v>
      </c>
      <c r="B1033" t="s">
        <v>56</v>
      </c>
      <c r="C1033">
        <v>4</v>
      </c>
      <c r="D1033">
        <v>2022</v>
      </c>
      <c r="E1033" s="49" t="s">
        <v>155</v>
      </c>
      <c r="F1033" s="49" t="s">
        <v>163</v>
      </c>
      <c r="G1033">
        <f>'Feb to July, 2022'!W35+'Feb to July, 2022'!X35</f>
        <v>40</v>
      </c>
      <c r="H1033">
        <f>'Feb to July, 2022'!Y35</f>
        <v>0</v>
      </c>
      <c r="I1033">
        <f>'Feb to July, 2022'!Z35</f>
        <v>7</v>
      </c>
      <c r="J1033">
        <f>G1033*Parameters!$B$2*Parameters!$B$5</f>
        <v>85.163999999999987</v>
      </c>
      <c r="K1033">
        <f>H1033*Parameters!$B$3*Parameters!$B$6</f>
        <v>0</v>
      </c>
      <c r="L1033">
        <f>I1033*Parameters!$B$4*Parameters!$B$7</f>
        <v>56.674800000000005</v>
      </c>
      <c r="M1033">
        <f t="shared" si="16"/>
        <v>141.83879999999999</v>
      </c>
      <c r="N1033">
        <v>4000</v>
      </c>
      <c r="O1033">
        <v>0</v>
      </c>
      <c r="P1033">
        <v>0</v>
      </c>
      <c r="Q1033">
        <v>2100</v>
      </c>
    </row>
    <row r="1034" spans="1:17">
      <c r="A1034" t="s">
        <v>57</v>
      </c>
      <c r="B1034" t="s">
        <v>40</v>
      </c>
      <c r="C1034">
        <v>4</v>
      </c>
      <c r="D1034">
        <v>2022</v>
      </c>
      <c r="E1034" s="49" t="s">
        <v>155</v>
      </c>
      <c r="F1034" s="49" t="s">
        <v>163</v>
      </c>
      <c r="G1034">
        <f>'Feb to July, 2022'!W36+'Feb to July, 2022'!X36</f>
        <v>30</v>
      </c>
      <c r="H1034">
        <f>'Feb to July, 2022'!Y36</f>
        <v>0</v>
      </c>
      <c r="I1034">
        <f>'Feb to July, 2022'!Z36</f>
        <v>10</v>
      </c>
      <c r="J1034">
        <f>G1034*Parameters!$B$2*Parameters!$B$5</f>
        <v>63.87299999999999</v>
      </c>
      <c r="K1034">
        <f>H1034*Parameters!$B$3*Parameters!$B$6</f>
        <v>0</v>
      </c>
      <c r="L1034">
        <f>I1034*Parameters!$B$4*Parameters!$B$7</f>
        <v>80.963999999999999</v>
      </c>
      <c r="M1034">
        <f t="shared" si="16"/>
        <v>144.83699999999999</v>
      </c>
      <c r="N1034">
        <v>3000</v>
      </c>
      <c r="O1034">
        <v>0</v>
      </c>
      <c r="P1034">
        <v>0</v>
      </c>
      <c r="Q1034">
        <v>3000</v>
      </c>
    </row>
    <row r="1035" spans="1:17">
      <c r="A1035" t="s">
        <v>58</v>
      </c>
      <c r="B1035" t="s">
        <v>26</v>
      </c>
      <c r="C1035">
        <v>6</v>
      </c>
      <c r="D1035">
        <v>2022</v>
      </c>
      <c r="E1035" s="49" t="s">
        <v>155</v>
      </c>
      <c r="F1035" s="49" t="s">
        <v>163</v>
      </c>
      <c r="G1035">
        <f>'Feb to July, 2022'!W37+'Feb to July, 2022'!X37</f>
        <v>30</v>
      </c>
      <c r="H1035">
        <f>'Feb to July, 2022'!Y37</f>
        <v>0</v>
      </c>
      <c r="I1035">
        <f>'Feb to July, 2022'!Z37</f>
        <v>10</v>
      </c>
      <c r="J1035">
        <f>G1035*Parameters!$B$2*Parameters!$B$5</f>
        <v>63.87299999999999</v>
      </c>
      <c r="K1035">
        <f>H1035*Parameters!$B$3*Parameters!$B$6</f>
        <v>0</v>
      </c>
      <c r="L1035">
        <f>I1035*Parameters!$B$4*Parameters!$B$7</f>
        <v>80.963999999999999</v>
      </c>
      <c r="M1035">
        <f t="shared" si="16"/>
        <v>144.83699999999999</v>
      </c>
      <c r="N1035">
        <v>3000</v>
      </c>
      <c r="O1035">
        <v>0</v>
      </c>
      <c r="P1035">
        <v>0</v>
      </c>
      <c r="Q1035">
        <v>3000</v>
      </c>
    </row>
    <row r="1036" spans="1:17">
      <c r="A1036" t="s">
        <v>59</v>
      </c>
      <c r="B1036" t="s">
        <v>26</v>
      </c>
      <c r="C1036">
        <v>7</v>
      </c>
      <c r="D1036">
        <v>2022</v>
      </c>
      <c r="E1036" s="49" t="s">
        <v>155</v>
      </c>
      <c r="F1036" s="49" t="s">
        <v>163</v>
      </c>
      <c r="G1036">
        <f>'Feb to July, 2022'!W38+'Feb to July, 2022'!X38</f>
        <v>34</v>
      </c>
      <c r="H1036">
        <f>'Feb to July, 2022'!Y38</f>
        <v>0</v>
      </c>
      <c r="I1036">
        <f>'Feb to July, 2022'!Z38</f>
        <v>5</v>
      </c>
      <c r="J1036">
        <f>G1036*Parameters!$B$2*Parameters!$B$5</f>
        <v>72.389399999999995</v>
      </c>
      <c r="K1036">
        <f>H1036*Parameters!$B$3*Parameters!$B$6</f>
        <v>0</v>
      </c>
      <c r="L1036">
        <f>I1036*Parameters!$B$4*Parameters!$B$7</f>
        <v>40.481999999999999</v>
      </c>
      <c r="M1036">
        <f t="shared" si="16"/>
        <v>112.87139999999999</v>
      </c>
      <c r="N1036">
        <v>3400</v>
      </c>
      <c r="O1036">
        <v>0</v>
      </c>
      <c r="P1036">
        <v>0</v>
      </c>
      <c r="Q1036">
        <v>1500</v>
      </c>
    </row>
    <row r="1037" spans="1:17">
      <c r="A1037" t="s">
        <v>60</v>
      </c>
      <c r="B1037" t="s">
        <v>26</v>
      </c>
      <c r="C1037">
        <v>8</v>
      </c>
      <c r="D1037">
        <v>2022</v>
      </c>
      <c r="E1037" s="49" t="s">
        <v>155</v>
      </c>
      <c r="F1037" s="49" t="s">
        <v>163</v>
      </c>
      <c r="G1037">
        <f>'Feb to July, 2022'!W39+'Feb to July, 2022'!X39</f>
        <v>25</v>
      </c>
      <c r="H1037">
        <f>'Feb to July, 2022'!Y39</f>
        <v>0</v>
      </c>
      <c r="I1037">
        <f>'Feb to July, 2022'!Z39</f>
        <v>10</v>
      </c>
      <c r="J1037">
        <f>G1037*Parameters!$B$2*Parameters!$B$5</f>
        <v>53.227499999999992</v>
      </c>
      <c r="K1037">
        <f>H1037*Parameters!$B$3*Parameters!$B$6</f>
        <v>0</v>
      </c>
      <c r="L1037">
        <f>I1037*Parameters!$B$4*Parameters!$B$7</f>
        <v>80.963999999999999</v>
      </c>
      <c r="M1037">
        <f t="shared" si="16"/>
        <v>134.19149999999999</v>
      </c>
      <c r="N1037">
        <v>2500</v>
      </c>
      <c r="O1037">
        <v>0</v>
      </c>
      <c r="P1037">
        <v>0</v>
      </c>
      <c r="Q1037">
        <v>3000</v>
      </c>
    </row>
    <row r="1038" spans="1:17">
      <c r="A1038" t="s">
        <v>61</v>
      </c>
      <c r="B1038" t="s">
        <v>56</v>
      </c>
      <c r="C1038">
        <v>5</v>
      </c>
      <c r="D1038">
        <v>2022</v>
      </c>
      <c r="E1038" s="49" t="s">
        <v>155</v>
      </c>
      <c r="F1038" s="49" t="s">
        <v>163</v>
      </c>
      <c r="G1038">
        <f>'Feb to July, 2022'!W40+'Feb to July, 2022'!X40</f>
        <v>22</v>
      </c>
      <c r="H1038">
        <f>'Feb to July, 2022'!Y40</f>
        <v>0</v>
      </c>
      <c r="I1038">
        <f>'Feb to July, 2022'!Z40</f>
        <v>20</v>
      </c>
      <c r="J1038">
        <f>G1038*Parameters!$B$2*Parameters!$B$5</f>
        <v>46.840199999999996</v>
      </c>
      <c r="K1038">
        <f>H1038*Parameters!$B$3*Parameters!$B$6</f>
        <v>0</v>
      </c>
      <c r="L1038">
        <f>I1038*Parameters!$B$4*Parameters!$B$7</f>
        <v>161.928</v>
      </c>
      <c r="M1038">
        <f t="shared" si="16"/>
        <v>208.76819999999998</v>
      </c>
      <c r="N1038">
        <v>2200</v>
      </c>
      <c r="O1038">
        <v>0</v>
      </c>
      <c r="P1038">
        <v>0</v>
      </c>
      <c r="Q1038">
        <v>6000</v>
      </c>
    </row>
    <row r="1039" spans="1:17">
      <c r="A1039" t="s">
        <v>62</v>
      </c>
      <c r="B1039" t="s">
        <v>21</v>
      </c>
      <c r="C1039">
        <v>6</v>
      </c>
      <c r="D1039">
        <v>2022</v>
      </c>
      <c r="E1039" s="49" t="s">
        <v>155</v>
      </c>
      <c r="F1039" s="49" t="s">
        <v>163</v>
      </c>
      <c r="G1039">
        <f>'Feb to July, 2022'!W41+'Feb to July, 2022'!X41</f>
        <v>40</v>
      </c>
      <c r="H1039">
        <f>'Feb to July, 2022'!Y41</f>
        <v>0</v>
      </c>
      <c r="I1039">
        <f>'Feb to July, 2022'!Z41</f>
        <v>15</v>
      </c>
      <c r="J1039">
        <f>G1039*Parameters!$B$2*Parameters!$B$5</f>
        <v>85.163999999999987</v>
      </c>
      <c r="K1039">
        <f>H1039*Parameters!$B$3*Parameters!$B$6</f>
        <v>0</v>
      </c>
      <c r="L1039">
        <f>I1039*Parameters!$B$4*Parameters!$B$7</f>
        <v>121.44600000000001</v>
      </c>
      <c r="M1039">
        <f t="shared" si="16"/>
        <v>206.61</v>
      </c>
      <c r="N1039">
        <v>4000</v>
      </c>
      <c r="O1039">
        <v>0</v>
      </c>
      <c r="P1039">
        <v>0</v>
      </c>
      <c r="Q1039">
        <v>4500</v>
      </c>
    </row>
    <row r="1040" spans="1:17">
      <c r="A1040" t="s">
        <v>63</v>
      </c>
      <c r="B1040" t="s">
        <v>21</v>
      </c>
      <c r="C1040">
        <v>9</v>
      </c>
      <c r="D1040">
        <v>2022</v>
      </c>
      <c r="E1040" s="49" t="s">
        <v>155</v>
      </c>
      <c r="F1040" s="49" t="s">
        <v>163</v>
      </c>
      <c r="G1040">
        <f>'Feb to July, 2022'!W42+'Feb to July, 2022'!X42</f>
        <v>50</v>
      </c>
      <c r="H1040">
        <f>'Feb to July, 2022'!Y42</f>
        <v>0</v>
      </c>
      <c r="I1040">
        <f>'Feb to July, 2022'!Z42</f>
        <v>10</v>
      </c>
      <c r="J1040">
        <f>G1040*Parameters!$B$2*Parameters!$B$5</f>
        <v>106.45499999999998</v>
      </c>
      <c r="K1040">
        <f>H1040*Parameters!$B$3*Parameters!$B$6</f>
        <v>0</v>
      </c>
      <c r="L1040">
        <f>I1040*Parameters!$B$4*Parameters!$B$7</f>
        <v>80.963999999999999</v>
      </c>
      <c r="M1040">
        <f t="shared" si="16"/>
        <v>187.41899999999998</v>
      </c>
      <c r="N1040">
        <v>5000</v>
      </c>
      <c r="O1040">
        <v>0</v>
      </c>
      <c r="P1040">
        <v>0</v>
      </c>
      <c r="Q1040">
        <v>3000</v>
      </c>
    </row>
    <row r="1041" spans="1:17">
      <c r="A1041" t="s">
        <v>64</v>
      </c>
      <c r="B1041" t="s">
        <v>65</v>
      </c>
      <c r="C1041">
        <v>3</v>
      </c>
      <c r="D1041">
        <v>2022</v>
      </c>
      <c r="E1041" s="49" t="s">
        <v>155</v>
      </c>
      <c r="F1041" s="49" t="s">
        <v>163</v>
      </c>
      <c r="G1041">
        <f>'Feb to July, 2022'!W43+'Feb to July, 2022'!X43</f>
        <v>0</v>
      </c>
      <c r="H1041">
        <f>'Feb to July, 2022'!Y43</f>
        <v>0</v>
      </c>
      <c r="I1041">
        <f>'Feb to July, 2022'!Z43</f>
        <v>20</v>
      </c>
      <c r="J1041">
        <f>G1041*Parameters!$B$2*Parameters!$B$5</f>
        <v>0</v>
      </c>
      <c r="K1041">
        <f>H1041*Parameters!$B$3*Parameters!$B$6</f>
        <v>0</v>
      </c>
      <c r="L1041">
        <f>I1041*Parameters!$B$4*Parameters!$B$7</f>
        <v>161.928</v>
      </c>
      <c r="M1041">
        <f t="shared" si="16"/>
        <v>161.928</v>
      </c>
      <c r="N1041">
        <v>0</v>
      </c>
      <c r="O1041">
        <v>0</v>
      </c>
      <c r="P1041">
        <v>0</v>
      </c>
      <c r="Q1041">
        <v>6000</v>
      </c>
    </row>
    <row r="1042" spans="1:17">
      <c r="A1042" t="s">
        <v>66</v>
      </c>
      <c r="B1042" t="s">
        <v>24</v>
      </c>
      <c r="C1042">
        <v>4</v>
      </c>
      <c r="D1042">
        <v>2022</v>
      </c>
      <c r="E1042" s="49" t="s">
        <v>155</v>
      </c>
      <c r="F1042" s="49" t="s">
        <v>163</v>
      </c>
      <c r="G1042">
        <f>'Feb to July, 2022'!W44+'Feb to July, 2022'!X44</f>
        <v>35</v>
      </c>
      <c r="H1042">
        <f>'Feb to July, 2022'!Y44</f>
        <v>0</v>
      </c>
      <c r="I1042">
        <f>'Feb to July, 2022'!Z44</f>
        <v>15</v>
      </c>
      <c r="J1042">
        <f>G1042*Parameters!$B$2*Parameters!$B$5</f>
        <v>74.518499999999989</v>
      </c>
      <c r="K1042">
        <f>H1042*Parameters!$B$3*Parameters!$B$6</f>
        <v>0</v>
      </c>
      <c r="L1042">
        <f>I1042*Parameters!$B$4*Parameters!$B$7</f>
        <v>121.44600000000001</v>
      </c>
      <c r="M1042">
        <f t="shared" si="16"/>
        <v>195.96449999999999</v>
      </c>
      <c r="N1042">
        <v>3500</v>
      </c>
      <c r="O1042">
        <v>0</v>
      </c>
      <c r="P1042">
        <v>0</v>
      </c>
      <c r="Q1042">
        <v>4500</v>
      </c>
    </row>
    <row r="1043" spans="1:17">
      <c r="A1043" t="s">
        <v>67</v>
      </c>
      <c r="B1043" t="s">
        <v>56</v>
      </c>
      <c r="C1043">
        <v>6</v>
      </c>
      <c r="D1043">
        <v>2022</v>
      </c>
      <c r="E1043" s="49" t="s">
        <v>155</v>
      </c>
      <c r="F1043" s="49" t="s">
        <v>163</v>
      </c>
      <c r="G1043">
        <f>'Feb to July, 2022'!W45+'Feb to July, 2022'!X45</f>
        <v>40</v>
      </c>
      <c r="H1043">
        <f>'Feb to July, 2022'!Y45</f>
        <v>0</v>
      </c>
      <c r="I1043">
        <f>'Feb to July, 2022'!Z45</f>
        <v>8</v>
      </c>
      <c r="J1043">
        <f>G1043*Parameters!$B$2*Parameters!$B$5</f>
        <v>85.163999999999987</v>
      </c>
      <c r="K1043">
        <f>H1043*Parameters!$B$3*Parameters!$B$6</f>
        <v>0</v>
      </c>
      <c r="L1043">
        <f>I1043*Parameters!$B$4*Parameters!$B$7</f>
        <v>64.771200000000007</v>
      </c>
      <c r="M1043">
        <f t="shared" si="16"/>
        <v>149.93520000000001</v>
      </c>
      <c r="N1043">
        <v>4000</v>
      </c>
      <c r="O1043">
        <v>0</v>
      </c>
      <c r="P1043">
        <v>0</v>
      </c>
      <c r="Q1043">
        <v>2400</v>
      </c>
    </row>
    <row r="1044" spans="1:17">
      <c r="A1044" t="s">
        <v>68</v>
      </c>
      <c r="B1044" t="s">
        <v>21</v>
      </c>
      <c r="C1044">
        <v>4</v>
      </c>
      <c r="D1044">
        <v>2022</v>
      </c>
      <c r="E1044" s="49" t="s">
        <v>155</v>
      </c>
      <c r="F1044" s="49" t="s">
        <v>163</v>
      </c>
      <c r="G1044">
        <f>'Feb to July, 2022'!W46+'Feb to July, 2022'!X46</f>
        <v>38</v>
      </c>
      <c r="H1044">
        <f>'Feb to July, 2022'!Y46</f>
        <v>0</v>
      </c>
      <c r="I1044">
        <f>'Feb to July, 2022'!Z46</f>
        <v>15</v>
      </c>
      <c r="J1044">
        <f>G1044*Parameters!$B$2*Parameters!$B$5</f>
        <v>80.905799999999985</v>
      </c>
      <c r="K1044">
        <f>H1044*Parameters!$B$3*Parameters!$B$6</f>
        <v>0</v>
      </c>
      <c r="L1044">
        <f>I1044*Parameters!$B$4*Parameters!$B$7</f>
        <v>121.44600000000001</v>
      </c>
      <c r="M1044">
        <f t="shared" si="16"/>
        <v>202.3518</v>
      </c>
      <c r="N1044">
        <v>3800</v>
      </c>
      <c r="O1044">
        <v>0</v>
      </c>
      <c r="P1044">
        <v>0</v>
      </c>
      <c r="Q1044">
        <v>4500</v>
      </c>
    </row>
    <row r="1045" spans="1:17">
      <c r="A1045" t="s">
        <v>69</v>
      </c>
      <c r="B1045" t="s">
        <v>24</v>
      </c>
      <c r="C1045">
        <v>6</v>
      </c>
      <c r="D1045">
        <v>2022</v>
      </c>
      <c r="E1045" s="49" t="s">
        <v>155</v>
      </c>
      <c r="F1045" s="49" t="s">
        <v>163</v>
      </c>
      <c r="G1045">
        <f>'Feb to July, 2022'!W47+'Feb to July, 2022'!X47</f>
        <v>30</v>
      </c>
      <c r="H1045">
        <f>'Feb to July, 2022'!Y47</f>
        <v>0</v>
      </c>
      <c r="I1045">
        <f>'Feb to July, 2022'!Z47</f>
        <v>10</v>
      </c>
      <c r="J1045">
        <f>G1045*Parameters!$B$2*Parameters!$B$5</f>
        <v>63.87299999999999</v>
      </c>
      <c r="K1045">
        <f>H1045*Parameters!$B$3*Parameters!$B$6</f>
        <v>0</v>
      </c>
      <c r="L1045">
        <f>I1045*Parameters!$B$4*Parameters!$B$7</f>
        <v>80.963999999999999</v>
      </c>
      <c r="M1045">
        <f t="shared" si="16"/>
        <v>144.83699999999999</v>
      </c>
      <c r="N1045">
        <v>3000</v>
      </c>
      <c r="O1045">
        <v>0</v>
      </c>
      <c r="P1045">
        <v>0</v>
      </c>
      <c r="Q1045">
        <v>3000</v>
      </c>
    </row>
    <row r="1046" spans="1:17">
      <c r="A1046" t="s">
        <v>70</v>
      </c>
      <c r="B1046" t="s">
        <v>26</v>
      </c>
      <c r="C1046">
        <v>6</v>
      </c>
      <c r="D1046">
        <v>2022</v>
      </c>
      <c r="E1046" s="49" t="s">
        <v>155</v>
      </c>
      <c r="F1046" s="49" t="s">
        <v>163</v>
      </c>
      <c r="G1046">
        <f>'Feb to July, 2022'!W48+'Feb to July, 2022'!X48</f>
        <v>42</v>
      </c>
      <c r="H1046">
        <f>'Feb to July, 2022'!Y48</f>
        <v>0</v>
      </c>
      <c r="I1046">
        <f>'Feb to July, 2022'!Z48</f>
        <v>10</v>
      </c>
      <c r="J1046">
        <f>G1046*Parameters!$B$2*Parameters!$B$5</f>
        <v>89.422199999999975</v>
      </c>
      <c r="K1046">
        <f>H1046*Parameters!$B$3*Parameters!$B$6</f>
        <v>0</v>
      </c>
      <c r="L1046">
        <f>I1046*Parameters!$B$4*Parameters!$B$7</f>
        <v>80.963999999999999</v>
      </c>
      <c r="M1046">
        <f t="shared" si="16"/>
        <v>170.38619999999997</v>
      </c>
      <c r="N1046">
        <v>4200</v>
      </c>
      <c r="O1046">
        <v>0</v>
      </c>
      <c r="P1046">
        <v>0</v>
      </c>
      <c r="Q1046">
        <v>3000</v>
      </c>
    </row>
    <row r="1047" spans="1:17">
      <c r="A1047" t="s">
        <v>71</v>
      </c>
      <c r="B1047" t="s">
        <v>26</v>
      </c>
      <c r="C1047">
        <v>5</v>
      </c>
      <c r="D1047">
        <v>2022</v>
      </c>
      <c r="E1047" s="49" t="s">
        <v>155</v>
      </c>
      <c r="F1047" s="49" t="s">
        <v>163</v>
      </c>
      <c r="G1047">
        <f>'Feb to July, 2022'!W49+'Feb to July, 2022'!X49</f>
        <v>25</v>
      </c>
      <c r="H1047">
        <f>'Feb to July, 2022'!Y49</f>
        <v>0</v>
      </c>
      <c r="I1047">
        <f>'Feb to July, 2022'!Z49</f>
        <v>5</v>
      </c>
      <c r="J1047">
        <f>G1047*Parameters!$B$2*Parameters!$B$5</f>
        <v>53.227499999999992</v>
      </c>
      <c r="K1047">
        <f>H1047*Parameters!$B$3*Parameters!$B$6</f>
        <v>0</v>
      </c>
      <c r="L1047">
        <f>I1047*Parameters!$B$4*Parameters!$B$7</f>
        <v>40.481999999999999</v>
      </c>
      <c r="M1047">
        <f t="shared" si="16"/>
        <v>93.709499999999991</v>
      </c>
      <c r="N1047">
        <v>2500</v>
      </c>
      <c r="O1047">
        <v>0</v>
      </c>
      <c r="P1047">
        <v>0</v>
      </c>
      <c r="Q1047">
        <v>1500</v>
      </c>
    </row>
    <row r="1048" spans="1:17">
      <c r="A1048" t="s">
        <v>72</v>
      </c>
      <c r="B1048" t="s">
        <v>26</v>
      </c>
      <c r="C1048">
        <v>8</v>
      </c>
      <c r="D1048">
        <v>2022</v>
      </c>
      <c r="E1048" s="49" t="s">
        <v>155</v>
      </c>
      <c r="F1048" s="49" t="s">
        <v>163</v>
      </c>
      <c r="G1048">
        <f>'Feb to July, 2022'!W50+'Feb to July, 2022'!X50</f>
        <v>35</v>
      </c>
      <c r="H1048">
        <f>'Feb to July, 2022'!Y50</f>
        <v>0</v>
      </c>
      <c r="I1048">
        <f>'Feb to July, 2022'!Z50</f>
        <v>0</v>
      </c>
      <c r="J1048">
        <f>G1048*Parameters!$B$2*Parameters!$B$5</f>
        <v>74.518499999999989</v>
      </c>
      <c r="K1048">
        <f>H1048*Parameters!$B$3*Parameters!$B$6</f>
        <v>0</v>
      </c>
      <c r="L1048">
        <f>I1048*Parameters!$B$4*Parameters!$B$7</f>
        <v>0</v>
      </c>
      <c r="M1048">
        <f t="shared" si="16"/>
        <v>74.518499999999989</v>
      </c>
      <c r="N1048">
        <v>3500</v>
      </c>
      <c r="O1048">
        <v>0</v>
      </c>
      <c r="P1048">
        <v>0</v>
      </c>
      <c r="Q1048">
        <v>0</v>
      </c>
    </row>
    <row r="1049" spans="1:17">
      <c r="A1049" t="s">
        <v>73</v>
      </c>
      <c r="B1049" t="s">
        <v>17</v>
      </c>
      <c r="C1049">
        <v>4</v>
      </c>
      <c r="D1049">
        <v>2022</v>
      </c>
      <c r="E1049" s="49" t="s">
        <v>155</v>
      </c>
      <c r="F1049" s="49" t="s">
        <v>163</v>
      </c>
      <c r="G1049">
        <f>'Feb to July, 2022'!W51+'Feb to July, 2022'!X51</f>
        <v>25</v>
      </c>
      <c r="H1049">
        <f>'Feb to July, 2022'!Y51</f>
        <v>0</v>
      </c>
      <c r="I1049">
        <f>'Feb to July, 2022'!Z51</f>
        <v>20</v>
      </c>
      <c r="J1049">
        <f>G1049*Parameters!$B$2*Parameters!$B$5</f>
        <v>53.227499999999992</v>
      </c>
      <c r="K1049">
        <f>H1049*Parameters!$B$3*Parameters!$B$6</f>
        <v>0</v>
      </c>
      <c r="L1049">
        <f>I1049*Parameters!$B$4*Parameters!$B$7</f>
        <v>161.928</v>
      </c>
      <c r="M1049">
        <f t="shared" si="16"/>
        <v>215.15549999999999</v>
      </c>
      <c r="N1049">
        <v>2500</v>
      </c>
      <c r="O1049">
        <v>0</v>
      </c>
      <c r="P1049">
        <v>0</v>
      </c>
      <c r="Q1049">
        <v>6000</v>
      </c>
    </row>
    <row r="1050" spans="1:17">
      <c r="A1050" t="s">
        <v>74</v>
      </c>
      <c r="B1050" t="s">
        <v>65</v>
      </c>
      <c r="C1050">
        <v>8</v>
      </c>
      <c r="D1050">
        <v>2022</v>
      </c>
      <c r="E1050" s="49" t="s">
        <v>155</v>
      </c>
      <c r="F1050" s="49" t="s">
        <v>163</v>
      </c>
      <c r="G1050">
        <f>'Feb to July, 2022'!W52+'Feb to July, 2022'!X52</f>
        <v>30</v>
      </c>
      <c r="H1050">
        <f>'Feb to July, 2022'!Y52</f>
        <v>0</v>
      </c>
      <c r="I1050">
        <f>'Feb to July, 2022'!Z52</f>
        <v>0</v>
      </c>
      <c r="J1050">
        <f>G1050*Parameters!$B$2*Parameters!$B$5</f>
        <v>63.87299999999999</v>
      </c>
      <c r="K1050">
        <f>H1050*Parameters!$B$3*Parameters!$B$6</f>
        <v>0</v>
      </c>
      <c r="L1050">
        <f>I1050*Parameters!$B$4*Parameters!$B$7</f>
        <v>0</v>
      </c>
      <c r="M1050">
        <f t="shared" si="16"/>
        <v>63.87299999999999</v>
      </c>
      <c r="N1050">
        <v>3000</v>
      </c>
      <c r="O1050">
        <v>0</v>
      </c>
      <c r="P1050">
        <v>0</v>
      </c>
      <c r="Q1050">
        <v>0</v>
      </c>
    </row>
    <row r="1051" spans="1:17">
      <c r="A1051" t="s">
        <v>75</v>
      </c>
      <c r="B1051" t="s">
        <v>24</v>
      </c>
      <c r="C1051">
        <v>4</v>
      </c>
      <c r="D1051">
        <v>2022</v>
      </c>
      <c r="E1051" s="49" t="s">
        <v>155</v>
      </c>
      <c r="F1051" s="49" t="s">
        <v>163</v>
      </c>
      <c r="G1051">
        <f>'Feb to July, 2022'!W53+'Feb to July, 2022'!X53</f>
        <v>35</v>
      </c>
      <c r="H1051">
        <f>'Feb to July, 2022'!Y53</f>
        <v>0</v>
      </c>
      <c r="I1051">
        <f>'Feb to July, 2022'!Z53</f>
        <v>10</v>
      </c>
      <c r="J1051">
        <f>G1051*Parameters!$B$2*Parameters!$B$5</f>
        <v>74.518499999999989</v>
      </c>
      <c r="K1051">
        <f>H1051*Parameters!$B$3*Parameters!$B$6</f>
        <v>0</v>
      </c>
      <c r="L1051">
        <f>I1051*Parameters!$B$4*Parameters!$B$7</f>
        <v>80.963999999999999</v>
      </c>
      <c r="M1051">
        <f t="shared" si="16"/>
        <v>155.48249999999999</v>
      </c>
      <c r="N1051">
        <v>3500</v>
      </c>
      <c r="O1051">
        <v>0</v>
      </c>
      <c r="P1051">
        <v>0</v>
      </c>
      <c r="Q1051">
        <v>3000</v>
      </c>
    </row>
    <row r="1052" spans="1:17">
      <c r="A1052" t="s">
        <v>76</v>
      </c>
      <c r="B1052" t="s">
        <v>56</v>
      </c>
      <c r="C1052">
        <v>4</v>
      </c>
      <c r="D1052">
        <v>2022</v>
      </c>
      <c r="E1052" s="49" t="s">
        <v>155</v>
      </c>
      <c r="F1052" s="49" t="s">
        <v>163</v>
      </c>
      <c r="G1052">
        <f>'Feb to July, 2022'!W54+'Feb to July, 2022'!X54</f>
        <v>25</v>
      </c>
      <c r="H1052">
        <f>'Feb to July, 2022'!Y54</f>
        <v>0</v>
      </c>
      <c r="I1052">
        <f>'Feb to July, 2022'!Z54</f>
        <v>15</v>
      </c>
      <c r="J1052">
        <f>G1052*Parameters!$B$2*Parameters!$B$5</f>
        <v>53.227499999999992</v>
      </c>
      <c r="K1052">
        <f>H1052*Parameters!$B$3*Parameters!$B$6</f>
        <v>0</v>
      </c>
      <c r="L1052">
        <f>I1052*Parameters!$B$4*Parameters!$B$7</f>
        <v>121.44600000000001</v>
      </c>
      <c r="M1052">
        <f t="shared" si="16"/>
        <v>174.67349999999999</v>
      </c>
      <c r="N1052">
        <v>2500</v>
      </c>
      <c r="O1052">
        <v>0</v>
      </c>
      <c r="P1052">
        <v>0</v>
      </c>
      <c r="Q1052">
        <v>4500</v>
      </c>
    </row>
    <row r="1053" spans="1:17">
      <c r="A1053" t="s">
        <v>77</v>
      </c>
      <c r="B1053" t="s">
        <v>40</v>
      </c>
      <c r="C1053">
        <v>12</v>
      </c>
      <c r="D1053">
        <v>2022</v>
      </c>
      <c r="E1053" s="49" t="s">
        <v>155</v>
      </c>
      <c r="F1053" s="49" t="s">
        <v>163</v>
      </c>
      <c r="G1053">
        <f>'Feb to July, 2022'!W55+'Feb to July, 2022'!X55</f>
        <v>35</v>
      </c>
      <c r="H1053">
        <f>'Feb to July, 2022'!Y55</f>
        <v>0</v>
      </c>
      <c r="I1053">
        <f>'Feb to July, 2022'!Z55</f>
        <v>10</v>
      </c>
      <c r="J1053">
        <f>G1053*Parameters!$B$2*Parameters!$B$5</f>
        <v>74.518499999999989</v>
      </c>
      <c r="K1053">
        <f>H1053*Parameters!$B$3*Parameters!$B$6</f>
        <v>0</v>
      </c>
      <c r="L1053">
        <f>I1053*Parameters!$B$4*Parameters!$B$7</f>
        <v>80.963999999999999</v>
      </c>
      <c r="M1053">
        <f t="shared" si="16"/>
        <v>155.48249999999999</v>
      </c>
      <c r="N1053">
        <v>3500</v>
      </c>
      <c r="O1053">
        <v>0</v>
      </c>
      <c r="P1053">
        <v>0</v>
      </c>
      <c r="Q1053">
        <v>3000</v>
      </c>
    </row>
    <row r="1054" spans="1:17">
      <c r="A1054" t="s">
        <v>78</v>
      </c>
      <c r="B1054" t="s">
        <v>32</v>
      </c>
      <c r="C1054">
        <v>6</v>
      </c>
      <c r="D1054">
        <v>2022</v>
      </c>
      <c r="E1054" s="49" t="s">
        <v>155</v>
      </c>
      <c r="F1054" s="49" t="s">
        <v>163</v>
      </c>
      <c r="G1054">
        <f>'Feb to July, 2022'!W56+'Feb to July, 2022'!X56</f>
        <v>30</v>
      </c>
      <c r="H1054">
        <f>'Feb to July, 2022'!Y56</f>
        <v>0</v>
      </c>
      <c r="I1054">
        <f>'Feb to July, 2022'!Z56</f>
        <v>5</v>
      </c>
      <c r="J1054">
        <f>G1054*Parameters!$B$2*Parameters!$B$5</f>
        <v>63.87299999999999</v>
      </c>
      <c r="K1054">
        <f>H1054*Parameters!$B$3*Parameters!$B$6</f>
        <v>0</v>
      </c>
      <c r="L1054">
        <f>I1054*Parameters!$B$4*Parameters!$B$7</f>
        <v>40.481999999999999</v>
      </c>
      <c r="M1054">
        <f t="shared" si="16"/>
        <v>104.35499999999999</v>
      </c>
      <c r="N1054">
        <v>3000</v>
      </c>
      <c r="O1054">
        <v>0</v>
      </c>
      <c r="P1054">
        <v>0</v>
      </c>
      <c r="Q1054">
        <v>1500</v>
      </c>
    </row>
    <row r="1055" spans="1:17">
      <c r="A1055" t="s">
        <v>79</v>
      </c>
      <c r="B1055" t="s">
        <v>40</v>
      </c>
      <c r="C1055">
        <v>4</v>
      </c>
      <c r="D1055">
        <v>2022</v>
      </c>
      <c r="E1055" s="49" t="s">
        <v>155</v>
      </c>
      <c r="F1055" s="49" t="s">
        <v>163</v>
      </c>
      <c r="G1055">
        <f>'Feb to July, 2022'!W57+'Feb to July, 2022'!X57</f>
        <v>50</v>
      </c>
      <c r="H1055">
        <f>'Feb to July, 2022'!Y57</f>
        <v>0</v>
      </c>
      <c r="I1055">
        <f>'Feb to July, 2022'!Z57</f>
        <v>8</v>
      </c>
      <c r="J1055">
        <f>G1055*Parameters!$B$2*Parameters!$B$5</f>
        <v>106.45499999999998</v>
      </c>
      <c r="K1055">
        <f>H1055*Parameters!$B$3*Parameters!$B$6</f>
        <v>0</v>
      </c>
      <c r="L1055">
        <f>I1055*Parameters!$B$4*Parameters!$B$7</f>
        <v>64.771200000000007</v>
      </c>
      <c r="M1055">
        <f t="shared" si="16"/>
        <v>171.22620000000001</v>
      </c>
      <c r="N1055">
        <v>5000</v>
      </c>
      <c r="O1055">
        <v>0</v>
      </c>
      <c r="P1055">
        <v>0</v>
      </c>
      <c r="Q1055">
        <v>2400</v>
      </c>
    </row>
    <row r="1056" spans="1:17">
      <c r="A1056" t="s">
        <v>80</v>
      </c>
      <c r="B1056" t="s">
        <v>26</v>
      </c>
      <c r="C1056">
        <v>7</v>
      </c>
      <c r="D1056">
        <v>2022</v>
      </c>
      <c r="E1056" s="49" t="s">
        <v>155</v>
      </c>
      <c r="F1056" s="49" t="s">
        <v>163</v>
      </c>
      <c r="G1056">
        <f>'Feb to July, 2022'!W58+'Feb to July, 2022'!X58</f>
        <v>35</v>
      </c>
      <c r="H1056">
        <f>'Feb to July, 2022'!Y58</f>
        <v>0</v>
      </c>
      <c r="I1056">
        <f>'Feb to July, 2022'!Z58</f>
        <v>0</v>
      </c>
      <c r="J1056">
        <f>G1056*Parameters!$B$2*Parameters!$B$5</f>
        <v>74.518499999999989</v>
      </c>
      <c r="K1056">
        <f>H1056*Parameters!$B$3*Parameters!$B$6</f>
        <v>0</v>
      </c>
      <c r="L1056">
        <f>I1056*Parameters!$B$4*Parameters!$B$7</f>
        <v>0</v>
      </c>
      <c r="M1056">
        <f t="shared" si="16"/>
        <v>74.518499999999989</v>
      </c>
      <c r="N1056">
        <v>3500</v>
      </c>
      <c r="O1056">
        <v>0</v>
      </c>
      <c r="P1056">
        <v>0</v>
      </c>
      <c r="Q1056">
        <v>0</v>
      </c>
    </row>
    <row r="1057" spans="1:17">
      <c r="A1057" t="s">
        <v>81</v>
      </c>
      <c r="B1057" t="s">
        <v>24</v>
      </c>
      <c r="C1057">
        <v>6</v>
      </c>
      <c r="D1057">
        <v>2022</v>
      </c>
      <c r="E1057" s="49" t="s">
        <v>155</v>
      </c>
      <c r="F1057" s="49" t="s">
        <v>163</v>
      </c>
      <c r="G1057">
        <f>'Feb to July, 2022'!W59+'Feb to July, 2022'!X59</f>
        <v>30</v>
      </c>
      <c r="H1057">
        <f>'Feb to July, 2022'!Y59</f>
        <v>0</v>
      </c>
      <c r="I1057">
        <f>'Feb to July, 2022'!Z59</f>
        <v>11</v>
      </c>
      <c r="J1057">
        <f>G1057*Parameters!$B$2*Parameters!$B$5</f>
        <v>63.87299999999999</v>
      </c>
      <c r="K1057">
        <f>H1057*Parameters!$B$3*Parameters!$B$6</f>
        <v>0</v>
      </c>
      <c r="L1057">
        <f>I1057*Parameters!$B$4*Parameters!$B$7</f>
        <v>89.060400000000016</v>
      </c>
      <c r="M1057">
        <f t="shared" si="16"/>
        <v>152.93340000000001</v>
      </c>
      <c r="N1057">
        <v>3000</v>
      </c>
      <c r="O1057">
        <v>0</v>
      </c>
      <c r="P1057">
        <v>0</v>
      </c>
      <c r="Q1057">
        <v>3300</v>
      </c>
    </row>
    <row r="1058" spans="1:17">
      <c r="A1058" t="s">
        <v>82</v>
      </c>
      <c r="B1058" t="s">
        <v>83</v>
      </c>
      <c r="C1058">
        <v>4</v>
      </c>
      <c r="D1058">
        <v>2022</v>
      </c>
      <c r="E1058" s="49" t="s">
        <v>155</v>
      </c>
      <c r="F1058" s="49" t="s">
        <v>163</v>
      </c>
      <c r="G1058">
        <f>'Feb to July, 2022'!W60+'Feb to July, 2022'!X60</f>
        <v>30</v>
      </c>
      <c r="H1058">
        <f>'Feb to July, 2022'!Y60</f>
        <v>0</v>
      </c>
      <c r="I1058">
        <f>'Feb to July, 2022'!Z60</f>
        <v>10</v>
      </c>
      <c r="J1058">
        <f>G1058*Parameters!$B$2*Parameters!$B$5</f>
        <v>63.87299999999999</v>
      </c>
      <c r="K1058">
        <f>H1058*Parameters!$B$3*Parameters!$B$6</f>
        <v>0</v>
      </c>
      <c r="L1058">
        <f>I1058*Parameters!$B$4*Parameters!$B$7</f>
        <v>80.963999999999999</v>
      </c>
      <c r="M1058">
        <f t="shared" si="16"/>
        <v>144.83699999999999</v>
      </c>
      <c r="N1058">
        <v>3000</v>
      </c>
      <c r="O1058">
        <v>0</v>
      </c>
      <c r="P1058">
        <v>0</v>
      </c>
      <c r="Q1058">
        <v>3000</v>
      </c>
    </row>
    <row r="1059" spans="1:17">
      <c r="A1059" t="s">
        <v>84</v>
      </c>
      <c r="B1059" t="s">
        <v>26</v>
      </c>
      <c r="C1059">
        <v>7</v>
      </c>
      <c r="D1059">
        <v>2022</v>
      </c>
      <c r="E1059" s="49" t="s">
        <v>155</v>
      </c>
      <c r="F1059" s="49" t="s">
        <v>163</v>
      </c>
      <c r="G1059">
        <f>'Feb to July, 2022'!W61+'Feb to July, 2022'!X61</f>
        <v>50</v>
      </c>
      <c r="H1059">
        <f>'Feb to July, 2022'!Y61</f>
        <v>0</v>
      </c>
      <c r="I1059">
        <f>'Feb to July, 2022'!Z61</f>
        <v>20</v>
      </c>
      <c r="J1059">
        <f>G1059*Parameters!$B$2*Parameters!$B$5</f>
        <v>106.45499999999998</v>
      </c>
      <c r="K1059">
        <f>H1059*Parameters!$B$3*Parameters!$B$6</f>
        <v>0</v>
      </c>
      <c r="L1059">
        <f>I1059*Parameters!$B$4*Parameters!$B$7</f>
        <v>161.928</v>
      </c>
      <c r="M1059">
        <f t="shared" si="16"/>
        <v>268.38299999999998</v>
      </c>
      <c r="N1059">
        <v>5000</v>
      </c>
      <c r="O1059">
        <v>0</v>
      </c>
      <c r="P1059">
        <v>0</v>
      </c>
      <c r="Q1059">
        <v>6000</v>
      </c>
    </row>
    <row r="1060" spans="1:17">
      <c r="A1060" t="s">
        <v>85</v>
      </c>
      <c r="B1060" t="s">
        <v>24</v>
      </c>
      <c r="C1060">
        <v>6</v>
      </c>
      <c r="D1060">
        <v>2022</v>
      </c>
      <c r="E1060" s="49" t="s">
        <v>155</v>
      </c>
      <c r="F1060" s="49" t="s">
        <v>163</v>
      </c>
      <c r="G1060">
        <f>'Feb to July, 2022'!W62+'Feb to July, 2022'!X62</f>
        <v>35</v>
      </c>
      <c r="H1060">
        <f>'Feb to July, 2022'!Y62</f>
        <v>0</v>
      </c>
      <c r="I1060">
        <f>'Feb to July, 2022'!Z62</f>
        <v>10</v>
      </c>
      <c r="J1060">
        <f>G1060*Parameters!$B$2*Parameters!$B$5</f>
        <v>74.518499999999989</v>
      </c>
      <c r="K1060">
        <f>H1060*Parameters!$B$3*Parameters!$B$6</f>
        <v>0</v>
      </c>
      <c r="L1060">
        <f>I1060*Parameters!$B$4*Parameters!$B$7</f>
        <v>80.963999999999999</v>
      </c>
      <c r="M1060">
        <f t="shared" si="16"/>
        <v>155.48249999999999</v>
      </c>
      <c r="N1060">
        <v>3500</v>
      </c>
      <c r="O1060">
        <v>0</v>
      </c>
      <c r="P1060">
        <v>0</v>
      </c>
      <c r="Q1060">
        <v>3000</v>
      </c>
    </row>
    <row r="1061" spans="1:17">
      <c r="A1061" t="s">
        <v>86</v>
      </c>
      <c r="B1061" t="s">
        <v>32</v>
      </c>
      <c r="C1061">
        <v>4</v>
      </c>
      <c r="D1061">
        <v>2022</v>
      </c>
      <c r="E1061" s="49" t="s">
        <v>155</v>
      </c>
      <c r="F1061" s="49" t="s">
        <v>163</v>
      </c>
      <c r="G1061">
        <f>'Feb to July, 2022'!W63+'Feb to July, 2022'!X63</f>
        <v>25</v>
      </c>
      <c r="H1061">
        <f>'Feb to July, 2022'!Y63</f>
        <v>0</v>
      </c>
      <c r="I1061">
        <f>'Feb to July, 2022'!Z63</f>
        <v>15</v>
      </c>
      <c r="J1061">
        <f>G1061*Parameters!$B$2*Parameters!$B$5</f>
        <v>53.227499999999992</v>
      </c>
      <c r="K1061">
        <f>H1061*Parameters!$B$3*Parameters!$B$6</f>
        <v>0</v>
      </c>
      <c r="L1061">
        <f>I1061*Parameters!$B$4*Parameters!$B$7</f>
        <v>121.44600000000001</v>
      </c>
      <c r="M1061">
        <f t="shared" si="16"/>
        <v>174.67349999999999</v>
      </c>
      <c r="N1061">
        <v>2500</v>
      </c>
      <c r="O1061">
        <v>0</v>
      </c>
      <c r="P1061">
        <v>0</v>
      </c>
      <c r="Q1061">
        <v>4500</v>
      </c>
    </row>
    <row r="1062" spans="1:17">
      <c r="A1062" t="s">
        <v>87</v>
      </c>
      <c r="B1062" t="s">
        <v>32</v>
      </c>
      <c r="C1062">
        <v>8</v>
      </c>
      <c r="D1062">
        <v>2022</v>
      </c>
      <c r="E1062" s="49" t="s">
        <v>155</v>
      </c>
      <c r="F1062" s="49" t="s">
        <v>163</v>
      </c>
      <c r="G1062">
        <f>'Feb to July, 2022'!W64+'Feb to July, 2022'!X64</f>
        <v>30</v>
      </c>
      <c r="H1062">
        <f>'Feb to July, 2022'!Y64</f>
        <v>0</v>
      </c>
      <c r="I1062">
        <f>'Feb to July, 2022'!Z64</f>
        <v>10</v>
      </c>
      <c r="J1062">
        <f>G1062*Parameters!$B$2*Parameters!$B$5</f>
        <v>63.87299999999999</v>
      </c>
      <c r="K1062">
        <f>H1062*Parameters!$B$3*Parameters!$B$6</f>
        <v>0</v>
      </c>
      <c r="L1062">
        <f>I1062*Parameters!$B$4*Parameters!$B$7</f>
        <v>80.963999999999999</v>
      </c>
      <c r="M1062">
        <f t="shared" si="16"/>
        <v>144.83699999999999</v>
      </c>
      <c r="N1062">
        <v>3000</v>
      </c>
      <c r="O1062">
        <v>0</v>
      </c>
      <c r="P1062">
        <v>0</v>
      </c>
      <c r="Q1062">
        <v>3000</v>
      </c>
    </row>
    <row r="1063" spans="1:17">
      <c r="A1063" t="s">
        <v>88</v>
      </c>
      <c r="B1063" t="s">
        <v>32</v>
      </c>
      <c r="C1063">
        <v>7</v>
      </c>
      <c r="D1063">
        <v>2022</v>
      </c>
      <c r="E1063" s="49" t="s">
        <v>155</v>
      </c>
      <c r="F1063" s="49" t="s">
        <v>163</v>
      </c>
      <c r="G1063">
        <f>'Feb to July, 2022'!W65+'Feb to July, 2022'!X65</f>
        <v>25</v>
      </c>
      <c r="H1063">
        <f>'Feb to July, 2022'!Y65</f>
        <v>0</v>
      </c>
      <c r="I1063">
        <f>'Feb to July, 2022'!Z65</f>
        <v>10</v>
      </c>
      <c r="J1063">
        <f>G1063*Parameters!$B$2*Parameters!$B$5</f>
        <v>53.227499999999992</v>
      </c>
      <c r="K1063">
        <f>H1063*Parameters!$B$3*Parameters!$B$6</f>
        <v>0</v>
      </c>
      <c r="L1063">
        <f>I1063*Parameters!$B$4*Parameters!$B$7</f>
        <v>80.963999999999999</v>
      </c>
      <c r="M1063">
        <f t="shared" si="16"/>
        <v>134.19149999999999</v>
      </c>
      <c r="N1063">
        <v>2500</v>
      </c>
      <c r="O1063">
        <v>0</v>
      </c>
      <c r="P1063">
        <v>0</v>
      </c>
      <c r="Q1063">
        <v>3000</v>
      </c>
    </row>
    <row r="1064" spans="1:17">
      <c r="A1064" t="s">
        <v>89</v>
      </c>
      <c r="B1064" t="s">
        <v>65</v>
      </c>
      <c r="C1064">
        <v>8</v>
      </c>
      <c r="D1064">
        <v>2022</v>
      </c>
      <c r="E1064" s="49" t="s">
        <v>155</v>
      </c>
      <c r="F1064" s="49" t="s">
        <v>163</v>
      </c>
      <c r="G1064">
        <f>'Feb to July, 2022'!W66+'Feb to July, 2022'!X66</f>
        <v>40</v>
      </c>
      <c r="H1064">
        <f>'Feb to July, 2022'!Y66</f>
        <v>0</v>
      </c>
      <c r="I1064">
        <f>'Feb to July, 2022'!Z66</f>
        <v>9</v>
      </c>
      <c r="J1064">
        <f>G1064*Parameters!$B$2*Parameters!$B$5</f>
        <v>85.163999999999987</v>
      </c>
      <c r="K1064">
        <f>H1064*Parameters!$B$3*Parameters!$B$6</f>
        <v>0</v>
      </c>
      <c r="L1064">
        <f>I1064*Parameters!$B$4*Parameters!$B$7</f>
        <v>72.86760000000001</v>
      </c>
      <c r="M1064">
        <f t="shared" si="16"/>
        <v>158.0316</v>
      </c>
      <c r="N1064">
        <v>4000</v>
      </c>
      <c r="O1064">
        <v>0</v>
      </c>
      <c r="P1064">
        <v>0</v>
      </c>
      <c r="Q1064">
        <v>2700</v>
      </c>
    </row>
    <row r="1065" spans="1:17">
      <c r="A1065" t="s">
        <v>90</v>
      </c>
      <c r="B1065" t="s">
        <v>32</v>
      </c>
      <c r="C1065">
        <v>6</v>
      </c>
      <c r="D1065">
        <v>2022</v>
      </c>
      <c r="E1065" s="49" t="s">
        <v>155</v>
      </c>
      <c r="F1065" s="49" t="s">
        <v>163</v>
      </c>
      <c r="G1065">
        <f>'Feb to July, 2022'!W67+'Feb to July, 2022'!X67</f>
        <v>30</v>
      </c>
      <c r="H1065">
        <f>'Feb to July, 2022'!Y67</f>
        <v>0</v>
      </c>
      <c r="I1065">
        <f>'Feb to July, 2022'!Z67</f>
        <v>17</v>
      </c>
      <c r="J1065">
        <f>G1065*Parameters!$B$2*Parameters!$B$5</f>
        <v>63.87299999999999</v>
      </c>
      <c r="K1065">
        <f>H1065*Parameters!$B$3*Parameters!$B$6</f>
        <v>0</v>
      </c>
      <c r="L1065">
        <f>I1065*Parameters!$B$4*Parameters!$B$7</f>
        <v>137.63880000000003</v>
      </c>
      <c r="M1065">
        <f t="shared" si="16"/>
        <v>201.51180000000002</v>
      </c>
      <c r="N1065">
        <v>3000</v>
      </c>
      <c r="O1065">
        <v>0</v>
      </c>
      <c r="P1065">
        <v>0</v>
      </c>
      <c r="Q1065">
        <v>5100</v>
      </c>
    </row>
    <row r="1066" spans="1:17">
      <c r="A1066" t="s">
        <v>91</v>
      </c>
      <c r="B1066" t="s">
        <v>24</v>
      </c>
      <c r="C1066">
        <v>6</v>
      </c>
      <c r="D1066">
        <v>2022</v>
      </c>
      <c r="E1066" s="49" t="s">
        <v>155</v>
      </c>
      <c r="F1066" s="49" t="s">
        <v>163</v>
      </c>
      <c r="G1066">
        <f>'Feb to July, 2022'!W68+'Feb to July, 2022'!X68</f>
        <v>30</v>
      </c>
      <c r="H1066">
        <f>'Feb to July, 2022'!Y68</f>
        <v>0</v>
      </c>
      <c r="I1066">
        <f>'Feb to July, 2022'!Z68</f>
        <v>10</v>
      </c>
      <c r="J1066">
        <f>G1066*Parameters!$B$2*Parameters!$B$5</f>
        <v>63.87299999999999</v>
      </c>
      <c r="K1066">
        <f>H1066*Parameters!$B$3*Parameters!$B$6</f>
        <v>0</v>
      </c>
      <c r="L1066">
        <f>I1066*Parameters!$B$4*Parameters!$B$7</f>
        <v>80.963999999999999</v>
      </c>
      <c r="M1066">
        <f t="shared" si="16"/>
        <v>144.83699999999999</v>
      </c>
      <c r="N1066">
        <v>3000</v>
      </c>
      <c r="O1066">
        <v>0</v>
      </c>
      <c r="P1066">
        <v>0</v>
      </c>
      <c r="Q1066">
        <v>3000</v>
      </c>
    </row>
    <row r="1067" spans="1:17">
      <c r="A1067" t="s">
        <v>92</v>
      </c>
      <c r="B1067" t="s">
        <v>17</v>
      </c>
      <c r="C1067">
        <v>4</v>
      </c>
      <c r="D1067">
        <v>2022</v>
      </c>
      <c r="E1067" s="49" t="s">
        <v>155</v>
      </c>
      <c r="F1067" s="49" t="s">
        <v>163</v>
      </c>
      <c r="G1067">
        <f>'Feb to July, 2022'!W69+'Feb to July, 2022'!X69</f>
        <v>0</v>
      </c>
      <c r="H1067">
        <f>'Feb to July, 2022'!Y69</f>
        <v>0</v>
      </c>
      <c r="I1067">
        <f>'Feb to July, 2022'!Z69</f>
        <v>10</v>
      </c>
      <c r="J1067">
        <f>G1067*Parameters!$B$2*Parameters!$B$5</f>
        <v>0</v>
      </c>
      <c r="K1067">
        <f>H1067*Parameters!$B$3*Parameters!$B$6</f>
        <v>0</v>
      </c>
      <c r="L1067">
        <f>I1067*Parameters!$B$4*Parameters!$B$7</f>
        <v>80.963999999999999</v>
      </c>
      <c r="M1067">
        <f t="shared" si="16"/>
        <v>80.963999999999999</v>
      </c>
      <c r="N1067">
        <v>0</v>
      </c>
      <c r="O1067">
        <v>0</v>
      </c>
      <c r="P1067">
        <v>0</v>
      </c>
      <c r="Q1067">
        <v>3000</v>
      </c>
    </row>
    <row r="1068" spans="1:17">
      <c r="A1068" t="s">
        <v>93</v>
      </c>
      <c r="B1068" t="s">
        <v>19</v>
      </c>
      <c r="C1068">
        <v>7</v>
      </c>
      <c r="D1068">
        <v>2022</v>
      </c>
      <c r="E1068" s="49" t="s">
        <v>155</v>
      </c>
      <c r="F1068" s="49" t="s">
        <v>163</v>
      </c>
      <c r="G1068">
        <f>'Feb to July, 2022'!W70+'Feb to July, 2022'!X70</f>
        <v>30</v>
      </c>
      <c r="H1068">
        <f>'Feb to July, 2022'!Y70</f>
        <v>0</v>
      </c>
      <c r="I1068">
        <f>'Feb to July, 2022'!Z70</f>
        <v>15</v>
      </c>
      <c r="J1068">
        <f>G1068*Parameters!$B$2*Parameters!$B$5</f>
        <v>63.87299999999999</v>
      </c>
      <c r="K1068">
        <f>H1068*Parameters!$B$3*Parameters!$B$6</f>
        <v>0</v>
      </c>
      <c r="L1068">
        <f>I1068*Parameters!$B$4*Parameters!$B$7</f>
        <v>121.44600000000001</v>
      </c>
      <c r="M1068">
        <f t="shared" si="16"/>
        <v>185.31900000000002</v>
      </c>
      <c r="N1068">
        <v>3000</v>
      </c>
      <c r="O1068">
        <v>0</v>
      </c>
      <c r="P1068">
        <v>0</v>
      </c>
      <c r="Q1068">
        <v>4500</v>
      </c>
    </row>
    <row r="1069" spans="1:17">
      <c r="A1069" t="s">
        <v>94</v>
      </c>
      <c r="B1069" t="s">
        <v>19</v>
      </c>
      <c r="C1069">
        <v>6</v>
      </c>
      <c r="D1069">
        <v>2022</v>
      </c>
      <c r="E1069" s="49" t="s">
        <v>155</v>
      </c>
      <c r="F1069" s="49" t="s">
        <v>163</v>
      </c>
      <c r="G1069">
        <f>'Feb to July, 2022'!W71+'Feb to July, 2022'!X71</f>
        <v>40</v>
      </c>
      <c r="H1069">
        <f>'Feb to July, 2022'!Y71</f>
        <v>0</v>
      </c>
      <c r="I1069">
        <f>'Feb to July, 2022'!Z71</f>
        <v>10</v>
      </c>
      <c r="J1069">
        <f>G1069*Parameters!$B$2*Parameters!$B$5</f>
        <v>85.163999999999987</v>
      </c>
      <c r="K1069">
        <f>H1069*Parameters!$B$3*Parameters!$B$6</f>
        <v>0</v>
      </c>
      <c r="L1069">
        <f>I1069*Parameters!$B$4*Parameters!$B$7</f>
        <v>80.963999999999999</v>
      </c>
      <c r="M1069">
        <f t="shared" si="16"/>
        <v>166.12799999999999</v>
      </c>
      <c r="N1069">
        <v>4000</v>
      </c>
      <c r="O1069">
        <v>0</v>
      </c>
      <c r="P1069">
        <v>0</v>
      </c>
      <c r="Q1069">
        <v>3000</v>
      </c>
    </row>
    <row r="1070" spans="1:17">
      <c r="A1070" t="s">
        <v>95</v>
      </c>
      <c r="B1070" t="s">
        <v>26</v>
      </c>
      <c r="C1070">
        <v>8</v>
      </c>
      <c r="D1070">
        <v>2022</v>
      </c>
      <c r="E1070" s="49" t="s">
        <v>155</v>
      </c>
      <c r="F1070" s="49" t="s">
        <v>163</v>
      </c>
      <c r="G1070">
        <f>'Feb to July, 2022'!W72+'Feb to July, 2022'!X72</f>
        <v>35</v>
      </c>
      <c r="H1070">
        <f>'Feb to July, 2022'!Y72</f>
        <v>0</v>
      </c>
      <c r="I1070">
        <f>'Feb to July, 2022'!Z72</f>
        <v>10</v>
      </c>
      <c r="J1070">
        <f>G1070*Parameters!$B$2*Parameters!$B$5</f>
        <v>74.518499999999989</v>
      </c>
      <c r="K1070">
        <f>H1070*Parameters!$B$3*Parameters!$B$6</f>
        <v>0</v>
      </c>
      <c r="L1070">
        <f>I1070*Parameters!$B$4*Parameters!$B$7</f>
        <v>80.963999999999999</v>
      </c>
      <c r="M1070">
        <f t="shared" si="16"/>
        <v>155.48249999999999</v>
      </c>
      <c r="N1070">
        <v>3500</v>
      </c>
      <c r="O1070">
        <v>0</v>
      </c>
      <c r="P1070">
        <v>0</v>
      </c>
      <c r="Q1070">
        <v>3000</v>
      </c>
    </row>
    <row r="1071" spans="1:17">
      <c r="A1071" t="s">
        <v>96</v>
      </c>
      <c r="B1071" t="s">
        <v>19</v>
      </c>
      <c r="C1071">
        <v>8</v>
      </c>
      <c r="D1071">
        <v>2022</v>
      </c>
      <c r="E1071" s="49" t="s">
        <v>155</v>
      </c>
      <c r="F1071" s="49" t="s">
        <v>163</v>
      </c>
      <c r="G1071">
        <f>'Feb to July, 2022'!W73+'Feb to July, 2022'!X73</f>
        <v>20</v>
      </c>
      <c r="H1071">
        <f>'Feb to July, 2022'!Y73</f>
        <v>0</v>
      </c>
      <c r="I1071">
        <f>'Feb to July, 2022'!Z73</f>
        <v>5</v>
      </c>
      <c r="J1071">
        <f>G1071*Parameters!$B$2*Parameters!$B$5</f>
        <v>42.581999999999994</v>
      </c>
      <c r="K1071">
        <f>H1071*Parameters!$B$3*Parameters!$B$6</f>
        <v>0</v>
      </c>
      <c r="L1071">
        <f>I1071*Parameters!$B$4*Parameters!$B$7</f>
        <v>40.481999999999999</v>
      </c>
      <c r="M1071">
        <f t="shared" si="16"/>
        <v>83.063999999999993</v>
      </c>
      <c r="N1071">
        <v>2000</v>
      </c>
      <c r="O1071">
        <v>0</v>
      </c>
      <c r="P1071">
        <v>0</v>
      </c>
      <c r="Q1071">
        <v>1500</v>
      </c>
    </row>
    <row r="1072" spans="1:17">
      <c r="A1072" t="s">
        <v>97</v>
      </c>
      <c r="B1072" t="s">
        <v>17</v>
      </c>
      <c r="C1072">
        <v>4</v>
      </c>
      <c r="D1072">
        <v>2022</v>
      </c>
      <c r="E1072" s="49" t="s">
        <v>155</v>
      </c>
      <c r="F1072" s="49" t="s">
        <v>163</v>
      </c>
      <c r="G1072">
        <f>'Feb to July, 2022'!W74+'Feb to July, 2022'!X74</f>
        <v>30</v>
      </c>
      <c r="H1072">
        <f>'Feb to July, 2022'!Y74</f>
        <v>0</v>
      </c>
      <c r="I1072">
        <f>'Feb to July, 2022'!Z74</f>
        <v>10</v>
      </c>
      <c r="J1072">
        <f>G1072*Parameters!$B$2*Parameters!$B$5</f>
        <v>63.87299999999999</v>
      </c>
      <c r="K1072">
        <f>H1072*Parameters!$B$3*Parameters!$B$6</f>
        <v>0</v>
      </c>
      <c r="L1072">
        <f>I1072*Parameters!$B$4*Parameters!$B$7</f>
        <v>80.963999999999999</v>
      </c>
      <c r="M1072">
        <f t="shared" si="16"/>
        <v>144.83699999999999</v>
      </c>
      <c r="N1072">
        <v>3000</v>
      </c>
      <c r="O1072">
        <v>0</v>
      </c>
      <c r="P1072">
        <v>0</v>
      </c>
      <c r="Q1072">
        <v>3000</v>
      </c>
    </row>
    <row r="1073" spans="1:17">
      <c r="A1073" t="s">
        <v>98</v>
      </c>
      <c r="B1073" t="s">
        <v>65</v>
      </c>
      <c r="C1073">
        <v>5</v>
      </c>
      <c r="D1073">
        <v>2022</v>
      </c>
      <c r="E1073" s="49" t="s">
        <v>155</v>
      </c>
      <c r="F1073" s="49" t="s">
        <v>163</v>
      </c>
      <c r="G1073">
        <f>'Feb to July, 2022'!W75+'Feb to July, 2022'!X75</f>
        <v>25</v>
      </c>
      <c r="H1073">
        <f>'Feb to July, 2022'!Y75</f>
        <v>0</v>
      </c>
      <c r="I1073">
        <f>'Feb to July, 2022'!Z75</f>
        <v>20</v>
      </c>
      <c r="J1073">
        <f>G1073*Parameters!$B$2*Parameters!$B$5</f>
        <v>53.227499999999992</v>
      </c>
      <c r="K1073">
        <f>H1073*Parameters!$B$3*Parameters!$B$6</f>
        <v>0</v>
      </c>
      <c r="L1073">
        <f>I1073*Parameters!$B$4*Parameters!$B$7</f>
        <v>161.928</v>
      </c>
      <c r="M1073">
        <f t="shared" si="16"/>
        <v>215.15549999999999</v>
      </c>
      <c r="N1073">
        <v>2500</v>
      </c>
      <c r="O1073">
        <v>0</v>
      </c>
      <c r="P1073">
        <v>0</v>
      </c>
      <c r="Q1073">
        <v>6000</v>
      </c>
    </row>
    <row r="1074" spans="1:17">
      <c r="A1074" t="s">
        <v>99</v>
      </c>
      <c r="B1074" t="s">
        <v>32</v>
      </c>
      <c r="C1074">
        <v>9</v>
      </c>
      <c r="D1074">
        <v>2022</v>
      </c>
      <c r="E1074" s="49" t="s">
        <v>155</v>
      </c>
      <c r="F1074" s="49" t="s">
        <v>163</v>
      </c>
      <c r="G1074">
        <f>'Feb to July, 2022'!W76+'Feb to July, 2022'!X76</f>
        <v>55</v>
      </c>
      <c r="H1074">
        <f>'Feb to July, 2022'!Y76</f>
        <v>0</v>
      </c>
      <c r="I1074">
        <f>'Feb to July, 2022'!Z76</f>
        <v>10</v>
      </c>
      <c r="J1074">
        <f>G1074*Parameters!$B$2*Parameters!$B$5</f>
        <v>117.10049999999998</v>
      </c>
      <c r="K1074">
        <f>H1074*Parameters!$B$3*Parameters!$B$6</f>
        <v>0</v>
      </c>
      <c r="L1074">
        <f>I1074*Parameters!$B$4*Parameters!$B$7</f>
        <v>80.963999999999999</v>
      </c>
      <c r="M1074">
        <f t="shared" si="16"/>
        <v>198.06449999999998</v>
      </c>
      <c r="N1074">
        <v>5500</v>
      </c>
      <c r="O1074">
        <v>0</v>
      </c>
      <c r="P1074">
        <v>0</v>
      </c>
      <c r="Q1074">
        <v>3000</v>
      </c>
    </row>
    <row r="1075" spans="1:17">
      <c r="A1075" t="s">
        <v>100</v>
      </c>
      <c r="B1075" t="s">
        <v>40</v>
      </c>
      <c r="C1075">
        <v>8</v>
      </c>
      <c r="D1075">
        <v>2022</v>
      </c>
      <c r="E1075" s="49" t="s">
        <v>155</v>
      </c>
      <c r="F1075" s="49" t="s">
        <v>163</v>
      </c>
      <c r="G1075">
        <f>'Feb to July, 2022'!W77+'Feb to July, 2022'!X77</f>
        <v>30</v>
      </c>
      <c r="H1075">
        <f>'Feb to July, 2022'!Y77</f>
        <v>0</v>
      </c>
      <c r="I1075">
        <f>'Feb to July, 2022'!Z77</f>
        <v>15</v>
      </c>
      <c r="J1075">
        <f>G1075*Parameters!$B$2*Parameters!$B$5</f>
        <v>63.87299999999999</v>
      </c>
      <c r="K1075">
        <f>H1075*Parameters!$B$3*Parameters!$B$6</f>
        <v>0</v>
      </c>
      <c r="L1075">
        <f>I1075*Parameters!$B$4*Parameters!$B$7</f>
        <v>121.44600000000001</v>
      </c>
      <c r="M1075">
        <f t="shared" si="16"/>
        <v>185.31900000000002</v>
      </c>
      <c r="N1075">
        <v>3000</v>
      </c>
      <c r="O1075">
        <v>0</v>
      </c>
      <c r="P1075">
        <v>0</v>
      </c>
      <c r="Q1075">
        <v>4500</v>
      </c>
    </row>
    <row r="1076" spans="1:17">
      <c r="A1076" t="s">
        <v>101</v>
      </c>
      <c r="B1076" t="s">
        <v>38</v>
      </c>
      <c r="C1076">
        <v>5</v>
      </c>
      <c r="D1076">
        <v>2022</v>
      </c>
      <c r="E1076" s="49" t="s">
        <v>155</v>
      </c>
      <c r="F1076" s="49" t="s">
        <v>163</v>
      </c>
      <c r="G1076">
        <f>'Feb to July, 2022'!W78+'Feb to July, 2022'!X78</f>
        <v>45</v>
      </c>
      <c r="H1076">
        <f>'Feb to July, 2022'!Y78</f>
        <v>0</v>
      </c>
      <c r="I1076">
        <f>'Feb to July, 2022'!Z78</f>
        <v>5</v>
      </c>
      <c r="J1076">
        <f>G1076*Parameters!$B$2*Parameters!$B$5</f>
        <v>95.809499999999986</v>
      </c>
      <c r="K1076">
        <f>H1076*Parameters!$B$3*Parameters!$B$6</f>
        <v>0</v>
      </c>
      <c r="L1076">
        <f>I1076*Parameters!$B$4*Parameters!$B$7</f>
        <v>40.481999999999999</v>
      </c>
      <c r="M1076">
        <f t="shared" si="16"/>
        <v>136.29149999999998</v>
      </c>
      <c r="N1076">
        <v>4500</v>
      </c>
      <c r="O1076">
        <v>0</v>
      </c>
      <c r="P1076">
        <v>0</v>
      </c>
      <c r="Q1076">
        <v>1500</v>
      </c>
    </row>
    <row r="1077" spans="1:17">
      <c r="A1077" t="s">
        <v>102</v>
      </c>
      <c r="B1077" t="s">
        <v>17</v>
      </c>
      <c r="C1077">
        <v>4</v>
      </c>
      <c r="D1077">
        <v>2022</v>
      </c>
      <c r="E1077" s="49" t="s">
        <v>155</v>
      </c>
      <c r="F1077" s="49" t="s">
        <v>163</v>
      </c>
      <c r="G1077">
        <f>'Feb to July, 2022'!W79+'Feb to July, 2022'!X79</f>
        <v>30</v>
      </c>
      <c r="H1077">
        <f>'Feb to July, 2022'!Y79</f>
        <v>0</v>
      </c>
      <c r="I1077">
        <f>'Feb to July, 2022'!Z79</f>
        <v>20</v>
      </c>
      <c r="J1077">
        <f>G1077*Parameters!$B$2*Parameters!$B$5</f>
        <v>63.87299999999999</v>
      </c>
      <c r="K1077">
        <f>H1077*Parameters!$B$3*Parameters!$B$6</f>
        <v>0</v>
      </c>
      <c r="L1077">
        <f>I1077*Parameters!$B$4*Parameters!$B$7</f>
        <v>161.928</v>
      </c>
      <c r="M1077">
        <f t="shared" si="16"/>
        <v>225.80099999999999</v>
      </c>
      <c r="N1077">
        <v>3000</v>
      </c>
      <c r="O1077">
        <v>0</v>
      </c>
      <c r="P1077">
        <v>0</v>
      </c>
      <c r="Q1077">
        <v>6000</v>
      </c>
    </row>
    <row r="1078" spans="1:17">
      <c r="A1078" t="s">
        <v>103</v>
      </c>
      <c r="B1078" t="s">
        <v>26</v>
      </c>
      <c r="C1078">
        <v>6</v>
      </c>
      <c r="D1078">
        <v>2022</v>
      </c>
      <c r="E1078" s="49" t="s">
        <v>155</v>
      </c>
      <c r="F1078" s="49" t="s">
        <v>163</v>
      </c>
      <c r="G1078">
        <f>'Feb to July, 2022'!W80+'Feb to July, 2022'!X80</f>
        <v>25</v>
      </c>
      <c r="H1078">
        <f>'Feb to July, 2022'!Y80</f>
        <v>0</v>
      </c>
      <c r="I1078">
        <f>'Feb to July, 2022'!Z80</f>
        <v>10</v>
      </c>
      <c r="J1078">
        <f>G1078*Parameters!$B$2*Parameters!$B$5</f>
        <v>53.227499999999992</v>
      </c>
      <c r="K1078">
        <f>H1078*Parameters!$B$3*Parameters!$B$6</f>
        <v>0</v>
      </c>
      <c r="L1078">
        <f>I1078*Parameters!$B$4*Parameters!$B$7</f>
        <v>80.963999999999999</v>
      </c>
      <c r="M1078">
        <f t="shared" si="16"/>
        <v>134.19149999999999</v>
      </c>
      <c r="N1078">
        <v>2500</v>
      </c>
      <c r="O1078">
        <v>0</v>
      </c>
      <c r="P1078">
        <v>0</v>
      </c>
      <c r="Q1078">
        <v>3000</v>
      </c>
    </row>
    <row r="1079" spans="1:17">
      <c r="A1079" t="s">
        <v>104</v>
      </c>
      <c r="B1079" t="s">
        <v>26</v>
      </c>
      <c r="C1079">
        <v>7</v>
      </c>
      <c r="D1079">
        <v>2022</v>
      </c>
      <c r="E1079" s="49" t="s">
        <v>155</v>
      </c>
      <c r="F1079" s="49" t="s">
        <v>163</v>
      </c>
      <c r="G1079">
        <f>'Feb to July, 2022'!W81+'Feb to July, 2022'!X81</f>
        <v>25</v>
      </c>
      <c r="H1079">
        <f>'Feb to July, 2022'!Y81</f>
        <v>0</v>
      </c>
      <c r="I1079">
        <f>'Feb to July, 2022'!Z81</f>
        <v>10</v>
      </c>
      <c r="J1079">
        <f>G1079*Parameters!$B$2*Parameters!$B$5</f>
        <v>53.227499999999992</v>
      </c>
      <c r="K1079">
        <f>H1079*Parameters!$B$3*Parameters!$B$6</f>
        <v>0</v>
      </c>
      <c r="L1079">
        <f>I1079*Parameters!$B$4*Parameters!$B$7</f>
        <v>80.963999999999999</v>
      </c>
      <c r="M1079">
        <f t="shared" si="16"/>
        <v>134.19149999999999</v>
      </c>
      <c r="N1079">
        <v>2500</v>
      </c>
      <c r="O1079">
        <v>0</v>
      </c>
      <c r="P1079">
        <v>0</v>
      </c>
      <c r="Q1079">
        <v>3000</v>
      </c>
    </row>
    <row r="1080" spans="1:17">
      <c r="A1080" t="s">
        <v>105</v>
      </c>
      <c r="B1080" t="s">
        <v>21</v>
      </c>
      <c r="C1080">
        <v>5</v>
      </c>
      <c r="D1080">
        <v>2022</v>
      </c>
      <c r="E1080" s="49" t="s">
        <v>155</v>
      </c>
      <c r="F1080" s="49" t="s">
        <v>163</v>
      </c>
      <c r="G1080">
        <f>'Feb to July, 2022'!W82+'Feb to July, 2022'!X82</f>
        <v>30</v>
      </c>
      <c r="H1080">
        <f>'Feb to July, 2022'!Y82</f>
        <v>0</v>
      </c>
      <c r="I1080">
        <f>'Feb to July, 2022'!Z82</f>
        <v>20</v>
      </c>
      <c r="J1080">
        <f>G1080*Parameters!$B$2*Parameters!$B$5</f>
        <v>63.87299999999999</v>
      </c>
      <c r="K1080">
        <f>H1080*Parameters!$B$3*Parameters!$B$6</f>
        <v>0</v>
      </c>
      <c r="L1080">
        <f>I1080*Parameters!$B$4*Parameters!$B$7</f>
        <v>161.928</v>
      </c>
      <c r="M1080">
        <f t="shared" si="16"/>
        <v>225.80099999999999</v>
      </c>
      <c r="N1080">
        <v>3000</v>
      </c>
      <c r="O1080">
        <v>0</v>
      </c>
      <c r="P1080">
        <v>0</v>
      </c>
      <c r="Q1080">
        <v>6000</v>
      </c>
    </row>
    <row r="1081" spans="1:17">
      <c r="A1081" t="s">
        <v>106</v>
      </c>
      <c r="B1081" t="s">
        <v>24</v>
      </c>
      <c r="C1081">
        <v>6</v>
      </c>
      <c r="D1081">
        <v>2022</v>
      </c>
      <c r="E1081" s="49" t="s">
        <v>155</v>
      </c>
      <c r="F1081" s="49" t="s">
        <v>163</v>
      </c>
      <c r="G1081">
        <f>'Feb to July, 2022'!W83+'Feb to July, 2022'!X83</f>
        <v>30</v>
      </c>
      <c r="H1081">
        <f>'Feb to July, 2022'!Y83</f>
        <v>0</v>
      </c>
      <c r="I1081">
        <f>'Feb to July, 2022'!Z83</f>
        <v>10</v>
      </c>
      <c r="J1081">
        <f>G1081*Parameters!$B$2*Parameters!$B$5</f>
        <v>63.87299999999999</v>
      </c>
      <c r="K1081">
        <f>H1081*Parameters!$B$3*Parameters!$B$6</f>
        <v>0</v>
      </c>
      <c r="L1081">
        <f>I1081*Parameters!$B$4*Parameters!$B$7</f>
        <v>80.963999999999999</v>
      </c>
      <c r="M1081">
        <f t="shared" si="16"/>
        <v>144.83699999999999</v>
      </c>
      <c r="N1081">
        <v>3000</v>
      </c>
      <c r="O1081">
        <v>0</v>
      </c>
      <c r="P1081">
        <v>0</v>
      </c>
      <c r="Q1081">
        <v>3000</v>
      </c>
    </row>
    <row r="1082" spans="1:17">
      <c r="A1082" t="s">
        <v>107</v>
      </c>
      <c r="B1082" t="s">
        <v>21</v>
      </c>
      <c r="C1082">
        <v>4</v>
      </c>
      <c r="D1082">
        <v>2022</v>
      </c>
      <c r="E1082" s="49" t="s">
        <v>155</v>
      </c>
      <c r="F1082" s="49" t="s">
        <v>163</v>
      </c>
      <c r="G1082">
        <f>'Feb to July, 2022'!W84+'Feb to July, 2022'!X84</f>
        <v>20</v>
      </c>
      <c r="H1082">
        <f>'Feb to July, 2022'!Y84</f>
        <v>0</v>
      </c>
      <c r="I1082">
        <f>'Feb to July, 2022'!Z84</f>
        <v>10</v>
      </c>
      <c r="J1082">
        <f>G1082*Parameters!$B$2*Parameters!$B$5</f>
        <v>42.581999999999994</v>
      </c>
      <c r="K1082">
        <f>H1082*Parameters!$B$3*Parameters!$B$6</f>
        <v>0</v>
      </c>
      <c r="L1082">
        <f>I1082*Parameters!$B$4*Parameters!$B$7</f>
        <v>80.963999999999999</v>
      </c>
      <c r="M1082">
        <f t="shared" si="16"/>
        <v>123.54599999999999</v>
      </c>
      <c r="N1082">
        <v>2000</v>
      </c>
      <c r="O1082">
        <v>0</v>
      </c>
      <c r="P1082">
        <v>0</v>
      </c>
      <c r="Q1082">
        <v>3000</v>
      </c>
    </row>
    <row r="1083" spans="1:17">
      <c r="A1083" t="s">
        <v>108</v>
      </c>
      <c r="B1083" t="s">
        <v>24</v>
      </c>
      <c r="C1083">
        <v>5</v>
      </c>
      <c r="D1083">
        <v>2022</v>
      </c>
      <c r="E1083" s="49" t="s">
        <v>155</v>
      </c>
      <c r="F1083" s="49" t="s">
        <v>163</v>
      </c>
      <c r="G1083">
        <f>'Feb to July, 2022'!W85+'Feb to July, 2022'!X85</f>
        <v>25</v>
      </c>
      <c r="H1083">
        <f>'Feb to July, 2022'!Y85</f>
        <v>0</v>
      </c>
      <c r="I1083">
        <f>'Feb to July, 2022'!Z85</f>
        <v>10</v>
      </c>
      <c r="J1083">
        <f>G1083*Parameters!$B$2*Parameters!$B$5</f>
        <v>53.227499999999992</v>
      </c>
      <c r="K1083">
        <f>H1083*Parameters!$B$3*Parameters!$B$6</f>
        <v>0</v>
      </c>
      <c r="L1083">
        <f>I1083*Parameters!$B$4*Parameters!$B$7</f>
        <v>80.963999999999999</v>
      </c>
      <c r="M1083">
        <f t="shared" si="16"/>
        <v>134.19149999999999</v>
      </c>
      <c r="N1083">
        <v>2500</v>
      </c>
      <c r="O1083">
        <v>0</v>
      </c>
      <c r="P1083">
        <v>0</v>
      </c>
      <c r="Q1083">
        <v>3000</v>
      </c>
    </row>
    <row r="1084" spans="1:17">
      <c r="A1084" t="s">
        <v>109</v>
      </c>
      <c r="B1084" t="s">
        <v>32</v>
      </c>
      <c r="C1084">
        <v>6</v>
      </c>
      <c r="D1084">
        <v>2022</v>
      </c>
      <c r="E1084" s="49" t="s">
        <v>155</v>
      </c>
      <c r="F1084" s="49" t="s">
        <v>163</v>
      </c>
      <c r="G1084">
        <f>'Feb to July, 2022'!W86+'Feb to July, 2022'!X86</f>
        <v>45</v>
      </c>
      <c r="H1084">
        <f>'Feb to July, 2022'!Y86</f>
        <v>0</v>
      </c>
      <c r="I1084">
        <f>'Feb to July, 2022'!Z86</f>
        <v>10</v>
      </c>
      <c r="J1084">
        <f>G1084*Parameters!$B$2*Parameters!$B$5</f>
        <v>95.809499999999986</v>
      </c>
      <c r="K1084">
        <f>H1084*Parameters!$B$3*Parameters!$B$6</f>
        <v>0</v>
      </c>
      <c r="L1084">
        <f>I1084*Parameters!$B$4*Parameters!$B$7</f>
        <v>80.963999999999999</v>
      </c>
      <c r="M1084">
        <f t="shared" si="16"/>
        <v>176.77349999999998</v>
      </c>
      <c r="N1084">
        <v>4500</v>
      </c>
      <c r="O1084">
        <v>0</v>
      </c>
      <c r="P1084">
        <v>0</v>
      </c>
      <c r="Q1084">
        <v>3000</v>
      </c>
    </row>
    <row r="1085" spans="1:17">
      <c r="A1085" t="s">
        <v>110</v>
      </c>
      <c r="B1085" t="s">
        <v>21</v>
      </c>
      <c r="C1085">
        <v>3</v>
      </c>
      <c r="D1085">
        <v>2022</v>
      </c>
      <c r="E1085" s="49" t="s">
        <v>155</v>
      </c>
      <c r="F1085" s="49" t="s">
        <v>163</v>
      </c>
      <c r="G1085">
        <f>'Feb to July, 2022'!W87+'Feb to July, 2022'!X87</f>
        <v>20</v>
      </c>
      <c r="H1085">
        <f>'Feb to July, 2022'!Y87</f>
        <v>0</v>
      </c>
      <c r="I1085">
        <f>'Feb to July, 2022'!Z87</f>
        <v>12</v>
      </c>
      <c r="J1085">
        <f>G1085*Parameters!$B$2*Parameters!$B$5</f>
        <v>42.581999999999994</v>
      </c>
      <c r="K1085">
        <f>H1085*Parameters!$B$3*Parameters!$B$6</f>
        <v>0</v>
      </c>
      <c r="L1085">
        <f>I1085*Parameters!$B$4*Parameters!$B$7</f>
        <v>97.156800000000018</v>
      </c>
      <c r="M1085">
        <f t="shared" si="16"/>
        <v>139.73880000000003</v>
      </c>
      <c r="N1085">
        <v>2000</v>
      </c>
      <c r="O1085">
        <v>0</v>
      </c>
      <c r="P1085">
        <v>0</v>
      </c>
      <c r="Q1085">
        <v>3600</v>
      </c>
    </row>
    <row r="1086" spans="1:17">
      <c r="A1086" t="s">
        <v>111</v>
      </c>
      <c r="B1086" t="s">
        <v>26</v>
      </c>
      <c r="C1086">
        <v>6</v>
      </c>
      <c r="D1086">
        <v>2022</v>
      </c>
      <c r="E1086" s="49" t="s">
        <v>155</v>
      </c>
      <c r="F1086" s="49" t="s">
        <v>163</v>
      </c>
      <c r="G1086">
        <f>'Feb to July, 2022'!W88+'Feb to July, 2022'!X88</f>
        <v>40</v>
      </c>
      <c r="H1086">
        <f>'Feb to July, 2022'!Y88</f>
        <v>0</v>
      </c>
      <c r="I1086">
        <f>'Feb to July, 2022'!Z88</f>
        <v>6</v>
      </c>
      <c r="J1086">
        <f>G1086*Parameters!$B$2*Parameters!$B$5</f>
        <v>85.163999999999987</v>
      </c>
      <c r="K1086">
        <f>H1086*Parameters!$B$3*Parameters!$B$6</f>
        <v>0</v>
      </c>
      <c r="L1086">
        <f>I1086*Parameters!$B$4*Parameters!$B$7</f>
        <v>48.578400000000009</v>
      </c>
      <c r="M1086">
        <f t="shared" si="16"/>
        <v>133.7424</v>
      </c>
      <c r="N1086">
        <v>4000</v>
      </c>
      <c r="O1086">
        <v>0</v>
      </c>
      <c r="P1086">
        <v>0</v>
      </c>
      <c r="Q1086">
        <v>1800</v>
      </c>
    </row>
    <row r="1087" spans="1:17">
      <c r="A1087" t="s">
        <v>112</v>
      </c>
      <c r="B1087" t="s">
        <v>19</v>
      </c>
      <c r="C1087">
        <v>7</v>
      </c>
      <c r="D1087">
        <v>2022</v>
      </c>
      <c r="E1087" s="49" t="s">
        <v>155</v>
      </c>
      <c r="F1087" s="49" t="s">
        <v>163</v>
      </c>
      <c r="G1087">
        <f>'Feb to July, 2022'!W89+'Feb to July, 2022'!X89</f>
        <v>0</v>
      </c>
      <c r="H1087">
        <f>'Feb to July, 2022'!Y89</f>
        <v>0</v>
      </c>
      <c r="I1087">
        <f>'Feb to July, 2022'!Z89</f>
        <v>15</v>
      </c>
      <c r="J1087">
        <f>G1087*Parameters!$B$2*Parameters!$B$5</f>
        <v>0</v>
      </c>
      <c r="K1087">
        <f>H1087*Parameters!$B$3*Parameters!$B$6</f>
        <v>0</v>
      </c>
      <c r="L1087">
        <f>I1087*Parameters!$B$4*Parameters!$B$7</f>
        <v>121.44600000000001</v>
      </c>
      <c r="M1087">
        <f t="shared" si="16"/>
        <v>121.44600000000001</v>
      </c>
      <c r="N1087">
        <v>0</v>
      </c>
      <c r="O1087">
        <v>0</v>
      </c>
      <c r="P1087">
        <v>0</v>
      </c>
      <c r="Q1087">
        <v>4500</v>
      </c>
    </row>
    <row r="1088" spans="1:17">
      <c r="A1088" t="s">
        <v>113</v>
      </c>
      <c r="B1088" t="s">
        <v>26</v>
      </c>
      <c r="C1088">
        <v>4</v>
      </c>
      <c r="D1088">
        <v>2022</v>
      </c>
      <c r="E1088" s="49" t="s">
        <v>155</v>
      </c>
      <c r="F1088" s="49" t="s">
        <v>163</v>
      </c>
      <c r="G1088">
        <f>'Feb to July, 2022'!W90+'Feb to July, 2022'!X90</f>
        <v>40</v>
      </c>
      <c r="H1088">
        <f>'Feb to July, 2022'!Y90</f>
        <v>0</v>
      </c>
      <c r="I1088">
        <f>'Feb to July, 2022'!Z90</f>
        <v>15</v>
      </c>
      <c r="J1088">
        <f>G1088*Parameters!$B$2*Parameters!$B$5</f>
        <v>85.163999999999987</v>
      </c>
      <c r="K1088">
        <f>H1088*Parameters!$B$3*Parameters!$B$6</f>
        <v>0</v>
      </c>
      <c r="L1088">
        <f>I1088*Parameters!$B$4*Parameters!$B$7</f>
        <v>121.44600000000001</v>
      </c>
      <c r="M1088">
        <f t="shared" si="16"/>
        <v>206.61</v>
      </c>
      <c r="N1088">
        <v>4000</v>
      </c>
      <c r="O1088">
        <v>0</v>
      </c>
      <c r="P1088">
        <v>0</v>
      </c>
      <c r="Q1088">
        <v>4500</v>
      </c>
    </row>
    <row r="1089" spans="1:17">
      <c r="A1089" t="s">
        <v>114</v>
      </c>
      <c r="B1089" t="s">
        <v>65</v>
      </c>
      <c r="C1089">
        <v>8</v>
      </c>
      <c r="D1089">
        <v>2022</v>
      </c>
      <c r="E1089" s="49" t="s">
        <v>155</v>
      </c>
      <c r="F1089" s="49" t="s">
        <v>163</v>
      </c>
      <c r="G1089">
        <f>'Feb to July, 2022'!W91+'Feb to July, 2022'!X91</f>
        <v>40</v>
      </c>
      <c r="H1089">
        <f>'Feb to July, 2022'!Y91</f>
        <v>0</v>
      </c>
      <c r="I1089">
        <f>'Feb to July, 2022'!Z91</f>
        <v>15</v>
      </c>
      <c r="J1089">
        <f>G1089*Parameters!$B$2*Parameters!$B$5</f>
        <v>85.163999999999987</v>
      </c>
      <c r="K1089">
        <f>H1089*Parameters!$B$3*Parameters!$B$6</f>
        <v>0</v>
      </c>
      <c r="L1089">
        <f>I1089*Parameters!$B$4*Parameters!$B$7</f>
        <v>121.44600000000001</v>
      </c>
      <c r="M1089">
        <f t="shared" si="16"/>
        <v>206.61</v>
      </c>
      <c r="N1089">
        <v>4000</v>
      </c>
      <c r="O1089">
        <v>0</v>
      </c>
      <c r="P1089">
        <v>0</v>
      </c>
      <c r="Q1089">
        <v>4500</v>
      </c>
    </row>
    <row r="1090" spans="1:17">
      <c r="A1090" t="s">
        <v>115</v>
      </c>
      <c r="B1090" t="s">
        <v>19</v>
      </c>
      <c r="C1090">
        <v>8</v>
      </c>
      <c r="D1090">
        <v>2022</v>
      </c>
      <c r="E1090" s="49" t="s">
        <v>155</v>
      </c>
      <c r="F1090" s="49" t="s">
        <v>163</v>
      </c>
      <c r="G1090">
        <f>'Feb to July, 2022'!W92+'Feb to July, 2022'!X92</f>
        <v>38</v>
      </c>
      <c r="H1090">
        <f>'Feb to July, 2022'!Y92</f>
        <v>0</v>
      </c>
      <c r="I1090">
        <f>'Feb to July, 2022'!Z92</f>
        <v>15</v>
      </c>
      <c r="J1090">
        <f>G1090*Parameters!$B$2*Parameters!$B$5</f>
        <v>80.905799999999985</v>
      </c>
      <c r="K1090">
        <f>H1090*Parameters!$B$3*Parameters!$B$6</f>
        <v>0</v>
      </c>
      <c r="L1090">
        <f>I1090*Parameters!$B$4*Parameters!$B$7</f>
        <v>121.44600000000001</v>
      </c>
      <c r="M1090">
        <f t="shared" si="16"/>
        <v>202.3518</v>
      </c>
      <c r="N1090">
        <v>3800</v>
      </c>
      <c r="O1090">
        <v>0</v>
      </c>
      <c r="P1090">
        <v>0</v>
      </c>
      <c r="Q1090">
        <v>4500</v>
      </c>
    </row>
    <row r="1091" spans="1:17">
      <c r="A1091" t="s">
        <v>116</v>
      </c>
      <c r="B1091" t="s">
        <v>21</v>
      </c>
      <c r="C1091">
        <v>4</v>
      </c>
      <c r="D1091">
        <v>2022</v>
      </c>
      <c r="E1091" s="49" t="s">
        <v>155</v>
      </c>
      <c r="F1091" s="49" t="s">
        <v>163</v>
      </c>
      <c r="G1091">
        <f>'Feb to July, 2022'!W93+'Feb to July, 2022'!X93</f>
        <v>35</v>
      </c>
      <c r="H1091">
        <f>'Feb to July, 2022'!Y93</f>
        <v>0</v>
      </c>
      <c r="I1091">
        <f>'Feb to July, 2022'!Z93</f>
        <v>16</v>
      </c>
      <c r="J1091">
        <f>G1091*Parameters!$B$2*Parameters!$B$5</f>
        <v>74.518499999999989</v>
      </c>
      <c r="K1091">
        <f>H1091*Parameters!$B$3*Parameters!$B$6</f>
        <v>0</v>
      </c>
      <c r="L1091">
        <f>I1091*Parameters!$B$4*Parameters!$B$7</f>
        <v>129.54240000000001</v>
      </c>
      <c r="M1091">
        <f t="shared" ref="M1091:M1154" si="17">SUM(J1091:L1091)</f>
        <v>204.0609</v>
      </c>
      <c r="N1091">
        <v>3500</v>
      </c>
      <c r="O1091">
        <v>0</v>
      </c>
      <c r="P1091">
        <v>0</v>
      </c>
      <c r="Q1091">
        <v>4800</v>
      </c>
    </row>
    <row r="1092" spans="1:17">
      <c r="A1092" t="s">
        <v>117</v>
      </c>
      <c r="B1092" t="s">
        <v>17</v>
      </c>
      <c r="C1092">
        <v>9</v>
      </c>
      <c r="D1092">
        <v>2022</v>
      </c>
      <c r="E1092" s="49" t="s">
        <v>155</v>
      </c>
      <c r="F1092" s="49" t="s">
        <v>163</v>
      </c>
      <c r="G1092">
        <f>'Feb to July, 2022'!W94+'Feb to July, 2022'!X94</f>
        <v>20</v>
      </c>
      <c r="H1092">
        <f>'Feb to July, 2022'!Y94</f>
        <v>0</v>
      </c>
      <c r="I1092">
        <f>'Feb to July, 2022'!Z94</f>
        <v>10</v>
      </c>
      <c r="J1092">
        <f>G1092*Parameters!$B$2*Parameters!$B$5</f>
        <v>42.581999999999994</v>
      </c>
      <c r="K1092">
        <f>H1092*Parameters!$B$3*Parameters!$B$6</f>
        <v>0</v>
      </c>
      <c r="L1092">
        <f>I1092*Parameters!$B$4*Parameters!$B$7</f>
        <v>80.963999999999999</v>
      </c>
      <c r="M1092">
        <f t="shared" si="17"/>
        <v>123.54599999999999</v>
      </c>
      <c r="N1092">
        <v>2000</v>
      </c>
      <c r="O1092">
        <v>0</v>
      </c>
      <c r="P1092">
        <v>0</v>
      </c>
      <c r="Q1092">
        <v>3000</v>
      </c>
    </row>
    <row r="1093" spans="1:17">
      <c r="A1093" t="s">
        <v>118</v>
      </c>
      <c r="B1093" t="s">
        <v>19</v>
      </c>
      <c r="C1093">
        <v>4</v>
      </c>
      <c r="D1093">
        <v>2022</v>
      </c>
      <c r="E1093" s="49" t="s">
        <v>155</v>
      </c>
      <c r="F1093" s="49" t="s">
        <v>163</v>
      </c>
      <c r="G1093">
        <f>'Feb to July, 2022'!W95+'Feb to July, 2022'!X95</f>
        <v>30</v>
      </c>
      <c r="H1093">
        <f>'Feb to July, 2022'!Y95</f>
        <v>0</v>
      </c>
      <c r="I1093">
        <f>'Feb to July, 2022'!Z95</f>
        <v>15</v>
      </c>
      <c r="J1093">
        <f>G1093*Parameters!$B$2*Parameters!$B$5</f>
        <v>63.87299999999999</v>
      </c>
      <c r="K1093">
        <f>H1093*Parameters!$B$3*Parameters!$B$6</f>
        <v>0</v>
      </c>
      <c r="L1093">
        <f>I1093*Parameters!$B$4*Parameters!$B$7</f>
        <v>121.44600000000001</v>
      </c>
      <c r="M1093">
        <f t="shared" si="17"/>
        <v>185.31900000000002</v>
      </c>
      <c r="N1093">
        <v>3000</v>
      </c>
      <c r="O1093">
        <v>0</v>
      </c>
      <c r="P1093">
        <v>0</v>
      </c>
      <c r="Q1093">
        <v>4500</v>
      </c>
    </row>
    <row r="1094" spans="1:17">
      <c r="A1094" t="s">
        <v>119</v>
      </c>
      <c r="B1094" t="s">
        <v>40</v>
      </c>
      <c r="C1094">
        <v>6</v>
      </c>
      <c r="D1094">
        <v>2022</v>
      </c>
      <c r="E1094" s="49" t="s">
        <v>155</v>
      </c>
      <c r="F1094" s="49" t="s">
        <v>163</v>
      </c>
      <c r="G1094">
        <f>'Feb to July, 2022'!W96+'Feb to July, 2022'!X96</f>
        <v>0</v>
      </c>
      <c r="H1094">
        <f>'Feb to July, 2022'!Y96</f>
        <v>0</v>
      </c>
      <c r="I1094">
        <f>'Feb to July, 2022'!Z96</f>
        <v>20</v>
      </c>
      <c r="J1094">
        <f>G1094*Parameters!$B$2*Parameters!$B$5</f>
        <v>0</v>
      </c>
      <c r="K1094">
        <f>H1094*Parameters!$B$3*Parameters!$B$6</f>
        <v>0</v>
      </c>
      <c r="L1094">
        <f>I1094*Parameters!$B$4*Parameters!$B$7</f>
        <v>161.928</v>
      </c>
      <c r="M1094">
        <f t="shared" si="17"/>
        <v>161.928</v>
      </c>
      <c r="N1094">
        <v>0</v>
      </c>
      <c r="O1094">
        <v>0</v>
      </c>
      <c r="P1094">
        <v>0</v>
      </c>
      <c r="Q1094">
        <v>6000</v>
      </c>
    </row>
    <row r="1095" spans="1:17">
      <c r="A1095" t="s">
        <v>120</v>
      </c>
      <c r="B1095" t="s">
        <v>32</v>
      </c>
      <c r="C1095">
        <v>8</v>
      </c>
      <c r="D1095">
        <v>2022</v>
      </c>
      <c r="E1095" s="49" t="s">
        <v>155</v>
      </c>
      <c r="F1095" s="49" t="s">
        <v>163</v>
      </c>
      <c r="G1095">
        <f>'Feb to July, 2022'!W97+'Feb to July, 2022'!X97</f>
        <v>35</v>
      </c>
      <c r="H1095">
        <f>'Feb to July, 2022'!Y97</f>
        <v>0</v>
      </c>
      <c r="I1095">
        <f>'Feb to July, 2022'!Z97</f>
        <v>0</v>
      </c>
      <c r="J1095">
        <f>G1095*Parameters!$B$2*Parameters!$B$5</f>
        <v>74.518499999999989</v>
      </c>
      <c r="K1095">
        <f>H1095*Parameters!$B$3*Parameters!$B$6</f>
        <v>0</v>
      </c>
      <c r="L1095">
        <f>I1095*Parameters!$B$4*Parameters!$B$7</f>
        <v>0</v>
      </c>
      <c r="M1095">
        <f t="shared" si="17"/>
        <v>74.518499999999989</v>
      </c>
      <c r="N1095">
        <v>3500</v>
      </c>
      <c r="O1095">
        <v>0</v>
      </c>
      <c r="P1095">
        <v>0</v>
      </c>
      <c r="Q1095">
        <v>0</v>
      </c>
    </row>
    <row r="1096" spans="1:17">
      <c r="A1096" t="s">
        <v>121</v>
      </c>
      <c r="B1096" t="s">
        <v>24</v>
      </c>
      <c r="C1096">
        <v>5</v>
      </c>
      <c r="D1096">
        <v>2022</v>
      </c>
      <c r="E1096" s="49" t="s">
        <v>155</v>
      </c>
      <c r="F1096" s="49" t="s">
        <v>163</v>
      </c>
      <c r="G1096">
        <f>'Feb to July, 2022'!W98+'Feb to July, 2022'!X98</f>
        <v>40</v>
      </c>
      <c r="H1096">
        <f>'Feb to July, 2022'!Y98</f>
        <v>0</v>
      </c>
      <c r="I1096">
        <f>'Feb to July, 2022'!Z98</f>
        <v>12</v>
      </c>
      <c r="J1096">
        <f>G1096*Parameters!$B$2*Parameters!$B$5</f>
        <v>85.163999999999987</v>
      </c>
      <c r="K1096">
        <f>H1096*Parameters!$B$3*Parameters!$B$6</f>
        <v>0</v>
      </c>
      <c r="L1096">
        <f>I1096*Parameters!$B$4*Parameters!$B$7</f>
        <v>97.156800000000018</v>
      </c>
      <c r="M1096">
        <f t="shared" si="17"/>
        <v>182.32080000000002</v>
      </c>
      <c r="N1096">
        <v>4000</v>
      </c>
      <c r="O1096">
        <v>0</v>
      </c>
      <c r="P1096">
        <v>0</v>
      </c>
      <c r="Q1096">
        <v>3600</v>
      </c>
    </row>
    <row r="1097" spans="1:17">
      <c r="A1097" t="s">
        <v>122</v>
      </c>
      <c r="B1097" t="s">
        <v>26</v>
      </c>
      <c r="C1097">
        <v>6</v>
      </c>
      <c r="D1097">
        <v>2022</v>
      </c>
      <c r="E1097" s="49" t="s">
        <v>155</v>
      </c>
      <c r="F1097" s="49" t="s">
        <v>163</v>
      </c>
      <c r="G1097">
        <f>'Feb to July, 2022'!W99+'Feb to July, 2022'!X99</f>
        <v>30</v>
      </c>
      <c r="H1097">
        <f>'Feb to July, 2022'!Y99</f>
        <v>0</v>
      </c>
      <c r="I1097">
        <f>'Feb to July, 2022'!Z99</f>
        <v>5</v>
      </c>
      <c r="J1097">
        <f>G1097*Parameters!$B$2*Parameters!$B$5</f>
        <v>63.87299999999999</v>
      </c>
      <c r="K1097">
        <f>H1097*Parameters!$B$3*Parameters!$B$6</f>
        <v>0</v>
      </c>
      <c r="L1097">
        <f>I1097*Parameters!$B$4*Parameters!$B$7</f>
        <v>40.481999999999999</v>
      </c>
      <c r="M1097">
        <f t="shared" si="17"/>
        <v>104.35499999999999</v>
      </c>
      <c r="N1097">
        <v>3000</v>
      </c>
      <c r="O1097">
        <v>0</v>
      </c>
      <c r="P1097">
        <v>0</v>
      </c>
      <c r="Q1097">
        <v>1500</v>
      </c>
    </row>
    <row r="1098" spans="1:17">
      <c r="A1098" t="s">
        <v>123</v>
      </c>
      <c r="B1098" t="s">
        <v>19</v>
      </c>
      <c r="C1098">
        <v>8</v>
      </c>
      <c r="D1098">
        <v>2022</v>
      </c>
      <c r="E1098" s="49" t="s">
        <v>155</v>
      </c>
      <c r="F1098" s="49" t="s">
        <v>163</v>
      </c>
      <c r="G1098">
        <f>'Feb to July, 2022'!W100+'Feb to July, 2022'!X100</f>
        <v>40</v>
      </c>
      <c r="H1098">
        <f>'Feb to July, 2022'!Y100</f>
        <v>0</v>
      </c>
      <c r="I1098">
        <f>'Feb to July, 2022'!Z100</f>
        <v>5</v>
      </c>
      <c r="J1098">
        <f>G1098*Parameters!$B$2*Parameters!$B$5</f>
        <v>85.163999999999987</v>
      </c>
      <c r="K1098">
        <f>H1098*Parameters!$B$3*Parameters!$B$6</f>
        <v>0</v>
      </c>
      <c r="L1098">
        <f>I1098*Parameters!$B$4*Parameters!$B$7</f>
        <v>40.481999999999999</v>
      </c>
      <c r="M1098">
        <f t="shared" si="17"/>
        <v>125.64599999999999</v>
      </c>
      <c r="N1098">
        <v>4000</v>
      </c>
      <c r="O1098">
        <v>0</v>
      </c>
      <c r="P1098">
        <v>0</v>
      </c>
      <c r="Q1098">
        <v>1500</v>
      </c>
    </row>
    <row r="1099" spans="1:17">
      <c r="A1099" t="s">
        <v>124</v>
      </c>
      <c r="B1099" t="s">
        <v>56</v>
      </c>
      <c r="C1099">
        <v>9</v>
      </c>
      <c r="D1099">
        <v>2022</v>
      </c>
      <c r="E1099" s="49" t="s">
        <v>155</v>
      </c>
      <c r="F1099" s="49" t="s">
        <v>163</v>
      </c>
      <c r="G1099">
        <f>'Feb to July, 2022'!W101+'Feb to July, 2022'!X101</f>
        <v>30</v>
      </c>
      <c r="H1099">
        <f>'Feb to July, 2022'!Y101</f>
        <v>0</v>
      </c>
      <c r="I1099">
        <f>'Feb to July, 2022'!Z101</f>
        <v>0</v>
      </c>
      <c r="J1099">
        <f>G1099*Parameters!$B$2*Parameters!$B$5</f>
        <v>63.87299999999999</v>
      </c>
      <c r="K1099">
        <f>H1099*Parameters!$B$3*Parameters!$B$6</f>
        <v>0</v>
      </c>
      <c r="L1099">
        <f>I1099*Parameters!$B$4*Parameters!$B$7</f>
        <v>0</v>
      </c>
      <c r="M1099">
        <f t="shared" si="17"/>
        <v>63.87299999999999</v>
      </c>
      <c r="N1099">
        <v>3000</v>
      </c>
      <c r="O1099">
        <v>0</v>
      </c>
      <c r="P1099">
        <v>0</v>
      </c>
      <c r="Q1099">
        <v>0</v>
      </c>
    </row>
    <row r="1100" spans="1:17">
      <c r="A1100" t="s">
        <v>125</v>
      </c>
      <c r="B1100" t="s">
        <v>65</v>
      </c>
      <c r="C1100">
        <v>7</v>
      </c>
      <c r="D1100">
        <v>2022</v>
      </c>
      <c r="E1100" s="49" t="s">
        <v>155</v>
      </c>
      <c r="F1100" s="49" t="s">
        <v>163</v>
      </c>
      <c r="G1100">
        <f>'Feb to July, 2022'!W102+'Feb to July, 2022'!X102</f>
        <v>20</v>
      </c>
      <c r="H1100">
        <f>'Feb to July, 2022'!Y102</f>
        <v>0</v>
      </c>
      <c r="I1100">
        <f>'Feb to July, 2022'!Z102</f>
        <v>14</v>
      </c>
      <c r="J1100">
        <f>G1100*Parameters!$B$2*Parameters!$B$5</f>
        <v>42.581999999999994</v>
      </c>
      <c r="K1100">
        <f>H1100*Parameters!$B$3*Parameters!$B$6</f>
        <v>0</v>
      </c>
      <c r="L1100">
        <f>I1100*Parameters!$B$4*Parameters!$B$7</f>
        <v>113.34960000000001</v>
      </c>
      <c r="M1100">
        <f t="shared" si="17"/>
        <v>155.9316</v>
      </c>
      <c r="N1100">
        <v>2000</v>
      </c>
      <c r="O1100">
        <v>0</v>
      </c>
      <c r="P1100">
        <v>0</v>
      </c>
      <c r="Q1100">
        <v>4200</v>
      </c>
    </row>
    <row r="1101" spans="1:17">
      <c r="A1101" t="s">
        <v>126</v>
      </c>
      <c r="B1101" t="s">
        <v>65</v>
      </c>
      <c r="C1101">
        <v>6</v>
      </c>
      <c r="D1101">
        <v>2022</v>
      </c>
      <c r="E1101" s="49" t="s">
        <v>155</v>
      </c>
      <c r="F1101" s="49" t="s">
        <v>163</v>
      </c>
      <c r="G1101">
        <f>'Feb to July, 2022'!W103+'Feb to July, 2022'!X103</f>
        <v>27</v>
      </c>
      <c r="H1101">
        <f>'Feb to July, 2022'!Y103</f>
        <v>0</v>
      </c>
      <c r="I1101">
        <f>'Feb to July, 2022'!Z103</f>
        <v>8</v>
      </c>
      <c r="J1101">
        <f>G1101*Parameters!$B$2*Parameters!$B$5</f>
        <v>57.485699999999994</v>
      </c>
      <c r="K1101">
        <f>H1101*Parameters!$B$3*Parameters!$B$6</f>
        <v>0</v>
      </c>
      <c r="L1101">
        <f>I1101*Parameters!$B$4*Parameters!$B$7</f>
        <v>64.771200000000007</v>
      </c>
      <c r="M1101">
        <f t="shared" si="17"/>
        <v>122.2569</v>
      </c>
      <c r="N1101">
        <v>2700</v>
      </c>
      <c r="O1101">
        <v>0</v>
      </c>
      <c r="P1101">
        <v>0</v>
      </c>
      <c r="Q1101">
        <v>2400</v>
      </c>
    </row>
    <row r="1102" spans="1:17">
      <c r="A1102" t="s">
        <v>16</v>
      </c>
      <c r="B1102" t="s">
        <v>17</v>
      </c>
      <c r="C1102">
        <v>8</v>
      </c>
      <c r="D1102">
        <v>2022</v>
      </c>
      <c r="E1102" s="49" t="s">
        <v>156</v>
      </c>
      <c r="F1102" s="49" t="s">
        <v>163</v>
      </c>
      <c r="G1102">
        <f>'Feb to July, 2022'!AE4+'Feb to July, 2022'!AF4</f>
        <v>55</v>
      </c>
      <c r="H1102">
        <f>'Feb to July, 2022'!AG4</f>
        <v>0</v>
      </c>
      <c r="I1102">
        <f>'Feb to July, 2022'!AH4</f>
        <v>6</v>
      </c>
      <c r="J1102">
        <f>G1102*Parameters!$B$2*Parameters!$B$5</f>
        <v>117.10049999999998</v>
      </c>
      <c r="K1102">
        <f>H1102*Parameters!$B$3*Parameters!$B$6</f>
        <v>0</v>
      </c>
      <c r="L1102">
        <f>I1102*Parameters!$B$4*Parameters!$B$7</f>
        <v>48.578400000000009</v>
      </c>
      <c r="M1102">
        <f t="shared" si="17"/>
        <v>165.6789</v>
      </c>
      <c r="N1102">
        <v>5500</v>
      </c>
      <c r="O1102">
        <v>0</v>
      </c>
      <c r="P1102">
        <v>0</v>
      </c>
      <c r="Q1102">
        <v>1800</v>
      </c>
    </row>
    <row r="1103" spans="1:17">
      <c r="A1103" t="s">
        <v>18</v>
      </c>
      <c r="B1103" t="s">
        <v>19</v>
      </c>
      <c r="C1103">
        <v>7</v>
      </c>
      <c r="D1103">
        <v>2022</v>
      </c>
      <c r="E1103" s="49" t="s">
        <v>156</v>
      </c>
      <c r="F1103" s="49" t="s">
        <v>163</v>
      </c>
      <c r="G1103">
        <f>'Feb to July, 2022'!AE5+'Feb to July, 2022'!AF5</f>
        <v>40</v>
      </c>
      <c r="H1103">
        <f>'Feb to July, 2022'!AG5</f>
        <v>0</v>
      </c>
      <c r="I1103">
        <f>'Feb to July, 2022'!AH5</f>
        <v>10</v>
      </c>
      <c r="J1103">
        <f>G1103*Parameters!$B$2*Parameters!$B$5</f>
        <v>85.163999999999987</v>
      </c>
      <c r="K1103">
        <f>H1103*Parameters!$B$3*Parameters!$B$6</f>
        <v>0</v>
      </c>
      <c r="L1103">
        <f>I1103*Parameters!$B$4*Parameters!$B$7</f>
        <v>80.963999999999999</v>
      </c>
      <c r="M1103">
        <f t="shared" si="17"/>
        <v>166.12799999999999</v>
      </c>
      <c r="N1103">
        <v>4000</v>
      </c>
      <c r="O1103">
        <v>0</v>
      </c>
      <c r="P1103">
        <v>0</v>
      </c>
      <c r="Q1103">
        <v>3000</v>
      </c>
    </row>
    <row r="1104" spans="1:17">
      <c r="A1104" t="s">
        <v>20</v>
      </c>
      <c r="B1104" t="s">
        <v>21</v>
      </c>
      <c r="C1104">
        <v>10</v>
      </c>
      <c r="D1104">
        <v>2022</v>
      </c>
      <c r="E1104" s="49" t="s">
        <v>156</v>
      </c>
      <c r="F1104" s="49" t="s">
        <v>163</v>
      </c>
      <c r="G1104">
        <f>'Feb to July, 2022'!AE6+'Feb to July, 2022'!AF6</f>
        <v>37</v>
      </c>
      <c r="H1104">
        <f>'Feb to July, 2022'!AG6</f>
        <v>0</v>
      </c>
      <c r="I1104">
        <f>'Feb to July, 2022'!AH6</f>
        <v>15</v>
      </c>
      <c r="J1104">
        <f>G1104*Parameters!$B$2*Parameters!$B$5</f>
        <v>78.776699999999977</v>
      </c>
      <c r="K1104">
        <f>H1104*Parameters!$B$3*Parameters!$B$6</f>
        <v>0</v>
      </c>
      <c r="L1104">
        <f>I1104*Parameters!$B$4*Parameters!$B$7</f>
        <v>121.44600000000001</v>
      </c>
      <c r="M1104">
        <f t="shared" si="17"/>
        <v>200.22269999999997</v>
      </c>
      <c r="N1104">
        <v>3700</v>
      </c>
      <c r="O1104">
        <v>0</v>
      </c>
      <c r="P1104">
        <v>0</v>
      </c>
      <c r="Q1104">
        <v>4500</v>
      </c>
    </row>
    <row r="1105" spans="1:17">
      <c r="A1105" t="s">
        <v>22</v>
      </c>
      <c r="B1105" t="s">
        <v>19</v>
      </c>
      <c r="C1105">
        <v>7</v>
      </c>
      <c r="D1105">
        <v>2022</v>
      </c>
      <c r="E1105" s="49" t="s">
        <v>156</v>
      </c>
      <c r="F1105" s="49" t="s">
        <v>163</v>
      </c>
      <c r="G1105">
        <f>'Feb to July, 2022'!AE7+'Feb to July, 2022'!AF7</f>
        <v>35</v>
      </c>
      <c r="H1105">
        <f>'Feb to July, 2022'!AG7</f>
        <v>0</v>
      </c>
      <c r="I1105">
        <f>'Feb to July, 2022'!AH7</f>
        <v>12</v>
      </c>
      <c r="J1105">
        <f>G1105*Parameters!$B$2*Parameters!$B$5</f>
        <v>74.518499999999989</v>
      </c>
      <c r="K1105">
        <f>H1105*Parameters!$B$3*Parameters!$B$6</f>
        <v>0</v>
      </c>
      <c r="L1105">
        <f>I1105*Parameters!$B$4*Parameters!$B$7</f>
        <v>97.156800000000018</v>
      </c>
      <c r="M1105">
        <f t="shared" si="17"/>
        <v>171.67529999999999</v>
      </c>
      <c r="N1105">
        <v>3500</v>
      </c>
      <c r="O1105">
        <v>0</v>
      </c>
      <c r="P1105">
        <v>0</v>
      </c>
      <c r="Q1105">
        <v>3600</v>
      </c>
    </row>
    <row r="1106" spans="1:17">
      <c r="A1106" t="s">
        <v>23</v>
      </c>
      <c r="B1106" t="s">
        <v>24</v>
      </c>
      <c r="C1106">
        <v>4</v>
      </c>
      <c r="D1106">
        <v>2022</v>
      </c>
      <c r="E1106" s="49" t="s">
        <v>156</v>
      </c>
      <c r="F1106" s="49" t="s">
        <v>163</v>
      </c>
      <c r="G1106">
        <f>'Feb to July, 2022'!AE8+'Feb to July, 2022'!AF8</f>
        <v>45</v>
      </c>
      <c r="H1106">
        <f>'Feb to July, 2022'!AG8</f>
        <v>0</v>
      </c>
      <c r="I1106">
        <f>'Feb to July, 2022'!AH8</f>
        <v>5</v>
      </c>
      <c r="J1106">
        <f>G1106*Parameters!$B$2*Parameters!$B$5</f>
        <v>95.809499999999986</v>
      </c>
      <c r="K1106">
        <f>H1106*Parameters!$B$3*Parameters!$B$6</f>
        <v>0</v>
      </c>
      <c r="L1106">
        <f>I1106*Parameters!$B$4*Parameters!$B$7</f>
        <v>40.481999999999999</v>
      </c>
      <c r="M1106">
        <f t="shared" si="17"/>
        <v>136.29149999999998</v>
      </c>
      <c r="N1106">
        <v>4500</v>
      </c>
      <c r="O1106">
        <v>0</v>
      </c>
      <c r="P1106">
        <v>0</v>
      </c>
      <c r="Q1106">
        <v>1500</v>
      </c>
    </row>
    <row r="1107" spans="1:17">
      <c r="A1107" t="s">
        <v>25</v>
      </c>
      <c r="B1107" t="s">
        <v>26</v>
      </c>
      <c r="C1107">
        <v>3</v>
      </c>
      <c r="D1107">
        <v>2022</v>
      </c>
      <c r="E1107" s="49" t="s">
        <v>156</v>
      </c>
      <c r="F1107" s="49" t="s">
        <v>163</v>
      </c>
      <c r="G1107">
        <f>'Feb to July, 2022'!AE9+'Feb to July, 2022'!AF9</f>
        <v>42</v>
      </c>
      <c r="H1107">
        <f>'Feb to July, 2022'!AG9</f>
        <v>0</v>
      </c>
      <c r="I1107">
        <f>'Feb to July, 2022'!AH9</f>
        <v>8</v>
      </c>
      <c r="J1107">
        <f>G1107*Parameters!$B$2*Parameters!$B$5</f>
        <v>89.422199999999975</v>
      </c>
      <c r="K1107">
        <f>H1107*Parameters!$B$3*Parameters!$B$6</f>
        <v>0</v>
      </c>
      <c r="L1107">
        <f>I1107*Parameters!$B$4*Parameters!$B$7</f>
        <v>64.771200000000007</v>
      </c>
      <c r="M1107">
        <f t="shared" si="17"/>
        <v>154.1934</v>
      </c>
      <c r="N1107">
        <v>4200</v>
      </c>
      <c r="O1107">
        <v>0</v>
      </c>
      <c r="P1107">
        <v>0</v>
      </c>
      <c r="Q1107">
        <v>2400</v>
      </c>
    </row>
    <row r="1108" spans="1:17">
      <c r="A1108" t="s">
        <v>27</v>
      </c>
      <c r="B1108" t="s">
        <v>21</v>
      </c>
      <c r="C1108">
        <v>6</v>
      </c>
      <c r="D1108">
        <v>2022</v>
      </c>
      <c r="E1108" s="49" t="s">
        <v>156</v>
      </c>
      <c r="F1108" s="49" t="s">
        <v>163</v>
      </c>
      <c r="G1108">
        <f>'Feb to July, 2022'!AE10+'Feb to July, 2022'!AF10</f>
        <v>55</v>
      </c>
      <c r="H1108">
        <f>'Feb to July, 2022'!AG10</f>
        <v>0</v>
      </c>
      <c r="I1108">
        <f>'Feb to July, 2022'!AH10</f>
        <v>15</v>
      </c>
      <c r="J1108">
        <f>G1108*Parameters!$B$2*Parameters!$B$5</f>
        <v>117.10049999999998</v>
      </c>
      <c r="K1108">
        <f>H1108*Parameters!$B$3*Parameters!$B$6</f>
        <v>0</v>
      </c>
      <c r="L1108">
        <f>I1108*Parameters!$B$4*Parameters!$B$7</f>
        <v>121.44600000000001</v>
      </c>
      <c r="M1108">
        <f t="shared" si="17"/>
        <v>238.54649999999998</v>
      </c>
      <c r="N1108">
        <v>5500</v>
      </c>
      <c r="O1108">
        <v>0</v>
      </c>
      <c r="P1108">
        <v>0</v>
      </c>
      <c r="Q1108">
        <v>4500</v>
      </c>
    </row>
    <row r="1109" spans="1:17">
      <c r="A1109" t="s">
        <v>28</v>
      </c>
      <c r="B1109" t="s">
        <v>19</v>
      </c>
      <c r="C1109">
        <v>9</v>
      </c>
      <c r="D1109">
        <v>2022</v>
      </c>
      <c r="E1109" s="49" t="s">
        <v>156</v>
      </c>
      <c r="F1109" s="49" t="s">
        <v>163</v>
      </c>
      <c r="G1109">
        <f>'Feb to July, 2022'!AE11+'Feb to July, 2022'!AF11</f>
        <v>50</v>
      </c>
      <c r="H1109">
        <f>'Feb to July, 2022'!AG11</f>
        <v>0</v>
      </c>
      <c r="I1109">
        <f>'Feb to July, 2022'!AH11</f>
        <v>10</v>
      </c>
      <c r="J1109">
        <f>G1109*Parameters!$B$2*Parameters!$B$5</f>
        <v>106.45499999999998</v>
      </c>
      <c r="K1109">
        <f>H1109*Parameters!$B$3*Parameters!$B$6</f>
        <v>0</v>
      </c>
      <c r="L1109">
        <f>I1109*Parameters!$B$4*Parameters!$B$7</f>
        <v>80.963999999999999</v>
      </c>
      <c r="M1109">
        <f t="shared" si="17"/>
        <v>187.41899999999998</v>
      </c>
      <c r="N1109">
        <v>5000</v>
      </c>
      <c r="O1109">
        <v>0</v>
      </c>
      <c r="P1109">
        <v>0</v>
      </c>
      <c r="Q1109">
        <v>3000</v>
      </c>
    </row>
    <row r="1110" spans="1:17">
      <c r="A1110" t="s">
        <v>29</v>
      </c>
      <c r="B1110" t="s">
        <v>24</v>
      </c>
      <c r="C1110">
        <v>4</v>
      </c>
      <c r="D1110">
        <v>2022</v>
      </c>
      <c r="E1110" s="49" t="s">
        <v>156</v>
      </c>
      <c r="F1110" s="49" t="s">
        <v>163</v>
      </c>
      <c r="G1110">
        <f>'Feb to July, 2022'!AE12+'Feb to July, 2022'!AF12</f>
        <v>38</v>
      </c>
      <c r="H1110">
        <f>'Feb to July, 2022'!AG12</f>
        <v>0</v>
      </c>
      <c r="I1110">
        <f>'Feb to July, 2022'!AH12</f>
        <v>10</v>
      </c>
      <c r="J1110">
        <f>G1110*Parameters!$B$2*Parameters!$B$5</f>
        <v>80.905799999999985</v>
      </c>
      <c r="K1110">
        <f>H1110*Parameters!$B$3*Parameters!$B$6</f>
        <v>0</v>
      </c>
      <c r="L1110">
        <f>I1110*Parameters!$B$4*Parameters!$B$7</f>
        <v>80.963999999999999</v>
      </c>
      <c r="M1110">
        <f t="shared" si="17"/>
        <v>161.8698</v>
      </c>
      <c r="N1110">
        <v>3800</v>
      </c>
      <c r="O1110">
        <v>0</v>
      </c>
      <c r="P1110">
        <v>0</v>
      </c>
      <c r="Q1110">
        <v>3000</v>
      </c>
    </row>
    <row r="1111" spans="1:17">
      <c r="A1111" t="s">
        <v>30</v>
      </c>
      <c r="B1111" t="s">
        <v>21</v>
      </c>
      <c r="C1111">
        <v>6</v>
      </c>
      <c r="D1111">
        <v>2022</v>
      </c>
      <c r="E1111" s="49" t="s">
        <v>156</v>
      </c>
      <c r="F1111" s="49" t="s">
        <v>163</v>
      </c>
      <c r="G1111">
        <f>'Feb to July, 2022'!AE13+'Feb to July, 2022'!AF13</f>
        <v>25</v>
      </c>
      <c r="H1111">
        <f>'Feb to July, 2022'!AG13</f>
        <v>0</v>
      </c>
      <c r="I1111">
        <f>'Feb to July, 2022'!AH13</f>
        <v>15</v>
      </c>
      <c r="J1111">
        <f>G1111*Parameters!$B$2*Parameters!$B$5</f>
        <v>53.227499999999992</v>
      </c>
      <c r="K1111">
        <f>H1111*Parameters!$B$3*Parameters!$B$6</f>
        <v>0</v>
      </c>
      <c r="L1111">
        <f>I1111*Parameters!$B$4*Parameters!$B$7</f>
        <v>121.44600000000001</v>
      </c>
      <c r="M1111">
        <f t="shared" si="17"/>
        <v>174.67349999999999</v>
      </c>
      <c r="N1111">
        <v>2500</v>
      </c>
      <c r="O1111">
        <v>0</v>
      </c>
      <c r="P1111">
        <v>0</v>
      </c>
      <c r="Q1111">
        <v>4500</v>
      </c>
    </row>
    <row r="1112" spans="1:17">
      <c r="A1112" t="s">
        <v>31</v>
      </c>
      <c r="B1112" t="s">
        <v>32</v>
      </c>
      <c r="C1112">
        <v>4</v>
      </c>
      <c r="D1112">
        <v>2022</v>
      </c>
      <c r="E1112" s="49" t="s">
        <v>156</v>
      </c>
      <c r="F1112" s="49" t="s">
        <v>163</v>
      </c>
      <c r="G1112">
        <f>'Feb to July, 2022'!AE14+'Feb to July, 2022'!AF14</f>
        <v>45</v>
      </c>
      <c r="H1112">
        <f>'Feb to July, 2022'!AG14</f>
        <v>0</v>
      </c>
      <c r="I1112">
        <f>'Feb to July, 2022'!AH14</f>
        <v>15</v>
      </c>
      <c r="J1112">
        <f>G1112*Parameters!$B$2*Parameters!$B$5</f>
        <v>95.809499999999986</v>
      </c>
      <c r="K1112">
        <f>H1112*Parameters!$B$3*Parameters!$B$6</f>
        <v>0</v>
      </c>
      <c r="L1112">
        <f>I1112*Parameters!$B$4*Parameters!$B$7</f>
        <v>121.44600000000001</v>
      </c>
      <c r="M1112">
        <f t="shared" si="17"/>
        <v>217.25549999999998</v>
      </c>
      <c r="N1112">
        <v>4500</v>
      </c>
      <c r="O1112">
        <v>0</v>
      </c>
      <c r="P1112">
        <v>0</v>
      </c>
      <c r="Q1112">
        <v>4500</v>
      </c>
    </row>
    <row r="1113" spans="1:17">
      <c r="A1113" t="s">
        <v>33</v>
      </c>
      <c r="B1113" t="s">
        <v>32</v>
      </c>
      <c r="C1113">
        <v>6</v>
      </c>
      <c r="D1113">
        <v>2022</v>
      </c>
      <c r="E1113" s="49" t="s">
        <v>156</v>
      </c>
      <c r="F1113" s="49" t="s">
        <v>163</v>
      </c>
      <c r="G1113">
        <f>'Feb to July, 2022'!AE15+'Feb to July, 2022'!AF15</f>
        <v>40</v>
      </c>
      <c r="H1113">
        <f>'Feb to July, 2022'!AG15</f>
        <v>0</v>
      </c>
      <c r="I1113">
        <f>'Feb to July, 2022'!AH15</f>
        <v>20</v>
      </c>
      <c r="J1113">
        <f>G1113*Parameters!$B$2*Parameters!$B$5</f>
        <v>85.163999999999987</v>
      </c>
      <c r="K1113">
        <f>H1113*Parameters!$B$3*Parameters!$B$6</f>
        <v>0</v>
      </c>
      <c r="L1113">
        <f>I1113*Parameters!$B$4*Parameters!$B$7</f>
        <v>161.928</v>
      </c>
      <c r="M1113">
        <f t="shared" si="17"/>
        <v>247.09199999999998</v>
      </c>
      <c r="N1113">
        <v>0</v>
      </c>
      <c r="O1113">
        <v>4000</v>
      </c>
      <c r="P1113">
        <v>0</v>
      </c>
      <c r="Q1113">
        <v>6000</v>
      </c>
    </row>
    <row r="1114" spans="1:17">
      <c r="A1114" t="s">
        <v>34</v>
      </c>
      <c r="B1114" t="s">
        <v>21</v>
      </c>
      <c r="C1114">
        <v>9</v>
      </c>
      <c r="D1114">
        <v>2022</v>
      </c>
      <c r="E1114" s="49" t="s">
        <v>156</v>
      </c>
      <c r="F1114" s="49" t="s">
        <v>163</v>
      </c>
      <c r="G1114">
        <f>'Feb to July, 2022'!AE16+'Feb to July, 2022'!AF16</f>
        <v>30</v>
      </c>
      <c r="H1114">
        <f>'Feb to July, 2022'!AG16</f>
        <v>0</v>
      </c>
      <c r="I1114">
        <f>'Feb to July, 2022'!AH16</f>
        <v>10</v>
      </c>
      <c r="J1114">
        <f>G1114*Parameters!$B$2*Parameters!$B$5</f>
        <v>63.87299999999999</v>
      </c>
      <c r="K1114">
        <f>H1114*Parameters!$B$3*Parameters!$B$6</f>
        <v>0</v>
      </c>
      <c r="L1114">
        <f>I1114*Parameters!$B$4*Parameters!$B$7</f>
        <v>80.963999999999999</v>
      </c>
      <c r="M1114">
        <f t="shared" si="17"/>
        <v>144.83699999999999</v>
      </c>
      <c r="N1114">
        <v>3000</v>
      </c>
      <c r="O1114">
        <v>0</v>
      </c>
      <c r="P1114">
        <v>0</v>
      </c>
      <c r="Q1114">
        <v>3000</v>
      </c>
    </row>
    <row r="1115" spans="1:17">
      <c r="A1115" t="s">
        <v>35</v>
      </c>
      <c r="B1115" t="s">
        <v>21</v>
      </c>
      <c r="C1115">
        <v>6</v>
      </c>
      <c r="D1115">
        <v>2022</v>
      </c>
      <c r="E1115" s="49" t="s">
        <v>156</v>
      </c>
      <c r="F1115" s="49" t="s">
        <v>163</v>
      </c>
      <c r="G1115">
        <f>'Feb to July, 2022'!AE17+'Feb to July, 2022'!AF17</f>
        <v>30</v>
      </c>
      <c r="H1115">
        <f>'Feb to July, 2022'!AG17</f>
        <v>0</v>
      </c>
      <c r="I1115">
        <f>'Feb to July, 2022'!AH17</f>
        <v>10</v>
      </c>
      <c r="J1115">
        <f>G1115*Parameters!$B$2*Parameters!$B$5</f>
        <v>63.87299999999999</v>
      </c>
      <c r="K1115">
        <f>H1115*Parameters!$B$3*Parameters!$B$6</f>
        <v>0</v>
      </c>
      <c r="L1115">
        <f>I1115*Parameters!$B$4*Parameters!$B$7</f>
        <v>80.963999999999999</v>
      </c>
      <c r="M1115">
        <f t="shared" si="17"/>
        <v>144.83699999999999</v>
      </c>
      <c r="N1115">
        <v>3000</v>
      </c>
      <c r="O1115">
        <v>0</v>
      </c>
      <c r="P1115">
        <v>0</v>
      </c>
      <c r="Q1115">
        <v>3000</v>
      </c>
    </row>
    <row r="1116" spans="1:17">
      <c r="A1116" t="s">
        <v>36</v>
      </c>
      <c r="B1116" t="s">
        <v>21</v>
      </c>
      <c r="C1116">
        <v>12</v>
      </c>
      <c r="D1116">
        <v>2022</v>
      </c>
      <c r="E1116" s="49" t="s">
        <v>156</v>
      </c>
      <c r="F1116" s="49" t="s">
        <v>163</v>
      </c>
      <c r="G1116">
        <f>'Feb to July, 2022'!AE18+'Feb to July, 2022'!AF18</f>
        <v>30</v>
      </c>
      <c r="H1116">
        <f>'Feb to July, 2022'!AG18</f>
        <v>0</v>
      </c>
      <c r="I1116">
        <f>'Feb to July, 2022'!AH18</f>
        <v>15</v>
      </c>
      <c r="J1116">
        <f>G1116*Parameters!$B$2*Parameters!$B$5</f>
        <v>63.87299999999999</v>
      </c>
      <c r="K1116">
        <f>H1116*Parameters!$B$3*Parameters!$B$6</f>
        <v>0</v>
      </c>
      <c r="L1116">
        <f>I1116*Parameters!$B$4*Parameters!$B$7</f>
        <v>121.44600000000001</v>
      </c>
      <c r="M1116">
        <f t="shared" si="17"/>
        <v>185.31900000000002</v>
      </c>
      <c r="N1116">
        <v>3000</v>
      </c>
      <c r="O1116">
        <v>0</v>
      </c>
      <c r="P1116">
        <v>0</v>
      </c>
      <c r="Q1116">
        <v>4500</v>
      </c>
    </row>
    <row r="1117" spans="1:17">
      <c r="A1117" t="s">
        <v>37</v>
      </c>
      <c r="B1117" t="s">
        <v>38</v>
      </c>
      <c r="C1117">
        <v>7</v>
      </c>
      <c r="D1117">
        <v>2022</v>
      </c>
      <c r="E1117" s="49" t="s">
        <v>156</v>
      </c>
      <c r="F1117" s="49" t="s">
        <v>163</v>
      </c>
      <c r="G1117">
        <f>'Feb to July, 2022'!AE19+'Feb to July, 2022'!AF19</f>
        <v>25</v>
      </c>
      <c r="H1117">
        <f>'Feb to July, 2022'!AG19</f>
        <v>0</v>
      </c>
      <c r="I1117">
        <f>'Feb to July, 2022'!AH19</f>
        <v>12</v>
      </c>
      <c r="J1117">
        <f>G1117*Parameters!$B$2*Parameters!$B$5</f>
        <v>53.227499999999992</v>
      </c>
      <c r="K1117">
        <f>H1117*Parameters!$B$3*Parameters!$B$6</f>
        <v>0</v>
      </c>
      <c r="L1117">
        <f>I1117*Parameters!$B$4*Parameters!$B$7</f>
        <v>97.156800000000018</v>
      </c>
      <c r="M1117">
        <f t="shared" si="17"/>
        <v>150.3843</v>
      </c>
      <c r="N1117">
        <v>2500</v>
      </c>
      <c r="O1117">
        <v>0</v>
      </c>
      <c r="P1117">
        <v>0</v>
      </c>
      <c r="Q1117">
        <v>3600</v>
      </c>
    </row>
    <row r="1118" spans="1:17">
      <c r="A1118" t="s">
        <v>39</v>
      </c>
      <c r="B1118" t="s">
        <v>40</v>
      </c>
      <c r="C1118">
        <v>6</v>
      </c>
      <c r="D1118">
        <v>2022</v>
      </c>
      <c r="E1118" s="49" t="s">
        <v>156</v>
      </c>
      <c r="F1118" s="49" t="s">
        <v>163</v>
      </c>
      <c r="G1118">
        <f>'Feb to July, 2022'!AE20+'Feb to July, 2022'!AF20</f>
        <v>60</v>
      </c>
      <c r="H1118">
        <f>'Feb to July, 2022'!AG20</f>
        <v>0</v>
      </c>
      <c r="I1118">
        <f>'Feb to July, 2022'!AH20</f>
        <v>0</v>
      </c>
      <c r="J1118">
        <f>G1118*Parameters!$B$2*Parameters!$B$5</f>
        <v>127.74599999999998</v>
      </c>
      <c r="K1118">
        <f>H1118*Parameters!$B$3*Parameters!$B$6</f>
        <v>0</v>
      </c>
      <c r="L1118">
        <f>I1118*Parameters!$B$4*Parameters!$B$7</f>
        <v>0</v>
      </c>
      <c r="M1118">
        <f t="shared" si="17"/>
        <v>127.74599999999998</v>
      </c>
      <c r="N1118">
        <v>4500</v>
      </c>
      <c r="O1118">
        <v>1500</v>
      </c>
      <c r="P1118">
        <v>0</v>
      </c>
      <c r="Q1118">
        <v>0</v>
      </c>
    </row>
    <row r="1119" spans="1:17">
      <c r="A1119" t="s">
        <v>41</v>
      </c>
      <c r="B1119" t="s">
        <v>26</v>
      </c>
      <c r="C1119">
        <v>5</v>
      </c>
      <c r="D1119">
        <v>2022</v>
      </c>
      <c r="E1119" s="49" t="s">
        <v>156</v>
      </c>
      <c r="F1119" s="49" t="s">
        <v>163</v>
      </c>
      <c r="G1119">
        <f>'Feb to July, 2022'!AE21+'Feb to July, 2022'!AF21</f>
        <v>33</v>
      </c>
      <c r="H1119">
        <f>'Feb to July, 2022'!AG21</f>
        <v>0</v>
      </c>
      <c r="I1119">
        <f>'Feb to July, 2022'!AH21</f>
        <v>10</v>
      </c>
      <c r="J1119">
        <f>G1119*Parameters!$B$2*Parameters!$B$5</f>
        <v>70.260300000000001</v>
      </c>
      <c r="K1119">
        <f>H1119*Parameters!$B$3*Parameters!$B$6</f>
        <v>0</v>
      </c>
      <c r="L1119">
        <f>I1119*Parameters!$B$4*Parameters!$B$7</f>
        <v>80.963999999999999</v>
      </c>
      <c r="M1119">
        <f t="shared" si="17"/>
        <v>151.2243</v>
      </c>
      <c r="N1119">
        <v>3300</v>
      </c>
      <c r="O1119">
        <v>0</v>
      </c>
      <c r="P1119">
        <v>0</v>
      </c>
      <c r="Q1119">
        <v>3000</v>
      </c>
    </row>
    <row r="1120" spans="1:17">
      <c r="A1120" t="s">
        <v>42</v>
      </c>
      <c r="B1120" t="s">
        <v>24</v>
      </c>
      <c r="C1120">
        <v>5</v>
      </c>
      <c r="D1120">
        <v>2022</v>
      </c>
      <c r="E1120" s="49" t="s">
        <v>156</v>
      </c>
      <c r="F1120" s="49" t="s">
        <v>163</v>
      </c>
      <c r="G1120">
        <f>'Feb to July, 2022'!AE22+'Feb to July, 2022'!AF22</f>
        <v>35</v>
      </c>
      <c r="H1120">
        <f>'Feb to July, 2022'!AG22</f>
        <v>0</v>
      </c>
      <c r="I1120">
        <f>'Feb to July, 2022'!AH22</f>
        <v>10</v>
      </c>
      <c r="J1120">
        <f>G1120*Parameters!$B$2*Parameters!$B$5</f>
        <v>74.518499999999989</v>
      </c>
      <c r="K1120">
        <f>H1120*Parameters!$B$3*Parameters!$B$6</f>
        <v>0</v>
      </c>
      <c r="L1120">
        <f>I1120*Parameters!$B$4*Parameters!$B$7</f>
        <v>80.963999999999999</v>
      </c>
      <c r="M1120">
        <f t="shared" si="17"/>
        <v>155.48249999999999</v>
      </c>
      <c r="N1120">
        <v>3500</v>
      </c>
      <c r="O1120">
        <v>0</v>
      </c>
      <c r="P1120">
        <v>0</v>
      </c>
      <c r="Q1120">
        <v>3000</v>
      </c>
    </row>
    <row r="1121" spans="1:17">
      <c r="A1121" t="s">
        <v>43</v>
      </c>
      <c r="B1121" t="s">
        <v>19</v>
      </c>
      <c r="C1121">
        <v>8</v>
      </c>
      <c r="D1121">
        <v>2022</v>
      </c>
      <c r="E1121" s="49" t="s">
        <v>156</v>
      </c>
      <c r="F1121" s="49" t="s">
        <v>163</v>
      </c>
      <c r="G1121">
        <f>'Feb to July, 2022'!AE23+'Feb to July, 2022'!AF23</f>
        <v>40</v>
      </c>
      <c r="H1121">
        <f>'Feb to July, 2022'!AG23</f>
        <v>0</v>
      </c>
      <c r="I1121">
        <f>'Feb to July, 2022'!AH23</f>
        <v>12</v>
      </c>
      <c r="J1121">
        <f>G1121*Parameters!$B$2*Parameters!$B$5</f>
        <v>85.163999999999987</v>
      </c>
      <c r="K1121">
        <f>H1121*Parameters!$B$3*Parameters!$B$6</f>
        <v>0</v>
      </c>
      <c r="L1121">
        <f>I1121*Parameters!$B$4*Parameters!$B$7</f>
        <v>97.156800000000018</v>
      </c>
      <c r="M1121">
        <f t="shared" si="17"/>
        <v>182.32080000000002</v>
      </c>
      <c r="N1121">
        <v>4000</v>
      </c>
      <c r="O1121">
        <v>0</v>
      </c>
      <c r="P1121">
        <v>0</v>
      </c>
      <c r="Q1121">
        <v>3600</v>
      </c>
    </row>
    <row r="1122" spans="1:17">
      <c r="A1122" t="s">
        <v>44</v>
      </c>
      <c r="B1122" t="s">
        <v>40</v>
      </c>
      <c r="C1122">
        <v>10</v>
      </c>
      <c r="D1122">
        <v>2022</v>
      </c>
      <c r="E1122" s="49" t="s">
        <v>156</v>
      </c>
      <c r="F1122" s="49" t="s">
        <v>163</v>
      </c>
      <c r="G1122">
        <f>'Feb to July, 2022'!AE24+'Feb to July, 2022'!AF24</f>
        <v>30</v>
      </c>
      <c r="H1122">
        <f>'Feb to July, 2022'!AG24</f>
        <v>0</v>
      </c>
      <c r="I1122">
        <f>'Feb to July, 2022'!AH24</f>
        <v>15</v>
      </c>
      <c r="J1122">
        <f>G1122*Parameters!$B$2*Parameters!$B$5</f>
        <v>63.87299999999999</v>
      </c>
      <c r="K1122">
        <f>H1122*Parameters!$B$3*Parameters!$B$6</f>
        <v>0</v>
      </c>
      <c r="L1122">
        <f>I1122*Parameters!$B$4*Parameters!$B$7</f>
        <v>121.44600000000001</v>
      </c>
      <c r="M1122">
        <f t="shared" si="17"/>
        <v>185.31900000000002</v>
      </c>
      <c r="N1122">
        <v>3000</v>
      </c>
      <c r="O1122">
        <v>0</v>
      </c>
      <c r="P1122">
        <v>0</v>
      </c>
      <c r="Q1122">
        <v>4500</v>
      </c>
    </row>
    <row r="1123" spans="1:17">
      <c r="A1123" t="s">
        <v>45</v>
      </c>
      <c r="B1123" t="s">
        <v>24</v>
      </c>
      <c r="C1123">
        <v>8</v>
      </c>
      <c r="D1123">
        <v>2022</v>
      </c>
      <c r="E1123" s="49" t="s">
        <v>156</v>
      </c>
      <c r="F1123" s="49" t="s">
        <v>163</v>
      </c>
      <c r="G1123">
        <f>'Feb to July, 2022'!AE25+'Feb to July, 2022'!AF25</f>
        <v>35</v>
      </c>
      <c r="H1123">
        <f>'Feb to July, 2022'!AG25</f>
        <v>0</v>
      </c>
      <c r="I1123">
        <f>'Feb to July, 2022'!AH25</f>
        <v>10</v>
      </c>
      <c r="J1123">
        <f>G1123*Parameters!$B$2*Parameters!$B$5</f>
        <v>74.518499999999989</v>
      </c>
      <c r="K1123">
        <f>H1123*Parameters!$B$3*Parameters!$B$6</f>
        <v>0</v>
      </c>
      <c r="L1123">
        <f>I1123*Parameters!$B$4*Parameters!$B$7</f>
        <v>80.963999999999999</v>
      </c>
      <c r="M1123">
        <f t="shared" si="17"/>
        <v>155.48249999999999</v>
      </c>
      <c r="N1123">
        <v>3500</v>
      </c>
      <c r="O1123">
        <v>0</v>
      </c>
      <c r="P1123">
        <v>0</v>
      </c>
      <c r="Q1123">
        <v>3000</v>
      </c>
    </row>
    <row r="1124" spans="1:17">
      <c r="A1124" t="s">
        <v>46</v>
      </c>
      <c r="B1124" t="s">
        <v>24</v>
      </c>
      <c r="C1124">
        <v>4</v>
      </c>
      <c r="D1124">
        <v>2022</v>
      </c>
      <c r="E1124" s="49" t="s">
        <v>156</v>
      </c>
      <c r="F1124" s="49" t="s">
        <v>163</v>
      </c>
      <c r="G1124">
        <f>'Feb to July, 2022'!AE26+'Feb to July, 2022'!AF26</f>
        <v>25</v>
      </c>
      <c r="H1124">
        <f>'Feb to July, 2022'!AG26</f>
        <v>0</v>
      </c>
      <c r="I1124">
        <f>'Feb to July, 2022'!AH26</f>
        <v>10</v>
      </c>
      <c r="J1124">
        <f>G1124*Parameters!$B$2*Parameters!$B$5</f>
        <v>53.227499999999992</v>
      </c>
      <c r="K1124">
        <f>H1124*Parameters!$B$3*Parameters!$B$6</f>
        <v>0</v>
      </c>
      <c r="L1124">
        <f>I1124*Parameters!$B$4*Parameters!$B$7</f>
        <v>80.963999999999999</v>
      </c>
      <c r="M1124">
        <f t="shared" si="17"/>
        <v>134.19149999999999</v>
      </c>
      <c r="N1124">
        <v>2500</v>
      </c>
      <c r="O1124">
        <v>0</v>
      </c>
      <c r="P1124">
        <v>0</v>
      </c>
      <c r="Q1124">
        <v>3000</v>
      </c>
    </row>
    <row r="1125" spans="1:17">
      <c r="A1125" t="s">
        <v>47</v>
      </c>
      <c r="B1125" t="s">
        <v>19</v>
      </c>
      <c r="C1125">
        <v>6</v>
      </c>
      <c r="D1125">
        <v>2022</v>
      </c>
      <c r="E1125" s="49" t="s">
        <v>156</v>
      </c>
      <c r="F1125" s="49" t="s">
        <v>163</v>
      </c>
      <c r="G1125">
        <f>'Feb to July, 2022'!AE27+'Feb to July, 2022'!AF27</f>
        <v>25</v>
      </c>
      <c r="H1125">
        <f>'Feb to July, 2022'!AG27</f>
        <v>0</v>
      </c>
      <c r="I1125">
        <f>'Feb to July, 2022'!AH27</f>
        <v>8</v>
      </c>
      <c r="J1125">
        <f>G1125*Parameters!$B$2*Parameters!$B$5</f>
        <v>53.227499999999992</v>
      </c>
      <c r="K1125">
        <f>H1125*Parameters!$B$3*Parameters!$B$6</f>
        <v>0</v>
      </c>
      <c r="L1125">
        <f>I1125*Parameters!$B$4*Parameters!$B$7</f>
        <v>64.771200000000007</v>
      </c>
      <c r="M1125">
        <f t="shared" si="17"/>
        <v>117.9987</v>
      </c>
      <c r="N1125">
        <v>2500</v>
      </c>
      <c r="O1125">
        <v>0</v>
      </c>
      <c r="P1125">
        <v>0</v>
      </c>
      <c r="Q1125">
        <v>2400</v>
      </c>
    </row>
    <row r="1126" spans="1:17">
      <c r="A1126" t="s">
        <v>48</v>
      </c>
      <c r="B1126" t="s">
        <v>24</v>
      </c>
      <c r="C1126">
        <v>4</v>
      </c>
      <c r="D1126">
        <v>2022</v>
      </c>
      <c r="E1126" s="49" t="s">
        <v>156</v>
      </c>
      <c r="F1126" s="49" t="s">
        <v>163</v>
      </c>
      <c r="G1126">
        <f>'Feb to July, 2022'!AE28+'Feb to July, 2022'!AF28</f>
        <v>30</v>
      </c>
      <c r="H1126">
        <f>'Feb to July, 2022'!AG28</f>
        <v>0</v>
      </c>
      <c r="I1126">
        <f>'Feb to July, 2022'!AH28</f>
        <v>7</v>
      </c>
      <c r="J1126">
        <f>G1126*Parameters!$B$2*Parameters!$B$5</f>
        <v>63.87299999999999</v>
      </c>
      <c r="K1126">
        <f>H1126*Parameters!$B$3*Parameters!$B$6</f>
        <v>0</v>
      </c>
      <c r="L1126">
        <f>I1126*Parameters!$B$4*Parameters!$B$7</f>
        <v>56.674800000000005</v>
      </c>
      <c r="M1126">
        <f t="shared" si="17"/>
        <v>120.5478</v>
      </c>
      <c r="N1126">
        <v>3000</v>
      </c>
      <c r="O1126">
        <v>0</v>
      </c>
      <c r="P1126">
        <v>0</v>
      </c>
      <c r="Q1126">
        <v>2100</v>
      </c>
    </row>
    <row r="1127" spans="1:17">
      <c r="A1127" t="s">
        <v>49</v>
      </c>
      <c r="B1127" t="s">
        <v>38</v>
      </c>
      <c r="C1127">
        <v>2</v>
      </c>
      <c r="D1127">
        <v>2022</v>
      </c>
      <c r="E1127" s="49" t="s">
        <v>156</v>
      </c>
      <c r="F1127" s="49" t="s">
        <v>163</v>
      </c>
      <c r="G1127">
        <f>'Feb to July, 2022'!AE29+'Feb to July, 2022'!AF29</f>
        <v>25</v>
      </c>
      <c r="H1127">
        <f>'Feb to July, 2022'!AG29</f>
        <v>0</v>
      </c>
      <c r="I1127">
        <f>'Feb to July, 2022'!AH29</f>
        <v>10</v>
      </c>
      <c r="J1127">
        <f>G1127*Parameters!$B$2*Parameters!$B$5</f>
        <v>53.227499999999992</v>
      </c>
      <c r="K1127">
        <f>H1127*Parameters!$B$3*Parameters!$B$6</f>
        <v>0</v>
      </c>
      <c r="L1127">
        <f>I1127*Parameters!$B$4*Parameters!$B$7</f>
        <v>80.963999999999999</v>
      </c>
      <c r="M1127">
        <f t="shared" si="17"/>
        <v>134.19149999999999</v>
      </c>
      <c r="N1127">
        <v>2500</v>
      </c>
      <c r="O1127">
        <v>0</v>
      </c>
      <c r="P1127">
        <v>0</v>
      </c>
      <c r="Q1127">
        <v>3000</v>
      </c>
    </row>
    <row r="1128" spans="1:17">
      <c r="A1128" t="s">
        <v>50</v>
      </c>
      <c r="B1128" t="s">
        <v>19</v>
      </c>
      <c r="C1128">
        <v>8</v>
      </c>
      <c r="D1128">
        <v>2022</v>
      </c>
      <c r="E1128" s="49" t="s">
        <v>156</v>
      </c>
      <c r="F1128" s="49" t="s">
        <v>163</v>
      </c>
      <c r="G1128">
        <f>'Feb to July, 2022'!AE30+'Feb to July, 2022'!AF30</f>
        <v>32</v>
      </c>
      <c r="H1128">
        <f>'Feb to July, 2022'!AG30</f>
        <v>0</v>
      </c>
      <c r="I1128">
        <f>'Feb to July, 2022'!AH30</f>
        <v>10</v>
      </c>
      <c r="J1128">
        <f>G1128*Parameters!$B$2*Parameters!$B$5</f>
        <v>68.131199999999993</v>
      </c>
      <c r="K1128">
        <f>H1128*Parameters!$B$3*Parameters!$B$6</f>
        <v>0</v>
      </c>
      <c r="L1128">
        <f>I1128*Parameters!$B$4*Parameters!$B$7</f>
        <v>80.963999999999999</v>
      </c>
      <c r="M1128">
        <f t="shared" si="17"/>
        <v>149.09519999999998</v>
      </c>
      <c r="N1128">
        <v>3200</v>
      </c>
      <c r="O1128">
        <v>0</v>
      </c>
      <c r="P1128">
        <v>0</v>
      </c>
      <c r="Q1128">
        <v>3000</v>
      </c>
    </row>
    <row r="1129" spans="1:17">
      <c r="A1129" t="s">
        <v>51</v>
      </c>
      <c r="B1129" t="s">
        <v>19</v>
      </c>
      <c r="C1129">
        <v>6</v>
      </c>
      <c r="D1129">
        <v>2022</v>
      </c>
      <c r="E1129" s="49" t="s">
        <v>156</v>
      </c>
      <c r="F1129" s="49" t="s">
        <v>163</v>
      </c>
      <c r="G1129">
        <f>'Feb to July, 2022'!AE31+'Feb to July, 2022'!AF31</f>
        <v>28</v>
      </c>
      <c r="H1129">
        <f>'Feb to July, 2022'!AG31</f>
        <v>0</v>
      </c>
      <c r="I1129">
        <f>'Feb to July, 2022'!AH31</f>
        <v>15</v>
      </c>
      <c r="J1129">
        <f>G1129*Parameters!$B$2*Parameters!$B$5</f>
        <v>59.614799999999995</v>
      </c>
      <c r="K1129">
        <f>H1129*Parameters!$B$3*Parameters!$B$6</f>
        <v>0</v>
      </c>
      <c r="L1129">
        <f>I1129*Parameters!$B$4*Parameters!$B$7</f>
        <v>121.44600000000001</v>
      </c>
      <c r="M1129">
        <f t="shared" si="17"/>
        <v>181.0608</v>
      </c>
      <c r="N1129">
        <v>2800</v>
      </c>
      <c r="O1129">
        <v>0</v>
      </c>
      <c r="P1129">
        <v>0</v>
      </c>
      <c r="Q1129">
        <v>4500</v>
      </c>
    </row>
    <row r="1130" spans="1:17">
      <c r="A1130" t="s">
        <v>52</v>
      </c>
      <c r="B1130" t="s">
        <v>38</v>
      </c>
      <c r="C1130">
        <v>12</v>
      </c>
      <c r="D1130">
        <v>2022</v>
      </c>
      <c r="E1130" s="49" t="s">
        <v>156</v>
      </c>
      <c r="F1130" s="49" t="s">
        <v>163</v>
      </c>
      <c r="G1130">
        <f>'Feb to July, 2022'!AE32+'Feb to July, 2022'!AF32</f>
        <v>50</v>
      </c>
      <c r="H1130">
        <f>'Feb to July, 2022'!AG32</f>
        <v>0</v>
      </c>
      <c r="I1130">
        <f>'Feb to July, 2022'!AH32</f>
        <v>15</v>
      </c>
      <c r="J1130">
        <f>G1130*Parameters!$B$2*Parameters!$B$5</f>
        <v>106.45499999999998</v>
      </c>
      <c r="K1130">
        <f>H1130*Parameters!$B$3*Parameters!$B$6</f>
        <v>0</v>
      </c>
      <c r="L1130">
        <f>I1130*Parameters!$B$4*Parameters!$B$7</f>
        <v>121.44600000000001</v>
      </c>
      <c r="M1130">
        <f t="shared" si="17"/>
        <v>227.90100000000001</v>
      </c>
      <c r="N1130">
        <v>5000</v>
      </c>
      <c r="O1130">
        <v>0</v>
      </c>
      <c r="P1130">
        <v>0</v>
      </c>
      <c r="Q1130">
        <v>4500</v>
      </c>
    </row>
    <row r="1131" spans="1:17">
      <c r="A1131" t="s">
        <v>53</v>
      </c>
      <c r="B1131" t="s">
        <v>40</v>
      </c>
      <c r="C1131">
        <v>8</v>
      </c>
      <c r="D1131">
        <v>2022</v>
      </c>
      <c r="E1131" s="49" t="s">
        <v>156</v>
      </c>
      <c r="F1131" s="49" t="s">
        <v>163</v>
      </c>
      <c r="G1131">
        <f>'Feb to July, 2022'!AE33+'Feb to July, 2022'!AF33</f>
        <v>55</v>
      </c>
      <c r="H1131">
        <f>'Feb to July, 2022'!AG33</f>
        <v>0</v>
      </c>
      <c r="I1131">
        <f>'Feb to July, 2022'!AH33</f>
        <v>10</v>
      </c>
      <c r="J1131">
        <f>G1131*Parameters!$B$2*Parameters!$B$5</f>
        <v>117.10049999999998</v>
      </c>
      <c r="K1131">
        <f>H1131*Parameters!$B$3*Parameters!$B$6</f>
        <v>0</v>
      </c>
      <c r="L1131">
        <f>I1131*Parameters!$B$4*Parameters!$B$7</f>
        <v>80.963999999999999</v>
      </c>
      <c r="M1131">
        <f t="shared" si="17"/>
        <v>198.06449999999998</v>
      </c>
      <c r="N1131">
        <v>5500</v>
      </c>
      <c r="O1131">
        <v>0</v>
      </c>
      <c r="P1131">
        <v>0</v>
      </c>
      <c r="Q1131">
        <v>3000</v>
      </c>
    </row>
    <row r="1132" spans="1:17">
      <c r="A1132" t="s">
        <v>54</v>
      </c>
      <c r="B1132" t="s">
        <v>40</v>
      </c>
      <c r="C1132">
        <v>6</v>
      </c>
      <c r="D1132">
        <v>2022</v>
      </c>
      <c r="E1132" s="49" t="s">
        <v>156</v>
      </c>
      <c r="F1132" s="49" t="s">
        <v>163</v>
      </c>
      <c r="G1132">
        <f>'Feb to July, 2022'!AE34+'Feb to July, 2022'!AF34</f>
        <v>35</v>
      </c>
      <c r="H1132">
        <f>'Feb to July, 2022'!AG34</f>
        <v>0</v>
      </c>
      <c r="I1132">
        <f>'Feb to July, 2022'!AH34</f>
        <v>8</v>
      </c>
      <c r="J1132">
        <f>G1132*Parameters!$B$2*Parameters!$B$5</f>
        <v>74.518499999999989</v>
      </c>
      <c r="K1132">
        <f>H1132*Parameters!$B$3*Parameters!$B$6</f>
        <v>0</v>
      </c>
      <c r="L1132">
        <f>I1132*Parameters!$B$4*Parameters!$B$7</f>
        <v>64.771200000000007</v>
      </c>
      <c r="M1132">
        <f t="shared" si="17"/>
        <v>139.28969999999998</v>
      </c>
      <c r="N1132">
        <v>3500</v>
      </c>
      <c r="O1132">
        <v>0</v>
      </c>
      <c r="P1132">
        <v>0</v>
      </c>
      <c r="Q1132">
        <v>2400</v>
      </c>
    </row>
    <row r="1133" spans="1:17">
      <c r="A1133" t="s">
        <v>55</v>
      </c>
      <c r="B1133" t="s">
        <v>56</v>
      </c>
      <c r="C1133">
        <v>4</v>
      </c>
      <c r="D1133">
        <v>2022</v>
      </c>
      <c r="E1133" s="49" t="s">
        <v>156</v>
      </c>
      <c r="F1133" s="49" t="s">
        <v>163</v>
      </c>
      <c r="G1133">
        <f>'Feb to July, 2022'!AE35+'Feb to July, 2022'!AF35</f>
        <v>47</v>
      </c>
      <c r="H1133">
        <f>'Feb to July, 2022'!AG35</f>
        <v>0</v>
      </c>
      <c r="I1133">
        <f>'Feb to July, 2022'!AH35</f>
        <v>10</v>
      </c>
      <c r="J1133">
        <f>G1133*Parameters!$B$2*Parameters!$B$5</f>
        <v>100.06769999999997</v>
      </c>
      <c r="K1133">
        <f>H1133*Parameters!$B$3*Parameters!$B$6</f>
        <v>0</v>
      </c>
      <c r="L1133">
        <f>I1133*Parameters!$B$4*Parameters!$B$7</f>
        <v>80.963999999999999</v>
      </c>
      <c r="M1133">
        <f t="shared" si="17"/>
        <v>181.03169999999997</v>
      </c>
      <c r="N1133">
        <v>4700</v>
      </c>
      <c r="O1133">
        <v>0</v>
      </c>
      <c r="P1133">
        <v>0</v>
      </c>
      <c r="Q1133">
        <v>3000</v>
      </c>
    </row>
    <row r="1134" spans="1:17">
      <c r="A1134" t="s">
        <v>57</v>
      </c>
      <c r="B1134" t="s">
        <v>40</v>
      </c>
      <c r="C1134">
        <v>4</v>
      </c>
      <c r="D1134">
        <v>2022</v>
      </c>
      <c r="E1134" s="49" t="s">
        <v>156</v>
      </c>
      <c r="F1134" s="49" t="s">
        <v>163</v>
      </c>
      <c r="G1134">
        <f>'Feb to July, 2022'!AE36+'Feb to July, 2022'!AF36</f>
        <v>25</v>
      </c>
      <c r="H1134">
        <f>'Feb to July, 2022'!AG36</f>
        <v>0</v>
      </c>
      <c r="I1134">
        <f>'Feb to July, 2022'!AH36</f>
        <v>15</v>
      </c>
      <c r="J1134">
        <f>G1134*Parameters!$B$2*Parameters!$B$5</f>
        <v>53.227499999999992</v>
      </c>
      <c r="K1134">
        <f>H1134*Parameters!$B$3*Parameters!$B$6</f>
        <v>0</v>
      </c>
      <c r="L1134">
        <f>I1134*Parameters!$B$4*Parameters!$B$7</f>
        <v>121.44600000000001</v>
      </c>
      <c r="M1134">
        <f t="shared" si="17"/>
        <v>174.67349999999999</v>
      </c>
      <c r="N1134">
        <v>2500</v>
      </c>
      <c r="O1134">
        <v>0</v>
      </c>
      <c r="P1134">
        <v>0</v>
      </c>
      <c r="Q1134">
        <v>4500</v>
      </c>
    </row>
    <row r="1135" spans="1:17">
      <c r="A1135" t="s">
        <v>58</v>
      </c>
      <c r="B1135" t="s">
        <v>26</v>
      </c>
      <c r="C1135">
        <v>6</v>
      </c>
      <c r="D1135">
        <v>2022</v>
      </c>
      <c r="E1135" s="49" t="s">
        <v>156</v>
      </c>
      <c r="F1135" s="49" t="s">
        <v>163</v>
      </c>
      <c r="G1135">
        <f>'Feb to July, 2022'!AE37+'Feb to July, 2022'!AF37</f>
        <v>25</v>
      </c>
      <c r="H1135">
        <f>'Feb to July, 2022'!AG37</f>
        <v>0</v>
      </c>
      <c r="I1135">
        <f>'Feb to July, 2022'!AH37</f>
        <v>10</v>
      </c>
      <c r="J1135">
        <f>G1135*Parameters!$B$2*Parameters!$B$5</f>
        <v>53.227499999999992</v>
      </c>
      <c r="K1135">
        <f>H1135*Parameters!$B$3*Parameters!$B$6</f>
        <v>0</v>
      </c>
      <c r="L1135">
        <f>I1135*Parameters!$B$4*Parameters!$B$7</f>
        <v>80.963999999999999</v>
      </c>
      <c r="M1135">
        <f t="shared" si="17"/>
        <v>134.19149999999999</v>
      </c>
      <c r="N1135">
        <v>2500</v>
      </c>
      <c r="O1135">
        <v>0</v>
      </c>
      <c r="P1135">
        <v>0</v>
      </c>
      <c r="Q1135">
        <v>3000</v>
      </c>
    </row>
    <row r="1136" spans="1:17">
      <c r="A1136" t="s">
        <v>59</v>
      </c>
      <c r="B1136" t="s">
        <v>26</v>
      </c>
      <c r="C1136">
        <v>7</v>
      </c>
      <c r="D1136">
        <v>2022</v>
      </c>
      <c r="E1136" s="49" t="s">
        <v>156</v>
      </c>
      <c r="F1136" s="49" t="s">
        <v>163</v>
      </c>
      <c r="G1136">
        <f>'Feb to July, 2022'!AE38+'Feb to July, 2022'!AF38</f>
        <v>30</v>
      </c>
      <c r="H1136">
        <f>'Feb to July, 2022'!AG38</f>
        <v>0</v>
      </c>
      <c r="I1136">
        <f>'Feb to July, 2022'!AH38</f>
        <v>8</v>
      </c>
      <c r="J1136">
        <f>G1136*Parameters!$B$2*Parameters!$B$5</f>
        <v>63.87299999999999</v>
      </c>
      <c r="K1136">
        <f>H1136*Parameters!$B$3*Parameters!$B$6</f>
        <v>0</v>
      </c>
      <c r="L1136">
        <f>I1136*Parameters!$B$4*Parameters!$B$7</f>
        <v>64.771200000000007</v>
      </c>
      <c r="M1136">
        <f t="shared" si="17"/>
        <v>128.64420000000001</v>
      </c>
      <c r="N1136">
        <v>3000</v>
      </c>
      <c r="O1136">
        <v>0</v>
      </c>
      <c r="P1136">
        <v>0</v>
      </c>
      <c r="Q1136">
        <v>2400</v>
      </c>
    </row>
    <row r="1137" spans="1:17">
      <c r="A1137" t="s">
        <v>60</v>
      </c>
      <c r="B1137" t="s">
        <v>26</v>
      </c>
      <c r="C1137">
        <v>8</v>
      </c>
      <c r="D1137">
        <v>2022</v>
      </c>
      <c r="E1137" s="49" t="s">
        <v>156</v>
      </c>
      <c r="F1137" s="49" t="s">
        <v>163</v>
      </c>
      <c r="G1137">
        <f>'Feb to July, 2022'!AE39+'Feb to July, 2022'!AF39</f>
        <v>30</v>
      </c>
      <c r="H1137">
        <f>'Feb to July, 2022'!AG39</f>
        <v>0</v>
      </c>
      <c r="I1137">
        <f>'Feb to July, 2022'!AH39</f>
        <v>10</v>
      </c>
      <c r="J1137">
        <f>G1137*Parameters!$B$2*Parameters!$B$5</f>
        <v>63.87299999999999</v>
      </c>
      <c r="K1137">
        <f>H1137*Parameters!$B$3*Parameters!$B$6</f>
        <v>0</v>
      </c>
      <c r="L1137">
        <f>I1137*Parameters!$B$4*Parameters!$B$7</f>
        <v>80.963999999999999</v>
      </c>
      <c r="M1137">
        <f t="shared" si="17"/>
        <v>144.83699999999999</v>
      </c>
      <c r="N1137">
        <v>3000</v>
      </c>
      <c r="O1137">
        <v>0</v>
      </c>
      <c r="P1137">
        <v>0</v>
      </c>
      <c r="Q1137">
        <v>3000</v>
      </c>
    </row>
    <row r="1138" spans="1:17">
      <c r="A1138" t="s">
        <v>61</v>
      </c>
      <c r="B1138" t="s">
        <v>56</v>
      </c>
      <c r="C1138">
        <v>5</v>
      </c>
      <c r="D1138">
        <v>2022</v>
      </c>
      <c r="E1138" s="49" t="s">
        <v>156</v>
      </c>
      <c r="F1138" s="49" t="s">
        <v>163</v>
      </c>
      <c r="G1138">
        <f>'Feb to July, 2022'!AE40+'Feb to July, 2022'!AF40</f>
        <v>25</v>
      </c>
      <c r="H1138">
        <f>'Feb to July, 2022'!AG40</f>
        <v>0</v>
      </c>
      <c r="I1138">
        <f>'Feb to July, 2022'!AH40</f>
        <v>20</v>
      </c>
      <c r="J1138">
        <f>G1138*Parameters!$B$2*Parameters!$B$5</f>
        <v>53.227499999999992</v>
      </c>
      <c r="K1138">
        <f>H1138*Parameters!$B$3*Parameters!$B$6</f>
        <v>0</v>
      </c>
      <c r="L1138">
        <f>I1138*Parameters!$B$4*Parameters!$B$7</f>
        <v>161.928</v>
      </c>
      <c r="M1138">
        <f t="shared" si="17"/>
        <v>215.15549999999999</v>
      </c>
      <c r="N1138">
        <v>2500</v>
      </c>
      <c r="O1138">
        <v>0</v>
      </c>
      <c r="P1138">
        <v>0</v>
      </c>
      <c r="Q1138">
        <v>6000</v>
      </c>
    </row>
    <row r="1139" spans="1:17">
      <c r="A1139" t="s">
        <v>62</v>
      </c>
      <c r="B1139" t="s">
        <v>21</v>
      </c>
      <c r="C1139">
        <v>6</v>
      </c>
      <c r="D1139">
        <v>2022</v>
      </c>
      <c r="E1139" s="49" t="s">
        <v>156</v>
      </c>
      <c r="F1139" s="49" t="s">
        <v>163</v>
      </c>
      <c r="G1139">
        <f>'Feb to July, 2022'!AE41+'Feb to July, 2022'!AF41</f>
        <v>42</v>
      </c>
      <c r="H1139">
        <f>'Feb to July, 2022'!AG41</f>
        <v>0</v>
      </c>
      <c r="I1139">
        <f>'Feb to July, 2022'!AH41</f>
        <v>10</v>
      </c>
      <c r="J1139">
        <f>G1139*Parameters!$B$2*Parameters!$B$5</f>
        <v>89.422199999999975</v>
      </c>
      <c r="K1139">
        <f>H1139*Parameters!$B$3*Parameters!$B$6</f>
        <v>0</v>
      </c>
      <c r="L1139">
        <f>I1139*Parameters!$B$4*Parameters!$B$7</f>
        <v>80.963999999999999</v>
      </c>
      <c r="M1139">
        <f t="shared" si="17"/>
        <v>170.38619999999997</v>
      </c>
      <c r="N1139">
        <v>4200</v>
      </c>
      <c r="O1139">
        <v>0</v>
      </c>
      <c r="P1139">
        <v>0</v>
      </c>
      <c r="Q1139">
        <v>3000</v>
      </c>
    </row>
    <row r="1140" spans="1:17">
      <c r="A1140" t="s">
        <v>63</v>
      </c>
      <c r="B1140" t="s">
        <v>21</v>
      </c>
      <c r="C1140">
        <v>9</v>
      </c>
      <c r="D1140">
        <v>2022</v>
      </c>
      <c r="E1140" s="49" t="s">
        <v>156</v>
      </c>
      <c r="F1140" s="49" t="s">
        <v>163</v>
      </c>
      <c r="G1140">
        <f>'Feb to July, 2022'!AE42+'Feb to July, 2022'!AF42</f>
        <v>55</v>
      </c>
      <c r="H1140">
        <f>'Feb to July, 2022'!AG42</f>
        <v>0</v>
      </c>
      <c r="I1140">
        <f>'Feb to July, 2022'!AH42</f>
        <v>12</v>
      </c>
      <c r="J1140">
        <f>G1140*Parameters!$B$2*Parameters!$B$5</f>
        <v>117.10049999999998</v>
      </c>
      <c r="K1140">
        <f>H1140*Parameters!$B$3*Parameters!$B$6</f>
        <v>0</v>
      </c>
      <c r="L1140">
        <f>I1140*Parameters!$B$4*Parameters!$B$7</f>
        <v>97.156800000000018</v>
      </c>
      <c r="M1140">
        <f t="shared" si="17"/>
        <v>214.25729999999999</v>
      </c>
      <c r="N1140">
        <v>5500</v>
      </c>
      <c r="O1140">
        <v>0</v>
      </c>
      <c r="P1140">
        <v>0</v>
      </c>
      <c r="Q1140">
        <v>3600</v>
      </c>
    </row>
    <row r="1141" spans="1:17">
      <c r="A1141" t="s">
        <v>64</v>
      </c>
      <c r="B1141" t="s">
        <v>65</v>
      </c>
      <c r="C1141">
        <v>3</v>
      </c>
      <c r="D1141">
        <v>2022</v>
      </c>
      <c r="E1141" s="49" t="s">
        <v>156</v>
      </c>
      <c r="F1141" s="49" t="s">
        <v>163</v>
      </c>
      <c r="G1141">
        <f>'Feb to July, 2022'!AE43+'Feb to July, 2022'!AF43</f>
        <v>60</v>
      </c>
      <c r="H1141">
        <f>'Feb to July, 2022'!AG43</f>
        <v>0</v>
      </c>
      <c r="I1141">
        <f>'Feb to July, 2022'!AH43</f>
        <v>0</v>
      </c>
      <c r="J1141">
        <f>G1141*Parameters!$B$2*Parameters!$B$5</f>
        <v>127.74599999999998</v>
      </c>
      <c r="K1141">
        <f>H1141*Parameters!$B$3*Parameters!$B$6</f>
        <v>0</v>
      </c>
      <c r="L1141">
        <f>I1141*Parameters!$B$4*Parameters!$B$7</f>
        <v>0</v>
      </c>
      <c r="M1141">
        <f t="shared" si="17"/>
        <v>127.74599999999998</v>
      </c>
      <c r="N1141">
        <v>3500</v>
      </c>
      <c r="O1141">
        <v>2500</v>
      </c>
      <c r="P1141">
        <v>0</v>
      </c>
      <c r="Q1141">
        <v>0</v>
      </c>
    </row>
    <row r="1142" spans="1:17">
      <c r="A1142" t="s">
        <v>66</v>
      </c>
      <c r="B1142" t="s">
        <v>24</v>
      </c>
      <c r="C1142">
        <v>4</v>
      </c>
      <c r="D1142">
        <v>2022</v>
      </c>
      <c r="E1142" s="49" t="s">
        <v>156</v>
      </c>
      <c r="F1142" s="49" t="s">
        <v>163</v>
      </c>
      <c r="G1142">
        <f>'Feb to July, 2022'!AE44+'Feb to July, 2022'!AF44</f>
        <v>30</v>
      </c>
      <c r="H1142">
        <f>'Feb to July, 2022'!AG44</f>
        <v>0</v>
      </c>
      <c r="I1142">
        <f>'Feb to July, 2022'!AH44</f>
        <v>10</v>
      </c>
      <c r="J1142">
        <f>G1142*Parameters!$B$2*Parameters!$B$5</f>
        <v>63.87299999999999</v>
      </c>
      <c r="K1142">
        <f>H1142*Parameters!$B$3*Parameters!$B$6</f>
        <v>0</v>
      </c>
      <c r="L1142">
        <f>I1142*Parameters!$B$4*Parameters!$B$7</f>
        <v>80.963999999999999</v>
      </c>
      <c r="M1142">
        <f t="shared" si="17"/>
        <v>144.83699999999999</v>
      </c>
      <c r="N1142">
        <v>3000</v>
      </c>
      <c r="O1142">
        <v>0</v>
      </c>
      <c r="P1142">
        <v>0</v>
      </c>
      <c r="Q1142">
        <v>3000</v>
      </c>
    </row>
    <row r="1143" spans="1:17">
      <c r="A1143" t="s">
        <v>67</v>
      </c>
      <c r="B1143" t="s">
        <v>56</v>
      </c>
      <c r="C1143">
        <v>6</v>
      </c>
      <c r="D1143">
        <v>2022</v>
      </c>
      <c r="E1143" s="49" t="s">
        <v>156</v>
      </c>
      <c r="F1143" s="49" t="s">
        <v>163</v>
      </c>
      <c r="G1143">
        <f>'Feb to July, 2022'!AE45+'Feb to July, 2022'!AF45</f>
        <v>43</v>
      </c>
      <c r="H1143">
        <f>'Feb to July, 2022'!AG45</f>
        <v>0</v>
      </c>
      <c r="I1143">
        <f>'Feb to July, 2022'!AH45</f>
        <v>10</v>
      </c>
      <c r="J1143">
        <f>G1143*Parameters!$B$2*Parameters!$B$5</f>
        <v>91.551299999999983</v>
      </c>
      <c r="K1143">
        <f>H1143*Parameters!$B$3*Parameters!$B$6</f>
        <v>0</v>
      </c>
      <c r="L1143">
        <f>I1143*Parameters!$B$4*Parameters!$B$7</f>
        <v>80.963999999999999</v>
      </c>
      <c r="M1143">
        <f t="shared" si="17"/>
        <v>172.51529999999997</v>
      </c>
      <c r="N1143">
        <v>4300</v>
      </c>
      <c r="O1143">
        <v>0</v>
      </c>
      <c r="P1143">
        <v>0</v>
      </c>
      <c r="Q1143">
        <v>3000</v>
      </c>
    </row>
    <row r="1144" spans="1:17">
      <c r="A1144" t="s">
        <v>68</v>
      </c>
      <c r="B1144" t="s">
        <v>21</v>
      </c>
      <c r="C1144">
        <v>4</v>
      </c>
      <c r="D1144">
        <v>2022</v>
      </c>
      <c r="E1144" s="49" t="s">
        <v>156</v>
      </c>
      <c r="F1144" s="49" t="s">
        <v>163</v>
      </c>
      <c r="G1144">
        <f>'Feb to July, 2022'!AE46+'Feb to July, 2022'!AF46</f>
        <v>30</v>
      </c>
      <c r="H1144">
        <f>'Feb to July, 2022'!AG46</f>
        <v>0</v>
      </c>
      <c r="I1144">
        <f>'Feb to July, 2022'!AH46</f>
        <v>15</v>
      </c>
      <c r="J1144">
        <f>G1144*Parameters!$B$2*Parameters!$B$5</f>
        <v>63.87299999999999</v>
      </c>
      <c r="K1144">
        <f>H1144*Parameters!$B$3*Parameters!$B$6</f>
        <v>0</v>
      </c>
      <c r="L1144">
        <f>I1144*Parameters!$B$4*Parameters!$B$7</f>
        <v>121.44600000000001</v>
      </c>
      <c r="M1144">
        <f t="shared" si="17"/>
        <v>185.31900000000002</v>
      </c>
      <c r="N1144">
        <v>3000</v>
      </c>
      <c r="O1144">
        <v>0</v>
      </c>
      <c r="P1144">
        <v>0</v>
      </c>
      <c r="Q1144">
        <v>4500</v>
      </c>
    </row>
    <row r="1145" spans="1:17">
      <c r="A1145" t="s">
        <v>69</v>
      </c>
      <c r="B1145" t="s">
        <v>24</v>
      </c>
      <c r="C1145">
        <v>6</v>
      </c>
      <c r="D1145">
        <v>2022</v>
      </c>
      <c r="E1145" s="49" t="s">
        <v>156</v>
      </c>
      <c r="F1145" s="49" t="s">
        <v>163</v>
      </c>
      <c r="G1145">
        <f>'Feb to July, 2022'!AE47+'Feb to July, 2022'!AF47</f>
        <v>25</v>
      </c>
      <c r="H1145">
        <f>'Feb to July, 2022'!AG47</f>
        <v>0</v>
      </c>
      <c r="I1145">
        <f>'Feb to July, 2022'!AH47</f>
        <v>15</v>
      </c>
      <c r="J1145">
        <f>G1145*Parameters!$B$2*Parameters!$B$5</f>
        <v>53.227499999999992</v>
      </c>
      <c r="K1145">
        <f>H1145*Parameters!$B$3*Parameters!$B$6</f>
        <v>0</v>
      </c>
      <c r="L1145">
        <f>I1145*Parameters!$B$4*Parameters!$B$7</f>
        <v>121.44600000000001</v>
      </c>
      <c r="M1145">
        <f t="shared" si="17"/>
        <v>174.67349999999999</v>
      </c>
      <c r="N1145">
        <v>2500</v>
      </c>
      <c r="O1145">
        <v>0</v>
      </c>
      <c r="P1145">
        <v>0</v>
      </c>
      <c r="Q1145">
        <v>4500</v>
      </c>
    </row>
    <row r="1146" spans="1:17">
      <c r="A1146" t="s">
        <v>70</v>
      </c>
      <c r="B1146" t="s">
        <v>26</v>
      </c>
      <c r="C1146">
        <v>6</v>
      </c>
      <c r="D1146">
        <v>2022</v>
      </c>
      <c r="E1146" s="49" t="s">
        <v>156</v>
      </c>
      <c r="F1146" s="49" t="s">
        <v>163</v>
      </c>
      <c r="G1146">
        <f>'Feb to July, 2022'!AE48+'Feb to July, 2022'!AF48</f>
        <v>45</v>
      </c>
      <c r="H1146">
        <f>'Feb to July, 2022'!AG48</f>
        <v>0</v>
      </c>
      <c r="I1146">
        <f>'Feb to July, 2022'!AH48</f>
        <v>10</v>
      </c>
      <c r="J1146">
        <f>G1146*Parameters!$B$2*Parameters!$B$5</f>
        <v>95.809499999999986</v>
      </c>
      <c r="K1146">
        <f>H1146*Parameters!$B$3*Parameters!$B$6</f>
        <v>0</v>
      </c>
      <c r="L1146">
        <f>I1146*Parameters!$B$4*Parameters!$B$7</f>
        <v>80.963999999999999</v>
      </c>
      <c r="M1146">
        <f t="shared" si="17"/>
        <v>176.77349999999998</v>
      </c>
      <c r="N1146">
        <v>4500</v>
      </c>
      <c r="O1146">
        <v>0</v>
      </c>
      <c r="P1146">
        <v>0</v>
      </c>
      <c r="Q1146">
        <v>3000</v>
      </c>
    </row>
    <row r="1147" spans="1:17">
      <c r="A1147" t="s">
        <v>71</v>
      </c>
      <c r="B1147" t="s">
        <v>26</v>
      </c>
      <c r="C1147">
        <v>5</v>
      </c>
      <c r="D1147">
        <v>2022</v>
      </c>
      <c r="E1147" s="49" t="s">
        <v>156</v>
      </c>
      <c r="F1147" s="49" t="s">
        <v>163</v>
      </c>
      <c r="G1147">
        <f>'Feb to July, 2022'!AE49+'Feb to July, 2022'!AF49</f>
        <v>25</v>
      </c>
      <c r="H1147">
        <f>'Feb to July, 2022'!AG49</f>
        <v>0</v>
      </c>
      <c r="I1147">
        <f>'Feb to July, 2022'!AH49</f>
        <v>10</v>
      </c>
      <c r="J1147">
        <f>G1147*Parameters!$B$2*Parameters!$B$5</f>
        <v>53.227499999999992</v>
      </c>
      <c r="K1147">
        <f>H1147*Parameters!$B$3*Parameters!$B$6</f>
        <v>0</v>
      </c>
      <c r="L1147">
        <f>I1147*Parameters!$B$4*Parameters!$B$7</f>
        <v>80.963999999999999</v>
      </c>
      <c r="M1147">
        <f t="shared" si="17"/>
        <v>134.19149999999999</v>
      </c>
      <c r="N1147">
        <v>2500</v>
      </c>
      <c r="O1147">
        <v>0</v>
      </c>
      <c r="P1147">
        <v>0</v>
      </c>
      <c r="Q1147">
        <v>3000</v>
      </c>
    </row>
    <row r="1148" spans="1:17">
      <c r="A1148" t="s">
        <v>72</v>
      </c>
      <c r="B1148" t="s">
        <v>26</v>
      </c>
      <c r="C1148">
        <v>8</v>
      </c>
      <c r="D1148">
        <v>2022</v>
      </c>
      <c r="E1148" s="49" t="s">
        <v>156</v>
      </c>
      <c r="F1148" s="49" t="s">
        <v>163</v>
      </c>
      <c r="G1148">
        <f>'Feb to July, 2022'!AE50+'Feb to July, 2022'!AF50</f>
        <v>30</v>
      </c>
      <c r="H1148">
        <f>'Feb to July, 2022'!AG50</f>
        <v>0</v>
      </c>
      <c r="I1148">
        <f>'Feb to July, 2022'!AH50</f>
        <v>0</v>
      </c>
      <c r="J1148">
        <f>G1148*Parameters!$B$2*Parameters!$B$5</f>
        <v>63.87299999999999</v>
      </c>
      <c r="K1148">
        <f>H1148*Parameters!$B$3*Parameters!$B$6</f>
        <v>0</v>
      </c>
      <c r="L1148">
        <f>I1148*Parameters!$B$4*Parameters!$B$7</f>
        <v>0</v>
      </c>
      <c r="M1148">
        <f t="shared" si="17"/>
        <v>63.87299999999999</v>
      </c>
      <c r="N1148">
        <v>3000</v>
      </c>
      <c r="O1148">
        <v>0</v>
      </c>
      <c r="P1148">
        <v>0</v>
      </c>
      <c r="Q1148">
        <v>0</v>
      </c>
    </row>
    <row r="1149" spans="1:17">
      <c r="A1149" t="s">
        <v>73</v>
      </c>
      <c r="B1149" t="s">
        <v>17</v>
      </c>
      <c r="C1149">
        <v>4</v>
      </c>
      <c r="D1149">
        <v>2022</v>
      </c>
      <c r="E1149" s="49" t="s">
        <v>156</v>
      </c>
      <c r="F1149" s="49" t="s">
        <v>163</v>
      </c>
      <c r="G1149">
        <f>'Feb to July, 2022'!AE51+'Feb to July, 2022'!AF51</f>
        <v>30</v>
      </c>
      <c r="H1149">
        <f>'Feb to July, 2022'!AG51</f>
        <v>0</v>
      </c>
      <c r="I1149">
        <f>'Feb to July, 2022'!AH51</f>
        <v>40</v>
      </c>
      <c r="J1149">
        <f>G1149*Parameters!$B$2*Parameters!$B$5</f>
        <v>63.87299999999999</v>
      </c>
      <c r="K1149">
        <f>H1149*Parameters!$B$3*Parameters!$B$6</f>
        <v>0</v>
      </c>
      <c r="L1149">
        <f>I1149*Parameters!$B$4*Parameters!$B$7</f>
        <v>323.85599999999999</v>
      </c>
      <c r="M1149">
        <f t="shared" si="17"/>
        <v>387.72899999999998</v>
      </c>
      <c r="N1149">
        <v>3000</v>
      </c>
      <c r="O1149">
        <v>0</v>
      </c>
      <c r="P1149">
        <v>0</v>
      </c>
      <c r="Q1149">
        <v>12000</v>
      </c>
    </row>
    <row r="1150" spans="1:17">
      <c r="A1150" t="s">
        <v>74</v>
      </c>
      <c r="B1150" t="s">
        <v>65</v>
      </c>
      <c r="C1150">
        <v>8</v>
      </c>
      <c r="D1150">
        <v>2022</v>
      </c>
      <c r="E1150" s="49" t="s">
        <v>156</v>
      </c>
      <c r="F1150" s="49" t="s">
        <v>163</v>
      </c>
      <c r="G1150">
        <f>'Feb to July, 2022'!AE52+'Feb to July, 2022'!AF52</f>
        <v>40</v>
      </c>
      <c r="H1150">
        <f>'Feb to July, 2022'!AG52</f>
        <v>0</v>
      </c>
      <c r="I1150">
        <f>'Feb to July, 2022'!AH52</f>
        <v>0</v>
      </c>
      <c r="J1150">
        <f>G1150*Parameters!$B$2*Parameters!$B$5</f>
        <v>85.163999999999987</v>
      </c>
      <c r="K1150">
        <f>H1150*Parameters!$B$3*Parameters!$B$6</f>
        <v>0</v>
      </c>
      <c r="L1150">
        <f>I1150*Parameters!$B$4*Parameters!$B$7</f>
        <v>0</v>
      </c>
      <c r="M1150">
        <f t="shared" si="17"/>
        <v>85.163999999999987</v>
      </c>
      <c r="N1150">
        <v>2500</v>
      </c>
      <c r="O1150">
        <v>1500</v>
      </c>
      <c r="P1150">
        <v>0</v>
      </c>
      <c r="Q1150">
        <v>0</v>
      </c>
    </row>
    <row r="1151" spans="1:17">
      <c r="A1151" t="s">
        <v>75</v>
      </c>
      <c r="B1151" t="s">
        <v>24</v>
      </c>
      <c r="C1151">
        <v>4</v>
      </c>
      <c r="D1151">
        <v>2022</v>
      </c>
      <c r="E1151" s="49" t="s">
        <v>156</v>
      </c>
      <c r="F1151" s="49" t="s">
        <v>163</v>
      </c>
      <c r="G1151">
        <f>'Feb to July, 2022'!AE53+'Feb to July, 2022'!AF53</f>
        <v>30</v>
      </c>
      <c r="H1151">
        <f>'Feb to July, 2022'!AG53</f>
        <v>0</v>
      </c>
      <c r="I1151">
        <f>'Feb to July, 2022'!AH53</f>
        <v>12</v>
      </c>
      <c r="J1151">
        <f>G1151*Parameters!$B$2*Parameters!$B$5</f>
        <v>63.87299999999999</v>
      </c>
      <c r="K1151">
        <f>H1151*Parameters!$B$3*Parameters!$B$6</f>
        <v>0</v>
      </c>
      <c r="L1151">
        <f>I1151*Parameters!$B$4*Parameters!$B$7</f>
        <v>97.156800000000018</v>
      </c>
      <c r="M1151">
        <f t="shared" si="17"/>
        <v>161.02980000000002</v>
      </c>
      <c r="N1151">
        <v>3000</v>
      </c>
      <c r="O1151">
        <v>0</v>
      </c>
      <c r="P1151">
        <v>0</v>
      </c>
      <c r="Q1151">
        <v>3600</v>
      </c>
    </row>
    <row r="1152" spans="1:17">
      <c r="A1152" t="s">
        <v>76</v>
      </c>
      <c r="B1152" t="s">
        <v>56</v>
      </c>
      <c r="C1152">
        <v>4</v>
      </c>
      <c r="D1152">
        <v>2022</v>
      </c>
      <c r="E1152" s="49" t="s">
        <v>156</v>
      </c>
      <c r="F1152" s="49" t="s">
        <v>163</v>
      </c>
      <c r="G1152">
        <f>'Feb to July, 2022'!AE54+'Feb to July, 2022'!AF54</f>
        <v>30</v>
      </c>
      <c r="H1152">
        <f>'Feb to July, 2022'!AG54</f>
        <v>0</v>
      </c>
      <c r="I1152">
        <f>'Feb to July, 2022'!AH54</f>
        <v>10</v>
      </c>
      <c r="J1152">
        <f>G1152*Parameters!$B$2*Parameters!$B$5</f>
        <v>63.87299999999999</v>
      </c>
      <c r="K1152">
        <f>H1152*Parameters!$B$3*Parameters!$B$6</f>
        <v>0</v>
      </c>
      <c r="L1152">
        <f>I1152*Parameters!$B$4*Parameters!$B$7</f>
        <v>80.963999999999999</v>
      </c>
      <c r="M1152">
        <f t="shared" si="17"/>
        <v>144.83699999999999</v>
      </c>
      <c r="N1152">
        <v>3000</v>
      </c>
      <c r="O1152">
        <v>0</v>
      </c>
      <c r="P1152">
        <v>0</v>
      </c>
      <c r="Q1152">
        <v>3000</v>
      </c>
    </row>
    <row r="1153" spans="1:17">
      <c r="A1153" t="s">
        <v>77</v>
      </c>
      <c r="B1153" t="s">
        <v>40</v>
      </c>
      <c r="C1153">
        <v>12</v>
      </c>
      <c r="D1153">
        <v>2022</v>
      </c>
      <c r="E1153" s="49" t="s">
        <v>156</v>
      </c>
      <c r="F1153" s="49" t="s">
        <v>163</v>
      </c>
      <c r="G1153">
        <f>'Feb to July, 2022'!AE55+'Feb to July, 2022'!AF55</f>
        <v>30</v>
      </c>
      <c r="H1153">
        <f>'Feb to July, 2022'!AG55</f>
        <v>0</v>
      </c>
      <c r="I1153">
        <f>'Feb to July, 2022'!AH55</f>
        <v>15</v>
      </c>
      <c r="J1153">
        <f>G1153*Parameters!$B$2*Parameters!$B$5</f>
        <v>63.87299999999999</v>
      </c>
      <c r="K1153">
        <f>H1153*Parameters!$B$3*Parameters!$B$6</f>
        <v>0</v>
      </c>
      <c r="L1153">
        <f>I1153*Parameters!$B$4*Parameters!$B$7</f>
        <v>121.44600000000001</v>
      </c>
      <c r="M1153">
        <f t="shared" si="17"/>
        <v>185.31900000000002</v>
      </c>
      <c r="N1153">
        <v>3000</v>
      </c>
      <c r="O1153">
        <v>0</v>
      </c>
      <c r="P1153">
        <v>0</v>
      </c>
      <c r="Q1153">
        <v>4500</v>
      </c>
    </row>
    <row r="1154" spans="1:17">
      <c r="A1154" t="s">
        <v>78</v>
      </c>
      <c r="B1154" t="s">
        <v>32</v>
      </c>
      <c r="C1154">
        <v>6</v>
      </c>
      <c r="D1154">
        <v>2022</v>
      </c>
      <c r="E1154" s="49" t="s">
        <v>156</v>
      </c>
      <c r="F1154" s="49" t="s">
        <v>163</v>
      </c>
      <c r="G1154">
        <f>'Feb to July, 2022'!AE56+'Feb to July, 2022'!AF56</f>
        <v>25</v>
      </c>
      <c r="H1154">
        <f>'Feb to July, 2022'!AG56</f>
        <v>0</v>
      </c>
      <c r="I1154">
        <f>'Feb to July, 2022'!AH56</f>
        <v>5</v>
      </c>
      <c r="J1154">
        <f>G1154*Parameters!$B$2*Parameters!$B$5</f>
        <v>53.227499999999992</v>
      </c>
      <c r="K1154">
        <f>H1154*Parameters!$B$3*Parameters!$B$6</f>
        <v>0</v>
      </c>
      <c r="L1154">
        <f>I1154*Parameters!$B$4*Parameters!$B$7</f>
        <v>40.481999999999999</v>
      </c>
      <c r="M1154">
        <f t="shared" si="17"/>
        <v>93.709499999999991</v>
      </c>
      <c r="N1154">
        <v>2500</v>
      </c>
      <c r="O1154">
        <v>0</v>
      </c>
      <c r="P1154">
        <v>0</v>
      </c>
      <c r="Q1154">
        <v>1500</v>
      </c>
    </row>
    <row r="1155" spans="1:17">
      <c r="A1155" t="s">
        <v>79</v>
      </c>
      <c r="B1155" t="s">
        <v>40</v>
      </c>
      <c r="C1155">
        <v>4</v>
      </c>
      <c r="D1155">
        <v>2022</v>
      </c>
      <c r="E1155" s="49" t="s">
        <v>156</v>
      </c>
      <c r="F1155" s="49" t="s">
        <v>163</v>
      </c>
      <c r="G1155">
        <f>'Feb to July, 2022'!AE57+'Feb to July, 2022'!AF57</f>
        <v>55</v>
      </c>
      <c r="H1155">
        <f>'Feb to July, 2022'!AG57</f>
        <v>0</v>
      </c>
      <c r="I1155">
        <f>'Feb to July, 2022'!AH57</f>
        <v>10</v>
      </c>
      <c r="J1155">
        <f>G1155*Parameters!$B$2*Parameters!$B$5</f>
        <v>117.10049999999998</v>
      </c>
      <c r="K1155">
        <f>H1155*Parameters!$B$3*Parameters!$B$6</f>
        <v>0</v>
      </c>
      <c r="L1155">
        <f>I1155*Parameters!$B$4*Parameters!$B$7</f>
        <v>80.963999999999999</v>
      </c>
      <c r="M1155">
        <f t="shared" ref="M1155:M1218" si="18">SUM(J1155:L1155)</f>
        <v>198.06449999999998</v>
      </c>
      <c r="N1155">
        <v>5500</v>
      </c>
      <c r="O1155">
        <v>0</v>
      </c>
      <c r="P1155">
        <v>0</v>
      </c>
      <c r="Q1155">
        <v>3000</v>
      </c>
    </row>
    <row r="1156" spans="1:17">
      <c r="A1156" t="s">
        <v>80</v>
      </c>
      <c r="B1156" t="s">
        <v>26</v>
      </c>
      <c r="C1156">
        <v>7</v>
      </c>
      <c r="D1156">
        <v>2022</v>
      </c>
      <c r="E1156" s="49" t="s">
        <v>156</v>
      </c>
      <c r="F1156" s="49" t="s">
        <v>163</v>
      </c>
      <c r="G1156">
        <f>'Feb to July, 2022'!AE58+'Feb to July, 2022'!AF58</f>
        <v>40</v>
      </c>
      <c r="H1156">
        <f>'Feb to July, 2022'!AG58</f>
        <v>0</v>
      </c>
      <c r="I1156">
        <f>'Feb to July, 2022'!AH58</f>
        <v>0</v>
      </c>
      <c r="J1156">
        <f>G1156*Parameters!$B$2*Parameters!$B$5</f>
        <v>85.163999999999987</v>
      </c>
      <c r="K1156">
        <f>H1156*Parameters!$B$3*Parameters!$B$6</f>
        <v>0</v>
      </c>
      <c r="L1156">
        <f>I1156*Parameters!$B$4*Parameters!$B$7</f>
        <v>0</v>
      </c>
      <c r="M1156">
        <f t="shared" si="18"/>
        <v>85.163999999999987</v>
      </c>
      <c r="N1156">
        <v>4000</v>
      </c>
      <c r="O1156">
        <v>0</v>
      </c>
      <c r="P1156">
        <v>0</v>
      </c>
      <c r="Q1156">
        <v>0</v>
      </c>
    </row>
    <row r="1157" spans="1:17">
      <c r="A1157" t="s">
        <v>81</v>
      </c>
      <c r="B1157" t="s">
        <v>24</v>
      </c>
      <c r="C1157">
        <v>6</v>
      </c>
      <c r="D1157">
        <v>2022</v>
      </c>
      <c r="E1157" s="49" t="s">
        <v>156</v>
      </c>
      <c r="F1157" s="49" t="s">
        <v>163</v>
      </c>
      <c r="G1157">
        <f>'Feb to July, 2022'!AE59+'Feb to July, 2022'!AF59</f>
        <v>35</v>
      </c>
      <c r="H1157">
        <f>'Feb to July, 2022'!AG59</f>
        <v>0</v>
      </c>
      <c r="I1157">
        <f>'Feb to July, 2022'!AH59</f>
        <v>10</v>
      </c>
      <c r="J1157">
        <f>G1157*Parameters!$B$2*Parameters!$B$5</f>
        <v>74.518499999999989</v>
      </c>
      <c r="K1157">
        <f>H1157*Parameters!$B$3*Parameters!$B$6</f>
        <v>0</v>
      </c>
      <c r="L1157">
        <f>I1157*Parameters!$B$4*Parameters!$B$7</f>
        <v>80.963999999999999</v>
      </c>
      <c r="M1157">
        <f t="shared" si="18"/>
        <v>155.48249999999999</v>
      </c>
      <c r="N1157">
        <v>3500</v>
      </c>
      <c r="O1157">
        <v>0</v>
      </c>
      <c r="P1157">
        <v>0</v>
      </c>
      <c r="Q1157">
        <v>3000</v>
      </c>
    </row>
    <row r="1158" spans="1:17">
      <c r="A1158" t="s">
        <v>82</v>
      </c>
      <c r="B1158" t="s">
        <v>83</v>
      </c>
      <c r="C1158">
        <v>4</v>
      </c>
      <c r="D1158">
        <v>2022</v>
      </c>
      <c r="E1158" s="49" t="s">
        <v>156</v>
      </c>
      <c r="F1158" s="49" t="s">
        <v>163</v>
      </c>
      <c r="G1158">
        <f>'Feb to July, 2022'!AE60+'Feb to July, 2022'!AF60</f>
        <v>25</v>
      </c>
      <c r="H1158">
        <f>'Feb to July, 2022'!AG60</f>
        <v>0</v>
      </c>
      <c r="I1158">
        <f>'Feb to July, 2022'!AH60</f>
        <v>15</v>
      </c>
      <c r="J1158">
        <f>G1158*Parameters!$B$2*Parameters!$B$5</f>
        <v>53.227499999999992</v>
      </c>
      <c r="K1158">
        <f>H1158*Parameters!$B$3*Parameters!$B$6</f>
        <v>0</v>
      </c>
      <c r="L1158">
        <f>I1158*Parameters!$B$4*Parameters!$B$7</f>
        <v>121.44600000000001</v>
      </c>
      <c r="M1158">
        <f t="shared" si="18"/>
        <v>174.67349999999999</v>
      </c>
      <c r="N1158">
        <v>2500</v>
      </c>
      <c r="O1158">
        <v>0</v>
      </c>
      <c r="P1158">
        <v>0</v>
      </c>
      <c r="Q1158">
        <v>4500</v>
      </c>
    </row>
    <row r="1159" spans="1:17">
      <c r="A1159" t="s">
        <v>84</v>
      </c>
      <c r="B1159" t="s">
        <v>26</v>
      </c>
      <c r="C1159">
        <v>7</v>
      </c>
      <c r="D1159">
        <v>2022</v>
      </c>
      <c r="E1159" s="49" t="s">
        <v>156</v>
      </c>
      <c r="F1159" s="49" t="s">
        <v>163</v>
      </c>
      <c r="G1159">
        <f>'Feb to July, 2022'!AE61+'Feb to July, 2022'!AF61</f>
        <v>40</v>
      </c>
      <c r="H1159">
        <f>'Feb to July, 2022'!AG61</f>
        <v>0</v>
      </c>
      <c r="I1159">
        <f>'Feb to July, 2022'!AH61</f>
        <v>15</v>
      </c>
      <c r="J1159">
        <f>G1159*Parameters!$B$2*Parameters!$B$5</f>
        <v>85.163999999999987</v>
      </c>
      <c r="K1159">
        <f>H1159*Parameters!$B$3*Parameters!$B$6</f>
        <v>0</v>
      </c>
      <c r="L1159">
        <f>I1159*Parameters!$B$4*Parameters!$B$7</f>
        <v>121.44600000000001</v>
      </c>
      <c r="M1159">
        <f t="shared" si="18"/>
        <v>206.61</v>
      </c>
      <c r="N1159">
        <v>4000</v>
      </c>
      <c r="O1159">
        <v>0</v>
      </c>
      <c r="P1159">
        <v>0</v>
      </c>
      <c r="Q1159">
        <v>4500</v>
      </c>
    </row>
    <row r="1160" spans="1:17">
      <c r="A1160" t="s">
        <v>85</v>
      </c>
      <c r="B1160" t="s">
        <v>24</v>
      </c>
      <c r="C1160">
        <v>6</v>
      </c>
      <c r="D1160">
        <v>2022</v>
      </c>
      <c r="E1160" s="49" t="s">
        <v>156</v>
      </c>
      <c r="F1160" s="49" t="s">
        <v>163</v>
      </c>
      <c r="G1160">
        <f>'Feb to July, 2022'!AE62+'Feb to July, 2022'!AF62</f>
        <v>35</v>
      </c>
      <c r="H1160">
        <f>'Feb to July, 2022'!AG62</f>
        <v>0</v>
      </c>
      <c r="I1160">
        <f>'Feb to July, 2022'!AH62</f>
        <v>14</v>
      </c>
      <c r="J1160">
        <f>G1160*Parameters!$B$2*Parameters!$B$5</f>
        <v>74.518499999999989</v>
      </c>
      <c r="K1160">
        <f>H1160*Parameters!$B$3*Parameters!$B$6</f>
        <v>0</v>
      </c>
      <c r="L1160">
        <f>I1160*Parameters!$B$4*Parameters!$B$7</f>
        <v>113.34960000000001</v>
      </c>
      <c r="M1160">
        <f t="shared" si="18"/>
        <v>187.8681</v>
      </c>
      <c r="N1160">
        <v>3500</v>
      </c>
      <c r="O1160">
        <v>0</v>
      </c>
      <c r="P1160">
        <v>0</v>
      </c>
      <c r="Q1160">
        <v>4200</v>
      </c>
    </row>
    <row r="1161" spans="1:17">
      <c r="A1161" t="s">
        <v>86</v>
      </c>
      <c r="B1161" t="s">
        <v>32</v>
      </c>
      <c r="C1161">
        <v>4</v>
      </c>
      <c r="D1161">
        <v>2022</v>
      </c>
      <c r="E1161" s="49" t="s">
        <v>156</v>
      </c>
      <c r="F1161" s="49" t="s">
        <v>163</v>
      </c>
      <c r="G1161">
        <f>'Feb to July, 2022'!AE63+'Feb to July, 2022'!AF63</f>
        <v>30</v>
      </c>
      <c r="H1161">
        <f>'Feb to July, 2022'!AG63</f>
        <v>0</v>
      </c>
      <c r="I1161">
        <f>'Feb to July, 2022'!AH63</f>
        <v>10</v>
      </c>
      <c r="J1161">
        <f>G1161*Parameters!$B$2*Parameters!$B$5</f>
        <v>63.87299999999999</v>
      </c>
      <c r="K1161">
        <f>H1161*Parameters!$B$3*Parameters!$B$6</f>
        <v>0</v>
      </c>
      <c r="L1161">
        <f>I1161*Parameters!$B$4*Parameters!$B$7</f>
        <v>80.963999999999999</v>
      </c>
      <c r="M1161">
        <f t="shared" si="18"/>
        <v>144.83699999999999</v>
      </c>
      <c r="N1161">
        <v>3000</v>
      </c>
      <c r="O1161">
        <v>0</v>
      </c>
      <c r="P1161">
        <v>0</v>
      </c>
      <c r="Q1161">
        <v>3000</v>
      </c>
    </row>
    <row r="1162" spans="1:17">
      <c r="A1162" t="s">
        <v>87</v>
      </c>
      <c r="B1162" t="s">
        <v>32</v>
      </c>
      <c r="C1162">
        <v>8</v>
      </c>
      <c r="D1162">
        <v>2022</v>
      </c>
      <c r="E1162" s="49" t="s">
        <v>156</v>
      </c>
      <c r="F1162" s="49" t="s">
        <v>163</v>
      </c>
      <c r="G1162">
        <f>'Feb to July, 2022'!AE64+'Feb to July, 2022'!AF64</f>
        <v>35</v>
      </c>
      <c r="H1162">
        <f>'Feb to July, 2022'!AG64</f>
        <v>0</v>
      </c>
      <c r="I1162">
        <f>'Feb to July, 2022'!AH64</f>
        <v>11</v>
      </c>
      <c r="J1162">
        <f>G1162*Parameters!$B$2*Parameters!$B$5</f>
        <v>74.518499999999989</v>
      </c>
      <c r="K1162">
        <f>H1162*Parameters!$B$3*Parameters!$B$6</f>
        <v>0</v>
      </c>
      <c r="L1162">
        <f>I1162*Parameters!$B$4*Parameters!$B$7</f>
        <v>89.060400000000016</v>
      </c>
      <c r="M1162">
        <f t="shared" si="18"/>
        <v>163.5789</v>
      </c>
      <c r="N1162">
        <v>3500</v>
      </c>
      <c r="O1162">
        <v>0</v>
      </c>
      <c r="P1162">
        <v>0</v>
      </c>
      <c r="Q1162">
        <v>3300</v>
      </c>
    </row>
    <row r="1163" spans="1:17">
      <c r="A1163" t="s">
        <v>88</v>
      </c>
      <c r="B1163" t="s">
        <v>32</v>
      </c>
      <c r="C1163">
        <v>7</v>
      </c>
      <c r="D1163">
        <v>2022</v>
      </c>
      <c r="E1163" s="49" t="s">
        <v>156</v>
      </c>
      <c r="F1163" s="49" t="s">
        <v>163</v>
      </c>
      <c r="G1163">
        <f>'Feb to July, 2022'!AE65+'Feb to July, 2022'!AF65</f>
        <v>25</v>
      </c>
      <c r="H1163">
        <f>'Feb to July, 2022'!AG65</f>
        <v>0</v>
      </c>
      <c r="I1163">
        <f>'Feb to July, 2022'!AH65</f>
        <v>5</v>
      </c>
      <c r="J1163">
        <f>G1163*Parameters!$B$2*Parameters!$B$5</f>
        <v>53.227499999999992</v>
      </c>
      <c r="K1163">
        <f>H1163*Parameters!$B$3*Parameters!$B$6</f>
        <v>0</v>
      </c>
      <c r="L1163">
        <f>I1163*Parameters!$B$4*Parameters!$B$7</f>
        <v>40.481999999999999</v>
      </c>
      <c r="M1163">
        <f t="shared" si="18"/>
        <v>93.709499999999991</v>
      </c>
      <c r="N1163">
        <v>2500</v>
      </c>
      <c r="O1163">
        <v>0</v>
      </c>
      <c r="P1163">
        <v>0</v>
      </c>
      <c r="Q1163">
        <v>1500</v>
      </c>
    </row>
    <row r="1164" spans="1:17">
      <c r="A1164" t="s">
        <v>89</v>
      </c>
      <c r="B1164" t="s">
        <v>65</v>
      </c>
      <c r="C1164">
        <v>8</v>
      </c>
      <c r="D1164">
        <v>2022</v>
      </c>
      <c r="E1164" s="49" t="s">
        <v>156</v>
      </c>
      <c r="F1164" s="49" t="s">
        <v>163</v>
      </c>
      <c r="G1164">
        <f>'Feb to July, 2022'!AE66+'Feb to July, 2022'!AF66</f>
        <v>55</v>
      </c>
      <c r="H1164">
        <f>'Feb to July, 2022'!AG66</f>
        <v>0</v>
      </c>
      <c r="I1164">
        <f>'Feb to July, 2022'!AH66</f>
        <v>10</v>
      </c>
      <c r="J1164">
        <f>G1164*Parameters!$B$2*Parameters!$B$5</f>
        <v>117.10049999999998</v>
      </c>
      <c r="K1164">
        <f>H1164*Parameters!$B$3*Parameters!$B$6</f>
        <v>0</v>
      </c>
      <c r="L1164">
        <f>I1164*Parameters!$B$4*Parameters!$B$7</f>
        <v>80.963999999999999</v>
      </c>
      <c r="M1164">
        <f t="shared" si="18"/>
        <v>198.06449999999998</v>
      </c>
      <c r="N1164">
        <v>5500</v>
      </c>
      <c r="O1164">
        <v>0</v>
      </c>
      <c r="P1164">
        <v>0</v>
      </c>
      <c r="Q1164">
        <v>3000</v>
      </c>
    </row>
    <row r="1165" spans="1:17">
      <c r="A1165" t="s">
        <v>90</v>
      </c>
      <c r="B1165" t="s">
        <v>32</v>
      </c>
      <c r="C1165">
        <v>6</v>
      </c>
      <c r="D1165">
        <v>2022</v>
      </c>
      <c r="E1165" s="49" t="s">
        <v>156</v>
      </c>
      <c r="F1165" s="49" t="s">
        <v>163</v>
      </c>
      <c r="G1165">
        <f>'Feb to July, 2022'!AE67+'Feb to July, 2022'!AF67</f>
        <v>35</v>
      </c>
      <c r="H1165">
        <f>'Feb to July, 2022'!AG67</f>
        <v>0</v>
      </c>
      <c r="I1165">
        <f>'Feb to July, 2022'!AH67</f>
        <v>20</v>
      </c>
      <c r="J1165">
        <f>G1165*Parameters!$B$2*Parameters!$B$5</f>
        <v>74.518499999999989</v>
      </c>
      <c r="K1165">
        <f>H1165*Parameters!$B$3*Parameters!$B$6</f>
        <v>0</v>
      </c>
      <c r="L1165">
        <f>I1165*Parameters!$B$4*Parameters!$B$7</f>
        <v>161.928</v>
      </c>
      <c r="M1165">
        <f t="shared" si="18"/>
        <v>236.44649999999999</v>
      </c>
      <c r="N1165">
        <v>3500</v>
      </c>
      <c r="O1165">
        <v>0</v>
      </c>
      <c r="P1165">
        <v>0</v>
      </c>
      <c r="Q1165">
        <v>6000</v>
      </c>
    </row>
    <row r="1166" spans="1:17">
      <c r="A1166" t="s">
        <v>91</v>
      </c>
      <c r="B1166" t="s">
        <v>24</v>
      </c>
      <c r="C1166">
        <v>6</v>
      </c>
      <c r="D1166">
        <v>2022</v>
      </c>
      <c r="E1166" s="49" t="s">
        <v>156</v>
      </c>
      <c r="F1166" s="49" t="s">
        <v>163</v>
      </c>
      <c r="G1166">
        <f>'Feb to July, 2022'!AE68+'Feb to July, 2022'!AF68</f>
        <v>30</v>
      </c>
      <c r="H1166">
        <f>'Feb to July, 2022'!AG68</f>
        <v>0</v>
      </c>
      <c r="I1166">
        <f>'Feb to July, 2022'!AH68</f>
        <v>15</v>
      </c>
      <c r="J1166">
        <f>G1166*Parameters!$B$2*Parameters!$B$5</f>
        <v>63.87299999999999</v>
      </c>
      <c r="K1166">
        <f>H1166*Parameters!$B$3*Parameters!$B$6</f>
        <v>0</v>
      </c>
      <c r="L1166">
        <f>I1166*Parameters!$B$4*Parameters!$B$7</f>
        <v>121.44600000000001</v>
      </c>
      <c r="M1166">
        <f t="shared" si="18"/>
        <v>185.31900000000002</v>
      </c>
      <c r="N1166">
        <v>3000</v>
      </c>
      <c r="O1166">
        <v>0</v>
      </c>
      <c r="P1166">
        <v>0</v>
      </c>
      <c r="Q1166">
        <v>4500</v>
      </c>
    </row>
    <row r="1167" spans="1:17">
      <c r="A1167" t="s">
        <v>92</v>
      </c>
      <c r="B1167" t="s">
        <v>17</v>
      </c>
      <c r="C1167">
        <v>4</v>
      </c>
      <c r="D1167">
        <v>2022</v>
      </c>
      <c r="E1167" s="49" t="s">
        <v>156</v>
      </c>
      <c r="F1167" s="49" t="s">
        <v>163</v>
      </c>
      <c r="G1167">
        <f>'Feb to July, 2022'!AE69+'Feb to July, 2022'!AF69</f>
        <v>15</v>
      </c>
      <c r="H1167">
        <f>'Feb to July, 2022'!AG69</f>
        <v>0</v>
      </c>
      <c r="I1167">
        <f>'Feb to July, 2022'!AH69</f>
        <v>13</v>
      </c>
      <c r="J1167">
        <f>G1167*Parameters!$B$2*Parameters!$B$5</f>
        <v>31.936499999999995</v>
      </c>
      <c r="K1167">
        <f>H1167*Parameters!$B$3*Parameters!$B$6</f>
        <v>0</v>
      </c>
      <c r="L1167">
        <f>I1167*Parameters!$B$4*Parameters!$B$7</f>
        <v>105.25320000000001</v>
      </c>
      <c r="M1167">
        <f t="shared" si="18"/>
        <v>137.18970000000002</v>
      </c>
      <c r="N1167">
        <v>1500</v>
      </c>
      <c r="O1167">
        <v>0</v>
      </c>
      <c r="P1167">
        <v>0</v>
      </c>
      <c r="Q1167">
        <v>3900</v>
      </c>
    </row>
    <row r="1168" spans="1:17">
      <c r="A1168" t="s">
        <v>93</v>
      </c>
      <c r="B1168" t="s">
        <v>19</v>
      </c>
      <c r="C1168">
        <v>7</v>
      </c>
      <c r="D1168">
        <v>2022</v>
      </c>
      <c r="E1168" s="49" t="s">
        <v>156</v>
      </c>
      <c r="F1168" s="49" t="s">
        <v>163</v>
      </c>
      <c r="G1168">
        <f>'Feb to July, 2022'!AE70+'Feb to July, 2022'!AF70</f>
        <v>25</v>
      </c>
      <c r="H1168">
        <f>'Feb to July, 2022'!AG70</f>
        <v>0</v>
      </c>
      <c r="I1168">
        <f>'Feb to July, 2022'!AH70</f>
        <v>10</v>
      </c>
      <c r="J1168">
        <f>G1168*Parameters!$B$2*Parameters!$B$5</f>
        <v>53.227499999999992</v>
      </c>
      <c r="K1168">
        <f>H1168*Parameters!$B$3*Parameters!$B$6</f>
        <v>0</v>
      </c>
      <c r="L1168">
        <f>I1168*Parameters!$B$4*Parameters!$B$7</f>
        <v>80.963999999999999</v>
      </c>
      <c r="M1168">
        <f t="shared" si="18"/>
        <v>134.19149999999999</v>
      </c>
      <c r="N1168">
        <v>2500</v>
      </c>
      <c r="O1168">
        <v>0</v>
      </c>
      <c r="P1168">
        <v>0</v>
      </c>
      <c r="Q1168">
        <v>3000</v>
      </c>
    </row>
    <row r="1169" spans="1:17">
      <c r="A1169" t="s">
        <v>94</v>
      </c>
      <c r="B1169" t="s">
        <v>19</v>
      </c>
      <c r="C1169">
        <v>6</v>
      </c>
      <c r="D1169">
        <v>2022</v>
      </c>
      <c r="E1169" s="49" t="s">
        <v>156</v>
      </c>
      <c r="F1169" s="49" t="s">
        <v>163</v>
      </c>
      <c r="G1169">
        <f>'Feb to July, 2022'!AE71+'Feb to July, 2022'!AF71</f>
        <v>35</v>
      </c>
      <c r="H1169">
        <f>'Feb to July, 2022'!AG71</f>
        <v>0</v>
      </c>
      <c r="I1169">
        <f>'Feb to July, 2022'!AH71</f>
        <v>8</v>
      </c>
      <c r="J1169">
        <f>G1169*Parameters!$B$2*Parameters!$B$5</f>
        <v>74.518499999999989</v>
      </c>
      <c r="K1169">
        <f>H1169*Parameters!$B$3*Parameters!$B$6</f>
        <v>0</v>
      </c>
      <c r="L1169">
        <f>I1169*Parameters!$B$4*Parameters!$B$7</f>
        <v>64.771200000000007</v>
      </c>
      <c r="M1169">
        <f t="shared" si="18"/>
        <v>139.28969999999998</v>
      </c>
      <c r="N1169">
        <v>3500</v>
      </c>
      <c r="O1169">
        <v>0</v>
      </c>
      <c r="P1169">
        <v>0</v>
      </c>
      <c r="Q1169">
        <v>2400</v>
      </c>
    </row>
    <row r="1170" spans="1:17">
      <c r="A1170" t="s">
        <v>95</v>
      </c>
      <c r="B1170" t="s">
        <v>26</v>
      </c>
      <c r="C1170">
        <v>8</v>
      </c>
      <c r="D1170">
        <v>2022</v>
      </c>
      <c r="E1170" s="49" t="s">
        <v>156</v>
      </c>
      <c r="F1170" s="49" t="s">
        <v>163</v>
      </c>
      <c r="G1170">
        <f>'Feb to July, 2022'!AE72+'Feb to July, 2022'!AF72</f>
        <v>40</v>
      </c>
      <c r="H1170">
        <f>'Feb to July, 2022'!AG72</f>
        <v>0</v>
      </c>
      <c r="I1170">
        <f>'Feb to July, 2022'!AH72</f>
        <v>7</v>
      </c>
      <c r="J1170">
        <f>G1170*Parameters!$B$2*Parameters!$B$5</f>
        <v>85.163999999999987</v>
      </c>
      <c r="K1170">
        <f>H1170*Parameters!$B$3*Parameters!$B$6</f>
        <v>0</v>
      </c>
      <c r="L1170">
        <f>I1170*Parameters!$B$4*Parameters!$B$7</f>
        <v>56.674800000000005</v>
      </c>
      <c r="M1170">
        <f t="shared" si="18"/>
        <v>141.83879999999999</v>
      </c>
      <c r="N1170">
        <v>4000</v>
      </c>
      <c r="O1170">
        <v>0</v>
      </c>
      <c r="P1170">
        <v>0</v>
      </c>
      <c r="Q1170">
        <v>2100</v>
      </c>
    </row>
    <row r="1171" spans="1:17">
      <c r="A1171" t="s">
        <v>96</v>
      </c>
      <c r="B1171" t="s">
        <v>19</v>
      </c>
      <c r="C1171">
        <v>8</v>
      </c>
      <c r="D1171">
        <v>2022</v>
      </c>
      <c r="E1171" s="49" t="s">
        <v>156</v>
      </c>
      <c r="F1171" s="49" t="s">
        <v>163</v>
      </c>
      <c r="G1171">
        <f>'Feb to July, 2022'!AE73+'Feb to July, 2022'!AF73</f>
        <v>25</v>
      </c>
      <c r="H1171">
        <f>'Feb to July, 2022'!AG73</f>
        <v>0</v>
      </c>
      <c r="I1171">
        <f>'Feb to July, 2022'!AH73</f>
        <v>10</v>
      </c>
      <c r="J1171">
        <f>G1171*Parameters!$B$2*Parameters!$B$5</f>
        <v>53.227499999999992</v>
      </c>
      <c r="K1171">
        <f>H1171*Parameters!$B$3*Parameters!$B$6</f>
        <v>0</v>
      </c>
      <c r="L1171">
        <f>I1171*Parameters!$B$4*Parameters!$B$7</f>
        <v>80.963999999999999</v>
      </c>
      <c r="M1171">
        <f t="shared" si="18"/>
        <v>134.19149999999999</v>
      </c>
      <c r="N1171">
        <v>2500</v>
      </c>
      <c r="O1171">
        <v>0</v>
      </c>
      <c r="P1171">
        <v>0</v>
      </c>
      <c r="Q1171">
        <v>3000</v>
      </c>
    </row>
    <row r="1172" spans="1:17">
      <c r="A1172" t="s">
        <v>97</v>
      </c>
      <c r="B1172" t="s">
        <v>17</v>
      </c>
      <c r="C1172">
        <v>4</v>
      </c>
      <c r="D1172">
        <v>2022</v>
      </c>
      <c r="E1172" s="49" t="s">
        <v>156</v>
      </c>
      <c r="F1172" s="49" t="s">
        <v>163</v>
      </c>
      <c r="G1172">
        <f>'Feb to July, 2022'!AE74+'Feb to July, 2022'!AF74</f>
        <v>35</v>
      </c>
      <c r="H1172">
        <f>'Feb to July, 2022'!AG74</f>
        <v>0</v>
      </c>
      <c r="I1172">
        <f>'Feb to July, 2022'!AH74</f>
        <v>5</v>
      </c>
      <c r="J1172">
        <f>G1172*Parameters!$B$2*Parameters!$B$5</f>
        <v>74.518499999999989</v>
      </c>
      <c r="K1172">
        <f>H1172*Parameters!$B$3*Parameters!$B$6</f>
        <v>0</v>
      </c>
      <c r="L1172">
        <f>I1172*Parameters!$B$4*Parameters!$B$7</f>
        <v>40.481999999999999</v>
      </c>
      <c r="M1172">
        <f t="shared" si="18"/>
        <v>115.00049999999999</v>
      </c>
      <c r="N1172">
        <v>3500</v>
      </c>
      <c r="O1172">
        <v>0</v>
      </c>
      <c r="P1172">
        <v>0</v>
      </c>
      <c r="Q1172">
        <v>1500</v>
      </c>
    </row>
    <row r="1173" spans="1:17">
      <c r="A1173" t="s">
        <v>98</v>
      </c>
      <c r="B1173" t="s">
        <v>65</v>
      </c>
      <c r="C1173">
        <v>5</v>
      </c>
      <c r="D1173">
        <v>2022</v>
      </c>
      <c r="E1173" s="49" t="s">
        <v>156</v>
      </c>
      <c r="F1173" s="49" t="s">
        <v>163</v>
      </c>
      <c r="G1173">
        <f>'Feb to July, 2022'!AE75+'Feb to July, 2022'!AF75</f>
        <v>30</v>
      </c>
      <c r="H1173">
        <f>'Feb to July, 2022'!AG75</f>
        <v>0</v>
      </c>
      <c r="I1173">
        <f>'Feb to July, 2022'!AH75</f>
        <v>15</v>
      </c>
      <c r="J1173">
        <f>G1173*Parameters!$B$2*Parameters!$B$5</f>
        <v>63.87299999999999</v>
      </c>
      <c r="K1173">
        <f>H1173*Parameters!$B$3*Parameters!$B$6</f>
        <v>0</v>
      </c>
      <c r="L1173">
        <f>I1173*Parameters!$B$4*Parameters!$B$7</f>
        <v>121.44600000000001</v>
      </c>
      <c r="M1173">
        <f t="shared" si="18"/>
        <v>185.31900000000002</v>
      </c>
      <c r="N1173">
        <v>3000</v>
      </c>
      <c r="O1173">
        <v>0</v>
      </c>
      <c r="P1173">
        <v>0</v>
      </c>
      <c r="Q1173">
        <v>4500</v>
      </c>
    </row>
    <row r="1174" spans="1:17">
      <c r="A1174" t="s">
        <v>99</v>
      </c>
      <c r="B1174" t="s">
        <v>32</v>
      </c>
      <c r="C1174">
        <v>9</v>
      </c>
      <c r="D1174">
        <v>2022</v>
      </c>
      <c r="E1174" s="49" t="s">
        <v>156</v>
      </c>
      <c r="F1174" s="49" t="s">
        <v>163</v>
      </c>
      <c r="G1174">
        <f>'Feb to July, 2022'!AE76+'Feb to July, 2022'!AF76</f>
        <v>45</v>
      </c>
      <c r="H1174">
        <f>'Feb to July, 2022'!AG76</f>
        <v>0</v>
      </c>
      <c r="I1174">
        <f>'Feb to July, 2022'!AH76</f>
        <v>10</v>
      </c>
      <c r="J1174">
        <f>G1174*Parameters!$B$2*Parameters!$B$5</f>
        <v>95.809499999999986</v>
      </c>
      <c r="K1174">
        <f>H1174*Parameters!$B$3*Parameters!$B$6</f>
        <v>0</v>
      </c>
      <c r="L1174">
        <f>I1174*Parameters!$B$4*Parameters!$B$7</f>
        <v>80.963999999999999</v>
      </c>
      <c r="M1174">
        <f t="shared" si="18"/>
        <v>176.77349999999998</v>
      </c>
      <c r="N1174">
        <v>4500</v>
      </c>
      <c r="O1174">
        <v>0</v>
      </c>
      <c r="P1174">
        <v>0</v>
      </c>
      <c r="Q1174">
        <v>3000</v>
      </c>
    </row>
    <row r="1175" spans="1:17">
      <c r="A1175" t="s">
        <v>100</v>
      </c>
      <c r="B1175" t="s">
        <v>40</v>
      </c>
      <c r="C1175">
        <v>8</v>
      </c>
      <c r="D1175">
        <v>2022</v>
      </c>
      <c r="E1175" s="49" t="s">
        <v>156</v>
      </c>
      <c r="F1175" s="49" t="s">
        <v>163</v>
      </c>
      <c r="G1175">
        <f>'Feb to July, 2022'!AE77+'Feb to July, 2022'!AF77</f>
        <v>32</v>
      </c>
      <c r="H1175">
        <f>'Feb to July, 2022'!AG77</f>
        <v>0</v>
      </c>
      <c r="I1175">
        <f>'Feb to July, 2022'!AH77</f>
        <v>10</v>
      </c>
      <c r="J1175">
        <f>G1175*Parameters!$B$2*Parameters!$B$5</f>
        <v>68.131199999999993</v>
      </c>
      <c r="K1175">
        <f>H1175*Parameters!$B$3*Parameters!$B$6</f>
        <v>0</v>
      </c>
      <c r="L1175">
        <f>I1175*Parameters!$B$4*Parameters!$B$7</f>
        <v>80.963999999999999</v>
      </c>
      <c r="M1175">
        <f t="shared" si="18"/>
        <v>149.09519999999998</v>
      </c>
      <c r="N1175">
        <v>3200</v>
      </c>
      <c r="O1175">
        <v>0</v>
      </c>
      <c r="P1175">
        <v>0</v>
      </c>
      <c r="Q1175">
        <v>3000</v>
      </c>
    </row>
    <row r="1176" spans="1:17">
      <c r="A1176" t="s">
        <v>101</v>
      </c>
      <c r="B1176" t="s">
        <v>38</v>
      </c>
      <c r="C1176">
        <v>5</v>
      </c>
      <c r="D1176">
        <v>2022</v>
      </c>
      <c r="E1176" s="49" t="s">
        <v>156</v>
      </c>
      <c r="F1176" s="49" t="s">
        <v>163</v>
      </c>
      <c r="G1176">
        <f>'Feb to July, 2022'!AE78+'Feb to July, 2022'!AF78</f>
        <v>43</v>
      </c>
      <c r="H1176">
        <f>'Feb to July, 2022'!AG78</f>
        <v>0</v>
      </c>
      <c r="I1176">
        <f>'Feb to July, 2022'!AH78</f>
        <v>10</v>
      </c>
      <c r="J1176">
        <f>G1176*Parameters!$B$2*Parameters!$B$5</f>
        <v>91.551299999999983</v>
      </c>
      <c r="K1176">
        <f>H1176*Parameters!$B$3*Parameters!$B$6</f>
        <v>0</v>
      </c>
      <c r="L1176">
        <f>I1176*Parameters!$B$4*Parameters!$B$7</f>
        <v>80.963999999999999</v>
      </c>
      <c r="M1176">
        <f t="shared" si="18"/>
        <v>172.51529999999997</v>
      </c>
      <c r="N1176">
        <v>4300</v>
      </c>
      <c r="O1176">
        <v>0</v>
      </c>
      <c r="P1176">
        <v>0</v>
      </c>
      <c r="Q1176">
        <v>3000</v>
      </c>
    </row>
    <row r="1177" spans="1:17">
      <c r="A1177" t="s">
        <v>102</v>
      </c>
      <c r="B1177" t="s">
        <v>17</v>
      </c>
      <c r="C1177">
        <v>4</v>
      </c>
      <c r="D1177">
        <v>2022</v>
      </c>
      <c r="E1177" s="49" t="s">
        <v>156</v>
      </c>
      <c r="F1177" s="49" t="s">
        <v>163</v>
      </c>
      <c r="G1177">
        <f>'Feb to July, 2022'!AE79+'Feb to July, 2022'!AF79</f>
        <v>33</v>
      </c>
      <c r="H1177">
        <f>'Feb to July, 2022'!AG79</f>
        <v>0</v>
      </c>
      <c r="I1177">
        <f>'Feb to July, 2022'!AH79</f>
        <v>15</v>
      </c>
      <c r="J1177">
        <f>G1177*Parameters!$B$2*Parameters!$B$5</f>
        <v>70.260300000000001</v>
      </c>
      <c r="K1177">
        <f>H1177*Parameters!$B$3*Parameters!$B$6</f>
        <v>0</v>
      </c>
      <c r="L1177">
        <f>I1177*Parameters!$B$4*Parameters!$B$7</f>
        <v>121.44600000000001</v>
      </c>
      <c r="M1177">
        <f t="shared" si="18"/>
        <v>191.7063</v>
      </c>
      <c r="N1177">
        <v>3300</v>
      </c>
      <c r="O1177">
        <v>0</v>
      </c>
      <c r="P1177">
        <v>0</v>
      </c>
      <c r="Q1177">
        <v>4500</v>
      </c>
    </row>
    <row r="1178" spans="1:17">
      <c r="A1178" t="s">
        <v>103</v>
      </c>
      <c r="B1178" t="s">
        <v>26</v>
      </c>
      <c r="C1178">
        <v>6</v>
      </c>
      <c r="D1178">
        <v>2022</v>
      </c>
      <c r="E1178" s="49" t="s">
        <v>156</v>
      </c>
      <c r="F1178" s="49" t="s">
        <v>163</v>
      </c>
      <c r="G1178">
        <f>'Feb to July, 2022'!AE80+'Feb to July, 2022'!AF80</f>
        <v>28</v>
      </c>
      <c r="H1178">
        <f>'Feb to July, 2022'!AG80</f>
        <v>0</v>
      </c>
      <c r="I1178">
        <f>'Feb to July, 2022'!AH80</f>
        <v>10</v>
      </c>
      <c r="J1178">
        <f>G1178*Parameters!$B$2*Parameters!$B$5</f>
        <v>59.614799999999995</v>
      </c>
      <c r="K1178">
        <f>H1178*Parameters!$B$3*Parameters!$B$6</f>
        <v>0</v>
      </c>
      <c r="L1178">
        <f>I1178*Parameters!$B$4*Parameters!$B$7</f>
        <v>80.963999999999999</v>
      </c>
      <c r="M1178">
        <f t="shared" si="18"/>
        <v>140.5788</v>
      </c>
      <c r="N1178">
        <v>2800</v>
      </c>
      <c r="O1178">
        <v>0</v>
      </c>
      <c r="P1178">
        <v>0</v>
      </c>
      <c r="Q1178">
        <v>3000</v>
      </c>
    </row>
    <row r="1179" spans="1:17">
      <c r="A1179" t="s">
        <v>104</v>
      </c>
      <c r="B1179" t="s">
        <v>26</v>
      </c>
      <c r="C1179">
        <v>7</v>
      </c>
      <c r="D1179">
        <v>2022</v>
      </c>
      <c r="E1179" s="49" t="s">
        <v>156</v>
      </c>
      <c r="F1179" s="49" t="s">
        <v>163</v>
      </c>
      <c r="G1179">
        <f>'Feb to July, 2022'!AE81+'Feb to July, 2022'!AF81</f>
        <v>25</v>
      </c>
      <c r="H1179">
        <f>'Feb to July, 2022'!AG81</f>
        <v>0</v>
      </c>
      <c r="I1179">
        <f>'Feb to July, 2022'!AH81</f>
        <v>15</v>
      </c>
      <c r="J1179">
        <f>G1179*Parameters!$B$2*Parameters!$B$5</f>
        <v>53.227499999999992</v>
      </c>
      <c r="K1179">
        <f>H1179*Parameters!$B$3*Parameters!$B$6</f>
        <v>0</v>
      </c>
      <c r="L1179">
        <f>I1179*Parameters!$B$4*Parameters!$B$7</f>
        <v>121.44600000000001</v>
      </c>
      <c r="M1179">
        <f t="shared" si="18"/>
        <v>174.67349999999999</v>
      </c>
      <c r="N1179">
        <v>2500</v>
      </c>
      <c r="O1179">
        <v>0</v>
      </c>
      <c r="P1179">
        <v>0</v>
      </c>
      <c r="Q1179">
        <v>4500</v>
      </c>
    </row>
    <row r="1180" spans="1:17">
      <c r="A1180" t="s">
        <v>105</v>
      </c>
      <c r="B1180" t="s">
        <v>21</v>
      </c>
      <c r="C1180">
        <v>5</v>
      </c>
      <c r="D1180">
        <v>2022</v>
      </c>
      <c r="E1180" s="49" t="s">
        <v>156</v>
      </c>
      <c r="F1180" s="49" t="s">
        <v>163</v>
      </c>
      <c r="G1180">
        <f>'Feb to July, 2022'!AE82+'Feb to July, 2022'!AF82</f>
        <v>43</v>
      </c>
      <c r="H1180">
        <f>'Feb to July, 2022'!AG82</f>
        <v>0</v>
      </c>
      <c r="I1180">
        <f>'Feb to July, 2022'!AH82</f>
        <v>20</v>
      </c>
      <c r="J1180">
        <f>G1180*Parameters!$B$2*Parameters!$B$5</f>
        <v>91.551299999999983</v>
      </c>
      <c r="K1180">
        <f>H1180*Parameters!$B$3*Parameters!$B$6</f>
        <v>0</v>
      </c>
      <c r="L1180">
        <f>I1180*Parameters!$B$4*Parameters!$B$7</f>
        <v>161.928</v>
      </c>
      <c r="M1180">
        <f t="shared" si="18"/>
        <v>253.47929999999997</v>
      </c>
      <c r="N1180">
        <v>4300</v>
      </c>
      <c r="O1180">
        <v>0</v>
      </c>
      <c r="P1180">
        <v>0</v>
      </c>
      <c r="Q1180">
        <v>6000</v>
      </c>
    </row>
    <row r="1181" spans="1:17">
      <c r="A1181" t="s">
        <v>106</v>
      </c>
      <c r="B1181" t="s">
        <v>24</v>
      </c>
      <c r="C1181">
        <v>6</v>
      </c>
      <c r="D1181">
        <v>2022</v>
      </c>
      <c r="E1181" s="49" t="s">
        <v>156</v>
      </c>
      <c r="F1181" s="49" t="s">
        <v>163</v>
      </c>
      <c r="G1181">
        <f>'Feb to July, 2022'!AE83+'Feb to July, 2022'!AF83</f>
        <v>36</v>
      </c>
      <c r="H1181">
        <f>'Feb to July, 2022'!AG83</f>
        <v>0</v>
      </c>
      <c r="I1181">
        <f>'Feb to July, 2022'!AH83</f>
        <v>15</v>
      </c>
      <c r="J1181">
        <f>G1181*Parameters!$B$2*Parameters!$B$5</f>
        <v>76.647599999999997</v>
      </c>
      <c r="K1181">
        <f>H1181*Parameters!$B$3*Parameters!$B$6</f>
        <v>0</v>
      </c>
      <c r="L1181">
        <f>I1181*Parameters!$B$4*Parameters!$B$7</f>
        <v>121.44600000000001</v>
      </c>
      <c r="M1181">
        <f t="shared" si="18"/>
        <v>198.09360000000001</v>
      </c>
      <c r="N1181">
        <v>3600</v>
      </c>
      <c r="O1181">
        <v>0</v>
      </c>
      <c r="P1181">
        <v>0</v>
      </c>
      <c r="Q1181">
        <v>4500</v>
      </c>
    </row>
    <row r="1182" spans="1:17">
      <c r="A1182" t="s">
        <v>107</v>
      </c>
      <c r="B1182" t="s">
        <v>21</v>
      </c>
      <c r="C1182">
        <v>4</v>
      </c>
      <c r="D1182">
        <v>2022</v>
      </c>
      <c r="E1182" s="49" t="s">
        <v>156</v>
      </c>
      <c r="F1182" s="49" t="s">
        <v>163</v>
      </c>
      <c r="G1182">
        <f>'Feb to July, 2022'!AE84+'Feb to July, 2022'!AF84</f>
        <v>35</v>
      </c>
      <c r="H1182">
        <f>'Feb to July, 2022'!AG84</f>
        <v>0</v>
      </c>
      <c r="I1182">
        <f>'Feb to July, 2022'!AH84</f>
        <v>10</v>
      </c>
      <c r="J1182">
        <f>G1182*Parameters!$B$2*Parameters!$B$5</f>
        <v>74.518499999999989</v>
      </c>
      <c r="K1182">
        <f>H1182*Parameters!$B$3*Parameters!$B$6</f>
        <v>0</v>
      </c>
      <c r="L1182">
        <f>I1182*Parameters!$B$4*Parameters!$B$7</f>
        <v>80.963999999999999</v>
      </c>
      <c r="M1182">
        <f t="shared" si="18"/>
        <v>155.48249999999999</v>
      </c>
      <c r="N1182">
        <v>3500</v>
      </c>
      <c r="O1182">
        <v>0</v>
      </c>
      <c r="P1182">
        <v>0</v>
      </c>
      <c r="Q1182">
        <v>3000</v>
      </c>
    </row>
    <row r="1183" spans="1:17">
      <c r="A1183" t="s">
        <v>108</v>
      </c>
      <c r="B1183" t="s">
        <v>24</v>
      </c>
      <c r="C1183">
        <v>5</v>
      </c>
      <c r="D1183">
        <v>2022</v>
      </c>
      <c r="E1183" s="49" t="s">
        <v>156</v>
      </c>
      <c r="F1183" s="49" t="s">
        <v>163</v>
      </c>
      <c r="G1183">
        <f>'Feb to July, 2022'!AE85+'Feb to July, 2022'!AF85</f>
        <v>40</v>
      </c>
      <c r="H1183">
        <f>'Feb to July, 2022'!AG85</f>
        <v>0</v>
      </c>
      <c r="I1183">
        <f>'Feb to July, 2022'!AH85</f>
        <v>14</v>
      </c>
      <c r="J1183">
        <f>G1183*Parameters!$B$2*Parameters!$B$5</f>
        <v>85.163999999999987</v>
      </c>
      <c r="K1183">
        <f>H1183*Parameters!$B$3*Parameters!$B$6</f>
        <v>0</v>
      </c>
      <c r="L1183">
        <f>I1183*Parameters!$B$4*Parameters!$B$7</f>
        <v>113.34960000000001</v>
      </c>
      <c r="M1183">
        <f t="shared" si="18"/>
        <v>198.5136</v>
      </c>
      <c r="N1183">
        <v>4000</v>
      </c>
      <c r="O1183">
        <v>0</v>
      </c>
      <c r="P1183">
        <v>0</v>
      </c>
      <c r="Q1183">
        <v>4200</v>
      </c>
    </row>
    <row r="1184" spans="1:17">
      <c r="A1184" t="s">
        <v>109</v>
      </c>
      <c r="B1184" t="s">
        <v>32</v>
      </c>
      <c r="C1184">
        <v>6</v>
      </c>
      <c r="D1184">
        <v>2022</v>
      </c>
      <c r="E1184" s="49" t="s">
        <v>156</v>
      </c>
      <c r="F1184" s="49" t="s">
        <v>163</v>
      </c>
      <c r="G1184">
        <f>'Feb to July, 2022'!AE86+'Feb to July, 2022'!AF86</f>
        <v>40</v>
      </c>
      <c r="H1184">
        <f>'Feb to July, 2022'!AG86</f>
        <v>0</v>
      </c>
      <c r="I1184">
        <f>'Feb to July, 2022'!AH86</f>
        <v>13</v>
      </c>
      <c r="J1184">
        <f>G1184*Parameters!$B$2*Parameters!$B$5</f>
        <v>85.163999999999987</v>
      </c>
      <c r="K1184">
        <f>H1184*Parameters!$B$3*Parameters!$B$6</f>
        <v>0</v>
      </c>
      <c r="L1184">
        <f>I1184*Parameters!$B$4*Parameters!$B$7</f>
        <v>105.25320000000001</v>
      </c>
      <c r="M1184">
        <f t="shared" si="18"/>
        <v>190.41719999999998</v>
      </c>
      <c r="N1184">
        <v>4000</v>
      </c>
      <c r="O1184">
        <v>0</v>
      </c>
      <c r="P1184">
        <v>0</v>
      </c>
      <c r="Q1184">
        <v>3900</v>
      </c>
    </row>
    <row r="1185" spans="1:17">
      <c r="A1185" t="s">
        <v>110</v>
      </c>
      <c r="B1185" t="s">
        <v>21</v>
      </c>
      <c r="C1185">
        <v>3</v>
      </c>
      <c r="D1185">
        <v>2022</v>
      </c>
      <c r="E1185" s="49" t="s">
        <v>156</v>
      </c>
      <c r="F1185" s="49" t="s">
        <v>163</v>
      </c>
      <c r="G1185">
        <f>'Feb to July, 2022'!AE87+'Feb to July, 2022'!AF87</f>
        <v>32</v>
      </c>
      <c r="H1185">
        <f>'Feb to July, 2022'!AG87</f>
        <v>0</v>
      </c>
      <c r="I1185">
        <f>'Feb to July, 2022'!AH87</f>
        <v>10</v>
      </c>
      <c r="J1185">
        <f>G1185*Parameters!$B$2*Parameters!$B$5</f>
        <v>68.131199999999993</v>
      </c>
      <c r="K1185">
        <f>H1185*Parameters!$B$3*Parameters!$B$6</f>
        <v>0</v>
      </c>
      <c r="L1185">
        <f>I1185*Parameters!$B$4*Parameters!$B$7</f>
        <v>80.963999999999999</v>
      </c>
      <c r="M1185">
        <f t="shared" si="18"/>
        <v>149.09519999999998</v>
      </c>
      <c r="N1185">
        <v>3200</v>
      </c>
      <c r="O1185">
        <v>0</v>
      </c>
      <c r="P1185">
        <v>0</v>
      </c>
      <c r="Q1185">
        <v>3000</v>
      </c>
    </row>
    <row r="1186" spans="1:17">
      <c r="A1186" t="s">
        <v>111</v>
      </c>
      <c r="B1186" t="s">
        <v>26</v>
      </c>
      <c r="C1186">
        <v>6</v>
      </c>
      <c r="D1186">
        <v>2022</v>
      </c>
      <c r="E1186" s="49" t="s">
        <v>156</v>
      </c>
      <c r="F1186" s="49" t="s">
        <v>163</v>
      </c>
      <c r="G1186">
        <f>'Feb to July, 2022'!AE88+'Feb to July, 2022'!AF88</f>
        <v>26</v>
      </c>
      <c r="H1186">
        <f>'Feb to July, 2022'!AG88</f>
        <v>0</v>
      </c>
      <c r="I1186">
        <f>'Feb to July, 2022'!AH88</f>
        <v>10</v>
      </c>
      <c r="J1186">
        <f>G1186*Parameters!$B$2*Parameters!$B$5</f>
        <v>55.356599999999993</v>
      </c>
      <c r="K1186">
        <f>H1186*Parameters!$B$3*Parameters!$B$6</f>
        <v>0</v>
      </c>
      <c r="L1186">
        <f>I1186*Parameters!$B$4*Parameters!$B$7</f>
        <v>80.963999999999999</v>
      </c>
      <c r="M1186">
        <f t="shared" si="18"/>
        <v>136.32059999999998</v>
      </c>
      <c r="N1186">
        <v>2600</v>
      </c>
      <c r="O1186">
        <v>0</v>
      </c>
      <c r="P1186">
        <v>0</v>
      </c>
      <c r="Q1186">
        <v>3000</v>
      </c>
    </row>
    <row r="1187" spans="1:17">
      <c r="A1187" t="s">
        <v>112</v>
      </c>
      <c r="B1187" t="s">
        <v>19</v>
      </c>
      <c r="C1187">
        <v>7</v>
      </c>
      <c r="D1187">
        <v>2022</v>
      </c>
      <c r="E1187" s="49" t="s">
        <v>156</v>
      </c>
      <c r="F1187" s="49" t="s">
        <v>163</v>
      </c>
      <c r="G1187">
        <f>'Feb to July, 2022'!AE89+'Feb to July, 2022'!AF89</f>
        <v>25</v>
      </c>
      <c r="H1187">
        <f>'Feb to July, 2022'!AG89</f>
        <v>0</v>
      </c>
      <c r="I1187">
        <f>'Feb to July, 2022'!AH89</f>
        <v>10</v>
      </c>
      <c r="J1187">
        <f>G1187*Parameters!$B$2*Parameters!$B$5</f>
        <v>53.227499999999992</v>
      </c>
      <c r="K1187">
        <f>H1187*Parameters!$B$3*Parameters!$B$6</f>
        <v>0</v>
      </c>
      <c r="L1187">
        <f>I1187*Parameters!$B$4*Parameters!$B$7</f>
        <v>80.963999999999999</v>
      </c>
      <c r="M1187">
        <f t="shared" si="18"/>
        <v>134.19149999999999</v>
      </c>
      <c r="N1187">
        <v>0</v>
      </c>
      <c r="O1187">
        <v>2500</v>
      </c>
      <c r="P1187">
        <v>0</v>
      </c>
      <c r="Q1187">
        <v>3000</v>
      </c>
    </row>
    <row r="1188" spans="1:17">
      <c r="A1188" t="s">
        <v>113</v>
      </c>
      <c r="B1188" t="s">
        <v>26</v>
      </c>
      <c r="C1188">
        <v>4</v>
      </c>
      <c r="D1188">
        <v>2022</v>
      </c>
      <c r="E1188" s="49" t="s">
        <v>156</v>
      </c>
      <c r="F1188" s="49" t="s">
        <v>163</v>
      </c>
      <c r="G1188">
        <f>'Feb to July, 2022'!AE90+'Feb to July, 2022'!AF90</f>
        <v>34</v>
      </c>
      <c r="H1188">
        <f>'Feb to July, 2022'!AG90</f>
        <v>0</v>
      </c>
      <c r="I1188">
        <f>'Feb to July, 2022'!AH90</f>
        <v>20</v>
      </c>
      <c r="J1188">
        <f>G1188*Parameters!$B$2*Parameters!$B$5</f>
        <v>72.389399999999995</v>
      </c>
      <c r="K1188">
        <f>H1188*Parameters!$B$3*Parameters!$B$6</f>
        <v>0</v>
      </c>
      <c r="L1188">
        <f>I1188*Parameters!$B$4*Parameters!$B$7</f>
        <v>161.928</v>
      </c>
      <c r="M1188">
        <f t="shared" si="18"/>
        <v>234.31739999999999</v>
      </c>
      <c r="N1188">
        <v>3400</v>
      </c>
      <c r="O1188">
        <v>0</v>
      </c>
      <c r="P1188">
        <v>0</v>
      </c>
      <c r="Q1188">
        <v>6000</v>
      </c>
    </row>
    <row r="1189" spans="1:17">
      <c r="A1189" t="s">
        <v>114</v>
      </c>
      <c r="B1189" t="s">
        <v>65</v>
      </c>
      <c r="C1189">
        <v>8</v>
      </c>
      <c r="D1189">
        <v>2022</v>
      </c>
      <c r="E1189" s="49" t="s">
        <v>156</v>
      </c>
      <c r="F1189" s="49" t="s">
        <v>163</v>
      </c>
      <c r="G1189">
        <f>'Feb to July, 2022'!AE91+'Feb to July, 2022'!AF91</f>
        <v>32</v>
      </c>
      <c r="H1189">
        <f>'Feb to July, 2022'!AG91</f>
        <v>0</v>
      </c>
      <c r="I1189">
        <f>'Feb to July, 2022'!AH91</f>
        <v>20</v>
      </c>
      <c r="J1189">
        <f>G1189*Parameters!$B$2*Parameters!$B$5</f>
        <v>68.131199999999993</v>
      </c>
      <c r="K1189">
        <f>H1189*Parameters!$B$3*Parameters!$B$6</f>
        <v>0</v>
      </c>
      <c r="L1189">
        <f>I1189*Parameters!$B$4*Parameters!$B$7</f>
        <v>161.928</v>
      </c>
      <c r="M1189">
        <f t="shared" si="18"/>
        <v>230.05919999999998</v>
      </c>
      <c r="N1189">
        <v>3200</v>
      </c>
      <c r="O1189">
        <v>0</v>
      </c>
      <c r="P1189">
        <v>0</v>
      </c>
      <c r="Q1189">
        <v>6000</v>
      </c>
    </row>
    <row r="1190" spans="1:17">
      <c r="A1190" t="s">
        <v>115</v>
      </c>
      <c r="B1190" t="s">
        <v>19</v>
      </c>
      <c r="C1190">
        <v>8</v>
      </c>
      <c r="D1190">
        <v>2022</v>
      </c>
      <c r="E1190" s="49" t="s">
        <v>156</v>
      </c>
      <c r="F1190" s="49" t="s">
        <v>163</v>
      </c>
      <c r="G1190">
        <f>'Feb to July, 2022'!AE92+'Feb to July, 2022'!AF92</f>
        <v>30</v>
      </c>
      <c r="H1190">
        <f>'Feb to July, 2022'!AG92</f>
        <v>0</v>
      </c>
      <c r="I1190">
        <f>'Feb to July, 2022'!AH92</f>
        <v>15</v>
      </c>
      <c r="J1190">
        <f>G1190*Parameters!$B$2*Parameters!$B$5</f>
        <v>63.87299999999999</v>
      </c>
      <c r="K1190">
        <f>H1190*Parameters!$B$3*Parameters!$B$6</f>
        <v>0</v>
      </c>
      <c r="L1190">
        <f>I1190*Parameters!$B$4*Parameters!$B$7</f>
        <v>121.44600000000001</v>
      </c>
      <c r="M1190">
        <f t="shared" si="18"/>
        <v>185.31900000000002</v>
      </c>
      <c r="N1190">
        <v>3000</v>
      </c>
      <c r="O1190">
        <v>0</v>
      </c>
      <c r="P1190">
        <v>0</v>
      </c>
      <c r="Q1190">
        <v>4500</v>
      </c>
    </row>
    <row r="1191" spans="1:17">
      <c r="A1191" t="s">
        <v>116</v>
      </c>
      <c r="B1191" t="s">
        <v>21</v>
      </c>
      <c r="C1191">
        <v>4</v>
      </c>
      <c r="D1191">
        <v>2022</v>
      </c>
      <c r="E1191" s="49" t="s">
        <v>156</v>
      </c>
      <c r="F1191" s="49" t="s">
        <v>163</v>
      </c>
      <c r="G1191">
        <f>'Feb to July, 2022'!AE93+'Feb to July, 2022'!AF93</f>
        <v>25</v>
      </c>
      <c r="H1191">
        <f>'Feb to July, 2022'!AG93</f>
        <v>0</v>
      </c>
      <c r="I1191">
        <f>'Feb to July, 2022'!AH93</f>
        <v>10</v>
      </c>
      <c r="J1191">
        <f>G1191*Parameters!$B$2*Parameters!$B$5</f>
        <v>53.227499999999992</v>
      </c>
      <c r="K1191">
        <f>H1191*Parameters!$B$3*Parameters!$B$6</f>
        <v>0</v>
      </c>
      <c r="L1191">
        <f>I1191*Parameters!$B$4*Parameters!$B$7</f>
        <v>80.963999999999999</v>
      </c>
      <c r="M1191">
        <f t="shared" si="18"/>
        <v>134.19149999999999</v>
      </c>
      <c r="N1191">
        <v>2500</v>
      </c>
      <c r="O1191">
        <v>0</v>
      </c>
      <c r="P1191">
        <v>0</v>
      </c>
      <c r="Q1191">
        <v>3000</v>
      </c>
    </row>
    <row r="1192" spans="1:17">
      <c r="A1192" t="s">
        <v>117</v>
      </c>
      <c r="B1192" t="s">
        <v>17</v>
      </c>
      <c r="C1192">
        <v>9</v>
      </c>
      <c r="D1192">
        <v>2022</v>
      </c>
      <c r="E1192" s="49" t="s">
        <v>156</v>
      </c>
      <c r="F1192" s="49" t="s">
        <v>163</v>
      </c>
      <c r="G1192">
        <f>'Feb to July, 2022'!AE94+'Feb to July, 2022'!AF94</f>
        <v>25</v>
      </c>
      <c r="H1192">
        <f>'Feb to July, 2022'!AG94</f>
        <v>0</v>
      </c>
      <c r="I1192">
        <f>'Feb to July, 2022'!AH94</f>
        <v>10</v>
      </c>
      <c r="J1192">
        <f>G1192*Parameters!$B$2*Parameters!$B$5</f>
        <v>53.227499999999992</v>
      </c>
      <c r="K1192">
        <f>H1192*Parameters!$B$3*Parameters!$B$6</f>
        <v>0</v>
      </c>
      <c r="L1192">
        <f>I1192*Parameters!$B$4*Parameters!$B$7</f>
        <v>80.963999999999999</v>
      </c>
      <c r="M1192">
        <f t="shared" si="18"/>
        <v>134.19149999999999</v>
      </c>
      <c r="N1192">
        <v>2500</v>
      </c>
      <c r="O1192">
        <v>0</v>
      </c>
      <c r="P1192">
        <v>0</v>
      </c>
      <c r="Q1192">
        <v>3000</v>
      </c>
    </row>
    <row r="1193" spans="1:17">
      <c r="A1193" t="s">
        <v>118</v>
      </c>
      <c r="B1193" t="s">
        <v>19</v>
      </c>
      <c r="C1193">
        <v>4</v>
      </c>
      <c r="D1193">
        <v>2022</v>
      </c>
      <c r="E1193" s="49" t="s">
        <v>156</v>
      </c>
      <c r="F1193" s="49" t="s">
        <v>163</v>
      </c>
      <c r="G1193">
        <f>'Feb to July, 2022'!AE95+'Feb to July, 2022'!AF95</f>
        <v>34</v>
      </c>
      <c r="H1193">
        <f>'Feb to July, 2022'!AG95</f>
        <v>0</v>
      </c>
      <c r="I1193">
        <f>'Feb to July, 2022'!AH95</f>
        <v>10</v>
      </c>
      <c r="J1193">
        <f>G1193*Parameters!$B$2*Parameters!$B$5</f>
        <v>72.389399999999995</v>
      </c>
      <c r="K1193">
        <f>H1193*Parameters!$B$3*Parameters!$B$6</f>
        <v>0</v>
      </c>
      <c r="L1193">
        <f>I1193*Parameters!$B$4*Parameters!$B$7</f>
        <v>80.963999999999999</v>
      </c>
      <c r="M1193">
        <f t="shared" si="18"/>
        <v>153.35339999999999</v>
      </c>
      <c r="N1193">
        <v>3400</v>
      </c>
      <c r="O1193">
        <v>0</v>
      </c>
      <c r="P1193">
        <v>0</v>
      </c>
      <c r="Q1193">
        <v>3000</v>
      </c>
    </row>
    <row r="1194" spans="1:17">
      <c r="A1194" t="s">
        <v>119</v>
      </c>
      <c r="B1194" t="s">
        <v>40</v>
      </c>
      <c r="C1194">
        <v>6</v>
      </c>
      <c r="D1194">
        <v>2022</v>
      </c>
      <c r="E1194" s="49" t="s">
        <v>156</v>
      </c>
      <c r="F1194" s="49" t="s">
        <v>163</v>
      </c>
      <c r="G1194">
        <f>'Feb to July, 2022'!AE96+'Feb to July, 2022'!AF96</f>
        <v>35</v>
      </c>
      <c r="H1194">
        <f>'Feb to July, 2022'!AG96</f>
        <v>0</v>
      </c>
      <c r="I1194">
        <f>'Feb to July, 2022'!AH96</f>
        <v>15</v>
      </c>
      <c r="J1194">
        <f>G1194*Parameters!$B$2*Parameters!$B$5</f>
        <v>74.518499999999989</v>
      </c>
      <c r="K1194">
        <f>H1194*Parameters!$B$3*Parameters!$B$6</f>
        <v>0</v>
      </c>
      <c r="L1194">
        <f>I1194*Parameters!$B$4*Parameters!$B$7</f>
        <v>121.44600000000001</v>
      </c>
      <c r="M1194">
        <f t="shared" si="18"/>
        <v>195.96449999999999</v>
      </c>
      <c r="N1194">
        <v>0</v>
      </c>
      <c r="O1194">
        <v>3500</v>
      </c>
      <c r="P1194">
        <v>0</v>
      </c>
      <c r="Q1194">
        <v>4500</v>
      </c>
    </row>
    <row r="1195" spans="1:17">
      <c r="A1195" t="s">
        <v>120</v>
      </c>
      <c r="B1195" t="s">
        <v>32</v>
      </c>
      <c r="C1195">
        <v>8</v>
      </c>
      <c r="D1195">
        <v>2022</v>
      </c>
      <c r="E1195" s="49" t="s">
        <v>156</v>
      </c>
      <c r="F1195" s="49" t="s">
        <v>163</v>
      </c>
      <c r="G1195">
        <f>'Feb to July, 2022'!AE97+'Feb to July, 2022'!AF97</f>
        <v>30</v>
      </c>
      <c r="H1195">
        <f>'Feb to July, 2022'!AG97</f>
        <v>0</v>
      </c>
      <c r="I1195">
        <f>'Feb to July, 2022'!AH97</f>
        <v>0</v>
      </c>
      <c r="J1195">
        <f>G1195*Parameters!$B$2*Parameters!$B$5</f>
        <v>63.87299999999999</v>
      </c>
      <c r="K1195">
        <f>H1195*Parameters!$B$3*Parameters!$B$6</f>
        <v>0</v>
      </c>
      <c r="L1195">
        <f>I1195*Parameters!$B$4*Parameters!$B$7</f>
        <v>0</v>
      </c>
      <c r="M1195">
        <f t="shared" si="18"/>
        <v>63.87299999999999</v>
      </c>
      <c r="N1195">
        <v>3000</v>
      </c>
      <c r="O1195">
        <v>0</v>
      </c>
      <c r="P1195">
        <v>0</v>
      </c>
      <c r="Q1195">
        <v>0</v>
      </c>
    </row>
    <row r="1196" spans="1:17">
      <c r="A1196" t="s">
        <v>121</v>
      </c>
      <c r="B1196" t="s">
        <v>24</v>
      </c>
      <c r="C1196">
        <v>5</v>
      </c>
      <c r="D1196">
        <v>2022</v>
      </c>
      <c r="E1196" s="49" t="s">
        <v>156</v>
      </c>
      <c r="F1196" s="49" t="s">
        <v>163</v>
      </c>
      <c r="G1196">
        <f>'Feb to July, 2022'!AE98+'Feb to July, 2022'!AF98</f>
        <v>41</v>
      </c>
      <c r="H1196">
        <f>'Feb to July, 2022'!AG98</f>
        <v>0</v>
      </c>
      <c r="I1196">
        <f>'Feb to July, 2022'!AH98</f>
        <v>20</v>
      </c>
      <c r="J1196">
        <f>G1196*Parameters!$B$2*Parameters!$B$5</f>
        <v>87.293099999999995</v>
      </c>
      <c r="K1196">
        <f>H1196*Parameters!$B$3*Parameters!$B$6</f>
        <v>0</v>
      </c>
      <c r="L1196">
        <f>I1196*Parameters!$B$4*Parameters!$B$7</f>
        <v>161.928</v>
      </c>
      <c r="M1196">
        <f t="shared" si="18"/>
        <v>249.22109999999998</v>
      </c>
      <c r="N1196">
        <v>4100</v>
      </c>
      <c r="O1196">
        <v>0</v>
      </c>
      <c r="P1196">
        <v>0</v>
      </c>
      <c r="Q1196">
        <v>6000</v>
      </c>
    </row>
    <row r="1197" spans="1:17">
      <c r="A1197" t="s">
        <v>122</v>
      </c>
      <c r="B1197" t="s">
        <v>26</v>
      </c>
      <c r="C1197">
        <v>6</v>
      </c>
      <c r="D1197">
        <v>2022</v>
      </c>
      <c r="E1197" s="49" t="s">
        <v>156</v>
      </c>
      <c r="F1197" s="49" t="s">
        <v>163</v>
      </c>
      <c r="G1197">
        <f>'Feb to July, 2022'!AE99+'Feb to July, 2022'!AF99</f>
        <v>32</v>
      </c>
      <c r="H1197">
        <f>'Feb to July, 2022'!AG99</f>
        <v>0</v>
      </c>
      <c r="I1197">
        <f>'Feb to July, 2022'!AH99</f>
        <v>10</v>
      </c>
      <c r="J1197">
        <f>G1197*Parameters!$B$2*Parameters!$B$5</f>
        <v>68.131199999999993</v>
      </c>
      <c r="K1197">
        <f>H1197*Parameters!$B$3*Parameters!$B$6</f>
        <v>0</v>
      </c>
      <c r="L1197">
        <f>I1197*Parameters!$B$4*Parameters!$B$7</f>
        <v>80.963999999999999</v>
      </c>
      <c r="M1197">
        <f t="shared" si="18"/>
        <v>149.09519999999998</v>
      </c>
      <c r="N1197">
        <v>3200</v>
      </c>
      <c r="O1197">
        <v>0</v>
      </c>
      <c r="P1197">
        <v>0</v>
      </c>
      <c r="Q1197">
        <v>3000</v>
      </c>
    </row>
    <row r="1198" spans="1:17">
      <c r="A1198" t="s">
        <v>123</v>
      </c>
      <c r="B1198" t="s">
        <v>19</v>
      </c>
      <c r="C1198">
        <v>8</v>
      </c>
      <c r="D1198">
        <v>2022</v>
      </c>
      <c r="E1198" s="49" t="s">
        <v>156</v>
      </c>
      <c r="F1198" s="49" t="s">
        <v>163</v>
      </c>
      <c r="G1198">
        <f>'Feb to July, 2022'!AE100+'Feb to July, 2022'!AF100</f>
        <v>35</v>
      </c>
      <c r="H1198">
        <f>'Feb to July, 2022'!AG100</f>
        <v>0</v>
      </c>
      <c r="I1198">
        <f>'Feb to July, 2022'!AH100</f>
        <v>10</v>
      </c>
      <c r="J1198">
        <f>G1198*Parameters!$B$2*Parameters!$B$5</f>
        <v>74.518499999999989</v>
      </c>
      <c r="K1198">
        <f>H1198*Parameters!$B$3*Parameters!$B$6</f>
        <v>0</v>
      </c>
      <c r="L1198">
        <f>I1198*Parameters!$B$4*Parameters!$B$7</f>
        <v>80.963999999999999</v>
      </c>
      <c r="M1198">
        <f t="shared" si="18"/>
        <v>155.48249999999999</v>
      </c>
      <c r="N1198">
        <v>3500</v>
      </c>
      <c r="O1198">
        <v>0</v>
      </c>
      <c r="P1198">
        <v>0</v>
      </c>
      <c r="Q1198">
        <v>3000</v>
      </c>
    </row>
    <row r="1199" spans="1:17">
      <c r="A1199" t="s">
        <v>124</v>
      </c>
      <c r="B1199" t="s">
        <v>56</v>
      </c>
      <c r="C1199">
        <v>9</v>
      </c>
      <c r="D1199">
        <v>2022</v>
      </c>
      <c r="E1199" s="49" t="s">
        <v>156</v>
      </c>
      <c r="F1199" s="49" t="s">
        <v>163</v>
      </c>
      <c r="G1199">
        <f>'Feb to July, 2022'!AE101+'Feb to July, 2022'!AF101</f>
        <v>25</v>
      </c>
      <c r="H1199">
        <f>'Feb to July, 2022'!AG101</f>
        <v>0</v>
      </c>
      <c r="I1199">
        <f>'Feb to July, 2022'!AH101</f>
        <v>0</v>
      </c>
      <c r="J1199">
        <f>G1199*Parameters!$B$2*Parameters!$B$5</f>
        <v>53.227499999999992</v>
      </c>
      <c r="K1199">
        <f>H1199*Parameters!$B$3*Parameters!$B$6</f>
        <v>0</v>
      </c>
      <c r="L1199">
        <f>I1199*Parameters!$B$4*Parameters!$B$7</f>
        <v>0</v>
      </c>
      <c r="M1199">
        <f t="shared" si="18"/>
        <v>53.227499999999992</v>
      </c>
      <c r="N1199">
        <v>2500</v>
      </c>
      <c r="O1199">
        <v>0</v>
      </c>
      <c r="P1199">
        <v>0</v>
      </c>
      <c r="Q1199">
        <v>0</v>
      </c>
    </row>
    <row r="1200" spans="1:17">
      <c r="A1200" t="s">
        <v>125</v>
      </c>
      <c r="B1200" t="s">
        <v>65</v>
      </c>
      <c r="C1200">
        <v>7</v>
      </c>
      <c r="D1200">
        <v>2022</v>
      </c>
      <c r="E1200" s="49" t="s">
        <v>156</v>
      </c>
      <c r="F1200" s="49" t="s">
        <v>163</v>
      </c>
      <c r="G1200">
        <f>'Feb to July, 2022'!AE102+'Feb to July, 2022'!AF102</f>
        <v>30</v>
      </c>
      <c r="H1200">
        <f>'Feb to July, 2022'!AG102</f>
        <v>0</v>
      </c>
      <c r="I1200">
        <f>'Feb to July, 2022'!AH102</f>
        <v>15</v>
      </c>
      <c r="J1200">
        <f>G1200*Parameters!$B$2*Parameters!$B$5</f>
        <v>63.87299999999999</v>
      </c>
      <c r="K1200">
        <f>H1200*Parameters!$B$3*Parameters!$B$6</f>
        <v>0</v>
      </c>
      <c r="L1200">
        <f>I1200*Parameters!$B$4*Parameters!$B$7</f>
        <v>121.44600000000001</v>
      </c>
      <c r="M1200">
        <f t="shared" si="18"/>
        <v>185.31900000000002</v>
      </c>
      <c r="N1200">
        <v>3000</v>
      </c>
      <c r="O1200">
        <v>0</v>
      </c>
      <c r="P1200">
        <v>0</v>
      </c>
      <c r="Q1200">
        <v>4500</v>
      </c>
    </row>
    <row r="1201" spans="1:17">
      <c r="A1201" t="s">
        <v>126</v>
      </c>
      <c r="B1201" t="s">
        <v>65</v>
      </c>
      <c r="C1201">
        <v>6</v>
      </c>
      <c r="D1201">
        <v>2022</v>
      </c>
      <c r="E1201" s="49" t="s">
        <v>156</v>
      </c>
      <c r="F1201" s="49" t="s">
        <v>163</v>
      </c>
      <c r="G1201">
        <f>'Feb to July, 2022'!AE103+'Feb to July, 2022'!AF103</f>
        <v>25</v>
      </c>
      <c r="H1201">
        <f>'Feb to July, 2022'!AG103</f>
        <v>0</v>
      </c>
      <c r="I1201">
        <f>'Feb to July, 2022'!AH103</f>
        <v>15</v>
      </c>
      <c r="J1201">
        <f>G1201*Parameters!$B$2*Parameters!$B$5</f>
        <v>53.227499999999992</v>
      </c>
      <c r="K1201">
        <f>H1201*Parameters!$B$3*Parameters!$B$6</f>
        <v>0</v>
      </c>
      <c r="L1201">
        <f>I1201*Parameters!$B$4*Parameters!$B$7</f>
        <v>121.44600000000001</v>
      </c>
      <c r="M1201">
        <f t="shared" si="18"/>
        <v>174.67349999999999</v>
      </c>
      <c r="N1201">
        <v>2500</v>
      </c>
      <c r="O1201">
        <v>0</v>
      </c>
      <c r="P1201">
        <v>0</v>
      </c>
      <c r="Q1201">
        <v>4500</v>
      </c>
    </row>
    <row r="1202" spans="1:17">
      <c r="A1202" t="s">
        <v>16</v>
      </c>
      <c r="B1202" t="s">
        <v>17</v>
      </c>
      <c r="C1202">
        <v>8</v>
      </c>
      <c r="D1202">
        <v>2022</v>
      </c>
      <c r="E1202" s="49" t="s">
        <v>0</v>
      </c>
      <c r="F1202" s="49" t="s">
        <v>163</v>
      </c>
      <c r="G1202">
        <f>'Feb to July, 2022'!AM4+'Feb to July, 2022'!AN4</f>
        <v>56</v>
      </c>
      <c r="H1202">
        <f>'Feb to July, 2022'!AO4</f>
        <v>0</v>
      </c>
      <c r="I1202">
        <f>'Feb to July, 2022'!AP4</f>
        <v>9</v>
      </c>
      <c r="J1202">
        <f>G1202*Parameters!$B$2*Parameters!$B$5</f>
        <v>119.22959999999999</v>
      </c>
      <c r="K1202">
        <f>H1202*Parameters!$B$3*Parameters!$B$6</f>
        <v>0</v>
      </c>
      <c r="L1202">
        <f>I1202*Parameters!$B$4*Parameters!$B$7</f>
        <v>72.86760000000001</v>
      </c>
      <c r="M1202">
        <f t="shared" si="18"/>
        <v>192.09719999999999</v>
      </c>
      <c r="N1202">
        <v>5600</v>
      </c>
      <c r="O1202">
        <v>0</v>
      </c>
      <c r="P1202">
        <v>0</v>
      </c>
      <c r="Q1202">
        <v>2700</v>
      </c>
    </row>
    <row r="1203" spans="1:17">
      <c r="A1203" t="s">
        <v>18</v>
      </c>
      <c r="B1203" t="s">
        <v>19</v>
      </c>
      <c r="C1203">
        <v>7</v>
      </c>
      <c r="D1203">
        <v>2022</v>
      </c>
      <c r="E1203" s="49" t="s">
        <v>0</v>
      </c>
      <c r="F1203" s="49" t="s">
        <v>163</v>
      </c>
      <c r="G1203">
        <f>'Feb to July, 2022'!AM5+'Feb to July, 2022'!AN5</f>
        <v>42</v>
      </c>
      <c r="H1203">
        <f>'Feb to July, 2022'!AO5</f>
        <v>0</v>
      </c>
      <c r="I1203">
        <f>'Feb to July, 2022'!AP5</f>
        <v>12</v>
      </c>
      <c r="J1203">
        <f>G1203*Parameters!$B$2*Parameters!$B$5</f>
        <v>89.422199999999975</v>
      </c>
      <c r="K1203">
        <f>H1203*Parameters!$B$3*Parameters!$B$6</f>
        <v>0</v>
      </c>
      <c r="L1203">
        <f>I1203*Parameters!$B$4*Parameters!$B$7</f>
        <v>97.156800000000018</v>
      </c>
      <c r="M1203">
        <f t="shared" si="18"/>
        <v>186.57900000000001</v>
      </c>
      <c r="N1203">
        <v>4200</v>
      </c>
      <c r="O1203">
        <v>0</v>
      </c>
      <c r="P1203">
        <v>0</v>
      </c>
      <c r="Q1203">
        <v>3600</v>
      </c>
    </row>
    <row r="1204" spans="1:17">
      <c r="A1204" t="s">
        <v>20</v>
      </c>
      <c r="B1204" t="s">
        <v>21</v>
      </c>
      <c r="C1204">
        <v>10</v>
      </c>
      <c r="D1204">
        <v>2022</v>
      </c>
      <c r="E1204" s="49" t="s">
        <v>0</v>
      </c>
      <c r="F1204" s="49" t="s">
        <v>163</v>
      </c>
      <c r="G1204">
        <f>'Feb to July, 2022'!AM6+'Feb to July, 2022'!AN6</f>
        <v>30</v>
      </c>
      <c r="H1204">
        <f>'Feb to July, 2022'!AO6</f>
        <v>0</v>
      </c>
      <c r="I1204">
        <f>'Feb to July, 2022'!AP6</f>
        <v>17</v>
      </c>
      <c r="J1204">
        <f>G1204*Parameters!$B$2*Parameters!$B$5</f>
        <v>63.87299999999999</v>
      </c>
      <c r="K1204">
        <f>H1204*Parameters!$B$3*Parameters!$B$6</f>
        <v>0</v>
      </c>
      <c r="L1204">
        <f>I1204*Parameters!$B$4*Parameters!$B$7</f>
        <v>137.63880000000003</v>
      </c>
      <c r="M1204">
        <f t="shared" si="18"/>
        <v>201.51180000000002</v>
      </c>
      <c r="N1204">
        <v>3000</v>
      </c>
      <c r="O1204">
        <v>0</v>
      </c>
      <c r="P1204">
        <v>0</v>
      </c>
      <c r="Q1204">
        <v>5100</v>
      </c>
    </row>
    <row r="1205" spans="1:17">
      <c r="A1205" t="s">
        <v>22</v>
      </c>
      <c r="B1205" t="s">
        <v>19</v>
      </c>
      <c r="C1205">
        <v>7</v>
      </c>
      <c r="D1205">
        <v>2022</v>
      </c>
      <c r="E1205" s="49" t="s">
        <v>0</v>
      </c>
      <c r="F1205" s="49" t="s">
        <v>163</v>
      </c>
      <c r="G1205">
        <f>'Feb to July, 2022'!AM7+'Feb to July, 2022'!AN7</f>
        <v>32</v>
      </c>
      <c r="H1205">
        <f>'Feb to July, 2022'!AO7</f>
        <v>0</v>
      </c>
      <c r="I1205">
        <f>'Feb to July, 2022'!AP7</f>
        <v>14</v>
      </c>
      <c r="J1205">
        <f>G1205*Parameters!$B$2*Parameters!$B$5</f>
        <v>68.131199999999993</v>
      </c>
      <c r="K1205">
        <f>H1205*Parameters!$B$3*Parameters!$B$6</f>
        <v>0</v>
      </c>
      <c r="L1205">
        <f>I1205*Parameters!$B$4*Parameters!$B$7</f>
        <v>113.34960000000001</v>
      </c>
      <c r="M1205">
        <f t="shared" si="18"/>
        <v>181.48079999999999</v>
      </c>
      <c r="N1205">
        <v>3200</v>
      </c>
      <c r="O1205">
        <v>0</v>
      </c>
      <c r="P1205">
        <v>0</v>
      </c>
      <c r="Q1205">
        <v>4200</v>
      </c>
    </row>
    <row r="1206" spans="1:17">
      <c r="A1206" t="s">
        <v>23</v>
      </c>
      <c r="B1206" t="s">
        <v>24</v>
      </c>
      <c r="C1206">
        <v>4</v>
      </c>
      <c r="D1206">
        <v>2022</v>
      </c>
      <c r="E1206" s="49" t="s">
        <v>0</v>
      </c>
      <c r="F1206" s="49" t="s">
        <v>163</v>
      </c>
      <c r="G1206">
        <f>'Feb to July, 2022'!AM8+'Feb to July, 2022'!AN8</f>
        <v>50</v>
      </c>
      <c r="H1206">
        <f>'Feb to July, 2022'!AO8</f>
        <v>0</v>
      </c>
      <c r="I1206">
        <f>'Feb to July, 2022'!AP8</f>
        <v>8</v>
      </c>
      <c r="J1206">
        <f>G1206*Parameters!$B$2*Parameters!$B$5</f>
        <v>106.45499999999998</v>
      </c>
      <c r="K1206">
        <f>H1206*Parameters!$B$3*Parameters!$B$6</f>
        <v>0</v>
      </c>
      <c r="L1206">
        <f>I1206*Parameters!$B$4*Parameters!$B$7</f>
        <v>64.771200000000007</v>
      </c>
      <c r="M1206">
        <f t="shared" si="18"/>
        <v>171.22620000000001</v>
      </c>
      <c r="N1206">
        <v>5000</v>
      </c>
      <c r="O1206">
        <v>0</v>
      </c>
      <c r="P1206">
        <v>0</v>
      </c>
      <c r="Q1206">
        <v>2400</v>
      </c>
    </row>
    <row r="1207" spans="1:17">
      <c r="A1207" t="s">
        <v>25</v>
      </c>
      <c r="B1207" t="s">
        <v>26</v>
      </c>
      <c r="C1207">
        <v>3</v>
      </c>
      <c r="D1207">
        <v>2022</v>
      </c>
      <c r="E1207" s="49" t="s">
        <v>0</v>
      </c>
      <c r="F1207" s="49" t="s">
        <v>163</v>
      </c>
      <c r="G1207">
        <f>'Feb to July, 2022'!AM9+'Feb to July, 2022'!AN9</f>
        <v>45</v>
      </c>
      <c r="H1207">
        <f>'Feb to July, 2022'!AO9</f>
        <v>0</v>
      </c>
      <c r="I1207">
        <f>'Feb to July, 2022'!AP9</f>
        <v>5</v>
      </c>
      <c r="J1207">
        <f>G1207*Parameters!$B$2*Parameters!$B$5</f>
        <v>95.809499999999986</v>
      </c>
      <c r="K1207">
        <f>H1207*Parameters!$B$3*Parameters!$B$6</f>
        <v>0</v>
      </c>
      <c r="L1207">
        <f>I1207*Parameters!$B$4*Parameters!$B$7</f>
        <v>40.481999999999999</v>
      </c>
      <c r="M1207">
        <f t="shared" si="18"/>
        <v>136.29149999999998</v>
      </c>
      <c r="N1207">
        <v>4500</v>
      </c>
      <c r="O1207">
        <v>0</v>
      </c>
      <c r="P1207">
        <v>0</v>
      </c>
      <c r="Q1207">
        <v>1500</v>
      </c>
    </row>
    <row r="1208" spans="1:17">
      <c r="A1208" t="s">
        <v>27</v>
      </c>
      <c r="B1208" t="s">
        <v>21</v>
      </c>
      <c r="C1208">
        <v>6</v>
      </c>
      <c r="D1208">
        <v>2022</v>
      </c>
      <c r="E1208" s="49" t="s">
        <v>0</v>
      </c>
      <c r="F1208" s="49" t="s">
        <v>163</v>
      </c>
      <c r="G1208">
        <f>'Feb to July, 2022'!AM10+'Feb to July, 2022'!AN10</f>
        <v>55</v>
      </c>
      <c r="H1208">
        <f>'Feb to July, 2022'!AO10</f>
        <v>0</v>
      </c>
      <c r="I1208">
        <f>'Feb to July, 2022'!AP10</f>
        <v>15</v>
      </c>
      <c r="J1208">
        <f>G1208*Parameters!$B$2*Parameters!$B$5</f>
        <v>117.10049999999998</v>
      </c>
      <c r="K1208">
        <f>H1208*Parameters!$B$3*Parameters!$B$6</f>
        <v>0</v>
      </c>
      <c r="L1208">
        <f>I1208*Parameters!$B$4*Parameters!$B$7</f>
        <v>121.44600000000001</v>
      </c>
      <c r="M1208">
        <f t="shared" si="18"/>
        <v>238.54649999999998</v>
      </c>
      <c r="N1208">
        <v>5500</v>
      </c>
      <c r="O1208">
        <v>0</v>
      </c>
      <c r="P1208">
        <v>0</v>
      </c>
      <c r="Q1208">
        <v>4500</v>
      </c>
    </row>
    <row r="1209" spans="1:17">
      <c r="A1209" t="s">
        <v>28</v>
      </c>
      <c r="B1209" t="s">
        <v>19</v>
      </c>
      <c r="C1209">
        <v>9</v>
      </c>
      <c r="D1209">
        <v>2022</v>
      </c>
      <c r="E1209" s="49" t="s">
        <v>0</v>
      </c>
      <c r="F1209" s="49" t="s">
        <v>163</v>
      </c>
      <c r="G1209">
        <f>'Feb to July, 2022'!AM11+'Feb to July, 2022'!AN11</f>
        <v>48</v>
      </c>
      <c r="H1209">
        <f>'Feb to July, 2022'!AO11</f>
        <v>0</v>
      </c>
      <c r="I1209">
        <f>'Feb to July, 2022'!AP11</f>
        <v>12</v>
      </c>
      <c r="J1209">
        <f>G1209*Parameters!$B$2*Parameters!$B$5</f>
        <v>102.19679999999998</v>
      </c>
      <c r="K1209">
        <f>H1209*Parameters!$B$3*Parameters!$B$6</f>
        <v>0</v>
      </c>
      <c r="L1209">
        <f>I1209*Parameters!$B$4*Parameters!$B$7</f>
        <v>97.156800000000018</v>
      </c>
      <c r="M1209">
        <f t="shared" si="18"/>
        <v>199.3536</v>
      </c>
      <c r="N1209">
        <v>4800</v>
      </c>
      <c r="O1209">
        <v>0</v>
      </c>
      <c r="P1209">
        <v>0</v>
      </c>
      <c r="Q1209">
        <v>3600</v>
      </c>
    </row>
    <row r="1210" spans="1:17">
      <c r="A1210" t="s">
        <v>29</v>
      </c>
      <c r="B1210" t="s">
        <v>24</v>
      </c>
      <c r="C1210">
        <v>4</v>
      </c>
      <c r="D1210">
        <v>2022</v>
      </c>
      <c r="E1210" s="49" t="s">
        <v>0</v>
      </c>
      <c r="F1210" s="49" t="s">
        <v>163</v>
      </c>
      <c r="G1210">
        <f>'Feb to July, 2022'!AM12+'Feb to July, 2022'!AN12</f>
        <v>40</v>
      </c>
      <c r="H1210">
        <f>'Feb to July, 2022'!AO12</f>
        <v>0</v>
      </c>
      <c r="I1210">
        <f>'Feb to July, 2022'!AP12</f>
        <v>15</v>
      </c>
      <c r="J1210">
        <f>G1210*Parameters!$B$2*Parameters!$B$5</f>
        <v>85.163999999999987</v>
      </c>
      <c r="K1210">
        <f>H1210*Parameters!$B$3*Parameters!$B$6</f>
        <v>0</v>
      </c>
      <c r="L1210">
        <f>I1210*Parameters!$B$4*Parameters!$B$7</f>
        <v>121.44600000000001</v>
      </c>
      <c r="M1210">
        <f t="shared" si="18"/>
        <v>206.61</v>
      </c>
      <c r="N1210">
        <v>4000</v>
      </c>
      <c r="O1210">
        <v>0</v>
      </c>
      <c r="P1210">
        <v>0</v>
      </c>
      <c r="Q1210">
        <v>4500</v>
      </c>
    </row>
    <row r="1211" spans="1:17">
      <c r="A1211" t="s">
        <v>30</v>
      </c>
      <c r="B1211" t="s">
        <v>21</v>
      </c>
      <c r="C1211">
        <v>6</v>
      </c>
      <c r="D1211">
        <v>2022</v>
      </c>
      <c r="E1211" s="49" t="s">
        <v>0</v>
      </c>
      <c r="F1211" s="49" t="s">
        <v>163</v>
      </c>
      <c r="G1211">
        <f>'Feb to July, 2022'!AM13+'Feb to July, 2022'!AN13</f>
        <v>28</v>
      </c>
      <c r="H1211">
        <f>'Feb to July, 2022'!AO13</f>
        <v>0</v>
      </c>
      <c r="I1211">
        <f>'Feb to July, 2022'!AP13</f>
        <v>18</v>
      </c>
      <c r="J1211">
        <f>G1211*Parameters!$B$2*Parameters!$B$5</f>
        <v>59.614799999999995</v>
      </c>
      <c r="K1211">
        <f>H1211*Parameters!$B$3*Parameters!$B$6</f>
        <v>0</v>
      </c>
      <c r="L1211">
        <f>I1211*Parameters!$B$4*Parameters!$B$7</f>
        <v>145.73520000000002</v>
      </c>
      <c r="M1211">
        <f t="shared" si="18"/>
        <v>205.35000000000002</v>
      </c>
      <c r="N1211">
        <v>2800</v>
      </c>
      <c r="O1211">
        <v>0</v>
      </c>
      <c r="P1211">
        <v>0</v>
      </c>
      <c r="Q1211">
        <v>5400</v>
      </c>
    </row>
    <row r="1212" spans="1:17">
      <c r="A1212" t="s">
        <v>31</v>
      </c>
      <c r="B1212" t="s">
        <v>32</v>
      </c>
      <c r="C1212">
        <v>4</v>
      </c>
      <c r="D1212">
        <v>2022</v>
      </c>
      <c r="E1212" s="49" t="s">
        <v>0</v>
      </c>
      <c r="F1212" s="49" t="s">
        <v>163</v>
      </c>
      <c r="G1212">
        <f>'Feb to July, 2022'!AM14+'Feb to July, 2022'!AN14</f>
        <v>46</v>
      </c>
      <c r="H1212">
        <f>'Feb to July, 2022'!AO14</f>
        <v>0</v>
      </c>
      <c r="I1212">
        <f>'Feb to July, 2022'!AP14</f>
        <v>18</v>
      </c>
      <c r="J1212">
        <f>G1212*Parameters!$B$2*Parameters!$B$5</f>
        <v>97.938599999999994</v>
      </c>
      <c r="K1212">
        <f>H1212*Parameters!$B$3*Parameters!$B$6</f>
        <v>0</v>
      </c>
      <c r="L1212">
        <f>I1212*Parameters!$B$4*Parameters!$B$7</f>
        <v>145.73520000000002</v>
      </c>
      <c r="M1212">
        <f t="shared" si="18"/>
        <v>243.67380000000003</v>
      </c>
      <c r="N1212">
        <v>4600</v>
      </c>
      <c r="O1212">
        <v>0</v>
      </c>
      <c r="P1212">
        <v>0</v>
      </c>
      <c r="Q1212">
        <v>5400</v>
      </c>
    </row>
    <row r="1213" spans="1:17">
      <c r="A1213" t="s">
        <v>33</v>
      </c>
      <c r="B1213" t="s">
        <v>32</v>
      </c>
      <c r="C1213">
        <v>6</v>
      </c>
      <c r="D1213">
        <v>2022</v>
      </c>
      <c r="E1213" s="49" t="s">
        <v>0</v>
      </c>
      <c r="F1213" s="49" t="s">
        <v>163</v>
      </c>
      <c r="G1213">
        <f>'Feb to July, 2022'!AM15+'Feb to July, 2022'!AN15</f>
        <v>10</v>
      </c>
      <c r="H1213">
        <f>'Feb to July, 2022'!AO15</f>
        <v>0</v>
      </c>
      <c r="I1213">
        <f>'Feb to July, 2022'!AP15</f>
        <v>18</v>
      </c>
      <c r="J1213">
        <f>G1213*Parameters!$B$2*Parameters!$B$5</f>
        <v>21.290999999999997</v>
      </c>
      <c r="K1213">
        <f>H1213*Parameters!$B$3*Parameters!$B$6</f>
        <v>0</v>
      </c>
      <c r="L1213">
        <f>I1213*Parameters!$B$4*Parameters!$B$7</f>
        <v>145.73520000000002</v>
      </c>
      <c r="M1213">
        <f t="shared" si="18"/>
        <v>167.02620000000002</v>
      </c>
      <c r="N1213">
        <v>1000</v>
      </c>
      <c r="O1213">
        <v>0</v>
      </c>
      <c r="P1213">
        <v>0</v>
      </c>
      <c r="Q1213">
        <v>5400</v>
      </c>
    </row>
    <row r="1214" spans="1:17">
      <c r="A1214" t="s">
        <v>34</v>
      </c>
      <c r="B1214" t="s">
        <v>21</v>
      </c>
      <c r="C1214">
        <v>9</v>
      </c>
      <c r="D1214">
        <v>2022</v>
      </c>
      <c r="E1214" s="49" t="s">
        <v>0</v>
      </c>
      <c r="F1214" s="49" t="s">
        <v>163</v>
      </c>
      <c r="G1214">
        <f>'Feb to July, 2022'!AM16+'Feb to July, 2022'!AN16</f>
        <v>32</v>
      </c>
      <c r="H1214">
        <f>'Feb to July, 2022'!AO16</f>
        <v>0</v>
      </c>
      <c r="I1214">
        <f>'Feb to July, 2022'!AP16</f>
        <v>12</v>
      </c>
      <c r="J1214">
        <f>G1214*Parameters!$B$2*Parameters!$B$5</f>
        <v>68.131199999999993</v>
      </c>
      <c r="K1214">
        <f>H1214*Parameters!$B$3*Parameters!$B$6</f>
        <v>0</v>
      </c>
      <c r="L1214">
        <f>I1214*Parameters!$B$4*Parameters!$B$7</f>
        <v>97.156800000000018</v>
      </c>
      <c r="M1214">
        <f t="shared" si="18"/>
        <v>165.28800000000001</v>
      </c>
      <c r="N1214">
        <v>3200</v>
      </c>
      <c r="O1214">
        <v>0</v>
      </c>
      <c r="P1214">
        <v>0</v>
      </c>
      <c r="Q1214">
        <v>3600</v>
      </c>
    </row>
    <row r="1215" spans="1:17">
      <c r="A1215" t="s">
        <v>35</v>
      </c>
      <c r="B1215" t="s">
        <v>21</v>
      </c>
      <c r="C1215">
        <v>6</v>
      </c>
      <c r="D1215">
        <v>2022</v>
      </c>
      <c r="E1215" s="49" t="s">
        <v>0</v>
      </c>
      <c r="F1215" s="49" t="s">
        <v>163</v>
      </c>
      <c r="G1215">
        <f>'Feb to July, 2022'!AM17+'Feb to July, 2022'!AN17</f>
        <v>32</v>
      </c>
      <c r="H1215">
        <f>'Feb to July, 2022'!AO17</f>
        <v>0</v>
      </c>
      <c r="I1215">
        <f>'Feb to July, 2022'!AP17</f>
        <v>14</v>
      </c>
      <c r="J1215">
        <f>G1215*Parameters!$B$2*Parameters!$B$5</f>
        <v>68.131199999999993</v>
      </c>
      <c r="K1215">
        <f>H1215*Parameters!$B$3*Parameters!$B$6</f>
        <v>0</v>
      </c>
      <c r="L1215">
        <f>I1215*Parameters!$B$4*Parameters!$B$7</f>
        <v>113.34960000000001</v>
      </c>
      <c r="M1215">
        <f t="shared" si="18"/>
        <v>181.48079999999999</v>
      </c>
      <c r="N1215">
        <v>0</v>
      </c>
      <c r="O1215">
        <v>3200</v>
      </c>
      <c r="P1215">
        <v>0</v>
      </c>
      <c r="Q1215">
        <v>4200</v>
      </c>
    </row>
    <row r="1216" spans="1:17">
      <c r="A1216" t="s">
        <v>36</v>
      </c>
      <c r="B1216" t="s">
        <v>21</v>
      </c>
      <c r="C1216">
        <v>12</v>
      </c>
      <c r="D1216">
        <v>2022</v>
      </c>
      <c r="E1216" s="49" t="s">
        <v>0</v>
      </c>
      <c r="F1216" s="49" t="s">
        <v>163</v>
      </c>
      <c r="G1216">
        <f>'Feb to July, 2022'!AM18+'Feb to July, 2022'!AN18</f>
        <v>30</v>
      </c>
      <c r="H1216">
        <f>'Feb to July, 2022'!AO18</f>
        <v>0</v>
      </c>
      <c r="I1216">
        <f>'Feb to July, 2022'!AP18</f>
        <v>16</v>
      </c>
      <c r="J1216">
        <f>G1216*Parameters!$B$2*Parameters!$B$5</f>
        <v>63.87299999999999</v>
      </c>
      <c r="K1216">
        <f>H1216*Parameters!$B$3*Parameters!$B$6</f>
        <v>0</v>
      </c>
      <c r="L1216">
        <f>I1216*Parameters!$B$4*Parameters!$B$7</f>
        <v>129.54240000000001</v>
      </c>
      <c r="M1216">
        <f t="shared" si="18"/>
        <v>193.41540000000001</v>
      </c>
      <c r="N1216">
        <v>3000</v>
      </c>
      <c r="O1216">
        <v>0</v>
      </c>
      <c r="P1216">
        <v>0</v>
      </c>
      <c r="Q1216">
        <v>4800</v>
      </c>
    </row>
    <row r="1217" spans="1:17">
      <c r="A1217" t="s">
        <v>37</v>
      </c>
      <c r="B1217" t="s">
        <v>38</v>
      </c>
      <c r="C1217">
        <v>7</v>
      </c>
      <c r="D1217">
        <v>2022</v>
      </c>
      <c r="E1217" s="49" t="s">
        <v>0</v>
      </c>
      <c r="F1217" s="49" t="s">
        <v>163</v>
      </c>
      <c r="G1217">
        <f>'Feb to July, 2022'!AM19+'Feb to July, 2022'!AN19</f>
        <v>30</v>
      </c>
      <c r="H1217">
        <f>'Feb to July, 2022'!AO19</f>
        <v>0</v>
      </c>
      <c r="I1217">
        <f>'Feb to July, 2022'!AP19</f>
        <v>20</v>
      </c>
      <c r="J1217">
        <f>G1217*Parameters!$B$2*Parameters!$B$5</f>
        <v>63.87299999999999</v>
      </c>
      <c r="K1217">
        <f>H1217*Parameters!$B$3*Parameters!$B$6</f>
        <v>0</v>
      </c>
      <c r="L1217">
        <f>I1217*Parameters!$B$4*Parameters!$B$7</f>
        <v>161.928</v>
      </c>
      <c r="M1217">
        <f t="shared" si="18"/>
        <v>225.80099999999999</v>
      </c>
      <c r="N1217">
        <v>3000</v>
      </c>
      <c r="O1217">
        <v>0</v>
      </c>
      <c r="P1217">
        <v>0</v>
      </c>
      <c r="Q1217">
        <v>6000</v>
      </c>
    </row>
    <row r="1218" spans="1:17">
      <c r="A1218" t="s">
        <v>39</v>
      </c>
      <c r="B1218" t="s">
        <v>40</v>
      </c>
      <c r="C1218">
        <v>6</v>
      </c>
      <c r="D1218">
        <v>2022</v>
      </c>
      <c r="E1218" s="49" t="s">
        <v>0</v>
      </c>
      <c r="F1218" s="49" t="s">
        <v>163</v>
      </c>
      <c r="G1218">
        <f>'Feb to July, 2022'!AM20+'Feb to July, 2022'!AN20</f>
        <v>60</v>
      </c>
      <c r="H1218">
        <f>'Feb to July, 2022'!AO20</f>
        <v>0</v>
      </c>
      <c r="I1218">
        <f>'Feb to July, 2022'!AP20</f>
        <v>0</v>
      </c>
      <c r="J1218">
        <f>G1218*Parameters!$B$2*Parameters!$B$5</f>
        <v>127.74599999999998</v>
      </c>
      <c r="K1218">
        <f>H1218*Parameters!$B$3*Parameters!$B$6</f>
        <v>0</v>
      </c>
      <c r="L1218">
        <f>I1218*Parameters!$B$4*Parameters!$B$7</f>
        <v>0</v>
      </c>
      <c r="M1218">
        <f t="shared" si="18"/>
        <v>127.74599999999998</v>
      </c>
      <c r="N1218">
        <v>4500</v>
      </c>
      <c r="O1218">
        <v>1500</v>
      </c>
      <c r="P1218">
        <v>0</v>
      </c>
      <c r="Q1218">
        <v>0</v>
      </c>
    </row>
    <row r="1219" spans="1:17">
      <c r="A1219" t="s">
        <v>41</v>
      </c>
      <c r="B1219" t="s">
        <v>26</v>
      </c>
      <c r="C1219">
        <v>5</v>
      </c>
      <c r="D1219">
        <v>2022</v>
      </c>
      <c r="E1219" s="49" t="s">
        <v>0</v>
      </c>
      <c r="F1219" s="49" t="s">
        <v>163</v>
      </c>
      <c r="G1219">
        <f>'Feb to July, 2022'!AM21+'Feb to July, 2022'!AN21</f>
        <v>35</v>
      </c>
      <c r="H1219">
        <f>'Feb to July, 2022'!AO21</f>
        <v>0</v>
      </c>
      <c r="I1219">
        <f>'Feb to July, 2022'!AP21</f>
        <v>3</v>
      </c>
      <c r="J1219">
        <f>G1219*Parameters!$B$2*Parameters!$B$5</f>
        <v>74.518499999999989</v>
      </c>
      <c r="K1219">
        <f>H1219*Parameters!$B$3*Parameters!$B$6</f>
        <v>0</v>
      </c>
      <c r="L1219">
        <f>I1219*Parameters!$B$4*Parameters!$B$7</f>
        <v>24.289200000000005</v>
      </c>
      <c r="M1219">
        <f t="shared" ref="M1219:M1282" si="19">SUM(J1219:L1219)</f>
        <v>98.807699999999997</v>
      </c>
      <c r="N1219">
        <v>3500</v>
      </c>
      <c r="O1219">
        <v>0</v>
      </c>
      <c r="P1219">
        <v>0</v>
      </c>
      <c r="Q1219">
        <v>900</v>
      </c>
    </row>
    <row r="1220" spans="1:17">
      <c r="A1220" t="s">
        <v>42</v>
      </c>
      <c r="B1220" t="s">
        <v>24</v>
      </c>
      <c r="C1220">
        <v>5</v>
      </c>
      <c r="D1220">
        <v>2022</v>
      </c>
      <c r="E1220" s="49" t="s">
        <v>0</v>
      </c>
      <c r="F1220" s="49" t="s">
        <v>163</v>
      </c>
      <c r="G1220">
        <f>'Feb to July, 2022'!AM22+'Feb to July, 2022'!AN22</f>
        <v>30</v>
      </c>
      <c r="H1220">
        <f>'Feb to July, 2022'!AO22</f>
        <v>0</v>
      </c>
      <c r="I1220">
        <f>'Feb to July, 2022'!AP22</f>
        <v>8</v>
      </c>
      <c r="J1220">
        <f>G1220*Parameters!$B$2*Parameters!$B$5</f>
        <v>63.87299999999999</v>
      </c>
      <c r="K1220">
        <f>H1220*Parameters!$B$3*Parameters!$B$6</f>
        <v>0</v>
      </c>
      <c r="L1220">
        <f>I1220*Parameters!$B$4*Parameters!$B$7</f>
        <v>64.771200000000007</v>
      </c>
      <c r="M1220">
        <f t="shared" si="19"/>
        <v>128.64420000000001</v>
      </c>
      <c r="N1220">
        <v>3000</v>
      </c>
      <c r="O1220">
        <v>0</v>
      </c>
      <c r="P1220">
        <v>0</v>
      </c>
      <c r="Q1220">
        <v>2400</v>
      </c>
    </row>
    <row r="1221" spans="1:17">
      <c r="A1221" t="s">
        <v>43</v>
      </c>
      <c r="B1221" t="s">
        <v>19</v>
      </c>
      <c r="C1221">
        <v>8</v>
      </c>
      <c r="D1221">
        <v>2022</v>
      </c>
      <c r="E1221" s="49" t="s">
        <v>0</v>
      </c>
      <c r="F1221" s="49" t="s">
        <v>163</v>
      </c>
      <c r="G1221">
        <f>'Feb to July, 2022'!AM23+'Feb to July, 2022'!AN23</f>
        <v>40</v>
      </c>
      <c r="H1221">
        <f>'Feb to July, 2022'!AO23</f>
        <v>0</v>
      </c>
      <c r="I1221">
        <f>'Feb to July, 2022'!AP23</f>
        <v>15</v>
      </c>
      <c r="J1221">
        <f>G1221*Parameters!$B$2*Parameters!$B$5</f>
        <v>85.163999999999987</v>
      </c>
      <c r="K1221">
        <f>H1221*Parameters!$B$3*Parameters!$B$6</f>
        <v>0</v>
      </c>
      <c r="L1221">
        <f>I1221*Parameters!$B$4*Parameters!$B$7</f>
        <v>121.44600000000001</v>
      </c>
      <c r="M1221">
        <f t="shared" si="19"/>
        <v>206.61</v>
      </c>
      <c r="N1221">
        <v>4000</v>
      </c>
      <c r="O1221">
        <v>0</v>
      </c>
      <c r="P1221">
        <v>0</v>
      </c>
      <c r="Q1221">
        <v>4500</v>
      </c>
    </row>
    <row r="1222" spans="1:17">
      <c r="A1222" t="s">
        <v>44</v>
      </c>
      <c r="B1222" t="s">
        <v>40</v>
      </c>
      <c r="C1222">
        <v>10</v>
      </c>
      <c r="D1222">
        <v>2022</v>
      </c>
      <c r="E1222" s="49" t="s">
        <v>0</v>
      </c>
      <c r="F1222" s="49" t="s">
        <v>163</v>
      </c>
      <c r="G1222">
        <f>'Feb to July, 2022'!AM24+'Feb to July, 2022'!AN24</f>
        <v>30</v>
      </c>
      <c r="H1222">
        <f>'Feb to July, 2022'!AO24</f>
        <v>0</v>
      </c>
      <c r="I1222">
        <f>'Feb to July, 2022'!AP24</f>
        <v>15</v>
      </c>
      <c r="J1222">
        <f>G1222*Parameters!$B$2*Parameters!$B$5</f>
        <v>63.87299999999999</v>
      </c>
      <c r="K1222">
        <f>H1222*Parameters!$B$3*Parameters!$B$6</f>
        <v>0</v>
      </c>
      <c r="L1222">
        <f>I1222*Parameters!$B$4*Parameters!$B$7</f>
        <v>121.44600000000001</v>
      </c>
      <c r="M1222">
        <f t="shared" si="19"/>
        <v>185.31900000000002</v>
      </c>
      <c r="N1222">
        <v>3000</v>
      </c>
      <c r="O1222">
        <v>0</v>
      </c>
      <c r="P1222">
        <v>0</v>
      </c>
      <c r="Q1222">
        <v>4500</v>
      </c>
    </row>
    <row r="1223" spans="1:17">
      <c r="A1223" t="s">
        <v>45</v>
      </c>
      <c r="B1223" t="s">
        <v>24</v>
      </c>
      <c r="C1223">
        <v>8</v>
      </c>
      <c r="D1223">
        <v>2022</v>
      </c>
      <c r="E1223" s="49" t="s">
        <v>0</v>
      </c>
      <c r="F1223" s="49" t="s">
        <v>163</v>
      </c>
      <c r="G1223">
        <f>'Feb to July, 2022'!AM25+'Feb to July, 2022'!AN25</f>
        <v>35</v>
      </c>
      <c r="H1223">
        <f>'Feb to July, 2022'!AO25</f>
        <v>0</v>
      </c>
      <c r="I1223">
        <f>'Feb to July, 2022'!AP25</f>
        <v>15</v>
      </c>
      <c r="J1223">
        <f>G1223*Parameters!$B$2*Parameters!$B$5</f>
        <v>74.518499999999989</v>
      </c>
      <c r="K1223">
        <f>H1223*Parameters!$B$3*Parameters!$B$6</f>
        <v>0</v>
      </c>
      <c r="L1223">
        <f>I1223*Parameters!$B$4*Parameters!$B$7</f>
        <v>121.44600000000001</v>
      </c>
      <c r="M1223">
        <f t="shared" si="19"/>
        <v>195.96449999999999</v>
      </c>
      <c r="N1223">
        <v>3500</v>
      </c>
      <c r="O1223">
        <v>0</v>
      </c>
      <c r="P1223">
        <v>0</v>
      </c>
      <c r="Q1223">
        <v>4500</v>
      </c>
    </row>
    <row r="1224" spans="1:17">
      <c r="A1224" t="s">
        <v>46</v>
      </c>
      <c r="B1224" t="s">
        <v>24</v>
      </c>
      <c r="C1224">
        <v>4</v>
      </c>
      <c r="D1224">
        <v>2022</v>
      </c>
      <c r="E1224" s="49" t="s">
        <v>0</v>
      </c>
      <c r="F1224" s="49" t="s">
        <v>163</v>
      </c>
      <c r="G1224">
        <f>'Feb to July, 2022'!AM26+'Feb to July, 2022'!AN26</f>
        <v>25</v>
      </c>
      <c r="H1224">
        <f>'Feb to July, 2022'!AO26</f>
        <v>0</v>
      </c>
      <c r="I1224">
        <f>'Feb to July, 2022'!AP26</f>
        <v>5</v>
      </c>
      <c r="J1224">
        <f>G1224*Parameters!$B$2*Parameters!$B$5</f>
        <v>53.227499999999992</v>
      </c>
      <c r="K1224">
        <f>H1224*Parameters!$B$3*Parameters!$B$6</f>
        <v>0</v>
      </c>
      <c r="L1224">
        <f>I1224*Parameters!$B$4*Parameters!$B$7</f>
        <v>40.481999999999999</v>
      </c>
      <c r="M1224">
        <f t="shared" si="19"/>
        <v>93.709499999999991</v>
      </c>
      <c r="N1224">
        <v>2500</v>
      </c>
      <c r="O1224">
        <v>0</v>
      </c>
      <c r="P1224">
        <v>0</v>
      </c>
      <c r="Q1224">
        <v>1500</v>
      </c>
    </row>
    <row r="1225" spans="1:17">
      <c r="A1225" t="s">
        <v>47</v>
      </c>
      <c r="B1225" t="s">
        <v>19</v>
      </c>
      <c r="C1225">
        <v>6</v>
      </c>
      <c r="D1225">
        <v>2022</v>
      </c>
      <c r="E1225" s="49" t="s">
        <v>0</v>
      </c>
      <c r="F1225" s="49" t="s">
        <v>163</v>
      </c>
      <c r="G1225">
        <f>'Feb to July, 2022'!AM27+'Feb to July, 2022'!AN27</f>
        <v>30</v>
      </c>
      <c r="H1225">
        <f>'Feb to July, 2022'!AO27</f>
        <v>0</v>
      </c>
      <c r="I1225">
        <f>'Feb to July, 2022'!AP27</f>
        <v>10</v>
      </c>
      <c r="J1225">
        <f>G1225*Parameters!$B$2*Parameters!$B$5</f>
        <v>63.87299999999999</v>
      </c>
      <c r="K1225">
        <f>H1225*Parameters!$B$3*Parameters!$B$6</f>
        <v>0</v>
      </c>
      <c r="L1225">
        <f>I1225*Parameters!$B$4*Parameters!$B$7</f>
        <v>80.963999999999999</v>
      </c>
      <c r="M1225">
        <f t="shared" si="19"/>
        <v>144.83699999999999</v>
      </c>
      <c r="N1225">
        <v>3000</v>
      </c>
      <c r="O1225">
        <v>0</v>
      </c>
      <c r="P1225">
        <v>0</v>
      </c>
      <c r="Q1225">
        <v>3000</v>
      </c>
    </row>
    <row r="1226" spans="1:17">
      <c r="A1226" t="s">
        <v>48</v>
      </c>
      <c r="B1226" t="s">
        <v>24</v>
      </c>
      <c r="C1226">
        <v>4</v>
      </c>
      <c r="D1226">
        <v>2022</v>
      </c>
      <c r="E1226" s="49" t="s">
        <v>0</v>
      </c>
      <c r="F1226" s="49" t="s">
        <v>163</v>
      </c>
      <c r="G1226">
        <f>'Feb to July, 2022'!AM28+'Feb to July, 2022'!AN28</f>
        <v>30</v>
      </c>
      <c r="H1226">
        <f>'Feb to July, 2022'!AO28</f>
        <v>0</v>
      </c>
      <c r="I1226">
        <f>'Feb to July, 2022'!AP28</f>
        <v>8</v>
      </c>
      <c r="J1226">
        <f>G1226*Parameters!$B$2*Parameters!$B$5</f>
        <v>63.87299999999999</v>
      </c>
      <c r="K1226">
        <f>H1226*Parameters!$B$3*Parameters!$B$6</f>
        <v>0</v>
      </c>
      <c r="L1226">
        <f>I1226*Parameters!$B$4*Parameters!$B$7</f>
        <v>64.771200000000007</v>
      </c>
      <c r="M1226">
        <f t="shared" si="19"/>
        <v>128.64420000000001</v>
      </c>
      <c r="N1226">
        <v>3000</v>
      </c>
      <c r="O1226">
        <v>0</v>
      </c>
      <c r="P1226">
        <v>0</v>
      </c>
      <c r="Q1226">
        <v>2400</v>
      </c>
    </row>
    <row r="1227" spans="1:17">
      <c r="A1227" t="s">
        <v>49</v>
      </c>
      <c r="B1227" t="s">
        <v>38</v>
      </c>
      <c r="C1227">
        <v>2</v>
      </c>
      <c r="D1227">
        <v>2022</v>
      </c>
      <c r="E1227" s="49" t="s">
        <v>0</v>
      </c>
      <c r="F1227" s="49" t="s">
        <v>163</v>
      </c>
      <c r="G1227">
        <f>'Feb to July, 2022'!AM29+'Feb to July, 2022'!AN29</f>
        <v>25</v>
      </c>
      <c r="H1227">
        <f>'Feb to July, 2022'!AO29</f>
        <v>0</v>
      </c>
      <c r="I1227">
        <f>'Feb to July, 2022'!AP29</f>
        <v>12</v>
      </c>
      <c r="J1227">
        <f>G1227*Parameters!$B$2*Parameters!$B$5</f>
        <v>53.227499999999992</v>
      </c>
      <c r="K1227">
        <f>H1227*Parameters!$B$3*Parameters!$B$6</f>
        <v>0</v>
      </c>
      <c r="L1227">
        <f>I1227*Parameters!$B$4*Parameters!$B$7</f>
        <v>97.156800000000018</v>
      </c>
      <c r="M1227">
        <f t="shared" si="19"/>
        <v>150.3843</v>
      </c>
      <c r="N1227">
        <v>2500</v>
      </c>
      <c r="O1227">
        <v>0</v>
      </c>
      <c r="P1227">
        <v>0</v>
      </c>
      <c r="Q1227">
        <v>3600</v>
      </c>
    </row>
    <row r="1228" spans="1:17">
      <c r="A1228" t="s">
        <v>50</v>
      </c>
      <c r="B1228" t="s">
        <v>19</v>
      </c>
      <c r="C1228">
        <v>8</v>
      </c>
      <c r="D1228">
        <v>2022</v>
      </c>
      <c r="E1228" s="49" t="s">
        <v>0</v>
      </c>
      <c r="F1228" s="49" t="s">
        <v>163</v>
      </c>
      <c r="G1228">
        <f>'Feb to July, 2022'!AM30+'Feb to July, 2022'!AN30</f>
        <v>32</v>
      </c>
      <c r="H1228">
        <f>'Feb to July, 2022'!AO30</f>
        <v>0</v>
      </c>
      <c r="I1228">
        <f>'Feb to July, 2022'!AP30</f>
        <v>10</v>
      </c>
      <c r="J1228">
        <f>G1228*Parameters!$B$2*Parameters!$B$5</f>
        <v>68.131199999999993</v>
      </c>
      <c r="K1228">
        <f>H1228*Parameters!$B$3*Parameters!$B$6</f>
        <v>0</v>
      </c>
      <c r="L1228">
        <f>I1228*Parameters!$B$4*Parameters!$B$7</f>
        <v>80.963999999999999</v>
      </c>
      <c r="M1228">
        <f t="shared" si="19"/>
        <v>149.09519999999998</v>
      </c>
      <c r="N1228">
        <v>3200</v>
      </c>
      <c r="O1228">
        <v>0</v>
      </c>
      <c r="P1228">
        <v>0</v>
      </c>
      <c r="Q1228">
        <v>3000</v>
      </c>
    </row>
    <row r="1229" spans="1:17">
      <c r="A1229" t="s">
        <v>51</v>
      </c>
      <c r="B1229" t="s">
        <v>19</v>
      </c>
      <c r="C1229">
        <v>6</v>
      </c>
      <c r="D1229">
        <v>2022</v>
      </c>
      <c r="E1229" s="49" t="s">
        <v>0</v>
      </c>
      <c r="F1229" s="49" t="s">
        <v>163</v>
      </c>
      <c r="G1229">
        <f>'Feb to July, 2022'!AM31+'Feb to July, 2022'!AN31</f>
        <v>30</v>
      </c>
      <c r="H1229">
        <f>'Feb to July, 2022'!AO31</f>
        <v>0</v>
      </c>
      <c r="I1229">
        <f>'Feb to July, 2022'!AP31</f>
        <v>16</v>
      </c>
      <c r="J1229">
        <f>G1229*Parameters!$B$2*Parameters!$B$5</f>
        <v>63.87299999999999</v>
      </c>
      <c r="K1229">
        <f>H1229*Parameters!$B$3*Parameters!$B$6</f>
        <v>0</v>
      </c>
      <c r="L1229">
        <f>I1229*Parameters!$B$4*Parameters!$B$7</f>
        <v>129.54240000000001</v>
      </c>
      <c r="M1229">
        <f t="shared" si="19"/>
        <v>193.41540000000001</v>
      </c>
      <c r="N1229">
        <v>3000</v>
      </c>
      <c r="O1229">
        <v>0</v>
      </c>
      <c r="P1229">
        <v>0</v>
      </c>
      <c r="Q1229">
        <v>4800</v>
      </c>
    </row>
    <row r="1230" spans="1:17">
      <c r="A1230" t="s">
        <v>52</v>
      </c>
      <c r="B1230" t="s">
        <v>38</v>
      </c>
      <c r="C1230">
        <v>12</v>
      </c>
      <c r="D1230">
        <v>2022</v>
      </c>
      <c r="E1230" s="49" t="s">
        <v>0</v>
      </c>
      <c r="F1230" s="49" t="s">
        <v>163</v>
      </c>
      <c r="G1230">
        <f>'Feb to July, 2022'!AM32+'Feb to July, 2022'!AN32</f>
        <v>50</v>
      </c>
      <c r="H1230">
        <f>'Feb to July, 2022'!AO32</f>
        <v>0</v>
      </c>
      <c r="I1230">
        <f>'Feb to July, 2022'!AP32</f>
        <v>15</v>
      </c>
      <c r="J1230">
        <f>G1230*Parameters!$B$2*Parameters!$B$5</f>
        <v>106.45499999999998</v>
      </c>
      <c r="K1230">
        <f>H1230*Parameters!$B$3*Parameters!$B$6</f>
        <v>0</v>
      </c>
      <c r="L1230">
        <f>I1230*Parameters!$B$4*Parameters!$B$7</f>
        <v>121.44600000000001</v>
      </c>
      <c r="M1230">
        <f t="shared" si="19"/>
        <v>227.90100000000001</v>
      </c>
      <c r="N1230">
        <v>5000</v>
      </c>
      <c r="O1230">
        <v>0</v>
      </c>
      <c r="P1230">
        <v>0</v>
      </c>
      <c r="Q1230">
        <v>4500</v>
      </c>
    </row>
    <row r="1231" spans="1:17">
      <c r="A1231" t="s">
        <v>53</v>
      </c>
      <c r="B1231" t="s">
        <v>40</v>
      </c>
      <c r="C1231">
        <v>8</v>
      </c>
      <c r="D1231">
        <v>2022</v>
      </c>
      <c r="E1231" s="49" t="s">
        <v>0</v>
      </c>
      <c r="F1231" s="49" t="s">
        <v>163</v>
      </c>
      <c r="G1231">
        <f>'Feb to July, 2022'!AM33+'Feb to July, 2022'!AN33</f>
        <v>55</v>
      </c>
      <c r="H1231">
        <f>'Feb to July, 2022'!AO33</f>
        <v>0</v>
      </c>
      <c r="I1231">
        <f>'Feb to July, 2022'!AP33</f>
        <v>15</v>
      </c>
      <c r="J1231">
        <f>G1231*Parameters!$B$2*Parameters!$B$5</f>
        <v>117.10049999999998</v>
      </c>
      <c r="K1231">
        <f>H1231*Parameters!$B$3*Parameters!$B$6</f>
        <v>0</v>
      </c>
      <c r="L1231">
        <f>I1231*Parameters!$B$4*Parameters!$B$7</f>
        <v>121.44600000000001</v>
      </c>
      <c r="M1231">
        <f t="shared" si="19"/>
        <v>238.54649999999998</v>
      </c>
      <c r="N1231">
        <v>5500</v>
      </c>
      <c r="O1231">
        <v>0</v>
      </c>
      <c r="P1231">
        <v>0</v>
      </c>
      <c r="Q1231">
        <v>4500</v>
      </c>
    </row>
    <row r="1232" spans="1:17">
      <c r="A1232" t="s">
        <v>54</v>
      </c>
      <c r="B1232" t="s">
        <v>40</v>
      </c>
      <c r="C1232">
        <v>6</v>
      </c>
      <c r="D1232">
        <v>2022</v>
      </c>
      <c r="E1232" s="49" t="s">
        <v>0</v>
      </c>
      <c r="F1232" s="49" t="s">
        <v>163</v>
      </c>
      <c r="G1232">
        <f>'Feb to July, 2022'!AM34+'Feb to July, 2022'!AN34</f>
        <v>40</v>
      </c>
      <c r="H1232">
        <f>'Feb to July, 2022'!AO34</f>
        <v>0</v>
      </c>
      <c r="I1232">
        <f>'Feb to July, 2022'!AP34</f>
        <v>12</v>
      </c>
      <c r="J1232">
        <f>G1232*Parameters!$B$2*Parameters!$B$5</f>
        <v>85.163999999999987</v>
      </c>
      <c r="K1232">
        <f>H1232*Parameters!$B$3*Parameters!$B$6</f>
        <v>0</v>
      </c>
      <c r="L1232">
        <f>I1232*Parameters!$B$4*Parameters!$B$7</f>
        <v>97.156800000000018</v>
      </c>
      <c r="M1232">
        <f t="shared" si="19"/>
        <v>182.32080000000002</v>
      </c>
      <c r="N1232">
        <v>4000</v>
      </c>
      <c r="O1232">
        <v>0</v>
      </c>
      <c r="P1232">
        <v>0</v>
      </c>
      <c r="Q1232">
        <v>3600</v>
      </c>
    </row>
    <row r="1233" spans="1:17">
      <c r="A1233" t="s">
        <v>55</v>
      </c>
      <c r="B1233" t="s">
        <v>56</v>
      </c>
      <c r="C1233">
        <v>4</v>
      </c>
      <c r="D1233">
        <v>2022</v>
      </c>
      <c r="E1233" s="49" t="s">
        <v>0</v>
      </c>
      <c r="F1233" s="49" t="s">
        <v>163</v>
      </c>
      <c r="G1233">
        <f>'Feb to July, 2022'!AM35+'Feb to July, 2022'!AN35</f>
        <v>45</v>
      </c>
      <c r="H1233">
        <f>'Feb to July, 2022'!AO35</f>
        <v>0</v>
      </c>
      <c r="I1233">
        <f>'Feb to July, 2022'!AP35</f>
        <v>20</v>
      </c>
      <c r="J1233">
        <f>G1233*Parameters!$B$2*Parameters!$B$5</f>
        <v>95.809499999999986</v>
      </c>
      <c r="K1233">
        <f>H1233*Parameters!$B$3*Parameters!$B$6</f>
        <v>0</v>
      </c>
      <c r="L1233">
        <f>I1233*Parameters!$B$4*Parameters!$B$7</f>
        <v>161.928</v>
      </c>
      <c r="M1233">
        <f t="shared" si="19"/>
        <v>257.73749999999995</v>
      </c>
      <c r="N1233">
        <v>4500</v>
      </c>
      <c r="O1233">
        <v>0</v>
      </c>
      <c r="P1233">
        <v>0</v>
      </c>
      <c r="Q1233">
        <v>6000</v>
      </c>
    </row>
    <row r="1234" spans="1:17">
      <c r="A1234" t="s">
        <v>57</v>
      </c>
      <c r="B1234" t="s">
        <v>40</v>
      </c>
      <c r="C1234">
        <v>4</v>
      </c>
      <c r="D1234">
        <v>2022</v>
      </c>
      <c r="E1234" s="49" t="s">
        <v>0</v>
      </c>
      <c r="F1234" s="49" t="s">
        <v>163</v>
      </c>
      <c r="G1234">
        <f>'Feb to July, 2022'!AM36+'Feb to July, 2022'!AN36</f>
        <v>25</v>
      </c>
      <c r="H1234">
        <f>'Feb to July, 2022'!AO36</f>
        <v>0</v>
      </c>
      <c r="I1234">
        <f>'Feb to July, 2022'!AP36</f>
        <v>15</v>
      </c>
      <c r="J1234">
        <f>G1234*Parameters!$B$2*Parameters!$B$5</f>
        <v>53.227499999999992</v>
      </c>
      <c r="K1234">
        <f>H1234*Parameters!$B$3*Parameters!$B$6</f>
        <v>0</v>
      </c>
      <c r="L1234">
        <f>I1234*Parameters!$B$4*Parameters!$B$7</f>
        <v>121.44600000000001</v>
      </c>
      <c r="M1234">
        <f t="shared" si="19"/>
        <v>174.67349999999999</v>
      </c>
      <c r="N1234">
        <v>2500</v>
      </c>
      <c r="O1234">
        <v>0</v>
      </c>
      <c r="P1234">
        <v>0</v>
      </c>
      <c r="Q1234">
        <v>4500</v>
      </c>
    </row>
    <row r="1235" spans="1:17">
      <c r="A1235" t="s">
        <v>58</v>
      </c>
      <c r="B1235" t="s">
        <v>26</v>
      </c>
      <c r="C1235">
        <v>6</v>
      </c>
      <c r="D1235">
        <v>2022</v>
      </c>
      <c r="E1235" s="49" t="s">
        <v>0</v>
      </c>
      <c r="F1235" s="49" t="s">
        <v>163</v>
      </c>
      <c r="G1235">
        <f>'Feb to July, 2022'!AM37+'Feb to July, 2022'!AN37</f>
        <v>30</v>
      </c>
      <c r="H1235">
        <f>'Feb to July, 2022'!AO37</f>
        <v>0</v>
      </c>
      <c r="I1235">
        <f>'Feb to July, 2022'!AP37</f>
        <v>5</v>
      </c>
      <c r="J1235">
        <f>G1235*Parameters!$B$2*Parameters!$B$5</f>
        <v>63.87299999999999</v>
      </c>
      <c r="K1235">
        <f>H1235*Parameters!$B$3*Parameters!$B$6</f>
        <v>0</v>
      </c>
      <c r="L1235">
        <f>I1235*Parameters!$B$4*Parameters!$B$7</f>
        <v>40.481999999999999</v>
      </c>
      <c r="M1235">
        <f t="shared" si="19"/>
        <v>104.35499999999999</v>
      </c>
      <c r="N1235">
        <v>3000</v>
      </c>
      <c r="O1235">
        <v>0</v>
      </c>
      <c r="P1235">
        <v>0</v>
      </c>
      <c r="Q1235">
        <v>1500</v>
      </c>
    </row>
    <row r="1236" spans="1:17">
      <c r="A1236" t="s">
        <v>59</v>
      </c>
      <c r="B1236" t="s">
        <v>26</v>
      </c>
      <c r="C1236">
        <v>7</v>
      </c>
      <c r="D1236">
        <v>2022</v>
      </c>
      <c r="E1236" s="49" t="s">
        <v>0</v>
      </c>
      <c r="F1236" s="49" t="s">
        <v>163</v>
      </c>
      <c r="G1236">
        <f>'Feb to July, 2022'!AM38+'Feb to July, 2022'!AN38</f>
        <v>23</v>
      </c>
      <c r="H1236">
        <f>'Feb to July, 2022'!AO38</f>
        <v>0</v>
      </c>
      <c r="I1236">
        <f>'Feb to July, 2022'!AP38</f>
        <v>5</v>
      </c>
      <c r="J1236">
        <f>G1236*Parameters!$B$2*Parameters!$B$5</f>
        <v>48.969299999999997</v>
      </c>
      <c r="K1236">
        <f>H1236*Parameters!$B$3*Parameters!$B$6</f>
        <v>0</v>
      </c>
      <c r="L1236">
        <f>I1236*Parameters!$B$4*Parameters!$B$7</f>
        <v>40.481999999999999</v>
      </c>
      <c r="M1236">
        <f t="shared" si="19"/>
        <v>89.451300000000003</v>
      </c>
      <c r="N1236">
        <v>2300</v>
      </c>
      <c r="O1236">
        <v>0</v>
      </c>
      <c r="P1236">
        <v>0</v>
      </c>
      <c r="Q1236">
        <v>1500</v>
      </c>
    </row>
    <row r="1237" spans="1:17">
      <c r="A1237" t="s">
        <v>60</v>
      </c>
      <c r="B1237" t="s">
        <v>26</v>
      </c>
      <c r="C1237">
        <v>8</v>
      </c>
      <c r="D1237">
        <v>2022</v>
      </c>
      <c r="E1237" s="49" t="s">
        <v>0</v>
      </c>
      <c r="F1237" s="49" t="s">
        <v>163</v>
      </c>
      <c r="G1237">
        <f>'Feb to July, 2022'!AM39+'Feb to July, 2022'!AN39</f>
        <v>45</v>
      </c>
      <c r="H1237">
        <f>'Feb to July, 2022'!AO39</f>
        <v>0</v>
      </c>
      <c r="I1237">
        <f>'Feb to July, 2022'!AP39</f>
        <v>5</v>
      </c>
      <c r="J1237">
        <f>G1237*Parameters!$B$2*Parameters!$B$5</f>
        <v>95.809499999999986</v>
      </c>
      <c r="K1237">
        <f>H1237*Parameters!$B$3*Parameters!$B$6</f>
        <v>0</v>
      </c>
      <c r="L1237">
        <f>I1237*Parameters!$B$4*Parameters!$B$7</f>
        <v>40.481999999999999</v>
      </c>
      <c r="M1237">
        <f t="shared" si="19"/>
        <v>136.29149999999998</v>
      </c>
      <c r="N1237">
        <v>4500</v>
      </c>
      <c r="O1237">
        <v>0</v>
      </c>
      <c r="P1237">
        <v>0</v>
      </c>
      <c r="Q1237">
        <v>1500</v>
      </c>
    </row>
    <row r="1238" spans="1:17">
      <c r="A1238" t="s">
        <v>61</v>
      </c>
      <c r="B1238" t="s">
        <v>56</v>
      </c>
      <c r="C1238">
        <v>5</v>
      </c>
      <c r="D1238">
        <v>2022</v>
      </c>
      <c r="E1238" s="49" t="s">
        <v>0</v>
      </c>
      <c r="F1238" s="49" t="s">
        <v>163</v>
      </c>
      <c r="G1238">
        <f>'Feb to July, 2022'!AM40+'Feb to July, 2022'!AN40</f>
        <v>20</v>
      </c>
      <c r="H1238">
        <f>'Feb to July, 2022'!AO40</f>
        <v>0</v>
      </c>
      <c r="I1238">
        <f>'Feb to July, 2022'!AP40</f>
        <v>20</v>
      </c>
      <c r="J1238">
        <f>G1238*Parameters!$B$2*Parameters!$B$5</f>
        <v>42.581999999999994</v>
      </c>
      <c r="K1238">
        <f>H1238*Parameters!$B$3*Parameters!$B$6</f>
        <v>0</v>
      </c>
      <c r="L1238">
        <f>I1238*Parameters!$B$4*Parameters!$B$7</f>
        <v>161.928</v>
      </c>
      <c r="M1238">
        <f t="shared" si="19"/>
        <v>204.51</v>
      </c>
      <c r="N1238">
        <v>2000</v>
      </c>
      <c r="O1238">
        <v>0</v>
      </c>
      <c r="P1238">
        <v>0</v>
      </c>
      <c r="Q1238">
        <v>6000</v>
      </c>
    </row>
    <row r="1239" spans="1:17">
      <c r="A1239" t="s">
        <v>62</v>
      </c>
      <c r="B1239" t="s">
        <v>21</v>
      </c>
      <c r="C1239">
        <v>6</v>
      </c>
      <c r="D1239">
        <v>2022</v>
      </c>
      <c r="E1239" s="49" t="s">
        <v>0</v>
      </c>
      <c r="F1239" s="49" t="s">
        <v>163</v>
      </c>
      <c r="G1239">
        <f>'Feb to July, 2022'!AM41+'Feb to July, 2022'!AN41</f>
        <v>42</v>
      </c>
      <c r="H1239">
        <f>'Feb to July, 2022'!AO41</f>
        <v>0</v>
      </c>
      <c r="I1239">
        <f>'Feb to July, 2022'!AP41</f>
        <v>10</v>
      </c>
      <c r="J1239">
        <f>G1239*Parameters!$B$2*Parameters!$B$5</f>
        <v>89.422199999999975</v>
      </c>
      <c r="K1239">
        <f>H1239*Parameters!$B$3*Parameters!$B$6</f>
        <v>0</v>
      </c>
      <c r="L1239">
        <f>I1239*Parameters!$B$4*Parameters!$B$7</f>
        <v>80.963999999999999</v>
      </c>
      <c r="M1239">
        <f t="shared" si="19"/>
        <v>170.38619999999997</v>
      </c>
      <c r="N1239">
        <v>4200</v>
      </c>
      <c r="O1239">
        <v>0</v>
      </c>
      <c r="P1239">
        <v>0</v>
      </c>
      <c r="Q1239">
        <v>3000</v>
      </c>
    </row>
    <row r="1240" spans="1:17">
      <c r="A1240" t="s">
        <v>63</v>
      </c>
      <c r="B1240" t="s">
        <v>21</v>
      </c>
      <c r="C1240">
        <v>9</v>
      </c>
      <c r="D1240">
        <v>2022</v>
      </c>
      <c r="E1240" s="49" t="s">
        <v>0</v>
      </c>
      <c r="F1240" s="49" t="s">
        <v>163</v>
      </c>
      <c r="G1240">
        <f>'Feb to July, 2022'!AM42+'Feb to July, 2022'!AN42</f>
        <v>55</v>
      </c>
      <c r="H1240">
        <f>'Feb to July, 2022'!AO42</f>
        <v>0</v>
      </c>
      <c r="I1240">
        <f>'Feb to July, 2022'!AP42</f>
        <v>12</v>
      </c>
      <c r="J1240">
        <f>G1240*Parameters!$B$2*Parameters!$B$5</f>
        <v>117.10049999999998</v>
      </c>
      <c r="K1240">
        <f>H1240*Parameters!$B$3*Parameters!$B$6</f>
        <v>0</v>
      </c>
      <c r="L1240">
        <f>I1240*Parameters!$B$4*Parameters!$B$7</f>
        <v>97.156800000000018</v>
      </c>
      <c r="M1240">
        <f t="shared" si="19"/>
        <v>214.25729999999999</v>
      </c>
      <c r="N1240">
        <v>5500</v>
      </c>
      <c r="O1240">
        <v>0</v>
      </c>
      <c r="P1240">
        <v>0</v>
      </c>
      <c r="Q1240">
        <v>3600</v>
      </c>
    </row>
    <row r="1241" spans="1:17">
      <c r="A1241" t="s">
        <v>64</v>
      </c>
      <c r="B1241" t="s">
        <v>65</v>
      </c>
      <c r="C1241">
        <v>3</v>
      </c>
      <c r="D1241">
        <v>2022</v>
      </c>
      <c r="E1241" s="49" t="s">
        <v>0</v>
      </c>
      <c r="F1241" s="49" t="s">
        <v>163</v>
      </c>
      <c r="G1241">
        <f>'Feb to July, 2022'!AM43+'Feb to July, 2022'!AN43</f>
        <v>60</v>
      </c>
      <c r="H1241">
        <f>'Feb to July, 2022'!AO43</f>
        <v>0</v>
      </c>
      <c r="I1241">
        <f>'Feb to July, 2022'!AP43</f>
        <v>0</v>
      </c>
      <c r="J1241">
        <f>G1241*Parameters!$B$2*Parameters!$B$5</f>
        <v>127.74599999999998</v>
      </c>
      <c r="K1241">
        <f>H1241*Parameters!$B$3*Parameters!$B$6</f>
        <v>0</v>
      </c>
      <c r="L1241">
        <f>I1241*Parameters!$B$4*Parameters!$B$7</f>
        <v>0</v>
      </c>
      <c r="M1241">
        <f t="shared" si="19"/>
        <v>127.74599999999998</v>
      </c>
      <c r="N1241">
        <v>3500</v>
      </c>
      <c r="O1241">
        <v>2500</v>
      </c>
      <c r="P1241">
        <v>0</v>
      </c>
      <c r="Q1241">
        <v>0</v>
      </c>
    </row>
    <row r="1242" spans="1:17">
      <c r="A1242" t="s">
        <v>66</v>
      </c>
      <c r="B1242" t="s">
        <v>24</v>
      </c>
      <c r="C1242">
        <v>4</v>
      </c>
      <c r="D1242">
        <v>2022</v>
      </c>
      <c r="E1242" s="49" t="s">
        <v>0</v>
      </c>
      <c r="F1242" s="49" t="s">
        <v>163</v>
      </c>
      <c r="G1242">
        <f>'Feb to July, 2022'!AM44+'Feb to July, 2022'!AN44</f>
        <v>30</v>
      </c>
      <c r="H1242">
        <f>'Feb to July, 2022'!AO44</f>
        <v>0</v>
      </c>
      <c r="I1242">
        <f>'Feb to July, 2022'!AP44</f>
        <v>15</v>
      </c>
      <c r="J1242">
        <f>G1242*Parameters!$B$2*Parameters!$B$5</f>
        <v>63.87299999999999</v>
      </c>
      <c r="K1242">
        <f>H1242*Parameters!$B$3*Parameters!$B$6</f>
        <v>0</v>
      </c>
      <c r="L1242">
        <f>I1242*Parameters!$B$4*Parameters!$B$7</f>
        <v>121.44600000000001</v>
      </c>
      <c r="M1242">
        <f t="shared" si="19"/>
        <v>185.31900000000002</v>
      </c>
      <c r="N1242">
        <v>3000</v>
      </c>
      <c r="O1242">
        <v>0</v>
      </c>
      <c r="P1242">
        <v>0</v>
      </c>
      <c r="Q1242">
        <v>4500</v>
      </c>
    </row>
    <row r="1243" spans="1:17">
      <c r="A1243" t="s">
        <v>67</v>
      </c>
      <c r="B1243" t="s">
        <v>56</v>
      </c>
      <c r="C1243">
        <v>6</v>
      </c>
      <c r="D1243">
        <v>2022</v>
      </c>
      <c r="E1243" s="49" t="s">
        <v>0</v>
      </c>
      <c r="F1243" s="49" t="s">
        <v>163</v>
      </c>
      <c r="G1243">
        <f>'Feb to July, 2022'!AM45+'Feb to July, 2022'!AN45</f>
        <v>43</v>
      </c>
      <c r="H1243">
        <f>'Feb to July, 2022'!AO45</f>
        <v>0</v>
      </c>
      <c r="I1243">
        <f>'Feb to July, 2022'!AP45</f>
        <v>10</v>
      </c>
      <c r="J1243">
        <f>G1243*Parameters!$B$2*Parameters!$B$5</f>
        <v>91.551299999999983</v>
      </c>
      <c r="K1243">
        <f>H1243*Parameters!$B$3*Parameters!$B$6</f>
        <v>0</v>
      </c>
      <c r="L1243">
        <f>I1243*Parameters!$B$4*Parameters!$B$7</f>
        <v>80.963999999999999</v>
      </c>
      <c r="M1243">
        <f t="shared" si="19"/>
        <v>172.51529999999997</v>
      </c>
      <c r="N1243">
        <v>4300</v>
      </c>
      <c r="O1243">
        <v>0</v>
      </c>
      <c r="P1243">
        <v>0</v>
      </c>
      <c r="Q1243">
        <v>3000</v>
      </c>
    </row>
    <row r="1244" spans="1:17">
      <c r="A1244" t="s">
        <v>68</v>
      </c>
      <c r="B1244" t="s">
        <v>21</v>
      </c>
      <c r="C1244">
        <v>4</v>
      </c>
      <c r="D1244">
        <v>2022</v>
      </c>
      <c r="E1244" s="49" t="s">
        <v>0</v>
      </c>
      <c r="F1244" s="49" t="s">
        <v>163</v>
      </c>
      <c r="G1244">
        <f>'Feb to July, 2022'!AM46+'Feb to July, 2022'!AN46</f>
        <v>30</v>
      </c>
      <c r="H1244">
        <f>'Feb to July, 2022'!AO46</f>
        <v>0</v>
      </c>
      <c r="I1244">
        <f>'Feb to July, 2022'!AP46</f>
        <v>15</v>
      </c>
      <c r="J1244">
        <f>G1244*Parameters!$B$2*Parameters!$B$5</f>
        <v>63.87299999999999</v>
      </c>
      <c r="K1244">
        <f>H1244*Parameters!$B$3*Parameters!$B$6</f>
        <v>0</v>
      </c>
      <c r="L1244">
        <f>I1244*Parameters!$B$4*Parameters!$B$7</f>
        <v>121.44600000000001</v>
      </c>
      <c r="M1244">
        <f t="shared" si="19"/>
        <v>185.31900000000002</v>
      </c>
      <c r="N1244">
        <v>3000</v>
      </c>
      <c r="O1244">
        <v>0</v>
      </c>
      <c r="P1244">
        <v>0</v>
      </c>
      <c r="Q1244">
        <v>4500</v>
      </c>
    </row>
    <row r="1245" spans="1:17">
      <c r="A1245" t="s">
        <v>69</v>
      </c>
      <c r="B1245" t="s">
        <v>24</v>
      </c>
      <c r="C1245">
        <v>6</v>
      </c>
      <c r="D1245">
        <v>2022</v>
      </c>
      <c r="E1245" s="49" t="s">
        <v>0</v>
      </c>
      <c r="F1245" s="49" t="s">
        <v>163</v>
      </c>
      <c r="G1245">
        <f>'Feb to July, 2022'!AM47+'Feb to July, 2022'!AN47</f>
        <v>25</v>
      </c>
      <c r="H1245">
        <f>'Feb to July, 2022'!AO47</f>
        <v>0</v>
      </c>
      <c r="I1245">
        <f>'Feb to July, 2022'!AP47</f>
        <v>15</v>
      </c>
      <c r="J1245">
        <f>G1245*Parameters!$B$2*Parameters!$B$5</f>
        <v>53.227499999999992</v>
      </c>
      <c r="K1245">
        <f>H1245*Parameters!$B$3*Parameters!$B$6</f>
        <v>0</v>
      </c>
      <c r="L1245">
        <f>I1245*Parameters!$B$4*Parameters!$B$7</f>
        <v>121.44600000000001</v>
      </c>
      <c r="M1245">
        <f t="shared" si="19"/>
        <v>174.67349999999999</v>
      </c>
      <c r="N1245">
        <v>2500</v>
      </c>
      <c r="O1245">
        <v>0</v>
      </c>
      <c r="P1245">
        <v>0</v>
      </c>
      <c r="Q1245">
        <v>4500</v>
      </c>
    </row>
    <row r="1246" spans="1:17">
      <c r="A1246" t="s">
        <v>70</v>
      </c>
      <c r="B1246" t="s">
        <v>26</v>
      </c>
      <c r="C1246">
        <v>6</v>
      </c>
      <c r="D1246">
        <v>2022</v>
      </c>
      <c r="E1246" s="49" t="s">
        <v>0</v>
      </c>
      <c r="F1246" s="49" t="s">
        <v>163</v>
      </c>
      <c r="G1246">
        <f>'Feb to July, 2022'!AM48+'Feb to July, 2022'!AN48</f>
        <v>45</v>
      </c>
      <c r="H1246">
        <f>'Feb to July, 2022'!AO48</f>
        <v>0</v>
      </c>
      <c r="I1246">
        <f>'Feb to July, 2022'!AP48</f>
        <v>10</v>
      </c>
      <c r="J1246">
        <f>G1246*Parameters!$B$2*Parameters!$B$5</f>
        <v>95.809499999999986</v>
      </c>
      <c r="K1246">
        <f>H1246*Parameters!$B$3*Parameters!$B$6</f>
        <v>0</v>
      </c>
      <c r="L1246">
        <f>I1246*Parameters!$B$4*Parameters!$B$7</f>
        <v>80.963999999999999</v>
      </c>
      <c r="M1246">
        <f t="shared" si="19"/>
        <v>176.77349999999998</v>
      </c>
      <c r="N1246">
        <v>4500</v>
      </c>
      <c r="O1246">
        <v>0</v>
      </c>
      <c r="P1246">
        <v>0</v>
      </c>
      <c r="Q1246">
        <v>3000</v>
      </c>
    </row>
    <row r="1247" spans="1:17">
      <c r="A1247" t="s">
        <v>71</v>
      </c>
      <c r="B1247" t="s">
        <v>26</v>
      </c>
      <c r="C1247">
        <v>5</v>
      </c>
      <c r="D1247">
        <v>2022</v>
      </c>
      <c r="E1247" s="49" t="s">
        <v>0</v>
      </c>
      <c r="F1247" s="49" t="s">
        <v>163</v>
      </c>
      <c r="G1247">
        <f>'Feb to July, 2022'!AM49+'Feb to July, 2022'!AN49</f>
        <v>25</v>
      </c>
      <c r="H1247">
        <f>'Feb to July, 2022'!AO49</f>
        <v>0</v>
      </c>
      <c r="I1247">
        <f>'Feb to July, 2022'!AP49</f>
        <v>10</v>
      </c>
      <c r="J1247">
        <f>G1247*Parameters!$B$2*Parameters!$B$5</f>
        <v>53.227499999999992</v>
      </c>
      <c r="K1247">
        <f>H1247*Parameters!$B$3*Parameters!$B$6</f>
        <v>0</v>
      </c>
      <c r="L1247">
        <f>I1247*Parameters!$B$4*Parameters!$B$7</f>
        <v>80.963999999999999</v>
      </c>
      <c r="M1247">
        <f t="shared" si="19"/>
        <v>134.19149999999999</v>
      </c>
      <c r="N1247">
        <v>2500</v>
      </c>
      <c r="O1247">
        <v>0</v>
      </c>
      <c r="P1247">
        <v>0</v>
      </c>
      <c r="Q1247">
        <v>3000</v>
      </c>
    </row>
    <row r="1248" spans="1:17">
      <c r="A1248" t="s">
        <v>72</v>
      </c>
      <c r="B1248" t="s">
        <v>26</v>
      </c>
      <c r="C1248">
        <v>8</v>
      </c>
      <c r="D1248">
        <v>2022</v>
      </c>
      <c r="E1248" s="49" t="s">
        <v>0</v>
      </c>
      <c r="F1248" s="49" t="s">
        <v>163</v>
      </c>
      <c r="G1248">
        <f>'Feb to July, 2022'!AM50+'Feb to July, 2022'!AN50</f>
        <v>30</v>
      </c>
      <c r="H1248">
        <f>'Feb to July, 2022'!AO50</f>
        <v>0</v>
      </c>
      <c r="I1248">
        <f>'Feb to July, 2022'!AP50</f>
        <v>10</v>
      </c>
      <c r="J1248">
        <f>G1248*Parameters!$B$2*Parameters!$B$5</f>
        <v>63.87299999999999</v>
      </c>
      <c r="K1248">
        <f>H1248*Parameters!$B$3*Parameters!$B$6</f>
        <v>0</v>
      </c>
      <c r="L1248">
        <f>I1248*Parameters!$B$4*Parameters!$B$7</f>
        <v>80.963999999999999</v>
      </c>
      <c r="M1248">
        <f t="shared" si="19"/>
        <v>144.83699999999999</v>
      </c>
      <c r="N1248">
        <v>3000</v>
      </c>
      <c r="O1248">
        <v>0</v>
      </c>
      <c r="P1248">
        <v>0</v>
      </c>
      <c r="Q1248">
        <v>3000</v>
      </c>
    </row>
    <row r="1249" spans="1:17">
      <c r="A1249" t="s">
        <v>73</v>
      </c>
      <c r="B1249" t="s">
        <v>17</v>
      </c>
      <c r="C1249">
        <v>4</v>
      </c>
      <c r="D1249">
        <v>2022</v>
      </c>
      <c r="E1249" s="49" t="s">
        <v>0</v>
      </c>
      <c r="F1249" s="49" t="s">
        <v>163</v>
      </c>
      <c r="G1249">
        <f>'Feb to July, 2022'!AM51+'Feb to July, 2022'!AN51</f>
        <v>30</v>
      </c>
      <c r="H1249">
        <f>'Feb to July, 2022'!AO51</f>
        <v>0</v>
      </c>
      <c r="I1249">
        <f>'Feb to July, 2022'!AP51</f>
        <v>40</v>
      </c>
      <c r="J1249">
        <f>G1249*Parameters!$B$2*Parameters!$B$5</f>
        <v>63.87299999999999</v>
      </c>
      <c r="K1249">
        <f>H1249*Parameters!$B$3*Parameters!$B$6</f>
        <v>0</v>
      </c>
      <c r="L1249">
        <f>I1249*Parameters!$B$4*Parameters!$B$7</f>
        <v>323.85599999999999</v>
      </c>
      <c r="M1249">
        <f t="shared" si="19"/>
        <v>387.72899999999998</v>
      </c>
      <c r="N1249">
        <v>3000</v>
      </c>
      <c r="O1249">
        <v>0</v>
      </c>
      <c r="P1249">
        <v>0</v>
      </c>
      <c r="Q1249">
        <v>12000</v>
      </c>
    </row>
    <row r="1250" spans="1:17">
      <c r="A1250" t="s">
        <v>74</v>
      </c>
      <c r="B1250" t="s">
        <v>65</v>
      </c>
      <c r="C1250">
        <v>8</v>
      </c>
      <c r="D1250">
        <v>2022</v>
      </c>
      <c r="E1250" s="49" t="s">
        <v>0</v>
      </c>
      <c r="F1250" s="49" t="s">
        <v>163</v>
      </c>
      <c r="G1250">
        <f>'Feb to July, 2022'!AM52+'Feb to July, 2022'!AN52</f>
        <v>40</v>
      </c>
      <c r="H1250">
        <f>'Feb to July, 2022'!AO52</f>
        <v>0</v>
      </c>
      <c r="I1250">
        <f>'Feb to July, 2022'!AP52</f>
        <v>4</v>
      </c>
      <c r="J1250">
        <f>G1250*Parameters!$B$2*Parameters!$B$5</f>
        <v>85.163999999999987</v>
      </c>
      <c r="K1250">
        <f>H1250*Parameters!$B$3*Parameters!$B$6</f>
        <v>0</v>
      </c>
      <c r="L1250">
        <f>I1250*Parameters!$B$4*Parameters!$B$7</f>
        <v>32.385600000000004</v>
      </c>
      <c r="M1250">
        <f t="shared" si="19"/>
        <v>117.5496</v>
      </c>
      <c r="N1250">
        <v>2500</v>
      </c>
      <c r="O1250">
        <v>1500</v>
      </c>
      <c r="P1250">
        <v>0</v>
      </c>
      <c r="Q1250">
        <v>1200</v>
      </c>
    </row>
    <row r="1251" spans="1:17">
      <c r="A1251" t="s">
        <v>75</v>
      </c>
      <c r="B1251" t="s">
        <v>24</v>
      </c>
      <c r="C1251">
        <v>4</v>
      </c>
      <c r="D1251">
        <v>2022</v>
      </c>
      <c r="E1251" s="49" t="s">
        <v>0</v>
      </c>
      <c r="F1251" s="49" t="s">
        <v>163</v>
      </c>
      <c r="G1251">
        <f>'Feb to July, 2022'!AM53+'Feb to July, 2022'!AN53</f>
        <v>30</v>
      </c>
      <c r="H1251">
        <f>'Feb to July, 2022'!AO53</f>
        <v>0</v>
      </c>
      <c r="I1251">
        <f>'Feb to July, 2022'!AP53</f>
        <v>12</v>
      </c>
      <c r="J1251">
        <f>G1251*Parameters!$B$2*Parameters!$B$5</f>
        <v>63.87299999999999</v>
      </c>
      <c r="K1251">
        <f>H1251*Parameters!$B$3*Parameters!$B$6</f>
        <v>0</v>
      </c>
      <c r="L1251">
        <f>I1251*Parameters!$B$4*Parameters!$B$7</f>
        <v>97.156800000000018</v>
      </c>
      <c r="M1251">
        <f t="shared" si="19"/>
        <v>161.02980000000002</v>
      </c>
      <c r="N1251">
        <v>3000</v>
      </c>
      <c r="O1251">
        <v>0</v>
      </c>
      <c r="P1251">
        <v>0</v>
      </c>
      <c r="Q1251">
        <v>3600</v>
      </c>
    </row>
    <row r="1252" spans="1:17">
      <c r="A1252" t="s">
        <v>76</v>
      </c>
      <c r="B1252" t="s">
        <v>56</v>
      </c>
      <c r="C1252">
        <v>4</v>
      </c>
      <c r="D1252">
        <v>2022</v>
      </c>
      <c r="E1252" s="49" t="s">
        <v>0</v>
      </c>
      <c r="F1252" s="49" t="s">
        <v>163</v>
      </c>
      <c r="G1252">
        <f>'Feb to July, 2022'!AM54+'Feb to July, 2022'!AN54</f>
        <v>25</v>
      </c>
      <c r="H1252">
        <f>'Feb to July, 2022'!AO54</f>
        <v>0</v>
      </c>
      <c r="I1252">
        <f>'Feb to July, 2022'!AP54</f>
        <v>10</v>
      </c>
      <c r="J1252">
        <f>G1252*Parameters!$B$2*Parameters!$B$5</f>
        <v>53.227499999999992</v>
      </c>
      <c r="K1252">
        <f>H1252*Parameters!$B$3*Parameters!$B$6</f>
        <v>0</v>
      </c>
      <c r="L1252">
        <f>I1252*Parameters!$B$4*Parameters!$B$7</f>
        <v>80.963999999999999</v>
      </c>
      <c r="M1252">
        <f t="shared" si="19"/>
        <v>134.19149999999999</v>
      </c>
      <c r="N1252">
        <v>2500</v>
      </c>
      <c r="O1252">
        <v>0</v>
      </c>
      <c r="P1252">
        <v>0</v>
      </c>
      <c r="Q1252">
        <v>3000</v>
      </c>
    </row>
    <row r="1253" spans="1:17">
      <c r="A1253" t="s">
        <v>77</v>
      </c>
      <c r="B1253" t="s">
        <v>40</v>
      </c>
      <c r="C1253">
        <v>12</v>
      </c>
      <c r="D1253">
        <v>2022</v>
      </c>
      <c r="E1253" s="49" t="s">
        <v>0</v>
      </c>
      <c r="F1253" s="49" t="s">
        <v>163</v>
      </c>
      <c r="G1253">
        <f>'Feb to July, 2022'!AM55+'Feb to July, 2022'!AN55</f>
        <v>30</v>
      </c>
      <c r="H1253">
        <f>'Feb to July, 2022'!AO55</f>
        <v>0</v>
      </c>
      <c r="I1253">
        <f>'Feb to July, 2022'!AP55</f>
        <v>10</v>
      </c>
      <c r="J1253">
        <f>G1253*Parameters!$B$2*Parameters!$B$5</f>
        <v>63.87299999999999</v>
      </c>
      <c r="K1253">
        <f>H1253*Parameters!$B$3*Parameters!$B$6</f>
        <v>0</v>
      </c>
      <c r="L1253">
        <f>I1253*Parameters!$B$4*Parameters!$B$7</f>
        <v>80.963999999999999</v>
      </c>
      <c r="M1253">
        <f t="shared" si="19"/>
        <v>144.83699999999999</v>
      </c>
      <c r="N1253">
        <v>3000</v>
      </c>
      <c r="O1253">
        <v>0</v>
      </c>
      <c r="P1253">
        <v>0</v>
      </c>
      <c r="Q1253">
        <v>3000</v>
      </c>
    </row>
    <row r="1254" spans="1:17">
      <c r="A1254" t="s">
        <v>78</v>
      </c>
      <c r="B1254" t="s">
        <v>32</v>
      </c>
      <c r="C1254">
        <v>6</v>
      </c>
      <c r="D1254">
        <v>2022</v>
      </c>
      <c r="E1254" s="49" t="s">
        <v>0</v>
      </c>
      <c r="F1254" s="49" t="s">
        <v>163</v>
      </c>
      <c r="G1254">
        <f>'Feb to July, 2022'!AM56+'Feb to July, 2022'!AN56</f>
        <v>25</v>
      </c>
      <c r="H1254">
        <f>'Feb to July, 2022'!AO56</f>
        <v>0</v>
      </c>
      <c r="I1254">
        <f>'Feb to July, 2022'!AP56</f>
        <v>5</v>
      </c>
      <c r="J1254">
        <f>G1254*Parameters!$B$2*Parameters!$B$5</f>
        <v>53.227499999999992</v>
      </c>
      <c r="K1254">
        <f>H1254*Parameters!$B$3*Parameters!$B$6</f>
        <v>0</v>
      </c>
      <c r="L1254">
        <f>I1254*Parameters!$B$4*Parameters!$B$7</f>
        <v>40.481999999999999</v>
      </c>
      <c r="M1254">
        <f t="shared" si="19"/>
        <v>93.709499999999991</v>
      </c>
      <c r="N1254">
        <v>2500</v>
      </c>
      <c r="O1254">
        <v>0</v>
      </c>
      <c r="P1254">
        <v>0</v>
      </c>
      <c r="Q1254">
        <v>1500</v>
      </c>
    </row>
    <row r="1255" spans="1:17">
      <c r="A1255" t="s">
        <v>79</v>
      </c>
      <c r="B1255" t="s">
        <v>40</v>
      </c>
      <c r="C1255">
        <v>4</v>
      </c>
      <c r="D1255">
        <v>2022</v>
      </c>
      <c r="E1255" s="49" t="s">
        <v>0</v>
      </c>
      <c r="F1255" s="49" t="s">
        <v>163</v>
      </c>
      <c r="G1255">
        <f>'Feb to July, 2022'!AM57+'Feb to July, 2022'!AN57</f>
        <v>55</v>
      </c>
      <c r="H1255">
        <f>'Feb to July, 2022'!AO57</f>
        <v>0</v>
      </c>
      <c r="I1255">
        <f>'Feb to July, 2022'!AP57</f>
        <v>10</v>
      </c>
      <c r="J1255">
        <f>G1255*Parameters!$B$2*Parameters!$B$5</f>
        <v>117.10049999999998</v>
      </c>
      <c r="K1255">
        <f>H1255*Parameters!$B$3*Parameters!$B$6</f>
        <v>0</v>
      </c>
      <c r="L1255">
        <f>I1255*Parameters!$B$4*Parameters!$B$7</f>
        <v>80.963999999999999</v>
      </c>
      <c r="M1255">
        <f t="shared" si="19"/>
        <v>198.06449999999998</v>
      </c>
      <c r="N1255">
        <v>5500</v>
      </c>
      <c r="O1255">
        <v>0</v>
      </c>
      <c r="P1255">
        <v>0</v>
      </c>
      <c r="Q1255">
        <v>3000</v>
      </c>
    </row>
    <row r="1256" spans="1:17">
      <c r="A1256" t="s">
        <v>80</v>
      </c>
      <c r="B1256" t="s">
        <v>26</v>
      </c>
      <c r="C1256">
        <v>7</v>
      </c>
      <c r="D1256">
        <v>2022</v>
      </c>
      <c r="E1256" s="49" t="s">
        <v>0</v>
      </c>
      <c r="F1256" s="49" t="s">
        <v>163</v>
      </c>
      <c r="G1256">
        <f>'Feb to July, 2022'!AM58+'Feb to July, 2022'!AN58</f>
        <v>40</v>
      </c>
      <c r="H1256">
        <f>'Feb to July, 2022'!AO58</f>
        <v>0</v>
      </c>
      <c r="I1256">
        <f>'Feb to July, 2022'!AP58</f>
        <v>5</v>
      </c>
      <c r="J1256">
        <f>G1256*Parameters!$B$2*Parameters!$B$5</f>
        <v>85.163999999999987</v>
      </c>
      <c r="K1256">
        <f>H1256*Parameters!$B$3*Parameters!$B$6</f>
        <v>0</v>
      </c>
      <c r="L1256">
        <f>I1256*Parameters!$B$4*Parameters!$B$7</f>
        <v>40.481999999999999</v>
      </c>
      <c r="M1256">
        <f t="shared" si="19"/>
        <v>125.64599999999999</v>
      </c>
      <c r="N1256">
        <v>4000</v>
      </c>
      <c r="O1256">
        <v>0</v>
      </c>
      <c r="P1256">
        <v>0</v>
      </c>
      <c r="Q1256">
        <v>1500</v>
      </c>
    </row>
    <row r="1257" spans="1:17">
      <c r="A1257" t="s">
        <v>81</v>
      </c>
      <c r="B1257" t="s">
        <v>24</v>
      </c>
      <c r="C1257">
        <v>6</v>
      </c>
      <c r="D1257">
        <v>2022</v>
      </c>
      <c r="E1257" s="49" t="s">
        <v>0</v>
      </c>
      <c r="F1257" s="49" t="s">
        <v>163</v>
      </c>
      <c r="G1257">
        <f>'Feb to July, 2022'!AM59+'Feb to July, 2022'!AN59</f>
        <v>35</v>
      </c>
      <c r="H1257">
        <f>'Feb to July, 2022'!AO59</f>
        <v>0</v>
      </c>
      <c r="I1257">
        <f>'Feb to July, 2022'!AP59</f>
        <v>5</v>
      </c>
      <c r="J1257">
        <f>G1257*Parameters!$B$2*Parameters!$B$5</f>
        <v>74.518499999999989</v>
      </c>
      <c r="K1257">
        <f>H1257*Parameters!$B$3*Parameters!$B$6</f>
        <v>0</v>
      </c>
      <c r="L1257">
        <f>I1257*Parameters!$B$4*Parameters!$B$7</f>
        <v>40.481999999999999</v>
      </c>
      <c r="M1257">
        <f t="shared" si="19"/>
        <v>115.00049999999999</v>
      </c>
      <c r="N1257">
        <v>3500</v>
      </c>
      <c r="O1257">
        <v>0</v>
      </c>
      <c r="P1257">
        <v>0</v>
      </c>
      <c r="Q1257">
        <v>1500</v>
      </c>
    </row>
    <row r="1258" spans="1:17">
      <c r="A1258" t="s">
        <v>82</v>
      </c>
      <c r="B1258" t="s">
        <v>83</v>
      </c>
      <c r="C1258">
        <v>4</v>
      </c>
      <c r="D1258">
        <v>2022</v>
      </c>
      <c r="E1258" s="49" t="s">
        <v>0</v>
      </c>
      <c r="F1258" s="49" t="s">
        <v>163</v>
      </c>
      <c r="G1258">
        <f>'Feb to July, 2022'!AM60+'Feb to July, 2022'!AN60</f>
        <v>25</v>
      </c>
      <c r="H1258">
        <f>'Feb to July, 2022'!AO60</f>
        <v>0</v>
      </c>
      <c r="I1258">
        <f>'Feb to July, 2022'!AP60</f>
        <v>20</v>
      </c>
      <c r="J1258">
        <f>G1258*Parameters!$B$2*Parameters!$B$5</f>
        <v>53.227499999999992</v>
      </c>
      <c r="K1258">
        <f>H1258*Parameters!$B$3*Parameters!$B$6</f>
        <v>0</v>
      </c>
      <c r="L1258">
        <f>I1258*Parameters!$B$4*Parameters!$B$7</f>
        <v>161.928</v>
      </c>
      <c r="M1258">
        <f t="shared" si="19"/>
        <v>215.15549999999999</v>
      </c>
      <c r="N1258">
        <v>2500</v>
      </c>
      <c r="O1258">
        <v>0</v>
      </c>
      <c r="P1258">
        <v>0</v>
      </c>
      <c r="Q1258">
        <v>6000</v>
      </c>
    </row>
    <row r="1259" spans="1:17">
      <c r="A1259" t="s">
        <v>84</v>
      </c>
      <c r="B1259" t="s">
        <v>26</v>
      </c>
      <c r="C1259">
        <v>7</v>
      </c>
      <c r="D1259">
        <v>2022</v>
      </c>
      <c r="E1259" s="49" t="s">
        <v>0</v>
      </c>
      <c r="F1259" s="49" t="s">
        <v>163</v>
      </c>
      <c r="G1259">
        <f>'Feb to July, 2022'!AM61+'Feb to July, 2022'!AN61</f>
        <v>40</v>
      </c>
      <c r="H1259">
        <f>'Feb to July, 2022'!AO61</f>
        <v>0</v>
      </c>
      <c r="I1259">
        <f>'Feb to July, 2022'!AP61</f>
        <v>10</v>
      </c>
      <c r="J1259">
        <f>G1259*Parameters!$B$2*Parameters!$B$5</f>
        <v>85.163999999999987</v>
      </c>
      <c r="K1259">
        <f>H1259*Parameters!$B$3*Parameters!$B$6</f>
        <v>0</v>
      </c>
      <c r="L1259">
        <f>I1259*Parameters!$B$4*Parameters!$B$7</f>
        <v>80.963999999999999</v>
      </c>
      <c r="M1259">
        <f t="shared" si="19"/>
        <v>166.12799999999999</v>
      </c>
      <c r="N1259">
        <v>4000</v>
      </c>
      <c r="O1259">
        <v>0</v>
      </c>
      <c r="P1259">
        <v>0</v>
      </c>
      <c r="Q1259">
        <v>3000</v>
      </c>
    </row>
    <row r="1260" spans="1:17">
      <c r="A1260" t="s">
        <v>85</v>
      </c>
      <c r="B1260" t="s">
        <v>24</v>
      </c>
      <c r="C1260">
        <v>6</v>
      </c>
      <c r="D1260">
        <v>2022</v>
      </c>
      <c r="E1260" s="49" t="s">
        <v>0</v>
      </c>
      <c r="F1260" s="49" t="s">
        <v>163</v>
      </c>
      <c r="G1260">
        <f>'Feb to July, 2022'!AM62+'Feb to July, 2022'!AN62</f>
        <v>35</v>
      </c>
      <c r="H1260">
        <f>'Feb to July, 2022'!AO62</f>
        <v>0</v>
      </c>
      <c r="I1260">
        <f>'Feb to July, 2022'!AP62</f>
        <v>12</v>
      </c>
      <c r="J1260">
        <f>G1260*Parameters!$B$2*Parameters!$B$5</f>
        <v>74.518499999999989</v>
      </c>
      <c r="K1260">
        <f>H1260*Parameters!$B$3*Parameters!$B$6</f>
        <v>0</v>
      </c>
      <c r="L1260">
        <f>I1260*Parameters!$B$4*Parameters!$B$7</f>
        <v>97.156800000000018</v>
      </c>
      <c r="M1260">
        <f t="shared" si="19"/>
        <v>171.67529999999999</v>
      </c>
      <c r="N1260">
        <v>3500</v>
      </c>
      <c r="O1260">
        <v>0</v>
      </c>
      <c r="P1260">
        <v>0</v>
      </c>
      <c r="Q1260">
        <v>3600</v>
      </c>
    </row>
    <row r="1261" spans="1:17">
      <c r="A1261" t="s">
        <v>86</v>
      </c>
      <c r="B1261" t="s">
        <v>32</v>
      </c>
      <c r="C1261">
        <v>4</v>
      </c>
      <c r="D1261">
        <v>2022</v>
      </c>
      <c r="E1261" s="49" t="s">
        <v>0</v>
      </c>
      <c r="F1261" s="49" t="s">
        <v>163</v>
      </c>
      <c r="G1261">
        <f>'Feb to July, 2022'!AM63+'Feb to July, 2022'!AN63</f>
        <v>30</v>
      </c>
      <c r="H1261">
        <f>'Feb to July, 2022'!AO63</f>
        <v>0</v>
      </c>
      <c r="I1261">
        <f>'Feb to July, 2022'!AP63</f>
        <v>10</v>
      </c>
      <c r="J1261">
        <f>G1261*Parameters!$B$2*Parameters!$B$5</f>
        <v>63.87299999999999</v>
      </c>
      <c r="K1261">
        <f>H1261*Parameters!$B$3*Parameters!$B$6</f>
        <v>0</v>
      </c>
      <c r="L1261">
        <f>I1261*Parameters!$B$4*Parameters!$B$7</f>
        <v>80.963999999999999</v>
      </c>
      <c r="M1261">
        <f t="shared" si="19"/>
        <v>144.83699999999999</v>
      </c>
      <c r="N1261">
        <v>3000</v>
      </c>
      <c r="O1261">
        <v>0</v>
      </c>
      <c r="P1261">
        <v>0</v>
      </c>
      <c r="Q1261">
        <v>3000</v>
      </c>
    </row>
    <row r="1262" spans="1:17">
      <c r="A1262" t="s">
        <v>87</v>
      </c>
      <c r="B1262" t="s">
        <v>32</v>
      </c>
      <c r="C1262">
        <v>8</v>
      </c>
      <c r="D1262">
        <v>2022</v>
      </c>
      <c r="E1262" s="49" t="s">
        <v>0</v>
      </c>
      <c r="F1262" s="49" t="s">
        <v>163</v>
      </c>
      <c r="G1262">
        <f>'Feb to July, 2022'!AM64+'Feb to July, 2022'!AN64</f>
        <v>35</v>
      </c>
      <c r="H1262">
        <f>'Feb to July, 2022'!AO64</f>
        <v>0</v>
      </c>
      <c r="I1262">
        <f>'Feb to July, 2022'!AP64</f>
        <v>14</v>
      </c>
      <c r="J1262">
        <f>G1262*Parameters!$B$2*Parameters!$B$5</f>
        <v>74.518499999999989</v>
      </c>
      <c r="K1262">
        <f>H1262*Parameters!$B$3*Parameters!$B$6</f>
        <v>0</v>
      </c>
      <c r="L1262">
        <f>I1262*Parameters!$B$4*Parameters!$B$7</f>
        <v>113.34960000000001</v>
      </c>
      <c r="M1262">
        <f t="shared" si="19"/>
        <v>187.8681</v>
      </c>
      <c r="N1262">
        <v>3500</v>
      </c>
      <c r="O1262">
        <v>0</v>
      </c>
      <c r="P1262">
        <v>0</v>
      </c>
      <c r="Q1262">
        <v>4200</v>
      </c>
    </row>
    <row r="1263" spans="1:17">
      <c r="A1263" t="s">
        <v>88</v>
      </c>
      <c r="B1263" t="s">
        <v>32</v>
      </c>
      <c r="C1263">
        <v>7</v>
      </c>
      <c r="D1263">
        <v>2022</v>
      </c>
      <c r="E1263" s="49" t="s">
        <v>0</v>
      </c>
      <c r="F1263" s="49" t="s">
        <v>163</v>
      </c>
      <c r="G1263">
        <f>'Feb to July, 2022'!AM65+'Feb to July, 2022'!AN65</f>
        <v>25</v>
      </c>
      <c r="H1263">
        <f>'Feb to July, 2022'!AO65</f>
        <v>0</v>
      </c>
      <c r="I1263">
        <f>'Feb to July, 2022'!AP65</f>
        <v>20</v>
      </c>
      <c r="J1263">
        <f>G1263*Parameters!$B$2*Parameters!$B$5</f>
        <v>53.227499999999992</v>
      </c>
      <c r="K1263">
        <f>H1263*Parameters!$B$3*Parameters!$B$6</f>
        <v>0</v>
      </c>
      <c r="L1263">
        <f>I1263*Parameters!$B$4*Parameters!$B$7</f>
        <v>161.928</v>
      </c>
      <c r="M1263">
        <f t="shared" si="19"/>
        <v>215.15549999999999</v>
      </c>
      <c r="N1263">
        <v>2500</v>
      </c>
      <c r="O1263">
        <v>0</v>
      </c>
      <c r="P1263">
        <v>0</v>
      </c>
      <c r="Q1263">
        <v>6000</v>
      </c>
    </row>
    <row r="1264" spans="1:17">
      <c r="A1264" t="s">
        <v>89</v>
      </c>
      <c r="B1264" t="s">
        <v>65</v>
      </c>
      <c r="C1264">
        <v>8</v>
      </c>
      <c r="D1264">
        <v>2022</v>
      </c>
      <c r="E1264" s="49" t="s">
        <v>0</v>
      </c>
      <c r="F1264" s="49" t="s">
        <v>163</v>
      </c>
      <c r="G1264">
        <f>'Feb to July, 2022'!AM66+'Feb to July, 2022'!AN66</f>
        <v>55</v>
      </c>
      <c r="H1264">
        <f>'Feb to July, 2022'!AO66</f>
        <v>0</v>
      </c>
      <c r="I1264">
        <f>'Feb to July, 2022'!AP66</f>
        <v>8</v>
      </c>
      <c r="J1264">
        <f>G1264*Parameters!$B$2*Parameters!$B$5</f>
        <v>117.10049999999998</v>
      </c>
      <c r="K1264">
        <f>H1264*Parameters!$B$3*Parameters!$B$6</f>
        <v>0</v>
      </c>
      <c r="L1264">
        <f>I1264*Parameters!$B$4*Parameters!$B$7</f>
        <v>64.771200000000007</v>
      </c>
      <c r="M1264">
        <f t="shared" si="19"/>
        <v>181.87169999999998</v>
      </c>
      <c r="N1264">
        <v>5500</v>
      </c>
      <c r="O1264">
        <v>0</v>
      </c>
      <c r="P1264">
        <v>0</v>
      </c>
      <c r="Q1264">
        <v>2400</v>
      </c>
    </row>
    <row r="1265" spans="1:17">
      <c r="A1265" t="s">
        <v>90</v>
      </c>
      <c r="B1265" t="s">
        <v>32</v>
      </c>
      <c r="C1265">
        <v>6</v>
      </c>
      <c r="D1265">
        <v>2022</v>
      </c>
      <c r="E1265" s="49" t="s">
        <v>0</v>
      </c>
      <c r="F1265" s="49" t="s">
        <v>163</v>
      </c>
      <c r="G1265">
        <f>'Feb to July, 2022'!AM67+'Feb to July, 2022'!AN67</f>
        <v>35</v>
      </c>
      <c r="H1265">
        <f>'Feb to July, 2022'!AO67</f>
        <v>0</v>
      </c>
      <c r="I1265">
        <f>'Feb to July, 2022'!AP67</f>
        <v>20</v>
      </c>
      <c r="J1265">
        <f>G1265*Parameters!$B$2*Parameters!$B$5</f>
        <v>74.518499999999989</v>
      </c>
      <c r="K1265">
        <f>H1265*Parameters!$B$3*Parameters!$B$6</f>
        <v>0</v>
      </c>
      <c r="L1265">
        <f>I1265*Parameters!$B$4*Parameters!$B$7</f>
        <v>161.928</v>
      </c>
      <c r="M1265">
        <f t="shared" si="19"/>
        <v>236.44649999999999</v>
      </c>
      <c r="N1265">
        <v>3500</v>
      </c>
      <c r="O1265">
        <v>0</v>
      </c>
      <c r="P1265">
        <v>0</v>
      </c>
      <c r="Q1265">
        <v>6000</v>
      </c>
    </row>
    <row r="1266" spans="1:17">
      <c r="A1266" t="s">
        <v>91</v>
      </c>
      <c r="B1266" t="s">
        <v>24</v>
      </c>
      <c r="C1266">
        <v>6</v>
      </c>
      <c r="D1266">
        <v>2022</v>
      </c>
      <c r="E1266" s="49" t="s">
        <v>0</v>
      </c>
      <c r="F1266" s="49" t="s">
        <v>163</v>
      </c>
      <c r="G1266">
        <f>'Feb to July, 2022'!AM68+'Feb to July, 2022'!AN68</f>
        <v>30</v>
      </c>
      <c r="H1266">
        <f>'Feb to July, 2022'!AO68</f>
        <v>0</v>
      </c>
      <c r="I1266">
        <f>'Feb to July, 2022'!AP68</f>
        <v>15</v>
      </c>
      <c r="J1266">
        <f>G1266*Parameters!$B$2*Parameters!$B$5</f>
        <v>63.87299999999999</v>
      </c>
      <c r="K1266">
        <f>H1266*Parameters!$B$3*Parameters!$B$6</f>
        <v>0</v>
      </c>
      <c r="L1266">
        <f>I1266*Parameters!$B$4*Parameters!$B$7</f>
        <v>121.44600000000001</v>
      </c>
      <c r="M1266">
        <f t="shared" si="19"/>
        <v>185.31900000000002</v>
      </c>
      <c r="N1266">
        <v>3000</v>
      </c>
      <c r="O1266">
        <v>0</v>
      </c>
      <c r="P1266">
        <v>0</v>
      </c>
      <c r="Q1266">
        <v>4500</v>
      </c>
    </row>
    <row r="1267" spans="1:17">
      <c r="A1267" t="s">
        <v>92</v>
      </c>
      <c r="B1267" t="s">
        <v>17</v>
      </c>
      <c r="C1267">
        <v>4</v>
      </c>
      <c r="D1267">
        <v>2022</v>
      </c>
      <c r="E1267" s="49" t="s">
        <v>0</v>
      </c>
      <c r="F1267" s="49" t="s">
        <v>163</v>
      </c>
      <c r="G1267">
        <f>'Feb to July, 2022'!AM69+'Feb to July, 2022'!AN69</f>
        <v>25</v>
      </c>
      <c r="H1267">
        <f>'Feb to July, 2022'!AO69</f>
        <v>0</v>
      </c>
      <c r="I1267">
        <f>'Feb to July, 2022'!AP69</f>
        <v>14</v>
      </c>
      <c r="J1267">
        <f>G1267*Parameters!$B$2*Parameters!$B$5</f>
        <v>53.227499999999992</v>
      </c>
      <c r="K1267">
        <f>H1267*Parameters!$B$3*Parameters!$B$6</f>
        <v>0</v>
      </c>
      <c r="L1267">
        <f>I1267*Parameters!$B$4*Parameters!$B$7</f>
        <v>113.34960000000001</v>
      </c>
      <c r="M1267">
        <f t="shared" si="19"/>
        <v>166.5771</v>
      </c>
      <c r="N1267">
        <v>1500</v>
      </c>
      <c r="O1267">
        <v>1000</v>
      </c>
      <c r="P1267">
        <v>0</v>
      </c>
      <c r="Q1267">
        <v>4200</v>
      </c>
    </row>
    <row r="1268" spans="1:17">
      <c r="A1268" t="s">
        <v>93</v>
      </c>
      <c r="B1268" t="s">
        <v>19</v>
      </c>
      <c r="C1268">
        <v>7</v>
      </c>
      <c r="D1268">
        <v>2022</v>
      </c>
      <c r="E1268" s="49" t="s">
        <v>0</v>
      </c>
      <c r="F1268" s="49" t="s">
        <v>163</v>
      </c>
      <c r="G1268">
        <f>'Feb to July, 2022'!AM70+'Feb to July, 2022'!AN70</f>
        <v>25</v>
      </c>
      <c r="H1268">
        <f>'Feb to July, 2022'!AO70</f>
        <v>0</v>
      </c>
      <c r="I1268">
        <f>'Feb to July, 2022'!AP70</f>
        <v>16</v>
      </c>
      <c r="J1268">
        <f>G1268*Parameters!$B$2*Parameters!$B$5</f>
        <v>53.227499999999992</v>
      </c>
      <c r="K1268">
        <f>H1268*Parameters!$B$3*Parameters!$B$6</f>
        <v>0</v>
      </c>
      <c r="L1268">
        <f>I1268*Parameters!$B$4*Parameters!$B$7</f>
        <v>129.54240000000001</v>
      </c>
      <c r="M1268">
        <f t="shared" si="19"/>
        <v>182.76990000000001</v>
      </c>
      <c r="N1268">
        <v>2500</v>
      </c>
      <c r="O1268">
        <v>0</v>
      </c>
      <c r="P1268">
        <v>0</v>
      </c>
      <c r="Q1268">
        <v>4800</v>
      </c>
    </row>
    <row r="1269" spans="1:17">
      <c r="A1269" t="s">
        <v>94</v>
      </c>
      <c r="B1269" t="s">
        <v>19</v>
      </c>
      <c r="C1269">
        <v>6</v>
      </c>
      <c r="D1269">
        <v>2022</v>
      </c>
      <c r="E1269" s="49" t="s">
        <v>0</v>
      </c>
      <c r="F1269" s="49" t="s">
        <v>163</v>
      </c>
      <c r="G1269">
        <f>'Feb to July, 2022'!AM71+'Feb to July, 2022'!AN71</f>
        <v>35</v>
      </c>
      <c r="H1269">
        <f>'Feb to July, 2022'!AO71</f>
        <v>0</v>
      </c>
      <c r="I1269">
        <f>'Feb to July, 2022'!AP71</f>
        <v>8</v>
      </c>
      <c r="J1269">
        <f>G1269*Parameters!$B$2*Parameters!$B$5</f>
        <v>74.518499999999989</v>
      </c>
      <c r="K1269">
        <f>H1269*Parameters!$B$3*Parameters!$B$6</f>
        <v>0</v>
      </c>
      <c r="L1269">
        <f>I1269*Parameters!$B$4*Parameters!$B$7</f>
        <v>64.771200000000007</v>
      </c>
      <c r="M1269">
        <f t="shared" si="19"/>
        <v>139.28969999999998</v>
      </c>
      <c r="N1269">
        <v>3500</v>
      </c>
      <c r="O1269">
        <v>0</v>
      </c>
      <c r="P1269">
        <v>0</v>
      </c>
      <c r="Q1269">
        <v>2400</v>
      </c>
    </row>
    <row r="1270" spans="1:17">
      <c r="A1270" t="s">
        <v>95</v>
      </c>
      <c r="B1270" t="s">
        <v>26</v>
      </c>
      <c r="C1270">
        <v>8</v>
      </c>
      <c r="D1270">
        <v>2022</v>
      </c>
      <c r="E1270" s="49" t="s">
        <v>0</v>
      </c>
      <c r="F1270" s="49" t="s">
        <v>163</v>
      </c>
      <c r="G1270">
        <f>'Feb to July, 2022'!AM72+'Feb to July, 2022'!AN72</f>
        <v>40</v>
      </c>
      <c r="H1270">
        <f>'Feb to July, 2022'!AO72</f>
        <v>0</v>
      </c>
      <c r="I1270">
        <f>'Feb to July, 2022'!AP72</f>
        <v>10</v>
      </c>
      <c r="J1270">
        <f>G1270*Parameters!$B$2*Parameters!$B$5</f>
        <v>85.163999999999987</v>
      </c>
      <c r="K1270">
        <f>H1270*Parameters!$B$3*Parameters!$B$6</f>
        <v>0</v>
      </c>
      <c r="L1270">
        <f>I1270*Parameters!$B$4*Parameters!$B$7</f>
        <v>80.963999999999999</v>
      </c>
      <c r="M1270">
        <f t="shared" si="19"/>
        <v>166.12799999999999</v>
      </c>
      <c r="N1270">
        <v>4000</v>
      </c>
      <c r="O1270">
        <v>0</v>
      </c>
      <c r="P1270">
        <v>0</v>
      </c>
      <c r="Q1270">
        <v>3000</v>
      </c>
    </row>
    <row r="1271" spans="1:17">
      <c r="A1271" t="s">
        <v>96</v>
      </c>
      <c r="B1271" t="s">
        <v>19</v>
      </c>
      <c r="C1271">
        <v>8</v>
      </c>
      <c r="D1271">
        <v>2022</v>
      </c>
      <c r="E1271" s="49" t="s">
        <v>0</v>
      </c>
      <c r="F1271" s="49" t="s">
        <v>163</v>
      </c>
      <c r="G1271">
        <f>'Feb to July, 2022'!AM73+'Feb to July, 2022'!AN73</f>
        <v>25</v>
      </c>
      <c r="H1271">
        <f>'Feb to July, 2022'!AO73</f>
        <v>0</v>
      </c>
      <c r="I1271">
        <f>'Feb to July, 2022'!AP73</f>
        <v>10</v>
      </c>
      <c r="J1271">
        <f>G1271*Parameters!$B$2*Parameters!$B$5</f>
        <v>53.227499999999992</v>
      </c>
      <c r="K1271">
        <f>H1271*Parameters!$B$3*Parameters!$B$6</f>
        <v>0</v>
      </c>
      <c r="L1271">
        <f>I1271*Parameters!$B$4*Parameters!$B$7</f>
        <v>80.963999999999999</v>
      </c>
      <c r="M1271">
        <f t="shared" si="19"/>
        <v>134.19149999999999</v>
      </c>
      <c r="N1271">
        <v>2500</v>
      </c>
      <c r="O1271">
        <v>0</v>
      </c>
      <c r="P1271">
        <v>0</v>
      </c>
      <c r="Q1271">
        <v>3000</v>
      </c>
    </row>
    <row r="1272" spans="1:17">
      <c r="A1272" t="s">
        <v>97</v>
      </c>
      <c r="B1272" t="s">
        <v>17</v>
      </c>
      <c r="C1272">
        <v>4</v>
      </c>
      <c r="D1272">
        <v>2022</v>
      </c>
      <c r="E1272" s="49" t="s">
        <v>0</v>
      </c>
      <c r="F1272" s="49" t="s">
        <v>163</v>
      </c>
      <c r="G1272">
        <f>'Feb to July, 2022'!AM74+'Feb to July, 2022'!AN74</f>
        <v>35</v>
      </c>
      <c r="H1272">
        <f>'Feb to July, 2022'!AO74</f>
        <v>0</v>
      </c>
      <c r="I1272">
        <f>'Feb to July, 2022'!AP74</f>
        <v>10</v>
      </c>
      <c r="J1272">
        <f>G1272*Parameters!$B$2*Parameters!$B$5</f>
        <v>74.518499999999989</v>
      </c>
      <c r="K1272">
        <f>H1272*Parameters!$B$3*Parameters!$B$6</f>
        <v>0</v>
      </c>
      <c r="L1272">
        <f>I1272*Parameters!$B$4*Parameters!$B$7</f>
        <v>80.963999999999999</v>
      </c>
      <c r="M1272">
        <f t="shared" si="19"/>
        <v>155.48249999999999</v>
      </c>
      <c r="N1272">
        <v>3500</v>
      </c>
      <c r="O1272">
        <v>0</v>
      </c>
      <c r="P1272">
        <v>0</v>
      </c>
      <c r="Q1272">
        <v>3000</v>
      </c>
    </row>
    <row r="1273" spans="1:17">
      <c r="A1273" t="s">
        <v>98</v>
      </c>
      <c r="B1273" t="s">
        <v>65</v>
      </c>
      <c r="C1273">
        <v>5</v>
      </c>
      <c r="D1273">
        <v>2022</v>
      </c>
      <c r="E1273" s="49" t="s">
        <v>0</v>
      </c>
      <c r="F1273" s="49" t="s">
        <v>163</v>
      </c>
      <c r="G1273">
        <f>'Feb to July, 2022'!AM75+'Feb to July, 2022'!AN75</f>
        <v>32</v>
      </c>
      <c r="H1273">
        <f>'Feb to July, 2022'!AO75</f>
        <v>0</v>
      </c>
      <c r="I1273">
        <f>'Feb to July, 2022'!AP75</f>
        <v>15</v>
      </c>
      <c r="J1273">
        <f>G1273*Parameters!$B$2*Parameters!$B$5</f>
        <v>68.131199999999993</v>
      </c>
      <c r="K1273">
        <f>H1273*Parameters!$B$3*Parameters!$B$6</f>
        <v>0</v>
      </c>
      <c r="L1273">
        <f>I1273*Parameters!$B$4*Parameters!$B$7</f>
        <v>121.44600000000001</v>
      </c>
      <c r="M1273">
        <f t="shared" si="19"/>
        <v>189.5772</v>
      </c>
      <c r="N1273">
        <v>3000</v>
      </c>
      <c r="O1273">
        <v>200</v>
      </c>
      <c r="P1273">
        <v>0</v>
      </c>
      <c r="Q1273">
        <v>4500</v>
      </c>
    </row>
    <row r="1274" spans="1:17">
      <c r="A1274" t="s">
        <v>99</v>
      </c>
      <c r="B1274" t="s">
        <v>32</v>
      </c>
      <c r="C1274">
        <v>9</v>
      </c>
      <c r="D1274">
        <v>2022</v>
      </c>
      <c r="E1274" s="49" t="s">
        <v>0</v>
      </c>
      <c r="F1274" s="49" t="s">
        <v>163</v>
      </c>
      <c r="G1274">
        <f>'Feb to July, 2022'!AM76+'Feb to July, 2022'!AN76</f>
        <v>40</v>
      </c>
      <c r="H1274">
        <f>'Feb to July, 2022'!AO76</f>
        <v>0</v>
      </c>
      <c r="I1274">
        <f>'Feb to July, 2022'!AP76</f>
        <v>20</v>
      </c>
      <c r="J1274">
        <f>G1274*Parameters!$B$2*Parameters!$B$5</f>
        <v>85.163999999999987</v>
      </c>
      <c r="K1274">
        <f>H1274*Parameters!$B$3*Parameters!$B$6</f>
        <v>0</v>
      </c>
      <c r="L1274">
        <f>I1274*Parameters!$B$4*Parameters!$B$7</f>
        <v>161.928</v>
      </c>
      <c r="M1274">
        <f t="shared" si="19"/>
        <v>247.09199999999998</v>
      </c>
      <c r="N1274">
        <v>4000</v>
      </c>
      <c r="O1274">
        <v>0</v>
      </c>
      <c r="P1274">
        <v>0</v>
      </c>
      <c r="Q1274">
        <v>6000</v>
      </c>
    </row>
    <row r="1275" spans="1:17">
      <c r="A1275" t="s">
        <v>100</v>
      </c>
      <c r="B1275" t="s">
        <v>40</v>
      </c>
      <c r="C1275">
        <v>8</v>
      </c>
      <c r="D1275">
        <v>2022</v>
      </c>
      <c r="E1275" s="49" t="s">
        <v>0</v>
      </c>
      <c r="F1275" s="49" t="s">
        <v>163</v>
      </c>
      <c r="G1275">
        <f>'Feb to July, 2022'!AM77+'Feb to July, 2022'!AN77</f>
        <v>32</v>
      </c>
      <c r="H1275">
        <f>'Feb to July, 2022'!AO77</f>
        <v>0</v>
      </c>
      <c r="I1275">
        <f>'Feb to July, 2022'!AP77</f>
        <v>10</v>
      </c>
      <c r="J1275">
        <f>G1275*Parameters!$B$2*Parameters!$B$5</f>
        <v>68.131199999999993</v>
      </c>
      <c r="K1275">
        <f>H1275*Parameters!$B$3*Parameters!$B$6</f>
        <v>0</v>
      </c>
      <c r="L1275">
        <f>I1275*Parameters!$B$4*Parameters!$B$7</f>
        <v>80.963999999999999</v>
      </c>
      <c r="M1275">
        <f t="shared" si="19"/>
        <v>149.09519999999998</v>
      </c>
      <c r="N1275">
        <v>3200</v>
      </c>
      <c r="O1275">
        <v>0</v>
      </c>
      <c r="P1275">
        <v>0</v>
      </c>
      <c r="Q1275">
        <v>3000</v>
      </c>
    </row>
    <row r="1276" spans="1:17">
      <c r="A1276" t="s">
        <v>101</v>
      </c>
      <c r="B1276" t="s">
        <v>38</v>
      </c>
      <c r="C1276">
        <v>5</v>
      </c>
      <c r="D1276">
        <v>2022</v>
      </c>
      <c r="E1276" s="49" t="s">
        <v>0</v>
      </c>
      <c r="F1276" s="49" t="s">
        <v>163</v>
      </c>
      <c r="G1276">
        <f>'Feb to July, 2022'!AM78+'Feb to July, 2022'!AN78</f>
        <v>43</v>
      </c>
      <c r="H1276">
        <f>'Feb to July, 2022'!AO78</f>
        <v>0</v>
      </c>
      <c r="I1276">
        <f>'Feb to July, 2022'!AP78</f>
        <v>10</v>
      </c>
      <c r="J1276">
        <f>G1276*Parameters!$B$2*Parameters!$B$5</f>
        <v>91.551299999999983</v>
      </c>
      <c r="K1276">
        <f>H1276*Parameters!$B$3*Parameters!$B$6</f>
        <v>0</v>
      </c>
      <c r="L1276">
        <f>I1276*Parameters!$B$4*Parameters!$B$7</f>
        <v>80.963999999999999</v>
      </c>
      <c r="M1276">
        <f t="shared" si="19"/>
        <v>172.51529999999997</v>
      </c>
      <c r="N1276">
        <v>4300</v>
      </c>
      <c r="O1276">
        <v>0</v>
      </c>
      <c r="P1276">
        <v>0</v>
      </c>
      <c r="Q1276">
        <v>3000</v>
      </c>
    </row>
    <row r="1277" spans="1:17">
      <c r="A1277" t="s">
        <v>102</v>
      </c>
      <c r="B1277" t="s">
        <v>17</v>
      </c>
      <c r="C1277">
        <v>4</v>
      </c>
      <c r="D1277">
        <v>2022</v>
      </c>
      <c r="E1277" s="49" t="s">
        <v>0</v>
      </c>
      <c r="F1277" s="49" t="s">
        <v>163</v>
      </c>
      <c r="G1277">
        <f>'Feb to July, 2022'!AM79+'Feb to July, 2022'!AN79</f>
        <v>40</v>
      </c>
      <c r="H1277">
        <f>'Feb to July, 2022'!AO79</f>
        <v>0</v>
      </c>
      <c r="I1277">
        <f>'Feb to July, 2022'!AP79</f>
        <v>6</v>
      </c>
      <c r="J1277">
        <f>G1277*Parameters!$B$2*Parameters!$B$5</f>
        <v>85.163999999999987</v>
      </c>
      <c r="K1277">
        <f>H1277*Parameters!$B$3*Parameters!$B$6</f>
        <v>0</v>
      </c>
      <c r="L1277">
        <f>I1277*Parameters!$B$4*Parameters!$B$7</f>
        <v>48.578400000000009</v>
      </c>
      <c r="M1277">
        <f t="shared" si="19"/>
        <v>133.7424</v>
      </c>
      <c r="N1277">
        <v>4000</v>
      </c>
      <c r="O1277">
        <v>0</v>
      </c>
      <c r="P1277">
        <v>0</v>
      </c>
      <c r="Q1277">
        <v>1800</v>
      </c>
    </row>
    <row r="1278" spans="1:17">
      <c r="A1278" t="s">
        <v>103</v>
      </c>
      <c r="B1278" t="s">
        <v>26</v>
      </c>
      <c r="C1278">
        <v>6</v>
      </c>
      <c r="D1278">
        <v>2022</v>
      </c>
      <c r="E1278" s="49" t="s">
        <v>0</v>
      </c>
      <c r="F1278" s="49" t="s">
        <v>163</v>
      </c>
      <c r="G1278">
        <f>'Feb to July, 2022'!AM80+'Feb to July, 2022'!AN80</f>
        <v>28</v>
      </c>
      <c r="H1278">
        <f>'Feb to July, 2022'!AO80</f>
        <v>0</v>
      </c>
      <c r="I1278">
        <f>'Feb to July, 2022'!AP80</f>
        <v>20</v>
      </c>
      <c r="J1278">
        <f>G1278*Parameters!$B$2*Parameters!$B$5</f>
        <v>59.614799999999995</v>
      </c>
      <c r="K1278">
        <f>H1278*Parameters!$B$3*Parameters!$B$6</f>
        <v>0</v>
      </c>
      <c r="L1278">
        <f>I1278*Parameters!$B$4*Parameters!$B$7</f>
        <v>161.928</v>
      </c>
      <c r="M1278">
        <f t="shared" si="19"/>
        <v>221.5428</v>
      </c>
      <c r="N1278">
        <v>2800</v>
      </c>
      <c r="O1278">
        <v>0</v>
      </c>
      <c r="P1278">
        <v>0</v>
      </c>
      <c r="Q1278">
        <v>6000</v>
      </c>
    </row>
    <row r="1279" spans="1:17">
      <c r="A1279" t="s">
        <v>104</v>
      </c>
      <c r="B1279" t="s">
        <v>26</v>
      </c>
      <c r="C1279">
        <v>7</v>
      </c>
      <c r="D1279">
        <v>2022</v>
      </c>
      <c r="E1279" s="49" t="s">
        <v>0</v>
      </c>
      <c r="F1279" s="49" t="s">
        <v>163</v>
      </c>
      <c r="G1279">
        <f>'Feb to July, 2022'!AM81+'Feb to July, 2022'!AN81</f>
        <v>30</v>
      </c>
      <c r="H1279">
        <f>'Feb to July, 2022'!AO81</f>
        <v>0</v>
      </c>
      <c r="I1279">
        <f>'Feb to July, 2022'!AP81</f>
        <v>3</v>
      </c>
      <c r="J1279">
        <f>G1279*Parameters!$B$2*Parameters!$B$5</f>
        <v>63.87299999999999</v>
      </c>
      <c r="K1279">
        <f>H1279*Parameters!$B$3*Parameters!$B$6</f>
        <v>0</v>
      </c>
      <c r="L1279">
        <f>I1279*Parameters!$B$4*Parameters!$B$7</f>
        <v>24.289200000000005</v>
      </c>
      <c r="M1279">
        <f t="shared" si="19"/>
        <v>88.162199999999999</v>
      </c>
      <c r="N1279">
        <v>3000</v>
      </c>
      <c r="O1279">
        <v>0</v>
      </c>
      <c r="P1279">
        <v>0</v>
      </c>
      <c r="Q1279">
        <v>900</v>
      </c>
    </row>
    <row r="1280" spans="1:17">
      <c r="A1280" t="s">
        <v>105</v>
      </c>
      <c r="B1280" t="s">
        <v>21</v>
      </c>
      <c r="C1280">
        <v>5</v>
      </c>
      <c r="D1280">
        <v>2022</v>
      </c>
      <c r="E1280" s="49" t="s">
        <v>0</v>
      </c>
      <c r="F1280" s="49" t="s">
        <v>163</v>
      </c>
      <c r="G1280">
        <f>'Feb to July, 2022'!AM82+'Feb to July, 2022'!AN82</f>
        <v>43</v>
      </c>
      <c r="H1280">
        <f>'Feb to July, 2022'!AO82</f>
        <v>0</v>
      </c>
      <c r="I1280">
        <f>'Feb to July, 2022'!AP82</f>
        <v>20</v>
      </c>
      <c r="J1280">
        <f>G1280*Parameters!$B$2*Parameters!$B$5</f>
        <v>91.551299999999983</v>
      </c>
      <c r="K1280">
        <f>H1280*Parameters!$B$3*Parameters!$B$6</f>
        <v>0</v>
      </c>
      <c r="L1280">
        <f>I1280*Parameters!$B$4*Parameters!$B$7</f>
        <v>161.928</v>
      </c>
      <c r="M1280">
        <f t="shared" si="19"/>
        <v>253.47929999999997</v>
      </c>
      <c r="N1280">
        <v>4300</v>
      </c>
      <c r="O1280">
        <v>0</v>
      </c>
      <c r="P1280">
        <v>0</v>
      </c>
      <c r="Q1280">
        <v>6000</v>
      </c>
    </row>
    <row r="1281" spans="1:17">
      <c r="A1281" t="s">
        <v>106</v>
      </c>
      <c r="B1281" t="s">
        <v>24</v>
      </c>
      <c r="C1281">
        <v>6</v>
      </c>
      <c r="D1281">
        <v>2022</v>
      </c>
      <c r="E1281" s="49" t="s">
        <v>0</v>
      </c>
      <c r="F1281" s="49" t="s">
        <v>163</v>
      </c>
      <c r="G1281">
        <f>'Feb to July, 2022'!AM83+'Feb to July, 2022'!AN83</f>
        <v>36</v>
      </c>
      <c r="H1281">
        <f>'Feb to July, 2022'!AO83</f>
        <v>0</v>
      </c>
      <c r="I1281">
        <f>'Feb to July, 2022'!AP83</f>
        <v>15</v>
      </c>
      <c r="J1281">
        <f>G1281*Parameters!$B$2*Parameters!$B$5</f>
        <v>76.647599999999997</v>
      </c>
      <c r="K1281">
        <f>H1281*Parameters!$B$3*Parameters!$B$6</f>
        <v>0</v>
      </c>
      <c r="L1281">
        <f>I1281*Parameters!$B$4*Parameters!$B$7</f>
        <v>121.44600000000001</v>
      </c>
      <c r="M1281">
        <f t="shared" si="19"/>
        <v>198.09360000000001</v>
      </c>
      <c r="N1281">
        <v>3600</v>
      </c>
      <c r="O1281">
        <v>0</v>
      </c>
      <c r="P1281">
        <v>0</v>
      </c>
      <c r="Q1281">
        <v>4500</v>
      </c>
    </row>
    <row r="1282" spans="1:17">
      <c r="A1282" t="s">
        <v>107</v>
      </c>
      <c r="B1282" t="s">
        <v>21</v>
      </c>
      <c r="C1282">
        <v>4</v>
      </c>
      <c r="D1282">
        <v>2022</v>
      </c>
      <c r="E1282" s="49" t="s">
        <v>0</v>
      </c>
      <c r="F1282" s="49" t="s">
        <v>163</v>
      </c>
      <c r="G1282">
        <f>'Feb to July, 2022'!AM84+'Feb to July, 2022'!AN84</f>
        <v>36</v>
      </c>
      <c r="H1282">
        <f>'Feb to July, 2022'!AO84</f>
        <v>0</v>
      </c>
      <c r="I1282">
        <f>'Feb to July, 2022'!AP84</f>
        <v>0</v>
      </c>
      <c r="J1282">
        <f>G1282*Parameters!$B$2*Parameters!$B$5</f>
        <v>76.647599999999997</v>
      </c>
      <c r="K1282">
        <f>H1282*Parameters!$B$3*Parameters!$B$6</f>
        <v>0</v>
      </c>
      <c r="L1282">
        <f>I1282*Parameters!$B$4*Parameters!$B$7</f>
        <v>0</v>
      </c>
      <c r="M1282">
        <f t="shared" si="19"/>
        <v>76.647599999999997</v>
      </c>
      <c r="N1282">
        <v>3600</v>
      </c>
      <c r="O1282">
        <v>0</v>
      </c>
      <c r="P1282">
        <v>0</v>
      </c>
      <c r="Q1282">
        <v>0</v>
      </c>
    </row>
    <row r="1283" spans="1:17">
      <c r="A1283" t="s">
        <v>108</v>
      </c>
      <c r="B1283" t="s">
        <v>24</v>
      </c>
      <c r="C1283">
        <v>5</v>
      </c>
      <c r="D1283">
        <v>2022</v>
      </c>
      <c r="E1283" s="49" t="s">
        <v>0</v>
      </c>
      <c r="F1283" s="49" t="s">
        <v>163</v>
      </c>
      <c r="G1283">
        <f>'Feb to July, 2022'!AM85+'Feb to July, 2022'!AN85</f>
        <v>40</v>
      </c>
      <c r="H1283">
        <f>'Feb to July, 2022'!AO85</f>
        <v>0</v>
      </c>
      <c r="I1283">
        <f>'Feb to July, 2022'!AP85</f>
        <v>14</v>
      </c>
      <c r="J1283">
        <f>G1283*Parameters!$B$2*Parameters!$B$5</f>
        <v>85.163999999999987</v>
      </c>
      <c r="K1283">
        <f>H1283*Parameters!$B$3*Parameters!$B$6</f>
        <v>0</v>
      </c>
      <c r="L1283">
        <f>I1283*Parameters!$B$4*Parameters!$B$7</f>
        <v>113.34960000000001</v>
      </c>
      <c r="M1283">
        <f t="shared" ref="M1283:M1346" si="20">SUM(J1283:L1283)</f>
        <v>198.5136</v>
      </c>
      <c r="N1283">
        <v>4000</v>
      </c>
      <c r="O1283">
        <v>0</v>
      </c>
      <c r="P1283">
        <v>0</v>
      </c>
      <c r="Q1283">
        <v>4200</v>
      </c>
    </row>
    <row r="1284" spans="1:17">
      <c r="A1284" t="s">
        <v>109</v>
      </c>
      <c r="B1284" t="s">
        <v>32</v>
      </c>
      <c r="C1284">
        <v>6</v>
      </c>
      <c r="D1284">
        <v>2022</v>
      </c>
      <c r="E1284" s="49" t="s">
        <v>0</v>
      </c>
      <c r="F1284" s="49" t="s">
        <v>163</v>
      </c>
      <c r="G1284">
        <f>'Feb to July, 2022'!AM86+'Feb to July, 2022'!AN86</f>
        <v>40</v>
      </c>
      <c r="H1284">
        <f>'Feb to July, 2022'!AO86</f>
        <v>0</v>
      </c>
      <c r="I1284">
        <f>'Feb to July, 2022'!AP86</f>
        <v>13</v>
      </c>
      <c r="J1284">
        <f>G1284*Parameters!$B$2*Parameters!$B$5</f>
        <v>85.163999999999987</v>
      </c>
      <c r="K1284">
        <f>H1284*Parameters!$B$3*Parameters!$B$6</f>
        <v>0</v>
      </c>
      <c r="L1284">
        <f>I1284*Parameters!$B$4*Parameters!$B$7</f>
        <v>105.25320000000001</v>
      </c>
      <c r="M1284">
        <f t="shared" si="20"/>
        <v>190.41719999999998</v>
      </c>
      <c r="N1284">
        <v>4000</v>
      </c>
      <c r="O1284">
        <v>0</v>
      </c>
      <c r="P1284">
        <v>0</v>
      </c>
      <c r="Q1284">
        <v>3900</v>
      </c>
    </row>
    <row r="1285" spans="1:17">
      <c r="A1285" t="s">
        <v>110</v>
      </c>
      <c r="B1285" t="s">
        <v>21</v>
      </c>
      <c r="C1285">
        <v>3</v>
      </c>
      <c r="D1285">
        <v>2022</v>
      </c>
      <c r="E1285" s="49" t="s">
        <v>0</v>
      </c>
      <c r="F1285" s="49" t="s">
        <v>163</v>
      </c>
      <c r="G1285">
        <f>'Feb to July, 2022'!AM87+'Feb to July, 2022'!AN87</f>
        <v>30</v>
      </c>
      <c r="H1285">
        <f>'Feb to July, 2022'!AO87</f>
        <v>0</v>
      </c>
      <c r="I1285">
        <f>'Feb to July, 2022'!AP87</f>
        <v>12</v>
      </c>
      <c r="J1285">
        <f>G1285*Parameters!$B$2*Parameters!$B$5</f>
        <v>63.87299999999999</v>
      </c>
      <c r="K1285">
        <f>H1285*Parameters!$B$3*Parameters!$B$6</f>
        <v>0</v>
      </c>
      <c r="L1285">
        <f>I1285*Parameters!$B$4*Parameters!$B$7</f>
        <v>97.156800000000018</v>
      </c>
      <c r="M1285">
        <f t="shared" si="20"/>
        <v>161.02980000000002</v>
      </c>
      <c r="N1285">
        <v>3000</v>
      </c>
      <c r="O1285">
        <v>0</v>
      </c>
      <c r="P1285">
        <v>0</v>
      </c>
      <c r="Q1285">
        <v>3600</v>
      </c>
    </row>
    <row r="1286" spans="1:17">
      <c r="A1286" t="s">
        <v>111</v>
      </c>
      <c r="B1286" t="s">
        <v>26</v>
      </c>
      <c r="C1286">
        <v>6</v>
      </c>
      <c r="D1286">
        <v>2022</v>
      </c>
      <c r="E1286" s="49" t="s">
        <v>0</v>
      </c>
      <c r="F1286" s="49" t="s">
        <v>163</v>
      </c>
      <c r="G1286">
        <f>'Feb to July, 2022'!AM88+'Feb to July, 2022'!AN88</f>
        <v>25</v>
      </c>
      <c r="H1286">
        <f>'Feb to July, 2022'!AO88</f>
        <v>0</v>
      </c>
      <c r="I1286">
        <f>'Feb to July, 2022'!AP88</f>
        <v>12</v>
      </c>
      <c r="J1286">
        <f>G1286*Parameters!$B$2*Parameters!$B$5</f>
        <v>53.227499999999992</v>
      </c>
      <c r="K1286">
        <f>H1286*Parameters!$B$3*Parameters!$B$6</f>
        <v>0</v>
      </c>
      <c r="L1286">
        <f>I1286*Parameters!$B$4*Parameters!$B$7</f>
        <v>97.156800000000018</v>
      </c>
      <c r="M1286">
        <f t="shared" si="20"/>
        <v>150.3843</v>
      </c>
      <c r="N1286">
        <v>2500</v>
      </c>
      <c r="O1286">
        <v>0</v>
      </c>
      <c r="P1286">
        <v>0</v>
      </c>
      <c r="Q1286">
        <v>3600</v>
      </c>
    </row>
    <row r="1287" spans="1:17">
      <c r="A1287" t="s">
        <v>112</v>
      </c>
      <c r="B1287" t="s">
        <v>19</v>
      </c>
      <c r="C1287">
        <v>7</v>
      </c>
      <c r="D1287">
        <v>2022</v>
      </c>
      <c r="E1287" s="49" t="s">
        <v>0</v>
      </c>
      <c r="F1287" s="49" t="s">
        <v>163</v>
      </c>
      <c r="G1287">
        <f>'Feb to July, 2022'!AM89+'Feb to July, 2022'!AN89</f>
        <v>25</v>
      </c>
      <c r="H1287">
        <f>'Feb to July, 2022'!AO89</f>
        <v>0</v>
      </c>
      <c r="I1287">
        <f>'Feb to July, 2022'!AP89</f>
        <v>15</v>
      </c>
      <c r="J1287">
        <f>G1287*Parameters!$B$2*Parameters!$B$5</f>
        <v>53.227499999999992</v>
      </c>
      <c r="K1287">
        <f>H1287*Parameters!$B$3*Parameters!$B$6</f>
        <v>0</v>
      </c>
      <c r="L1287">
        <f>I1287*Parameters!$B$4*Parameters!$B$7</f>
        <v>121.44600000000001</v>
      </c>
      <c r="M1287">
        <f t="shared" si="20"/>
        <v>174.67349999999999</v>
      </c>
      <c r="N1287">
        <v>0</v>
      </c>
      <c r="O1287">
        <v>2500</v>
      </c>
      <c r="P1287">
        <v>0</v>
      </c>
      <c r="Q1287">
        <v>4500</v>
      </c>
    </row>
    <row r="1288" spans="1:17">
      <c r="A1288" t="s">
        <v>113</v>
      </c>
      <c r="B1288" t="s">
        <v>26</v>
      </c>
      <c r="C1288">
        <v>4</v>
      </c>
      <c r="D1288">
        <v>2022</v>
      </c>
      <c r="E1288" s="49" t="s">
        <v>0</v>
      </c>
      <c r="F1288" s="49" t="s">
        <v>163</v>
      </c>
      <c r="G1288">
        <f>'Feb to July, 2022'!AM90+'Feb to July, 2022'!AN90</f>
        <v>34</v>
      </c>
      <c r="H1288">
        <f>'Feb to July, 2022'!AO90</f>
        <v>0</v>
      </c>
      <c r="I1288">
        <f>'Feb to July, 2022'!AP90</f>
        <v>10</v>
      </c>
      <c r="J1288">
        <f>G1288*Parameters!$B$2*Parameters!$B$5</f>
        <v>72.389399999999995</v>
      </c>
      <c r="K1288">
        <f>H1288*Parameters!$B$3*Parameters!$B$6</f>
        <v>0</v>
      </c>
      <c r="L1288">
        <f>I1288*Parameters!$B$4*Parameters!$B$7</f>
        <v>80.963999999999999</v>
      </c>
      <c r="M1288">
        <f t="shared" si="20"/>
        <v>153.35339999999999</v>
      </c>
      <c r="N1288">
        <v>3400</v>
      </c>
      <c r="O1288">
        <v>0</v>
      </c>
      <c r="P1288">
        <v>0</v>
      </c>
      <c r="Q1288">
        <v>3000</v>
      </c>
    </row>
    <row r="1289" spans="1:17">
      <c r="A1289" t="s">
        <v>114</v>
      </c>
      <c r="B1289" t="s">
        <v>65</v>
      </c>
      <c r="C1289">
        <v>8</v>
      </c>
      <c r="D1289">
        <v>2022</v>
      </c>
      <c r="E1289" s="49" t="s">
        <v>0</v>
      </c>
      <c r="F1289" s="49" t="s">
        <v>163</v>
      </c>
      <c r="G1289">
        <f>'Feb to July, 2022'!AM91+'Feb to July, 2022'!AN91</f>
        <v>32</v>
      </c>
      <c r="H1289">
        <f>'Feb to July, 2022'!AO91</f>
        <v>0</v>
      </c>
      <c r="I1289">
        <f>'Feb to July, 2022'!AP91</f>
        <v>10</v>
      </c>
      <c r="J1289">
        <f>G1289*Parameters!$B$2*Parameters!$B$5</f>
        <v>68.131199999999993</v>
      </c>
      <c r="K1289">
        <f>H1289*Parameters!$B$3*Parameters!$B$6</f>
        <v>0</v>
      </c>
      <c r="L1289">
        <f>I1289*Parameters!$B$4*Parameters!$B$7</f>
        <v>80.963999999999999</v>
      </c>
      <c r="M1289">
        <f t="shared" si="20"/>
        <v>149.09519999999998</v>
      </c>
      <c r="N1289">
        <v>3200</v>
      </c>
      <c r="O1289">
        <v>0</v>
      </c>
      <c r="P1289">
        <v>0</v>
      </c>
      <c r="Q1289">
        <v>3000</v>
      </c>
    </row>
    <row r="1290" spans="1:17">
      <c r="A1290" t="s">
        <v>115</v>
      </c>
      <c r="B1290" t="s">
        <v>19</v>
      </c>
      <c r="C1290">
        <v>8</v>
      </c>
      <c r="D1290">
        <v>2022</v>
      </c>
      <c r="E1290" s="49" t="s">
        <v>0</v>
      </c>
      <c r="F1290" s="49" t="s">
        <v>163</v>
      </c>
      <c r="G1290">
        <f>'Feb to July, 2022'!AM92+'Feb to July, 2022'!AN92</f>
        <v>30</v>
      </c>
      <c r="H1290">
        <f>'Feb to July, 2022'!AO92</f>
        <v>0</v>
      </c>
      <c r="I1290">
        <f>'Feb to July, 2022'!AP92</f>
        <v>8</v>
      </c>
      <c r="J1290">
        <f>G1290*Parameters!$B$2*Parameters!$B$5</f>
        <v>63.87299999999999</v>
      </c>
      <c r="K1290">
        <f>H1290*Parameters!$B$3*Parameters!$B$6</f>
        <v>0</v>
      </c>
      <c r="L1290">
        <f>I1290*Parameters!$B$4*Parameters!$B$7</f>
        <v>64.771200000000007</v>
      </c>
      <c r="M1290">
        <f t="shared" si="20"/>
        <v>128.64420000000001</v>
      </c>
      <c r="N1290">
        <v>3000</v>
      </c>
      <c r="O1290">
        <v>0</v>
      </c>
      <c r="P1290">
        <v>0</v>
      </c>
      <c r="Q1290">
        <v>2400</v>
      </c>
    </row>
    <row r="1291" spans="1:17">
      <c r="A1291" t="s">
        <v>116</v>
      </c>
      <c r="B1291" t="s">
        <v>21</v>
      </c>
      <c r="C1291">
        <v>4</v>
      </c>
      <c r="D1291">
        <v>2022</v>
      </c>
      <c r="E1291" s="49" t="s">
        <v>0</v>
      </c>
      <c r="F1291" s="49" t="s">
        <v>163</v>
      </c>
      <c r="G1291">
        <f>'Feb to July, 2022'!AM93+'Feb to July, 2022'!AN93</f>
        <v>25</v>
      </c>
      <c r="H1291">
        <f>'Feb to July, 2022'!AO93</f>
        <v>0</v>
      </c>
      <c r="I1291">
        <f>'Feb to July, 2022'!AP93</f>
        <v>8</v>
      </c>
      <c r="J1291">
        <f>G1291*Parameters!$B$2*Parameters!$B$5</f>
        <v>53.227499999999992</v>
      </c>
      <c r="K1291">
        <f>H1291*Parameters!$B$3*Parameters!$B$6</f>
        <v>0</v>
      </c>
      <c r="L1291">
        <f>I1291*Parameters!$B$4*Parameters!$B$7</f>
        <v>64.771200000000007</v>
      </c>
      <c r="M1291">
        <f t="shared" si="20"/>
        <v>117.9987</v>
      </c>
      <c r="N1291">
        <v>2500</v>
      </c>
      <c r="O1291">
        <v>0</v>
      </c>
      <c r="P1291">
        <v>0</v>
      </c>
      <c r="Q1291">
        <v>2400</v>
      </c>
    </row>
    <row r="1292" spans="1:17">
      <c r="A1292" t="s">
        <v>117</v>
      </c>
      <c r="B1292" t="s">
        <v>17</v>
      </c>
      <c r="C1292">
        <v>9</v>
      </c>
      <c r="D1292">
        <v>2022</v>
      </c>
      <c r="E1292" s="49" t="s">
        <v>0</v>
      </c>
      <c r="F1292" s="49" t="s">
        <v>163</v>
      </c>
      <c r="G1292">
        <f>'Feb to July, 2022'!AM94+'Feb to July, 2022'!AN94</f>
        <v>25</v>
      </c>
      <c r="H1292">
        <f>'Feb to July, 2022'!AO94</f>
        <v>0</v>
      </c>
      <c r="I1292">
        <f>'Feb to July, 2022'!AP94</f>
        <v>6</v>
      </c>
      <c r="J1292">
        <f>G1292*Parameters!$B$2*Parameters!$B$5</f>
        <v>53.227499999999992</v>
      </c>
      <c r="K1292">
        <f>H1292*Parameters!$B$3*Parameters!$B$6</f>
        <v>0</v>
      </c>
      <c r="L1292">
        <f>I1292*Parameters!$B$4*Parameters!$B$7</f>
        <v>48.578400000000009</v>
      </c>
      <c r="M1292">
        <f t="shared" si="20"/>
        <v>101.80590000000001</v>
      </c>
      <c r="N1292">
        <v>2500</v>
      </c>
      <c r="O1292">
        <v>0</v>
      </c>
      <c r="P1292">
        <v>0</v>
      </c>
      <c r="Q1292">
        <v>1800</v>
      </c>
    </row>
    <row r="1293" spans="1:17">
      <c r="A1293" t="s">
        <v>118</v>
      </c>
      <c r="B1293" t="s">
        <v>19</v>
      </c>
      <c r="C1293">
        <v>4</v>
      </c>
      <c r="D1293">
        <v>2022</v>
      </c>
      <c r="E1293" s="49" t="s">
        <v>0</v>
      </c>
      <c r="F1293" s="49" t="s">
        <v>163</v>
      </c>
      <c r="G1293">
        <f>'Feb to July, 2022'!AM95+'Feb to July, 2022'!AN95</f>
        <v>34</v>
      </c>
      <c r="H1293">
        <f>'Feb to July, 2022'!AO95</f>
        <v>0</v>
      </c>
      <c r="I1293">
        <f>'Feb to July, 2022'!AP95</f>
        <v>5</v>
      </c>
      <c r="J1293">
        <f>G1293*Parameters!$B$2*Parameters!$B$5</f>
        <v>72.389399999999995</v>
      </c>
      <c r="K1293">
        <f>H1293*Parameters!$B$3*Parameters!$B$6</f>
        <v>0</v>
      </c>
      <c r="L1293">
        <f>I1293*Parameters!$B$4*Parameters!$B$7</f>
        <v>40.481999999999999</v>
      </c>
      <c r="M1293">
        <f t="shared" si="20"/>
        <v>112.87139999999999</v>
      </c>
      <c r="N1293">
        <v>3400</v>
      </c>
      <c r="O1293">
        <v>0</v>
      </c>
      <c r="P1293">
        <v>0</v>
      </c>
      <c r="Q1293">
        <v>1500</v>
      </c>
    </row>
    <row r="1294" spans="1:17">
      <c r="A1294" t="s">
        <v>119</v>
      </c>
      <c r="B1294" t="s">
        <v>40</v>
      </c>
      <c r="C1294">
        <v>6</v>
      </c>
      <c r="D1294">
        <v>2022</v>
      </c>
      <c r="E1294" s="49" t="s">
        <v>0</v>
      </c>
      <c r="F1294" s="49" t="s">
        <v>163</v>
      </c>
      <c r="G1294">
        <f>'Feb to July, 2022'!AM96+'Feb to July, 2022'!AN96</f>
        <v>35</v>
      </c>
      <c r="H1294">
        <f>'Feb to July, 2022'!AO96</f>
        <v>0</v>
      </c>
      <c r="I1294">
        <f>'Feb to July, 2022'!AP96</f>
        <v>15</v>
      </c>
      <c r="J1294">
        <f>G1294*Parameters!$B$2*Parameters!$B$5</f>
        <v>74.518499999999989</v>
      </c>
      <c r="K1294">
        <f>H1294*Parameters!$B$3*Parameters!$B$6</f>
        <v>0</v>
      </c>
      <c r="L1294">
        <f>I1294*Parameters!$B$4*Parameters!$B$7</f>
        <v>121.44600000000001</v>
      </c>
      <c r="M1294">
        <f t="shared" si="20"/>
        <v>195.96449999999999</v>
      </c>
      <c r="N1294">
        <v>0</v>
      </c>
      <c r="O1294">
        <v>3500</v>
      </c>
      <c r="P1294">
        <v>0</v>
      </c>
      <c r="Q1294">
        <v>4500</v>
      </c>
    </row>
    <row r="1295" spans="1:17">
      <c r="A1295" t="s">
        <v>120</v>
      </c>
      <c r="B1295" t="s">
        <v>32</v>
      </c>
      <c r="C1295">
        <v>8</v>
      </c>
      <c r="D1295">
        <v>2022</v>
      </c>
      <c r="E1295" s="49" t="s">
        <v>0</v>
      </c>
      <c r="F1295" s="49" t="s">
        <v>163</v>
      </c>
      <c r="G1295">
        <f>'Feb to July, 2022'!AM97+'Feb to July, 2022'!AN97</f>
        <v>30</v>
      </c>
      <c r="H1295">
        <f>'Feb to July, 2022'!AO97</f>
        <v>0</v>
      </c>
      <c r="I1295">
        <f>'Feb to July, 2022'!AP97</f>
        <v>0</v>
      </c>
      <c r="J1295">
        <f>G1295*Parameters!$B$2*Parameters!$B$5</f>
        <v>63.87299999999999</v>
      </c>
      <c r="K1295">
        <f>H1295*Parameters!$B$3*Parameters!$B$6</f>
        <v>0</v>
      </c>
      <c r="L1295">
        <f>I1295*Parameters!$B$4*Parameters!$B$7</f>
        <v>0</v>
      </c>
      <c r="M1295">
        <f t="shared" si="20"/>
        <v>63.87299999999999</v>
      </c>
      <c r="N1295">
        <v>3000</v>
      </c>
      <c r="O1295">
        <v>0</v>
      </c>
      <c r="P1295">
        <v>0</v>
      </c>
      <c r="Q1295">
        <v>0</v>
      </c>
    </row>
    <row r="1296" spans="1:17">
      <c r="A1296" t="s">
        <v>121</v>
      </c>
      <c r="B1296" t="s">
        <v>24</v>
      </c>
      <c r="C1296">
        <v>5</v>
      </c>
      <c r="D1296">
        <v>2022</v>
      </c>
      <c r="E1296" s="49" t="s">
        <v>0</v>
      </c>
      <c r="F1296" s="49" t="s">
        <v>163</v>
      </c>
      <c r="G1296">
        <f>'Feb to July, 2022'!AM98+'Feb to July, 2022'!AN98</f>
        <v>42</v>
      </c>
      <c r="H1296">
        <f>'Feb to July, 2022'!AO98</f>
        <v>0</v>
      </c>
      <c r="I1296">
        <f>'Feb to July, 2022'!AP98</f>
        <v>25</v>
      </c>
      <c r="J1296">
        <f>G1296*Parameters!$B$2*Parameters!$B$5</f>
        <v>89.422199999999975</v>
      </c>
      <c r="K1296">
        <f>H1296*Parameters!$B$3*Parameters!$B$6</f>
        <v>0</v>
      </c>
      <c r="L1296">
        <f>I1296*Parameters!$B$4*Parameters!$B$7</f>
        <v>202.41000000000003</v>
      </c>
      <c r="M1296">
        <f t="shared" si="20"/>
        <v>291.8322</v>
      </c>
      <c r="N1296">
        <v>4200</v>
      </c>
      <c r="O1296">
        <v>0</v>
      </c>
      <c r="P1296">
        <v>0</v>
      </c>
      <c r="Q1296">
        <v>7500</v>
      </c>
    </row>
    <row r="1297" spans="1:17">
      <c r="A1297" t="s">
        <v>122</v>
      </c>
      <c r="B1297" t="s">
        <v>26</v>
      </c>
      <c r="C1297">
        <v>6</v>
      </c>
      <c r="D1297">
        <v>2022</v>
      </c>
      <c r="E1297" s="49" t="s">
        <v>0</v>
      </c>
      <c r="F1297" s="49" t="s">
        <v>163</v>
      </c>
      <c r="G1297">
        <f>'Feb to July, 2022'!AM99+'Feb to July, 2022'!AN99</f>
        <v>32</v>
      </c>
      <c r="H1297">
        <f>'Feb to July, 2022'!AO99</f>
        <v>0</v>
      </c>
      <c r="I1297">
        <f>'Feb to July, 2022'!AP99</f>
        <v>0</v>
      </c>
      <c r="J1297">
        <f>G1297*Parameters!$B$2*Parameters!$B$5</f>
        <v>68.131199999999993</v>
      </c>
      <c r="K1297">
        <f>H1297*Parameters!$B$3*Parameters!$B$6</f>
        <v>0</v>
      </c>
      <c r="L1297">
        <f>I1297*Parameters!$B$4*Parameters!$B$7</f>
        <v>0</v>
      </c>
      <c r="M1297">
        <f t="shared" si="20"/>
        <v>68.131199999999993</v>
      </c>
      <c r="N1297">
        <v>3200</v>
      </c>
      <c r="O1297">
        <v>0</v>
      </c>
      <c r="P1297">
        <v>0</v>
      </c>
      <c r="Q1297">
        <v>0</v>
      </c>
    </row>
    <row r="1298" spans="1:17">
      <c r="A1298" t="s">
        <v>123</v>
      </c>
      <c r="B1298" t="s">
        <v>19</v>
      </c>
      <c r="C1298">
        <v>8</v>
      </c>
      <c r="D1298">
        <v>2022</v>
      </c>
      <c r="E1298" s="49" t="s">
        <v>0</v>
      </c>
      <c r="F1298" s="49" t="s">
        <v>163</v>
      </c>
      <c r="G1298">
        <f>'Feb to July, 2022'!AM100+'Feb to July, 2022'!AN100</f>
        <v>35</v>
      </c>
      <c r="H1298">
        <f>'Feb to July, 2022'!AO100</f>
        <v>0</v>
      </c>
      <c r="I1298">
        <f>'Feb to July, 2022'!AP100</f>
        <v>10</v>
      </c>
      <c r="J1298">
        <f>G1298*Parameters!$B$2*Parameters!$B$5</f>
        <v>74.518499999999989</v>
      </c>
      <c r="K1298">
        <f>H1298*Parameters!$B$3*Parameters!$B$6</f>
        <v>0</v>
      </c>
      <c r="L1298">
        <f>I1298*Parameters!$B$4*Parameters!$B$7</f>
        <v>80.963999999999999</v>
      </c>
      <c r="M1298">
        <f t="shared" si="20"/>
        <v>155.48249999999999</v>
      </c>
      <c r="N1298">
        <v>3500</v>
      </c>
      <c r="O1298">
        <v>0</v>
      </c>
      <c r="P1298">
        <v>0</v>
      </c>
      <c r="Q1298">
        <v>3000</v>
      </c>
    </row>
    <row r="1299" spans="1:17">
      <c r="A1299" t="s">
        <v>124</v>
      </c>
      <c r="B1299" t="s">
        <v>56</v>
      </c>
      <c r="C1299">
        <v>9</v>
      </c>
      <c r="D1299">
        <v>2022</v>
      </c>
      <c r="E1299" s="49" t="s">
        <v>0</v>
      </c>
      <c r="F1299" s="49" t="s">
        <v>163</v>
      </c>
      <c r="G1299">
        <f>'Feb to July, 2022'!AM101+'Feb to July, 2022'!AN101</f>
        <v>30</v>
      </c>
      <c r="H1299">
        <f>'Feb to July, 2022'!AO101</f>
        <v>0</v>
      </c>
      <c r="I1299">
        <f>'Feb to July, 2022'!AP101</f>
        <v>0</v>
      </c>
      <c r="J1299">
        <f>G1299*Parameters!$B$2*Parameters!$B$5</f>
        <v>63.87299999999999</v>
      </c>
      <c r="K1299">
        <f>H1299*Parameters!$B$3*Parameters!$B$6</f>
        <v>0</v>
      </c>
      <c r="L1299">
        <f>I1299*Parameters!$B$4*Parameters!$B$7</f>
        <v>0</v>
      </c>
      <c r="M1299">
        <f t="shared" si="20"/>
        <v>63.87299999999999</v>
      </c>
      <c r="N1299">
        <v>3000</v>
      </c>
      <c r="O1299">
        <v>0</v>
      </c>
      <c r="P1299">
        <v>0</v>
      </c>
      <c r="Q1299">
        <v>0</v>
      </c>
    </row>
    <row r="1300" spans="1:17">
      <c r="A1300" t="s">
        <v>125</v>
      </c>
      <c r="B1300" t="s">
        <v>65</v>
      </c>
      <c r="C1300">
        <v>7</v>
      </c>
      <c r="D1300">
        <v>2022</v>
      </c>
      <c r="E1300" s="49" t="s">
        <v>0</v>
      </c>
      <c r="F1300" s="49" t="s">
        <v>163</v>
      </c>
      <c r="G1300">
        <f>'Feb to July, 2022'!AM102+'Feb to July, 2022'!AN102</f>
        <v>30</v>
      </c>
      <c r="H1300">
        <f>'Feb to July, 2022'!AO102</f>
        <v>0</v>
      </c>
      <c r="I1300">
        <f>'Feb to July, 2022'!AP102</f>
        <v>20</v>
      </c>
      <c r="J1300">
        <f>G1300*Parameters!$B$2*Parameters!$B$5</f>
        <v>63.87299999999999</v>
      </c>
      <c r="K1300">
        <f>H1300*Parameters!$B$3*Parameters!$B$6</f>
        <v>0</v>
      </c>
      <c r="L1300">
        <f>I1300*Parameters!$B$4*Parameters!$B$7</f>
        <v>161.928</v>
      </c>
      <c r="M1300">
        <f t="shared" si="20"/>
        <v>225.80099999999999</v>
      </c>
      <c r="N1300">
        <v>3000</v>
      </c>
      <c r="O1300">
        <v>0</v>
      </c>
      <c r="P1300">
        <v>0</v>
      </c>
      <c r="Q1300">
        <v>6000</v>
      </c>
    </row>
    <row r="1301" spans="1:17">
      <c r="A1301" t="s">
        <v>126</v>
      </c>
      <c r="B1301" t="s">
        <v>65</v>
      </c>
      <c r="C1301">
        <v>6</v>
      </c>
      <c r="D1301">
        <v>2022</v>
      </c>
      <c r="E1301" s="49" t="s">
        <v>0</v>
      </c>
      <c r="F1301" s="49" t="s">
        <v>163</v>
      </c>
      <c r="G1301">
        <f>'Feb to July, 2022'!AM103+'Feb to July, 2022'!AN103</f>
        <v>25</v>
      </c>
      <c r="H1301">
        <f>'Feb to July, 2022'!AO103</f>
        <v>0</v>
      </c>
      <c r="I1301">
        <f>'Feb to July, 2022'!AP103</f>
        <v>5</v>
      </c>
      <c r="J1301">
        <f>G1301*Parameters!$B$2*Parameters!$B$5</f>
        <v>53.227499999999992</v>
      </c>
      <c r="K1301">
        <f>H1301*Parameters!$B$3*Parameters!$B$6</f>
        <v>0</v>
      </c>
      <c r="L1301">
        <f>I1301*Parameters!$B$4*Parameters!$B$7</f>
        <v>40.481999999999999</v>
      </c>
      <c r="M1301">
        <f t="shared" si="20"/>
        <v>93.709499999999991</v>
      </c>
      <c r="N1301">
        <v>2500</v>
      </c>
      <c r="O1301">
        <v>0</v>
      </c>
      <c r="P1301">
        <v>0</v>
      </c>
      <c r="Q1301">
        <v>1500</v>
      </c>
    </row>
    <row r="1302" spans="1:17">
      <c r="A1302" t="s">
        <v>16</v>
      </c>
      <c r="B1302" t="s">
        <v>17</v>
      </c>
      <c r="C1302">
        <v>8</v>
      </c>
      <c r="D1302">
        <v>2022</v>
      </c>
      <c r="E1302" s="49" t="s">
        <v>1</v>
      </c>
      <c r="F1302" s="49" t="s">
        <v>163</v>
      </c>
      <c r="G1302">
        <f>'Feb to July, 2022'!AU4+'Feb to July, 2022'!AV4</f>
        <v>46</v>
      </c>
      <c r="H1302">
        <f>'Feb to July, 2022'!AW4</f>
        <v>0</v>
      </c>
      <c r="I1302">
        <f>'Feb to July, 2022'!AX4</f>
        <v>19</v>
      </c>
      <c r="J1302">
        <f>G1302*Parameters!$B$2*Parameters!$B$5</f>
        <v>97.938599999999994</v>
      </c>
      <c r="K1302">
        <f>H1302*Parameters!$B$3*Parameters!$B$6</f>
        <v>0</v>
      </c>
      <c r="L1302">
        <f>I1302*Parameters!$B$4*Parameters!$B$7</f>
        <v>153.83160000000001</v>
      </c>
      <c r="M1302">
        <f t="shared" si="20"/>
        <v>251.77019999999999</v>
      </c>
      <c r="N1302">
        <v>4600</v>
      </c>
      <c r="O1302">
        <v>0</v>
      </c>
      <c r="P1302">
        <v>0</v>
      </c>
      <c r="Q1302">
        <v>5700</v>
      </c>
    </row>
    <row r="1303" spans="1:17">
      <c r="A1303" t="s">
        <v>18</v>
      </c>
      <c r="B1303" t="s">
        <v>19</v>
      </c>
      <c r="C1303">
        <v>7</v>
      </c>
      <c r="D1303">
        <v>2022</v>
      </c>
      <c r="E1303" s="49" t="s">
        <v>1</v>
      </c>
      <c r="F1303" s="49" t="s">
        <v>163</v>
      </c>
      <c r="G1303">
        <f>'Feb to July, 2022'!AU5+'Feb to July, 2022'!AV5</f>
        <v>52</v>
      </c>
      <c r="H1303">
        <f>'Feb to July, 2022'!AW5</f>
        <v>0</v>
      </c>
      <c r="I1303">
        <f>'Feb to July, 2022'!AX5</f>
        <v>6</v>
      </c>
      <c r="J1303">
        <f>G1303*Parameters!$B$2*Parameters!$B$5</f>
        <v>110.71319999999999</v>
      </c>
      <c r="K1303">
        <f>H1303*Parameters!$B$3*Parameters!$B$6</f>
        <v>0</v>
      </c>
      <c r="L1303">
        <f>I1303*Parameters!$B$4*Parameters!$B$7</f>
        <v>48.578400000000009</v>
      </c>
      <c r="M1303">
        <f t="shared" si="20"/>
        <v>159.29159999999999</v>
      </c>
      <c r="N1303">
        <v>5200</v>
      </c>
      <c r="O1303">
        <v>0</v>
      </c>
      <c r="P1303">
        <v>0</v>
      </c>
      <c r="Q1303">
        <v>1800</v>
      </c>
    </row>
    <row r="1304" spans="1:17">
      <c r="A1304" t="s">
        <v>20</v>
      </c>
      <c r="B1304" t="s">
        <v>21</v>
      </c>
      <c r="C1304">
        <v>10</v>
      </c>
      <c r="D1304">
        <v>2022</v>
      </c>
      <c r="E1304" s="49" t="s">
        <v>1</v>
      </c>
      <c r="F1304" s="49" t="s">
        <v>163</v>
      </c>
      <c r="G1304">
        <f>'Feb to July, 2022'!AU6+'Feb to July, 2022'!AV6</f>
        <v>40</v>
      </c>
      <c r="H1304">
        <f>'Feb to July, 2022'!AW6</f>
        <v>0</v>
      </c>
      <c r="I1304">
        <f>'Feb to July, 2022'!AX6</f>
        <v>20</v>
      </c>
      <c r="J1304">
        <f>G1304*Parameters!$B$2*Parameters!$B$5</f>
        <v>85.163999999999987</v>
      </c>
      <c r="K1304">
        <f>H1304*Parameters!$B$3*Parameters!$B$6</f>
        <v>0</v>
      </c>
      <c r="L1304">
        <f>I1304*Parameters!$B$4*Parameters!$B$7</f>
        <v>161.928</v>
      </c>
      <c r="M1304">
        <f t="shared" si="20"/>
        <v>247.09199999999998</v>
      </c>
      <c r="N1304">
        <v>4000</v>
      </c>
      <c r="O1304">
        <v>0</v>
      </c>
      <c r="P1304">
        <v>0</v>
      </c>
      <c r="Q1304">
        <v>6000</v>
      </c>
    </row>
    <row r="1305" spans="1:17">
      <c r="A1305" t="s">
        <v>22</v>
      </c>
      <c r="B1305" t="s">
        <v>19</v>
      </c>
      <c r="C1305">
        <v>7</v>
      </c>
      <c r="D1305">
        <v>2022</v>
      </c>
      <c r="E1305" s="49" t="s">
        <v>1</v>
      </c>
      <c r="F1305" s="49" t="s">
        <v>163</v>
      </c>
      <c r="G1305">
        <f>'Feb to July, 2022'!AU7+'Feb to July, 2022'!AV7</f>
        <v>42</v>
      </c>
      <c r="H1305">
        <f>'Feb to July, 2022'!AW7</f>
        <v>0</v>
      </c>
      <c r="I1305">
        <f>'Feb to July, 2022'!AX7</f>
        <v>8</v>
      </c>
      <c r="J1305">
        <f>G1305*Parameters!$B$2*Parameters!$B$5</f>
        <v>89.422199999999975</v>
      </c>
      <c r="K1305">
        <f>H1305*Parameters!$B$3*Parameters!$B$6</f>
        <v>0</v>
      </c>
      <c r="L1305">
        <f>I1305*Parameters!$B$4*Parameters!$B$7</f>
        <v>64.771200000000007</v>
      </c>
      <c r="M1305">
        <f t="shared" si="20"/>
        <v>154.1934</v>
      </c>
      <c r="N1305">
        <v>4200</v>
      </c>
      <c r="O1305">
        <v>0</v>
      </c>
      <c r="P1305">
        <v>0</v>
      </c>
      <c r="Q1305">
        <v>2400</v>
      </c>
    </row>
    <row r="1306" spans="1:17">
      <c r="A1306" t="s">
        <v>23</v>
      </c>
      <c r="B1306" t="s">
        <v>24</v>
      </c>
      <c r="C1306">
        <v>4</v>
      </c>
      <c r="D1306">
        <v>2022</v>
      </c>
      <c r="E1306" s="49" t="s">
        <v>1</v>
      </c>
      <c r="F1306" s="49" t="s">
        <v>163</v>
      </c>
      <c r="G1306">
        <f>'Feb to July, 2022'!AU8+'Feb to July, 2022'!AV8</f>
        <v>40</v>
      </c>
      <c r="H1306">
        <f>'Feb to July, 2022'!AW8</f>
        <v>0</v>
      </c>
      <c r="I1306">
        <f>'Feb to July, 2022'!AX8</f>
        <v>18</v>
      </c>
      <c r="J1306">
        <f>G1306*Parameters!$B$2*Parameters!$B$5</f>
        <v>85.163999999999987</v>
      </c>
      <c r="K1306">
        <f>H1306*Parameters!$B$3*Parameters!$B$6</f>
        <v>0</v>
      </c>
      <c r="L1306">
        <f>I1306*Parameters!$B$4*Parameters!$B$7</f>
        <v>145.73520000000002</v>
      </c>
      <c r="M1306">
        <f t="shared" si="20"/>
        <v>230.89920000000001</v>
      </c>
      <c r="N1306">
        <v>4000</v>
      </c>
      <c r="O1306">
        <v>0</v>
      </c>
      <c r="P1306">
        <v>0</v>
      </c>
      <c r="Q1306">
        <v>5400</v>
      </c>
    </row>
    <row r="1307" spans="1:17">
      <c r="A1307" t="s">
        <v>25</v>
      </c>
      <c r="B1307" t="s">
        <v>26</v>
      </c>
      <c r="C1307">
        <v>3</v>
      </c>
      <c r="D1307">
        <v>2022</v>
      </c>
      <c r="E1307" s="49" t="s">
        <v>1</v>
      </c>
      <c r="F1307" s="49" t="s">
        <v>163</v>
      </c>
      <c r="G1307">
        <f>'Feb to July, 2022'!AU9+'Feb to July, 2022'!AV9</f>
        <v>35</v>
      </c>
      <c r="H1307">
        <f>'Feb to July, 2022'!AW9</f>
        <v>0</v>
      </c>
      <c r="I1307">
        <f>'Feb to July, 2022'!AX9</f>
        <v>15</v>
      </c>
      <c r="J1307">
        <f>G1307*Parameters!$B$2*Parameters!$B$5</f>
        <v>74.518499999999989</v>
      </c>
      <c r="K1307">
        <f>H1307*Parameters!$B$3*Parameters!$B$6</f>
        <v>0</v>
      </c>
      <c r="L1307">
        <f>I1307*Parameters!$B$4*Parameters!$B$7</f>
        <v>121.44600000000001</v>
      </c>
      <c r="M1307">
        <f t="shared" si="20"/>
        <v>195.96449999999999</v>
      </c>
      <c r="N1307">
        <v>3500</v>
      </c>
      <c r="O1307">
        <v>0</v>
      </c>
      <c r="P1307">
        <v>0</v>
      </c>
      <c r="Q1307">
        <v>4500</v>
      </c>
    </row>
    <row r="1308" spans="1:17">
      <c r="A1308" t="s">
        <v>27</v>
      </c>
      <c r="B1308" t="s">
        <v>21</v>
      </c>
      <c r="C1308">
        <v>6</v>
      </c>
      <c r="D1308">
        <v>2022</v>
      </c>
      <c r="E1308" s="49" t="s">
        <v>1</v>
      </c>
      <c r="F1308" s="49" t="s">
        <v>163</v>
      </c>
      <c r="G1308">
        <f>'Feb to July, 2022'!AU10+'Feb to July, 2022'!AV10</f>
        <v>50</v>
      </c>
      <c r="H1308">
        <f>'Feb to July, 2022'!AW10</f>
        <v>0</v>
      </c>
      <c r="I1308">
        <f>'Feb to July, 2022'!AX10</f>
        <v>20</v>
      </c>
      <c r="J1308">
        <f>G1308*Parameters!$B$2*Parameters!$B$5</f>
        <v>106.45499999999998</v>
      </c>
      <c r="K1308">
        <f>H1308*Parameters!$B$3*Parameters!$B$6</f>
        <v>0</v>
      </c>
      <c r="L1308">
        <f>I1308*Parameters!$B$4*Parameters!$B$7</f>
        <v>161.928</v>
      </c>
      <c r="M1308">
        <f t="shared" si="20"/>
        <v>268.38299999999998</v>
      </c>
      <c r="N1308">
        <v>5000</v>
      </c>
      <c r="O1308">
        <v>0</v>
      </c>
      <c r="P1308">
        <v>0</v>
      </c>
      <c r="Q1308">
        <v>6000</v>
      </c>
    </row>
    <row r="1309" spans="1:17">
      <c r="A1309" t="s">
        <v>28</v>
      </c>
      <c r="B1309" t="s">
        <v>19</v>
      </c>
      <c r="C1309">
        <v>9</v>
      </c>
      <c r="D1309">
        <v>2022</v>
      </c>
      <c r="E1309" s="49" t="s">
        <v>1</v>
      </c>
      <c r="F1309" s="49" t="s">
        <v>163</v>
      </c>
      <c r="G1309">
        <f>'Feb to July, 2022'!AU11+'Feb to July, 2022'!AV11</f>
        <v>50</v>
      </c>
      <c r="H1309">
        <f>'Feb to July, 2022'!AW11</f>
        <v>0</v>
      </c>
      <c r="I1309">
        <f>'Feb to July, 2022'!AX11</f>
        <v>15</v>
      </c>
      <c r="J1309">
        <f>G1309*Parameters!$B$2*Parameters!$B$5</f>
        <v>106.45499999999998</v>
      </c>
      <c r="K1309">
        <f>H1309*Parameters!$B$3*Parameters!$B$6</f>
        <v>0</v>
      </c>
      <c r="L1309">
        <f>I1309*Parameters!$B$4*Parameters!$B$7</f>
        <v>121.44600000000001</v>
      </c>
      <c r="M1309">
        <f t="shared" si="20"/>
        <v>227.90100000000001</v>
      </c>
      <c r="N1309">
        <v>5000</v>
      </c>
      <c r="O1309">
        <v>0</v>
      </c>
      <c r="P1309">
        <v>0</v>
      </c>
      <c r="Q1309">
        <v>4500</v>
      </c>
    </row>
    <row r="1310" spans="1:17">
      <c r="A1310" t="s">
        <v>29</v>
      </c>
      <c r="B1310" t="s">
        <v>24</v>
      </c>
      <c r="C1310">
        <v>4</v>
      </c>
      <c r="D1310">
        <v>2022</v>
      </c>
      <c r="E1310" s="49" t="s">
        <v>1</v>
      </c>
      <c r="F1310" s="49" t="s">
        <v>163</v>
      </c>
      <c r="G1310">
        <f>'Feb to July, 2022'!AU12+'Feb to July, 2022'!AV12</f>
        <v>40</v>
      </c>
      <c r="H1310">
        <f>'Feb to July, 2022'!AW12</f>
        <v>0</v>
      </c>
      <c r="I1310">
        <f>'Feb to July, 2022'!AX12</f>
        <v>15</v>
      </c>
      <c r="J1310">
        <f>G1310*Parameters!$B$2*Parameters!$B$5</f>
        <v>85.163999999999987</v>
      </c>
      <c r="K1310">
        <f>H1310*Parameters!$B$3*Parameters!$B$6</f>
        <v>0</v>
      </c>
      <c r="L1310">
        <f>I1310*Parameters!$B$4*Parameters!$B$7</f>
        <v>121.44600000000001</v>
      </c>
      <c r="M1310">
        <f t="shared" si="20"/>
        <v>206.61</v>
      </c>
      <c r="N1310">
        <v>4000</v>
      </c>
      <c r="O1310">
        <v>0</v>
      </c>
      <c r="P1310">
        <v>0</v>
      </c>
      <c r="Q1310">
        <v>4500</v>
      </c>
    </row>
    <row r="1311" spans="1:17">
      <c r="A1311" t="s">
        <v>30</v>
      </c>
      <c r="B1311" t="s">
        <v>21</v>
      </c>
      <c r="C1311">
        <v>6</v>
      </c>
      <c r="D1311">
        <v>2022</v>
      </c>
      <c r="E1311" s="49" t="s">
        <v>1</v>
      </c>
      <c r="F1311" s="49" t="s">
        <v>163</v>
      </c>
      <c r="G1311">
        <f>'Feb to July, 2022'!AU13+'Feb to July, 2022'!AV13</f>
        <v>30</v>
      </c>
      <c r="H1311">
        <f>'Feb to July, 2022'!AW13</f>
        <v>0</v>
      </c>
      <c r="I1311">
        <f>'Feb to July, 2022'!AX13</f>
        <v>20</v>
      </c>
      <c r="J1311">
        <f>G1311*Parameters!$B$2*Parameters!$B$5</f>
        <v>63.87299999999999</v>
      </c>
      <c r="K1311">
        <f>H1311*Parameters!$B$3*Parameters!$B$6</f>
        <v>0</v>
      </c>
      <c r="L1311">
        <f>I1311*Parameters!$B$4*Parameters!$B$7</f>
        <v>161.928</v>
      </c>
      <c r="M1311">
        <f t="shared" si="20"/>
        <v>225.80099999999999</v>
      </c>
      <c r="N1311">
        <v>3000</v>
      </c>
      <c r="O1311">
        <v>0</v>
      </c>
      <c r="P1311">
        <v>0</v>
      </c>
      <c r="Q1311">
        <v>6000</v>
      </c>
    </row>
    <row r="1312" spans="1:17">
      <c r="A1312" t="s">
        <v>31</v>
      </c>
      <c r="B1312" t="s">
        <v>32</v>
      </c>
      <c r="C1312">
        <v>4</v>
      </c>
      <c r="D1312">
        <v>2022</v>
      </c>
      <c r="E1312" s="49" t="s">
        <v>1</v>
      </c>
      <c r="F1312" s="49" t="s">
        <v>163</v>
      </c>
      <c r="G1312">
        <f>'Feb to July, 2022'!AU14+'Feb to July, 2022'!AV14</f>
        <v>48</v>
      </c>
      <c r="H1312">
        <f>'Feb to July, 2022'!AW14</f>
        <v>0</v>
      </c>
      <c r="I1312">
        <f>'Feb to July, 2022'!AX14</f>
        <v>20</v>
      </c>
      <c r="J1312">
        <f>G1312*Parameters!$B$2*Parameters!$B$5</f>
        <v>102.19679999999998</v>
      </c>
      <c r="K1312">
        <f>H1312*Parameters!$B$3*Parameters!$B$6</f>
        <v>0</v>
      </c>
      <c r="L1312">
        <f>I1312*Parameters!$B$4*Parameters!$B$7</f>
        <v>161.928</v>
      </c>
      <c r="M1312">
        <f t="shared" si="20"/>
        <v>264.12479999999999</v>
      </c>
      <c r="N1312">
        <v>4800</v>
      </c>
      <c r="O1312">
        <v>0</v>
      </c>
      <c r="P1312">
        <v>0</v>
      </c>
      <c r="Q1312">
        <v>6000</v>
      </c>
    </row>
    <row r="1313" spans="1:17">
      <c r="A1313" t="s">
        <v>33</v>
      </c>
      <c r="B1313" t="s">
        <v>32</v>
      </c>
      <c r="C1313">
        <v>6</v>
      </c>
      <c r="D1313">
        <v>2022</v>
      </c>
      <c r="E1313" s="49" t="s">
        <v>1</v>
      </c>
      <c r="F1313" s="49" t="s">
        <v>163</v>
      </c>
      <c r="G1313">
        <f>'Feb to July, 2022'!AU15+'Feb to July, 2022'!AV15</f>
        <v>12</v>
      </c>
      <c r="H1313">
        <f>'Feb to July, 2022'!AW15</f>
        <v>0</v>
      </c>
      <c r="I1313">
        <f>'Feb to July, 2022'!AX15</f>
        <v>10</v>
      </c>
      <c r="J1313">
        <f>G1313*Parameters!$B$2*Parameters!$B$5</f>
        <v>25.549199999999995</v>
      </c>
      <c r="K1313">
        <f>H1313*Parameters!$B$3*Parameters!$B$6</f>
        <v>0</v>
      </c>
      <c r="L1313">
        <f>I1313*Parameters!$B$4*Parameters!$B$7</f>
        <v>80.963999999999999</v>
      </c>
      <c r="M1313">
        <f t="shared" si="20"/>
        <v>106.5132</v>
      </c>
      <c r="N1313">
        <v>1200</v>
      </c>
      <c r="O1313">
        <v>0</v>
      </c>
      <c r="P1313">
        <v>0</v>
      </c>
      <c r="Q1313">
        <v>3000</v>
      </c>
    </row>
    <row r="1314" spans="1:17">
      <c r="A1314" t="s">
        <v>34</v>
      </c>
      <c r="B1314" t="s">
        <v>21</v>
      </c>
      <c r="C1314">
        <v>9</v>
      </c>
      <c r="D1314">
        <v>2022</v>
      </c>
      <c r="E1314" s="49" t="s">
        <v>1</v>
      </c>
      <c r="F1314" s="49" t="s">
        <v>163</v>
      </c>
      <c r="G1314">
        <f>'Feb to July, 2022'!AU16+'Feb to July, 2022'!AV16</f>
        <v>40</v>
      </c>
      <c r="H1314">
        <f>'Feb to July, 2022'!AW16</f>
        <v>0</v>
      </c>
      <c r="I1314">
        <f>'Feb to July, 2022'!AX16</f>
        <v>15</v>
      </c>
      <c r="J1314">
        <f>G1314*Parameters!$B$2*Parameters!$B$5</f>
        <v>85.163999999999987</v>
      </c>
      <c r="K1314">
        <f>H1314*Parameters!$B$3*Parameters!$B$6</f>
        <v>0</v>
      </c>
      <c r="L1314">
        <f>I1314*Parameters!$B$4*Parameters!$B$7</f>
        <v>121.44600000000001</v>
      </c>
      <c r="M1314">
        <f t="shared" si="20"/>
        <v>206.61</v>
      </c>
      <c r="N1314">
        <v>4000</v>
      </c>
      <c r="O1314">
        <v>0</v>
      </c>
      <c r="P1314">
        <v>0</v>
      </c>
      <c r="Q1314">
        <v>4500</v>
      </c>
    </row>
    <row r="1315" spans="1:17">
      <c r="A1315" t="s">
        <v>35</v>
      </c>
      <c r="B1315" t="s">
        <v>21</v>
      </c>
      <c r="C1315">
        <v>6</v>
      </c>
      <c r="D1315">
        <v>2022</v>
      </c>
      <c r="E1315" s="49" t="s">
        <v>1</v>
      </c>
      <c r="F1315" s="49" t="s">
        <v>163</v>
      </c>
      <c r="G1315">
        <f>'Feb to July, 2022'!AU17+'Feb to July, 2022'!AV17</f>
        <v>30</v>
      </c>
      <c r="H1315">
        <f>'Feb to July, 2022'!AW17</f>
        <v>0</v>
      </c>
      <c r="I1315">
        <f>'Feb to July, 2022'!AX17</f>
        <v>16</v>
      </c>
      <c r="J1315">
        <f>G1315*Parameters!$B$2*Parameters!$B$5</f>
        <v>63.87299999999999</v>
      </c>
      <c r="K1315">
        <f>H1315*Parameters!$B$3*Parameters!$B$6</f>
        <v>0</v>
      </c>
      <c r="L1315">
        <f>I1315*Parameters!$B$4*Parameters!$B$7</f>
        <v>129.54240000000001</v>
      </c>
      <c r="M1315">
        <f t="shared" si="20"/>
        <v>193.41540000000001</v>
      </c>
      <c r="N1315">
        <v>0</v>
      </c>
      <c r="O1315">
        <v>3000</v>
      </c>
      <c r="P1315">
        <v>0</v>
      </c>
      <c r="Q1315">
        <v>4800</v>
      </c>
    </row>
    <row r="1316" spans="1:17">
      <c r="A1316" t="s">
        <v>36</v>
      </c>
      <c r="B1316" t="s">
        <v>21</v>
      </c>
      <c r="C1316">
        <v>12</v>
      </c>
      <c r="D1316">
        <v>2022</v>
      </c>
      <c r="E1316" s="49" t="s">
        <v>1</v>
      </c>
      <c r="F1316" s="49" t="s">
        <v>163</v>
      </c>
      <c r="G1316">
        <f>'Feb to July, 2022'!AU18+'Feb to July, 2022'!AV18</f>
        <v>30</v>
      </c>
      <c r="H1316">
        <f>'Feb to July, 2022'!AW18</f>
        <v>0</v>
      </c>
      <c r="I1316">
        <f>'Feb to July, 2022'!AX18</f>
        <v>16</v>
      </c>
      <c r="J1316">
        <f>G1316*Parameters!$B$2*Parameters!$B$5</f>
        <v>63.87299999999999</v>
      </c>
      <c r="K1316">
        <f>H1316*Parameters!$B$3*Parameters!$B$6</f>
        <v>0</v>
      </c>
      <c r="L1316">
        <f>I1316*Parameters!$B$4*Parameters!$B$7</f>
        <v>129.54240000000001</v>
      </c>
      <c r="M1316">
        <f t="shared" si="20"/>
        <v>193.41540000000001</v>
      </c>
      <c r="N1316">
        <v>3000</v>
      </c>
      <c r="O1316">
        <v>0</v>
      </c>
      <c r="P1316">
        <v>0</v>
      </c>
      <c r="Q1316">
        <v>4800</v>
      </c>
    </row>
    <row r="1317" spans="1:17">
      <c r="A1317" t="s">
        <v>37</v>
      </c>
      <c r="B1317" t="s">
        <v>38</v>
      </c>
      <c r="C1317">
        <v>7</v>
      </c>
      <c r="D1317">
        <v>2022</v>
      </c>
      <c r="E1317" s="49" t="s">
        <v>1</v>
      </c>
      <c r="F1317" s="49" t="s">
        <v>163</v>
      </c>
      <c r="G1317">
        <f>'Feb to July, 2022'!AU19+'Feb to July, 2022'!AV19</f>
        <v>40</v>
      </c>
      <c r="H1317">
        <f>'Feb to July, 2022'!AW19</f>
        <v>0</v>
      </c>
      <c r="I1317">
        <f>'Feb to July, 2022'!AX19</f>
        <v>20</v>
      </c>
      <c r="J1317">
        <f>G1317*Parameters!$B$2*Parameters!$B$5</f>
        <v>85.163999999999987</v>
      </c>
      <c r="K1317">
        <f>H1317*Parameters!$B$3*Parameters!$B$6</f>
        <v>0</v>
      </c>
      <c r="L1317">
        <f>I1317*Parameters!$B$4*Parameters!$B$7</f>
        <v>161.928</v>
      </c>
      <c r="M1317">
        <f t="shared" si="20"/>
        <v>247.09199999999998</v>
      </c>
      <c r="N1317">
        <v>4000</v>
      </c>
      <c r="O1317">
        <v>0</v>
      </c>
      <c r="P1317">
        <v>0</v>
      </c>
      <c r="Q1317">
        <v>6000</v>
      </c>
    </row>
    <row r="1318" spans="1:17">
      <c r="A1318" t="s">
        <v>39</v>
      </c>
      <c r="B1318" t="s">
        <v>40</v>
      </c>
      <c r="C1318">
        <v>6</v>
      </c>
      <c r="D1318">
        <v>2022</v>
      </c>
      <c r="E1318" s="49" t="s">
        <v>1</v>
      </c>
      <c r="F1318" s="49" t="s">
        <v>163</v>
      </c>
      <c r="G1318">
        <f>'Feb to July, 2022'!AU20+'Feb to July, 2022'!AV20</f>
        <v>55</v>
      </c>
      <c r="H1318">
        <f>'Feb to July, 2022'!AW20</f>
        <v>0</v>
      </c>
      <c r="I1318">
        <f>'Feb to July, 2022'!AX20</f>
        <v>5</v>
      </c>
      <c r="J1318">
        <f>G1318*Parameters!$B$2*Parameters!$B$5</f>
        <v>117.10049999999998</v>
      </c>
      <c r="K1318">
        <f>H1318*Parameters!$B$3*Parameters!$B$6</f>
        <v>0</v>
      </c>
      <c r="L1318">
        <f>I1318*Parameters!$B$4*Parameters!$B$7</f>
        <v>40.481999999999999</v>
      </c>
      <c r="M1318">
        <f t="shared" si="20"/>
        <v>157.58249999999998</v>
      </c>
      <c r="N1318">
        <v>4000</v>
      </c>
      <c r="O1318">
        <v>1500</v>
      </c>
      <c r="P1318">
        <v>0</v>
      </c>
      <c r="Q1318">
        <v>1500</v>
      </c>
    </row>
    <row r="1319" spans="1:17">
      <c r="A1319" t="s">
        <v>41</v>
      </c>
      <c r="B1319" t="s">
        <v>26</v>
      </c>
      <c r="C1319">
        <v>5</v>
      </c>
      <c r="D1319">
        <v>2022</v>
      </c>
      <c r="E1319" s="49" t="s">
        <v>1</v>
      </c>
      <c r="F1319" s="49" t="s">
        <v>163</v>
      </c>
      <c r="G1319">
        <f>'Feb to July, 2022'!AU21+'Feb to July, 2022'!AV21</f>
        <v>35</v>
      </c>
      <c r="H1319">
        <f>'Feb to July, 2022'!AW21</f>
        <v>0</v>
      </c>
      <c r="I1319">
        <f>'Feb to July, 2022'!AX21</f>
        <v>5</v>
      </c>
      <c r="J1319">
        <f>G1319*Parameters!$B$2*Parameters!$B$5</f>
        <v>74.518499999999989</v>
      </c>
      <c r="K1319">
        <f>H1319*Parameters!$B$3*Parameters!$B$6</f>
        <v>0</v>
      </c>
      <c r="L1319">
        <f>I1319*Parameters!$B$4*Parameters!$B$7</f>
        <v>40.481999999999999</v>
      </c>
      <c r="M1319">
        <f t="shared" si="20"/>
        <v>115.00049999999999</v>
      </c>
      <c r="N1319">
        <v>3500</v>
      </c>
      <c r="O1319">
        <v>0</v>
      </c>
      <c r="P1319">
        <v>0</v>
      </c>
      <c r="Q1319">
        <v>1500</v>
      </c>
    </row>
    <row r="1320" spans="1:17">
      <c r="A1320" t="s">
        <v>42</v>
      </c>
      <c r="B1320" t="s">
        <v>24</v>
      </c>
      <c r="C1320">
        <v>5</v>
      </c>
      <c r="D1320">
        <v>2022</v>
      </c>
      <c r="E1320" s="49" t="s">
        <v>1</v>
      </c>
      <c r="F1320" s="49" t="s">
        <v>163</v>
      </c>
      <c r="G1320">
        <f>'Feb to July, 2022'!AU22+'Feb to July, 2022'!AV22</f>
        <v>30</v>
      </c>
      <c r="H1320">
        <f>'Feb to July, 2022'!AW22</f>
        <v>0</v>
      </c>
      <c r="I1320">
        <f>'Feb to July, 2022'!AX22</f>
        <v>10</v>
      </c>
      <c r="J1320">
        <f>G1320*Parameters!$B$2*Parameters!$B$5</f>
        <v>63.87299999999999</v>
      </c>
      <c r="K1320">
        <f>H1320*Parameters!$B$3*Parameters!$B$6</f>
        <v>0</v>
      </c>
      <c r="L1320">
        <f>I1320*Parameters!$B$4*Parameters!$B$7</f>
        <v>80.963999999999999</v>
      </c>
      <c r="M1320">
        <f t="shared" si="20"/>
        <v>144.83699999999999</v>
      </c>
      <c r="N1320">
        <v>3000</v>
      </c>
      <c r="O1320">
        <v>0</v>
      </c>
      <c r="P1320">
        <v>0</v>
      </c>
      <c r="Q1320">
        <v>3000</v>
      </c>
    </row>
    <row r="1321" spans="1:17">
      <c r="A1321" t="s">
        <v>43</v>
      </c>
      <c r="B1321" t="s">
        <v>19</v>
      </c>
      <c r="C1321">
        <v>8</v>
      </c>
      <c r="D1321">
        <v>2022</v>
      </c>
      <c r="E1321" s="49" t="s">
        <v>1</v>
      </c>
      <c r="F1321" s="49" t="s">
        <v>163</v>
      </c>
      <c r="G1321">
        <f>'Feb to July, 2022'!AU23+'Feb to July, 2022'!AV23</f>
        <v>35</v>
      </c>
      <c r="H1321">
        <f>'Feb to July, 2022'!AW23</f>
        <v>0</v>
      </c>
      <c r="I1321">
        <f>'Feb to July, 2022'!AX23</f>
        <v>20</v>
      </c>
      <c r="J1321">
        <f>G1321*Parameters!$B$2*Parameters!$B$5</f>
        <v>74.518499999999989</v>
      </c>
      <c r="K1321">
        <f>H1321*Parameters!$B$3*Parameters!$B$6</f>
        <v>0</v>
      </c>
      <c r="L1321">
        <f>I1321*Parameters!$B$4*Parameters!$B$7</f>
        <v>161.928</v>
      </c>
      <c r="M1321">
        <f t="shared" si="20"/>
        <v>236.44649999999999</v>
      </c>
      <c r="N1321">
        <v>3500</v>
      </c>
      <c r="O1321">
        <v>0</v>
      </c>
      <c r="P1321">
        <v>0</v>
      </c>
      <c r="Q1321">
        <v>6000</v>
      </c>
    </row>
    <row r="1322" spans="1:17">
      <c r="A1322" t="s">
        <v>44</v>
      </c>
      <c r="B1322" t="s">
        <v>40</v>
      </c>
      <c r="C1322">
        <v>10</v>
      </c>
      <c r="D1322">
        <v>2022</v>
      </c>
      <c r="E1322" s="49" t="s">
        <v>1</v>
      </c>
      <c r="F1322" s="49" t="s">
        <v>163</v>
      </c>
      <c r="G1322">
        <f>'Feb to July, 2022'!AU24+'Feb to July, 2022'!AV24</f>
        <v>30</v>
      </c>
      <c r="H1322">
        <f>'Feb to July, 2022'!AW24</f>
        <v>0</v>
      </c>
      <c r="I1322">
        <f>'Feb to July, 2022'!AX24</f>
        <v>15</v>
      </c>
      <c r="J1322">
        <f>G1322*Parameters!$B$2*Parameters!$B$5</f>
        <v>63.87299999999999</v>
      </c>
      <c r="K1322">
        <f>H1322*Parameters!$B$3*Parameters!$B$6</f>
        <v>0</v>
      </c>
      <c r="L1322">
        <f>I1322*Parameters!$B$4*Parameters!$B$7</f>
        <v>121.44600000000001</v>
      </c>
      <c r="M1322">
        <f t="shared" si="20"/>
        <v>185.31900000000002</v>
      </c>
      <c r="N1322">
        <v>3000</v>
      </c>
      <c r="O1322">
        <v>0</v>
      </c>
      <c r="P1322">
        <v>0</v>
      </c>
      <c r="Q1322">
        <v>4500</v>
      </c>
    </row>
    <row r="1323" spans="1:17">
      <c r="A1323" t="s">
        <v>45</v>
      </c>
      <c r="B1323" t="s">
        <v>24</v>
      </c>
      <c r="C1323">
        <v>8</v>
      </c>
      <c r="D1323">
        <v>2022</v>
      </c>
      <c r="E1323" s="49" t="s">
        <v>1</v>
      </c>
      <c r="F1323" s="49" t="s">
        <v>163</v>
      </c>
      <c r="G1323">
        <f>'Feb to July, 2022'!AU25+'Feb to July, 2022'!AV25</f>
        <v>40</v>
      </c>
      <c r="H1323">
        <f>'Feb to July, 2022'!AW25</f>
        <v>0</v>
      </c>
      <c r="I1323">
        <f>'Feb to July, 2022'!AX25</f>
        <v>20</v>
      </c>
      <c r="J1323">
        <f>G1323*Parameters!$B$2*Parameters!$B$5</f>
        <v>85.163999999999987</v>
      </c>
      <c r="K1323">
        <f>H1323*Parameters!$B$3*Parameters!$B$6</f>
        <v>0</v>
      </c>
      <c r="L1323">
        <f>I1323*Parameters!$B$4*Parameters!$B$7</f>
        <v>161.928</v>
      </c>
      <c r="M1323">
        <f t="shared" si="20"/>
        <v>247.09199999999998</v>
      </c>
      <c r="N1323">
        <v>4000</v>
      </c>
      <c r="O1323">
        <v>0</v>
      </c>
      <c r="P1323">
        <v>0</v>
      </c>
      <c r="Q1323">
        <v>6000</v>
      </c>
    </row>
    <row r="1324" spans="1:17">
      <c r="A1324" t="s">
        <v>46</v>
      </c>
      <c r="B1324" t="s">
        <v>24</v>
      </c>
      <c r="C1324">
        <v>4</v>
      </c>
      <c r="D1324">
        <v>2022</v>
      </c>
      <c r="E1324" s="49" t="s">
        <v>1</v>
      </c>
      <c r="F1324" s="49" t="s">
        <v>163</v>
      </c>
      <c r="G1324">
        <f>'Feb to July, 2022'!AU26+'Feb to July, 2022'!AV26</f>
        <v>20</v>
      </c>
      <c r="H1324">
        <f>'Feb to July, 2022'!AW26</f>
        <v>0</v>
      </c>
      <c r="I1324">
        <f>'Feb to July, 2022'!AX26</f>
        <v>10</v>
      </c>
      <c r="J1324">
        <f>G1324*Parameters!$B$2*Parameters!$B$5</f>
        <v>42.581999999999994</v>
      </c>
      <c r="K1324">
        <f>H1324*Parameters!$B$3*Parameters!$B$6</f>
        <v>0</v>
      </c>
      <c r="L1324">
        <f>I1324*Parameters!$B$4*Parameters!$B$7</f>
        <v>80.963999999999999</v>
      </c>
      <c r="M1324">
        <f t="shared" si="20"/>
        <v>123.54599999999999</v>
      </c>
      <c r="N1324">
        <v>2000</v>
      </c>
      <c r="O1324">
        <v>0</v>
      </c>
      <c r="P1324">
        <v>0</v>
      </c>
      <c r="Q1324">
        <v>3000</v>
      </c>
    </row>
    <row r="1325" spans="1:17">
      <c r="A1325" t="s">
        <v>47</v>
      </c>
      <c r="B1325" t="s">
        <v>19</v>
      </c>
      <c r="C1325">
        <v>6</v>
      </c>
      <c r="D1325">
        <v>2022</v>
      </c>
      <c r="E1325" s="49" t="s">
        <v>1</v>
      </c>
      <c r="F1325" s="49" t="s">
        <v>163</v>
      </c>
      <c r="G1325">
        <f>'Feb to July, 2022'!AU27+'Feb to July, 2022'!AV27</f>
        <v>32</v>
      </c>
      <c r="H1325">
        <f>'Feb to July, 2022'!AW27</f>
        <v>0</v>
      </c>
      <c r="I1325">
        <f>'Feb to July, 2022'!AX27</f>
        <v>12</v>
      </c>
      <c r="J1325">
        <f>G1325*Parameters!$B$2*Parameters!$B$5</f>
        <v>68.131199999999993</v>
      </c>
      <c r="K1325">
        <f>H1325*Parameters!$B$3*Parameters!$B$6</f>
        <v>0</v>
      </c>
      <c r="L1325">
        <f>I1325*Parameters!$B$4*Parameters!$B$7</f>
        <v>97.156800000000018</v>
      </c>
      <c r="M1325">
        <f t="shared" si="20"/>
        <v>165.28800000000001</v>
      </c>
      <c r="N1325">
        <v>3200</v>
      </c>
      <c r="O1325">
        <v>0</v>
      </c>
      <c r="P1325">
        <v>0</v>
      </c>
      <c r="Q1325">
        <v>3600</v>
      </c>
    </row>
    <row r="1326" spans="1:17">
      <c r="A1326" t="s">
        <v>48</v>
      </c>
      <c r="B1326" t="s">
        <v>24</v>
      </c>
      <c r="C1326">
        <v>4</v>
      </c>
      <c r="D1326">
        <v>2022</v>
      </c>
      <c r="E1326" s="49" t="s">
        <v>1</v>
      </c>
      <c r="F1326" s="49" t="s">
        <v>163</v>
      </c>
      <c r="G1326">
        <f>'Feb to July, 2022'!AU28+'Feb to July, 2022'!AV28</f>
        <v>32</v>
      </c>
      <c r="H1326">
        <f>'Feb to July, 2022'!AW28</f>
        <v>0</v>
      </c>
      <c r="I1326">
        <f>'Feb to July, 2022'!AX28</f>
        <v>10</v>
      </c>
      <c r="J1326">
        <f>G1326*Parameters!$B$2*Parameters!$B$5</f>
        <v>68.131199999999993</v>
      </c>
      <c r="K1326">
        <f>H1326*Parameters!$B$3*Parameters!$B$6</f>
        <v>0</v>
      </c>
      <c r="L1326">
        <f>I1326*Parameters!$B$4*Parameters!$B$7</f>
        <v>80.963999999999999</v>
      </c>
      <c r="M1326">
        <f t="shared" si="20"/>
        <v>149.09519999999998</v>
      </c>
      <c r="N1326">
        <v>3200</v>
      </c>
      <c r="O1326">
        <v>0</v>
      </c>
      <c r="P1326">
        <v>0</v>
      </c>
      <c r="Q1326">
        <v>3000</v>
      </c>
    </row>
    <row r="1327" spans="1:17">
      <c r="A1327" t="s">
        <v>49</v>
      </c>
      <c r="B1327" t="s">
        <v>38</v>
      </c>
      <c r="C1327">
        <v>2</v>
      </c>
      <c r="D1327">
        <v>2022</v>
      </c>
      <c r="E1327" s="49" t="s">
        <v>1</v>
      </c>
      <c r="F1327" s="49" t="s">
        <v>163</v>
      </c>
      <c r="G1327">
        <f>'Feb to July, 2022'!AU29+'Feb to July, 2022'!AV29</f>
        <v>27</v>
      </c>
      <c r="H1327">
        <f>'Feb to July, 2022'!AW29</f>
        <v>0</v>
      </c>
      <c r="I1327">
        <f>'Feb to July, 2022'!AX29</f>
        <v>14</v>
      </c>
      <c r="J1327">
        <f>G1327*Parameters!$B$2*Parameters!$B$5</f>
        <v>57.485699999999994</v>
      </c>
      <c r="K1327">
        <f>H1327*Parameters!$B$3*Parameters!$B$6</f>
        <v>0</v>
      </c>
      <c r="L1327">
        <f>I1327*Parameters!$B$4*Parameters!$B$7</f>
        <v>113.34960000000001</v>
      </c>
      <c r="M1327">
        <f t="shared" si="20"/>
        <v>170.83530000000002</v>
      </c>
      <c r="N1327">
        <v>2700</v>
      </c>
      <c r="O1327">
        <v>0</v>
      </c>
      <c r="P1327">
        <v>0</v>
      </c>
      <c r="Q1327">
        <v>4200</v>
      </c>
    </row>
    <row r="1328" spans="1:17">
      <c r="A1328" t="s">
        <v>50</v>
      </c>
      <c r="B1328" t="s">
        <v>19</v>
      </c>
      <c r="C1328">
        <v>8</v>
      </c>
      <c r="D1328">
        <v>2022</v>
      </c>
      <c r="E1328" s="49" t="s">
        <v>1</v>
      </c>
      <c r="F1328" s="49" t="s">
        <v>163</v>
      </c>
      <c r="G1328">
        <f>'Feb to July, 2022'!AU30+'Feb to July, 2022'!AV30</f>
        <v>30</v>
      </c>
      <c r="H1328">
        <f>'Feb to July, 2022'!AW30</f>
        <v>0</v>
      </c>
      <c r="I1328">
        <f>'Feb to July, 2022'!AX30</f>
        <v>8</v>
      </c>
      <c r="J1328">
        <f>G1328*Parameters!$B$2*Parameters!$B$5</f>
        <v>63.87299999999999</v>
      </c>
      <c r="K1328">
        <f>H1328*Parameters!$B$3*Parameters!$B$6</f>
        <v>0</v>
      </c>
      <c r="L1328">
        <f>I1328*Parameters!$B$4*Parameters!$B$7</f>
        <v>64.771200000000007</v>
      </c>
      <c r="M1328">
        <f t="shared" si="20"/>
        <v>128.64420000000001</v>
      </c>
      <c r="N1328">
        <v>3000</v>
      </c>
      <c r="O1328">
        <v>0</v>
      </c>
      <c r="P1328">
        <v>0</v>
      </c>
      <c r="Q1328">
        <v>2400</v>
      </c>
    </row>
    <row r="1329" spans="1:17">
      <c r="A1329" t="s">
        <v>51</v>
      </c>
      <c r="B1329" t="s">
        <v>19</v>
      </c>
      <c r="C1329">
        <v>6</v>
      </c>
      <c r="D1329">
        <v>2022</v>
      </c>
      <c r="E1329" s="49" t="s">
        <v>1</v>
      </c>
      <c r="F1329" s="49" t="s">
        <v>163</v>
      </c>
      <c r="G1329">
        <f>'Feb to July, 2022'!AU31+'Feb to July, 2022'!AV31</f>
        <v>30</v>
      </c>
      <c r="H1329">
        <f>'Feb to July, 2022'!AW31</f>
        <v>0</v>
      </c>
      <c r="I1329">
        <f>'Feb to July, 2022'!AX31</f>
        <v>16</v>
      </c>
      <c r="J1329">
        <f>G1329*Parameters!$B$2*Parameters!$B$5</f>
        <v>63.87299999999999</v>
      </c>
      <c r="K1329">
        <f>H1329*Parameters!$B$3*Parameters!$B$6</f>
        <v>0</v>
      </c>
      <c r="L1329">
        <f>I1329*Parameters!$B$4*Parameters!$B$7</f>
        <v>129.54240000000001</v>
      </c>
      <c r="M1329">
        <f t="shared" si="20"/>
        <v>193.41540000000001</v>
      </c>
      <c r="N1329">
        <v>3000</v>
      </c>
      <c r="O1329">
        <v>0</v>
      </c>
      <c r="P1329">
        <v>0</v>
      </c>
      <c r="Q1329">
        <v>4800</v>
      </c>
    </row>
    <row r="1330" spans="1:17">
      <c r="A1330" t="s">
        <v>52</v>
      </c>
      <c r="B1330" t="s">
        <v>38</v>
      </c>
      <c r="C1330">
        <v>12</v>
      </c>
      <c r="D1330">
        <v>2022</v>
      </c>
      <c r="E1330" s="49" t="s">
        <v>1</v>
      </c>
      <c r="F1330" s="49" t="s">
        <v>163</v>
      </c>
      <c r="G1330">
        <f>'Feb to July, 2022'!AU32+'Feb to July, 2022'!AV32</f>
        <v>45</v>
      </c>
      <c r="H1330">
        <f>'Feb to July, 2022'!AW32</f>
        <v>0</v>
      </c>
      <c r="I1330">
        <f>'Feb to July, 2022'!AX32</f>
        <v>15</v>
      </c>
      <c r="J1330">
        <f>G1330*Parameters!$B$2*Parameters!$B$5</f>
        <v>95.809499999999986</v>
      </c>
      <c r="K1330">
        <f>H1330*Parameters!$B$3*Parameters!$B$6</f>
        <v>0</v>
      </c>
      <c r="L1330">
        <f>I1330*Parameters!$B$4*Parameters!$B$7</f>
        <v>121.44600000000001</v>
      </c>
      <c r="M1330">
        <f t="shared" si="20"/>
        <v>217.25549999999998</v>
      </c>
      <c r="N1330">
        <v>4500</v>
      </c>
      <c r="O1330">
        <v>0</v>
      </c>
      <c r="P1330">
        <v>0</v>
      </c>
      <c r="Q1330">
        <v>4500</v>
      </c>
    </row>
    <row r="1331" spans="1:17">
      <c r="A1331" t="s">
        <v>53</v>
      </c>
      <c r="B1331" t="s">
        <v>40</v>
      </c>
      <c r="C1331">
        <v>8</v>
      </c>
      <c r="D1331">
        <v>2022</v>
      </c>
      <c r="E1331" s="49" t="s">
        <v>1</v>
      </c>
      <c r="F1331" s="49" t="s">
        <v>163</v>
      </c>
      <c r="G1331">
        <f>'Feb to July, 2022'!AU33+'Feb to July, 2022'!AV33</f>
        <v>55</v>
      </c>
      <c r="H1331">
        <f>'Feb to July, 2022'!AW33</f>
        <v>0</v>
      </c>
      <c r="I1331">
        <f>'Feb to July, 2022'!AX33</f>
        <v>15</v>
      </c>
      <c r="J1331">
        <f>G1331*Parameters!$B$2*Parameters!$B$5</f>
        <v>117.10049999999998</v>
      </c>
      <c r="K1331">
        <f>H1331*Parameters!$B$3*Parameters!$B$6</f>
        <v>0</v>
      </c>
      <c r="L1331">
        <f>I1331*Parameters!$B$4*Parameters!$B$7</f>
        <v>121.44600000000001</v>
      </c>
      <c r="M1331">
        <f t="shared" si="20"/>
        <v>238.54649999999998</v>
      </c>
      <c r="N1331">
        <v>5500</v>
      </c>
      <c r="O1331">
        <v>0</v>
      </c>
      <c r="P1331">
        <v>0</v>
      </c>
      <c r="Q1331">
        <v>4500</v>
      </c>
    </row>
    <row r="1332" spans="1:17">
      <c r="A1332" t="s">
        <v>54</v>
      </c>
      <c r="B1332" t="s">
        <v>40</v>
      </c>
      <c r="C1332">
        <v>6</v>
      </c>
      <c r="D1332">
        <v>2022</v>
      </c>
      <c r="E1332" s="49" t="s">
        <v>1</v>
      </c>
      <c r="F1332" s="49" t="s">
        <v>163</v>
      </c>
      <c r="G1332">
        <f>'Feb to July, 2022'!AU34+'Feb to July, 2022'!AV34</f>
        <v>50</v>
      </c>
      <c r="H1332">
        <f>'Feb to July, 2022'!AW34</f>
        <v>0</v>
      </c>
      <c r="I1332">
        <f>'Feb to July, 2022'!AX34</f>
        <v>15</v>
      </c>
      <c r="J1332">
        <f>G1332*Parameters!$B$2*Parameters!$B$5</f>
        <v>106.45499999999998</v>
      </c>
      <c r="K1332">
        <f>H1332*Parameters!$B$3*Parameters!$B$6</f>
        <v>0</v>
      </c>
      <c r="L1332">
        <f>I1332*Parameters!$B$4*Parameters!$B$7</f>
        <v>121.44600000000001</v>
      </c>
      <c r="M1332">
        <f t="shared" si="20"/>
        <v>227.90100000000001</v>
      </c>
      <c r="N1332">
        <v>5000</v>
      </c>
      <c r="O1332">
        <v>0</v>
      </c>
      <c r="P1332">
        <v>0</v>
      </c>
      <c r="Q1332">
        <v>4500</v>
      </c>
    </row>
    <row r="1333" spans="1:17">
      <c r="A1333" t="s">
        <v>55</v>
      </c>
      <c r="B1333" t="s">
        <v>56</v>
      </c>
      <c r="C1333">
        <v>4</v>
      </c>
      <c r="D1333">
        <v>2022</v>
      </c>
      <c r="E1333" s="49" t="s">
        <v>1</v>
      </c>
      <c r="F1333" s="49" t="s">
        <v>163</v>
      </c>
      <c r="G1333">
        <f>'Feb to July, 2022'!AU35+'Feb to July, 2022'!AV35</f>
        <v>40</v>
      </c>
      <c r="H1333">
        <f>'Feb to July, 2022'!AW35</f>
        <v>0</v>
      </c>
      <c r="I1333">
        <f>'Feb to July, 2022'!AX35</f>
        <v>20</v>
      </c>
      <c r="J1333">
        <f>G1333*Parameters!$B$2*Parameters!$B$5</f>
        <v>85.163999999999987</v>
      </c>
      <c r="K1333">
        <f>H1333*Parameters!$B$3*Parameters!$B$6</f>
        <v>0</v>
      </c>
      <c r="L1333">
        <f>I1333*Parameters!$B$4*Parameters!$B$7</f>
        <v>161.928</v>
      </c>
      <c r="M1333">
        <f t="shared" si="20"/>
        <v>247.09199999999998</v>
      </c>
      <c r="N1333">
        <v>4000</v>
      </c>
      <c r="O1333">
        <v>0</v>
      </c>
      <c r="P1333">
        <v>0</v>
      </c>
      <c r="Q1333">
        <v>6000</v>
      </c>
    </row>
    <row r="1334" spans="1:17">
      <c r="A1334" t="s">
        <v>57</v>
      </c>
      <c r="B1334" t="s">
        <v>40</v>
      </c>
      <c r="C1334">
        <v>4</v>
      </c>
      <c r="D1334">
        <v>2022</v>
      </c>
      <c r="E1334" s="49" t="s">
        <v>1</v>
      </c>
      <c r="F1334" s="49" t="s">
        <v>163</v>
      </c>
      <c r="G1334">
        <f>'Feb to July, 2022'!AU36+'Feb to July, 2022'!AV36</f>
        <v>25</v>
      </c>
      <c r="H1334">
        <f>'Feb to July, 2022'!AW36</f>
        <v>0</v>
      </c>
      <c r="I1334">
        <f>'Feb to July, 2022'!AX36</f>
        <v>15</v>
      </c>
      <c r="J1334">
        <f>G1334*Parameters!$B$2*Parameters!$B$5</f>
        <v>53.227499999999992</v>
      </c>
      <c r="K1334">
        <f>H1334*Parameters!$B$3*Parameters!$B$6</f>
        <v>0</v>
      </c>
      <c r="L1334">
        <f>I1334*Parameters!$B$4*Parameters!$B$7</f>
        <v>121.44600000000001</v>
      </c>
      <c r="M1334">
        <f t="shared" si="20"/>
        <v>174.67349999999999</v>
      </c>
      <c r="N1334">
        <v>2500</v>
      </c>
      <c r="O1334">
        <v>0</v>
      </c>
      <c r="P1334">
        <v>0</v>
      </c>
      <c r="Q1334">
        <v>4500</v>
      </c>
    </row>
    <row r="1335" spans="1:17">
      <c r="A1335" t="s">
        <v>58</v>
      </c>
      <c r="B1335" t="s">
        <v>26</v>
      </c>
      <c r="C1335">
        <v>6</v>
      </c>
      <c r="D1335">
        <v>2022</v>
      </c>
      <c r="E1335" s="49" t="s">
        <v>1</v>
      </c>
      <c r="F1335" s="49" t="s">
        <v>163</v>
      </c>
      <c r="G1335">
        <f>'Feb to July, 2022'!AU37+'Feb to July, 2022'!AV37</f>
        <v>25</v>
      </c>
      <c r="H1335">
        <f>'Feb to July, 2022'!AW37</f>
        <v>0</v>
      </c>
      <c r="I1335">
        <f>'Feb to July, 2022'!AX37</f>
        <v>10</v>
      </c>
      <c r="J1335">
        <f>G1335*Parameters!$B$2*Parameters!$B$5</f>
        <v>53.227499999999992</v>
      </c>
      <c r="K1335">
        <f>H1335*Parameters!$B$3*Parameters!$B$6</f>
        <v>0</v>
      </c>
      <c r="L1335">
        <f>I1335*Parameters!$B$4*Parameters!$B$7</f>
        <v>80.963999999999999</v>
      </c>
      <c r="M1335">
        <f t="shared" si="20"/>
        <v>134.19149999999999</v>
      </c>
      <c r="N1335">
        <v>2500</v>
      </c>
      <c r="O1335">
        <v>0</v>
      </c>
      <c r="P1335">
        <v>0</v>
      </c>
      <c r="Q1335">
        <v>3000</v>
      </c>
    </row>
    <row r="1336" spans="1:17">
      <c r="A1336" t="s">
        <v>59</v>
      </c>
      <c r="B1336" t="s">
        <v>26</v>
      </c>
      <c r="C1336">
        <v>7</v>
      </c>
      <c r="D1336">
        <v>2022</v>
      </c>
      <c r="E1336" s="49" t="s">
        <v>1</v>
      </c>
      <c r="F1336" s="49" t="s">
        <v>163</v>
      </c>
      <c r="G1336">
        <f>'Feb to July, 2022'!AU38+'Feb to July, 2022'!AV38</f>
        <v>30</v>
      </c>
      <c r="H1336">
        <f>'Feb to July, 2022'!AW38</f>
        <v>0</v>
      </c>
      <c r="I1336">
        <f>'Feb to July, 2022'!AX38</f>
        <v>5</v>
      </c>
      <c r="J1336">
        <f>G1336*Parameters!$B$2*Parameters!$B$5</f>
        <v>63.87299999999999</v>
      </c>
      <c r="K1336">
        <f>H1336*Parameters!$B$3*Parameters!$B$6</f>
        <v>0</v>
      </c>
      <c r="L1336">
        <f>I1336*Parameters!$B$4*Parameters!$B$7</f>
        <v>40.481999999999999</v>
      </c>
      <c r="M1336">
        <f t="shared" si="20"/>
        <v>104.35499999999999</v>
      </c>
      <c r="N1336">
        <v>3000</v>
      </c>
      <c r="O1336">
        <v>0</v>
      </c>
      <c r="P1336">
        <v>0</v>
      </c>
      <c r="Q1336">
        <v>1500</v>
      </c>
    </row>
    <row r="1337" spans="1:17">
      <c r="A1337" t="s">
        <v>60</v>
      </c>
      <c r="B1337" t="s">
        <v>26</v>
      </c>
      <c r="C1337">
        <v>8</v>
      </c>
      <c r="D1337">
        <v>2022</v>
      </c>
      <c r="E1337" s="49" t="s">
        <v>1</v>
      </c>
      <c r="F1337" s="49" t="s">
        <v>163</v>
      </c>
      <c r="G1337">
        <f>'Feb to July, 2022'!AU39+'Feb to July, 2022'!AV39</f>
        <v>42</v>
      </c>
      <c r="H1337">
        <f>'Feb to July, 2022'!AW39</f>
        <v>0</v>
      </c>
      <c r="I1337">
        <f>'Feb to July, 2022'!AX39</f>
        <v>8</v>
      </c>
      <c r="J1337">
        <f>G1337*Parameters!$B$2*Parameters!$B$5</f>
        <v>89.422199999999975</v>
      </c>
      <c r="K1337">
        <f>H1337*Parameters!$B$3*Parameters!$B$6</f>
        <v>0</v>
      </c>
      <c r="L1337">
        <f>I1337*Parameters!$B$4*Parameters!$B$7</f>
        <v>64.771200000000007</v>
      </c>
      <c r="M1337">
        <f t="shared" si="20"/>
        <v>154.1934</v>
      </c>
      <c r="N1337">
        <v>4200</v>
      </c>
      <c r="O1337">
        <v>0</v>
      </c>
      <c r="P1337">
        <v>0</v>
      </c>
      <c r="Q1337">
        <v>2400</v>
      </c>
    </row>
    <row r="1338" spans="1:17">
      <c r="A1338" t="s">
        <v>61</v>
      </c>
      <c r="B1338" t="s">
        <v>56</v>
      </c>
      <c r="C1338">
        <v>5</v>
      </c>
      <c r="D1338">
        <v>2022</v>
      </c>
      <c r="E1338" s="49" t="s">
        <v>1</v>
      </c>
      <c r="F1338" s="49" t="s">
        <v>163</v>
      </c>
      <c r="G1338">
        <f>'Feb to July, 2022'!AU40+'Feb to July, 2022'!AV40</f>
        <v>22</v>
      </c>
      <c r="H1338">
        <f>'Feb to July, 2022'!AW40</f>
        <v>0</v>
      </c>
      <c r="I1338">
        <f>'Feb to July, 2022'!AX40</f>
        <v>20</v>
      </c>
      <c r="J1338">
        <f>G1338*Parameters!$B$2*Parameters!$B$5</f>
        <v>46.840199999999996</v>
      </c>
      <c r="K1338">
        <f>H1338*Parameters!$B$3*Parameters!$B$6</f>
        <v>0</v>
      </c>
      <c r="L1338">
        <f>I1338*Parameters!$B$4*Parameters!$B$7</f>
        <v>161.928</v>
      </c>
      <c r="M1338">
        <f t="shared" si="20"/>
        <v>208.76819999999998</v>
      </c>
      <c r="N1338">
        <v>2200</v>
      </c>
      <c r="O1338">
        <v>0</v>
      </c>
      <c r="P1338">
        <v>0</v>
      </c>
      <c r="Q1338">
        <v>6000</v>
      </c>
    </row>
    <row r="1339" spans="1:17">
      <c r="A1339" t="s">
        <v>62</v>
      </c>
      <c r="B1339" t="s">
        <v>21</v>
      </c>
      <c r="C1339">
        <v>6</v>
      </c>
      <c r="D1339">
        <v>2022</v>
      </c>
      <c r="E1339" s="49" t="s">
        <v>1</v>
      </c>
      <c r="F1339" s="49" t="s">
        <v>163</v>
      </c>
      <c r="G1339">
        <f>'Feb to July, 2022'!AU41+'Feb to July, 2022'!AV41</f>
        <v>42</v>
      </c>
      <c r="H1339">
        <f>'Feb to July, 2022'!AW41</f>
        <v>0</v>
      </c>
      <c r="I1339">
        <f>'Feb to July, 2022'!AX41</f>
        <v>15</v>
      </c>
      <c r="J1339">
        <f>G1339*Parameters!$B$2*Parameters!$B$5</f>
        <v>89.422199999999975</v>
      </c>
      <c r="K1339">
        <f>H1339*Parameters!$B$3*Parameters!$B$6</f>
        <v>0</v>
      </c>
      <c r="L1339">
        <f>I1339*Parameters!$B$4*Parameters!$B$7</f>
        <v>121.44600000000001</v>
      </c>
      <c r="M1339">
        <f t="shared" si="20"/>
        <v>210.8682</v>
      </c>
      <c r="N1339">
        <v>4200</v>
      </c>
      <c r="O1339">
        <v>0</v>
      </c>
      <c r="P1339">
        <v>0</v>
      </c>
      <c r="Q1339">
        <v>4500</v>
      </c>
    </row>
    <row r="1340" spans="1:17">
      <c r="A1340" t="s">
        <v>63</v>
      </c>
      <c r="B1340" t="s">
        <v>21</v>
      </c>
      <c r="C1340">
        <v>9</v>
      </c>
      <c r="D1340">
        <v>2022</v>
      </c>
      <c r="E1340" s="49" t="s">
        <v>1</v>
      </c>
      <c r="F1340" s="49" t="s">
        <v>163</v>
      </c>
      <c r="G1340">
        <f>'Feb to July, 2022'!AU42+'Feb to July, 2022'!AV42</f>
        <v>52</v>
      </c>
      <c r="H1340">
        <f>'Feb to July, 2022'!AW42</f>
        <v>0</v>
      </c>
      <c r="I1340">
        <f>'Feb to July, 2022'!AX42</f>
        <v>17</v>
      </c>
      <c r="J1340">
        <f>G1340*Parameters!$B$2*Parameters!$B$5</f>
        <v>110.71319999999999</v>
      </c>
      <c r="K1340">
        <f>H1340*Parameters!$B$3*Parameters!$B$6</f>
        <v>0</v>
      </c>
      <c r="L1340">
        <f>I1340*Parameters!$B$4*Parameters!$B$7</f>
        <v>137.63880000000003</v>
      </c>
      <c r="M1340">
        <f t="shared" si="20"/>
        <v>248.35200000000003</v>
      </c>
      <c r="N1340">
        <v>5200</v>
      </c>
      <c r="O1340">
        <v>0</v>
      </c>
      <c r="P1340">
        <v>0</v>
      </c>
      <c r="Q1340">
        <v>5100</v>
      </c>
    </row>
    <row r="1341" spans="1:17">
      <c r="A1341" t="s">
        <v>64</v>
      </c>
      <c r="B1341" t="s">
        <v>65</v>
      </c>
      <c r="C1341">
        <v>3</v>
      </c>
      <c r="D1341">
        <v>2022</v>
      </c>
      <c r="E1341" s="49" t="s">
        <v>1</v>
      </c>
      <c r="F1341" s="49" t="s">
        <v>163</v>
      </c>
      <c r="G1341">
        <f>'Feb to July, 2022'!AU43+'Feb to July, 2022'!AV43</f>
        <v>70</v>
      </c>
      <c r="H1341">
        <f>'Feb to July, 2022'!AW43</f>
        <v>0</v>
      </c>
      <c r="I1341">
        <f>'Feb to July, 2022'!AX43</f>
        <v>0</v>
      </c>
      <c r="J1341">
        <f>G1341*Parameters!$B$2*Parameters!$B$5</f>
        <v>149.03699999999998</v>
      </c>
      <c r="K1341">
        <f>H1341*Parameters!$B$3*Parameters!$B$6</f>
        <v>0</v>
      </c>
      <c r="L1341">
        <f>I1341*Parameters!$B$4*Parameters!$B$7</f>
        <v>0</v>
      </c>
      <c r="M1341">
        <f t="shared" si="20"/>
        <v>149.03699999999998</v>
      </c>
      <c r="N1341">
        <v>3500</v>
      </c>
      <c r="O1341">
        <v>3500</v>
      </c>
      <c r="P1341">
        <v>0</v>
      </c>
      <c r="Q1341">
        <v>0</v>
      </c>
    </row>
    <row r="1342" spans="1:17">
      <c r="A1342" t="s">
        <v>66</v>
      </c>
      <c r="B1342" t="s">
        <v>24</v>
      </c>
      <c r="C1342">
        <v>4</v>
      </c>
      <c r="D1342">
        <v>2022</v>
      </c>
      <c r="E1342" s="49" t="s">
        <v>1</v>
      </c>
      <c r="F1342" s="49" t="s">
        <v>163</v>
      </c>
      <c r="G1342">
        <f>'Feb to July, 2022'!AU44+'Feb to July, 2022'!AV44</f>
        <v>30</v>
      </c>
      <c r="H1342">
        <f>'Feb to July, 2022'!AW44</f>
        <v>0</v>
      </c>
      <c r="I1342">
        <f>'Feb to July, 2022'!AX44</f>
        <v>10</v>
      </c>
      <c r="J1342">
        <f>G1342*Parameters!$B$2*Parameters!$B$5</f>
        <v>63.87299999999999</v>
      </c>
      <c r="K1342">
        <f>H1342*Parameters!$B$3*Parameters!$B$6</f>
        <v>0</v>
      </c>
      <c r="L1342">
        <f>I1342*Parameters!$B$4*Parameters!$B$7</f>
        <v>80.963999999999999</v>
      </c>
      <c r="M1342">
        <f t="shared" si="20"/>
        <v>144.83699999999999</v>
      </c>
      <c r="N1342">
        <v>3000</v>
      </c>
      <c r="O1342">
        <v>0</v>
      </c>
      <c r="P1342">
        <v>0</v>
      </c>
      <c r="Q1342">
        <v>3000</v>
      </c>
    </row>
    <row r="1343" spans="1:17">
      <c r="A1343" t="s">
        <v>67</v>
      </c>
      <c r="B1343" t="s">
        <v>56</v>
      </c>
      <c r="C1343">
        <v>6</v>
      </c>
      <c r="D1343">
        <v>2022</v>
      </c>
      <c r="E1343" s="49" t="s">
        <v>1</v>
      </c>
      <c r="F1343" s="49" t="s">
        <v>163</v>
      </c>
      <c r="G1343">
        <f>'Feb to July, 2022'!AU45+'Feb to July, 2022'!AV45</f>
        <v>43</v>
      </c>
      <c r="H1343">
        <f>'Feb to July, 2022'!AW45</f>
        <v>0</v>
      </c>
      <c r="I1343">
        <f>'Feb to July, 2022'!AX45</f>
        <v>20</v>
      </c>
      <c r="J1343">
        <f>G1343*Parameters!$B$2*Parameters!$B$5</f>
        <v>91.551299999999983</v>
      </c>
      <c r="K1343">
        <f>H1343*Parameters!$B$3*Parameters!$B$6</f>
        <v>0</v>
      </c>
      <c r="L1343">
        <f>I1343*Parameters!$B$4*Parameters!$B$7</f>
        <v>161.928</v>
      </c>
      <c r="M1343">
        <f t="shared" si="20"/>
        <v>253.47929999999997</v>
      </c>
      <c r="N1343">
        <v>4300</v>
      </c>
      <c r="O1343">
        <v>0</v>
      </c>
      <c r="P1343">
        <v>0</v>
      </c>
      <c r="Q1343">
        <v>6000</v>
      </c>
    </row>
    <row r="1344" spans="1:17">
      <c r="A1344" t="s">
        <v>68</v>
      </c>
      <c r="B1344" t="s">
        <v>21</v>
      </c>
      <c r="C1344">
        <v>4</v>
      </c>
      <c r="D1344">
        <v>2022</v>
      </c>
      <c r="E1344" s="49" t="s">
        <v>1</v>
      </c>
      <c r="F1344" s="49" t="s">
        <v>163</v>
      </c>
      <c r="G1344">
        <f>'Feb to July, 2022'!AU46+'Feb to July, 2022'!AV46</f>
        <v>28</v>
      </c>
      <c r="H1344">
        <f>'Feb to July, 2022'!AW46</f>
        <v>0</v>
      </c>
      <c r="I1344">
        <f>'Feb to July, 2022'!AX46</f>
        <v>12</v>
      </c>
      <c r="J1344">
        <f>G1344*Parameters!$B$2*Parameters!$B$5</f>
        <v>59.614799999999995</v>
      </c>
      <c r="K1344">
        <f>H1344*Parameters!$B$3*Parameters!$B$6</f>
        <v>0</v>
      </c>
      <c r="L1344">
        <f>I1344*Parameters!$B$4*Parameters!$B$7</f>
        <v>97.156800000000018</v>
      </c>
      <c r="M1344">
        <f t="shared" si="20"/>
        <v>156.77160000000001</v>
      </c>
      <c r="N1344">
        <v>2800</v>
      </c>
      <c r="O1344">
        <v>0</v>
      </c>
      <c r="P1344">
        <v>0</v>
      </c>
      <c r="Q1344">
        <v>3600</v>
      </c>
    </row>
    <row r="1345" spans="1:17">
      <c r="A1345" t="s">
        <v>69</v>
      </c>
      <c r="B1345" t="s">
        <v>24</v>
      </c>
      <c r="C1345">
        <v>6</v>
      </c>
      <c r="D1345">
        <v>2022</v>
      </c>
      <c r="E1345" s="49" t="s">
        <v>1</v>
      </c>
      <c r="F1345" s="49" t="s">
        <v>163</v>
      </c>
      <c r="G1345">
        <f>'Feb to July, 2022'!AU47+'Feb to July, 2022'!AV47</f>
        <v>25</v>
      </c>
      <c r="H1345">
        <f>'Feb to July, 2022'!AW47</f>
        <v>0</v>
      </c>
      <c r="I1345">
        <f>'Feb to July, 2022'!AX47</f>
        <v>5</v>
      </c>
      <c r="J1345">
        <f>G1345*Parameters!$B$2*Parameters!$B$5</f>
        <v>53.227499999999992</v>
      </c>
      <c r="K1345">
        <f>H1345*Parameters!$B$3*Parameters!$B$6</f>
        <v>0</v>
      </c>
      <c r="L1345">
        <f>I1345*Parameters!$B$4*Parameters!$B$7</f>
        <v>40.481999999999999</v>
      </c>
      <c r="M1345">
        <f t="shared" si="20"/>
        <v>93.709499999999991</v>
      </c>
      <c r="N1345">
        <v>2500</v>
      </c>
      <c r="O1345">
        <v>0</v>
      </c>
      <c r="P1345">
        <v>0</v>
      </c>
      <c r="Q1345">
        <v>1500</v>
      </c>
    </row>
    <row r="1346" spans="1:17">
      <c r="A1346" t="s">
        <v>70</v>
      </c>
      <c r="B1346" t="s">
        <v>26</v>
      </c>
      <c r="C1346">
        <v>6</v>
      </c>
      <c r="D1346">
        <v>2022</v>
      </c>
      <c r="E1346" s="49" t="s">
        <v>1</v>
      </c>
      <c r="F1346" s="49" t="s">
        <v>163</v>
      </c>
      <c r="G1346">
        <f>'Feb to July, 2022'!AU48+'Feb to July, 2022'!AV48</f>
        <v>41</v>
      </c>
      <c r="H1346">
        <f>'Feb to July, 2022'!AW48</f>
        <v>0</v>
      </c>
      <c r="I1346">
        <f>'Feb to July, 2022'!AX48</f>
        <v>8</v>
      </c>
      <c r="J1346">
        <f>G1346*Parameters!$B$2*Parameters!$B$5</f>
        <v>87.293099999999995</v>
      </c>
      <c r="K1346">
        <f>H1346*Parameters!$B$3*Parameters!$B$6</f>
        <v>0</v>
      </c>
      <c r="L1346">
        <f>I1346*Parameters!$B$4*Parameters!$B$7</f>
        <v>64.771200000000007</v>
      </c>
      <c r="M1346">
        <f t="shared" si="20"/>
        <v>152.0643</v>
      </c>
      <c r="N1346">
        <v>4100</v>
      </c>
      <c r="O1346">
        <v>0</v>
      </c>
      <c r="P1346">
        <v>0</v>
      </c>
      <c r="Q1346">
        <v>2400</v>
      </c>
    </row>
    <row r="1347" spans="1:17">
      <c r="A1347" t="s">
        <v>71</v>
      </c>
      <c r="B1347" t="s">
        <v>26</v>
      </c>
      <c r="C1347">
        <v>5</v>
      </c>
      <c r="D1347">
        <v>2022</v>
      </c>
      <c r="E1347" s="49" t="s">
        <v>1</v>
      </c>
      <c r="F1347" s="49" t="s">
        <v>163</v>
      </c>
      <c r="G1347">
        <f>'Feb to July, 2022'!AU49+'Feb to July, 2022'!AV49</f>
        <v>26</v>
      </c>
      <c r="H1347">
        <f>'Feb to July, 2022'!AW49</f>
        <v>0</v>
      </c>
      <c r="I1347">
        <f>'Feb to July, 2022'!AX49</f>
        <v>10</v>
      </c>
      <c r="J1347">
        <f>G1347*Parameters!$B$2*Parameters!$B$5</f>
        <v>55.356599999999993</v>
      </c>
      <c r="K1347">
        <f>H1347*Parameters!$B$3*Parameters!$B$6</f>
        <v>0</v>
      </c>
      <c r="L1347">
        <f>I1347*Parameters!$B$4*Parameters!$B$7</f>
        <v>80.963999999999999</v>
      </c>
      <c r="M1347">
        <f t="shared" ref="M1347:M1410" si="21">SUM(J1347:L1347)</f>
        <v>136.32059999999998</v>
      </c>
      <c r="N1347">
        <v>2600</v>
      </c>
      <c r="O1347">
        <v>0</v>
      </c>
      <c r="P1347">
        <v>0</v>
      </c>
      <c r="Q1347">
        <v>3000</v>
      </c>
    </row>
    <row r="1348" spans="1:17">
      <c r="A1348" t="s">
        <v>72</v>
      </c>
      <c r="B1348" t="s">
        <v>26</v>
      </c>
      <c r="C1348">
        <v>8</v>
      </c>
      <c r="D1348">
        <v>2022</v>
      </c>
      <c r="E1348" s="49" t="s">
        <v>1</v>
      </c>
      <c r="F1348" s="49" t="s">
        <v>163</v>
      </c>
      <c r="G1348">
        <f>'Feb to July, 2022'!AU50+'Feb to July, 2022'!AV50</f>
        <v>30</v>
      </c>
      <c r="H1348">
        <f>'Feb to July, 2022'!AW50</f>
        <v>0</v>
      </c>
      <c r="I1348">
        <f>'Feb to July, 2022'!AX50</f>
        <v>8</v>
      </c>
      <c r="J1348">
        <f>G1348*Parameters!$B$2*Parameters!$B$5</f>
        <v>63.87299999999999</v>
      </c>
      <c r="K1348">
        <f>H1348*Parameters!$B$3*Parameters!$B$6</f>
        <v>0</v>
      </c>
      <c r="L1348">
        <f>I1348*Parameters!$B$4*Parameters!$B$7</f>
        <v>64.771200000000007</v>
      </c>
      <c r="M1348">
        <f t="shared" si="21"/>
        <v>128.64420000000001</v>
      </c>
      <c r="N1348">
        <v>3000</v>
      </c>
      <c r="O1348">
        <v>0</v>
      </c>
      <c r="P1348">
        <v>0</v>
      </c>
      <c r="Q1348">
        <v>2400</v>
      </c>
    </row>
    <row r="1349" spans="1:17">
      <c r="A1349" t="s">
        <v>73</v>
      </c>
      <c r="B1349" t="s">
        <v>17</v>
      </c>
      <c r="C1349">
        <v>4</v>
      </c>
      <c r="D1349">
        <v>2022</v>
      </c>
      <c r="E1349" s="49" t="s">
        <v>1</v>
      </c>
      <c r="F1349" s="49" t="s">
        <v>163</v>
      </c>
      <c r="G1349">
        <f>'Feb to July, 2022'!AU51+'Feb to July, 2022'!AV51</f>
        <v>25</v>
      </c>
      <c r="H1349">
        <f>'Feb to July, 2022'!AW51</f>
        <v>0</v>
      </c>
      <c r="I1349">
        <f>'Feb to July, 2022'!AX51</f>
        <v>10</v>
      </c>
      <c r="J1349">
        <f>G1349*Parameters!$B$2*Parameters!$B$5</f>
        <v>53.227499999999992</v>
      </c>
      <c r="K1349">
        <f>H1349*Parameters!$B$3*Parameters!$B$6</f>
        <v>0</v>
      </c>
      <c r="L1349">
        <f>I1349*Parameters!$B$4*Parameters!$B$7</f>
        <v>80.963999999999999</v>
      </c>
      <c r="M1349">
        <f t="shared" si="21"/>
        <v>134.19149999999999</v>
      </c>
      <c r="N1349">
        <v>2500</v>
      </c>
      <c r="O1349">
        <v>0</v>
      </c>
      <c r="P1349">
        <v>0</v>
      </c>
      <c r="Q1349">
        <v>3000</v>
      </c>
    </row>
    <row r="1350" spans="1:17">
      <c r="A1350" t="s">
        <v>74</v>
      </c>
      <c r="B1350" t="s">
        <v>65</v>
      </c>
      <c r="C1350">
        <v>8</v>
      </c>
      <c r="D1350">
        <v>2022</v>
      </c>
      <c r="E1350" s="49" t="s">
        <v>1</v>
      </c>
      <c r="F1350" s="49" t="s">
        <v>163</v>
      </c>
      <c r="G1350">
        <f>'Feb to July, 2022'!AU52+'Feb to July, 2022'!AV52</f>
        <v>35</v>
      </c>
      <c r="H1350">
        <f>'Feb to July, 2022'!AW52</f>
        <v>0</v>
      </c>
      <c r="I1350">
        <f>'Feb to July, 2022'!AX52</f>
        <v>0</v>
      </c>
      <c r="J1350">
        <f>G1350*Parameters!$B$2*Parameters!$B$5</f>
        <v>74.518499999999989</v>
      </c>
      <c r="K1350">
        <f>H1350*Parameters!$B$3*Parameters!$B$6</f>
        <v>0</v>
      </c>
      <c r="L1350">
        <f>I1350*Parameters!$B$4*Parameters!$B$7</f>
        <v>0</v>
      </c>
      <c r="M1350">
        <f t="shared" si="21"/>
        <v>74.518499999999989</v>
      </c>
      <c r="N1350">
        <v>2000</v>
      </c>
      <c r="O1350">
        <v>1500</v>
      </c>
      <c r="P1350">
        <v>0</v>
      </c>
      <c r="Q1350">
        <v>0</v>
      </c>
    </row>
    <row r="1351" spans="1:17">
      <c r="A1351" t="s">
        <v>75</v>
      </c>
      <c r="B1351" t="s">
        <v>24</v>
      </c>
      <c r="C1351">
        <v>4</v>
      </c>
      <c r="D1351">
        <v>2022</v>
      </c>
      <c r="E1351" s="49" t="s">
        <v>1</v>
      </c>
      <c r="F1351" s="49" t="s">
        <v>163</v>
      </c>
      <c r="G1351">
        <f>'Feb to July, 2022'!AU53+'Feb to July, 2022'!AV53</f>
        <v>30</v>
      </c>
      <c r="H1351">
        <f>'Feb to July, 2022'!AW53</f>
        <v>0</v>
      </c>
      <c r="I1351">
        <f>'Feb to July, 2022'!AX53</f>
        <v>10</v>
      </c>
      <c r="J1351">
        <f>G1351*Parameters!$B$2*Parameters!$B$5</f>
        <v>63.87299999999999</v>
      </c>
      <c r="K1351">
        <f>H1351*Parameters!$B$3*Parameters!$B$6</f>
        <v>0</v>
      </c>
      <c r="L1351">
        <f>I1351*Parameters!$B$4*Parameters!$B$7</f>
        <v>80.963999999999999</v>
      </c>
      <c r="M1351">
        <f t="shared" si="21"/>
        <v>144.83699999999999</v>
      </c>
      <c r="N1351">
        <v>3000</v>
      </c>
      <c r="O1351">
        <v>0</v>
      </c>
      <c r="P1351">
        <v>0</v>
      </c>
      <c r="Q1351">
        <v>3000</v>
      </c>
    </row>
    <row r="1352" spans="1:17">
      <c r="A1352" t="s">
        <v>76</v>
      </c>
      <c r="B1352" t="s">
        <v>56</v>
      </c>
      <c r="C1352">
        <v>4</v>
      </c>
      <c r="D1352">
        <v>2022</v>
      </c>
      <c r="E1352" s="49" t="s">
        <v>1</v>
      </c>
      <c r="F1352" s="49" t="s">
        <v>163</v>
      </c>
      <c r="G1352">
        <f>'Feb to July, 2022'!AU54+'Feb to July, 2022'!AV54</f>
        <v>35</v>
      </c>
      <c r="H1352">
        <f>'Feb to July, 2022'!AW54</f>
        <v>0</v>
      </c>
      <c r="I1352">
        <f>'Feb to July, 2022'!AX54</f>
        <v>8</v>
      </c>
      <c r="J1352">
        <f>G1352*Parameters!$B$2*Parameters!$B$5</f>
        <v>74.518499999999989</v>
      </c>
      <c r="K1352">
        <f>H1352*Parameters!$B$3*Parameters!$B$6</f>
        <v>0</v>
      </c>
      <c r="L1352">
        <f>I1352*Parameters!$B$4*Parameters!$B$7</f>
        <v>64.771200000000007</v>
      </c>
      <c r="M1352">
        <f t="shared" si="21"/>
        <v>139.28969999999998</v>
      </c>
      <c r="N1352">
        <v>3500</v>
      </c>
      <c r="O1352">
        <v>0</v>
      </c>
      <c r="P1352">
        <v>0</v>
      </c>
      <c r="Q1352">
        <v>2400</v>
      </c>
    </row>
    <row r="1353" spans="1:17">
      <c r="A1353" t="s">
        <v>77</v>
      </c>
      <c r="B1353" t="s">
        <v>40</v>
      </c>
      <c r="C1353">
        <v>12</v>
      </c>
      <c r="D1353">
        <v>2022</v>
      </c>
      <c r="E1353" s="49" t="s">
        <v>1</v>
      </c>
      <c r="F1353" s="49" t="s">
        <v>163</v>
      </c>
      <c r="G1353">
        <f>'Feb to July, 2022'!AU55+'Feb to July, 2022'!AV55</f>
        <v>42</v>
      </c>
      <c r="H1353">
        <f>'Feb to July, 2022'!AW55</f>
        <v>0</v>
      </c>
      <c r="I1353">
        <f>'Feb to July, 2022'!AX55</f>
        <v>10</v>
      </c>
      <c r="J1353">
        <f>G1353*Parameters!$B$2*Parameters!$B$5</f>
        <v>89.422199999999975</v>
      </c>
      <c r="K1353">
        <f>H1353*Parameters!$B$3*Parameters!$B$6</f>
        <v>0</v>
      </c>
      <c r="L1353">
        <f>I1353*Parameters!$B$4*Parameters!$B$7</f>
        <v>80.963999999999999</v>
      </c>
      <c r="M1353">
        <f t="shared" si="21"/>
        <v>170.38619999999997</v>
      </c>
      <c r="N1353">
        <v>4200</v>
      </c>
      <c r="O1353">
        <v>0</v>
      </c>
      <c r="P1353">
        <v>0</v>
      </c>
      <c r="Q1353">
        <v>3000</v>
      </c>
    </row>
    <row r="1354" spans="1:17">
      <c r="A1354" t="s">
        <v>78</v>
      </c>
      <c r="B1354" t="s">
        <v>32</v>
      </c>
      <c r="C1354">
        <v>6</v>
      </c>
      <c r="D1354">
        <v>2022</v>
      </c>
      <c r="E1354" s="49" t="s">
        <v>1</v>
      </c>
      <c r="F1354" s="49" t="s">
        <v>163</v>
      </c>
      <c r="G1354">
        <f>'Feb to July, 2022'!AU56+'Feb to July, 2022'!AV56</f>
        <v>30</v>
      </c>
      <c r="H1354">
        <f>'Feb to July, 2022'!AW56</f>
        <v>0</v>
      </c>
      <c r="I1354">
        <f>'Feb to July, 2022'!AX56</f>
        <v>0</v>
      </c>
      <c r="J1354">
        <f>G1354*Parameters!$B$2*Parameters!$B$5</f>
        <v>63.87299999999999</v>
      </c>
      <c r="K1354">
        <f>H1354*Parameters!$B$3*Parameters!$B$6</f>
        <v>0</v>
      </c>
      <c r="L1354">
        <f>I1354*Parameters!$B$4*Parameters!$B$7</f>
        <v>0</v>
      </c>
      <c r="M1354">
        <f t="shared" si="21"/>
        <v>63.87299999999999</v>
      </c>
      <c r="N1354">
        <v>3000</v>
      </c>
      <c r="O1354">
        <v>0</v>
      </c>
      <c r="P1354">
        <v>0</v>
      </c>
      <c r="Q1354">
        <v>0</v>
      </c>
    </row>
    <row r="1355" spans="1:17">
      <c r="A1355" t="s">
        <v>79</v>
      </c>
      <c r="B1355" t="s">
        <v>40</v>
      </c>
      <c r="C1355">
        <v>4</v>
      </c>
      <c r="D1355">
        <v>2022</v>
      </c>
      <c r="E1355" s="49" t="s">
        <v>1</v>
      </c>
      <c r="F1355" s="49" t="s">
        <v>163</v>
      </c>
      <c r="G1355">
        <f>'Feb to July, 2022'!AU57+'Feb to July, 2022'!AV57</f>
        <v>50</v>
      </c>
      <c r="H1355">
        <f>'Feb to July, 2022'!AW57</f>
        <v>0</v>
      </c>
      <c r="I1355">
        <f>'Feb to July, 2022'!AX57</f>
        <v>5</v>
      </c>
      <c r="J1355">
        <f>G1355*Parameters!$B$2*Parameters!$B$5</f>
        <v>106.45499999999998</v>
      </c>
      <c r="K1355">
        <f>H1355*Parameters!$B$3*Parameters!$B$6</f>
        <v>0</v>
      </c>
      <c r="L1355">
        <f>I1355*Parameters!$B$4*Parameters!$B$7</f>
        <v>40.481999999999999</v>
      </c>
      <c r="M1355">
        <f t="shared" si="21"/>
        <v>146.93699999999998</v>
      </c>
      <c r="N1355">
        <v>5000</v>
      </c>
      <c r="O1355">
        <v>0</v>
      </c>
      <c r="P1355">
        <v>0</v>
      </c>
      <c r="Q1355">
        <v>1500</v>
      </c>
    </row>
    <row r="1356" spans="1:17">
      <c r="A1356" t="s">
        <v>80</v>
      </c>
      <c r="B1356" t="s">
        <v>26</v>
      </c>
      <c r="C1356">
        <v>7</v>
      </c>
      <c r="D1356">
        <v>2022</v>
      </c>
      <c r="E1356" s="49" t="s">
        <v>1</v>
      </c>
      <c r="F1356" s="49" t="s">
        <v>163</v>
      </c>
      <c r="G1356">
        <f>'Feb to July, 2022'!AU58+'Feb to July, 2022'!AV58</f>
        <v>43</v>
      </c>
      <c r="H1356">
        <f>'Feb to July, 2022'!AW58</f>
        <v>0</v>
      </c>
      <c r="I1356">
        <f>'Feb to July, 2022'!AX58</f>
        <v>5</v>
      </c>
      <c r="J1356">
        <f>G1356*Parameters!$B$2*Parameters!$B$5</f>
        <v>91.551299999999983</v>
      </c>
      <c r="K1356">
        <f>H1356*Parameters!$B$3*Parameters!$B$6</f>
        <v>0</v>
      </c>
      <c r="L1356">
        <f>I1356*Parameters!$B$4*Parameters!$B$7</f>
        <v>40.481999999999999</v>
      </c>
      <c r="M1356">
        <f t="shared" si="21"/>
        <v>132.0333</v>
      </c>
      <c r="N1356">
        <v>4300</v>
      </c>
      <c r="O1356">
        <v>0</v>
      </c>
      <c r="P1356">
        <v>0</v>
      </c>
      <c r="Q1356">
        <v>1500</v>
      </c>
    </row>
    <row r="1357" spans="1:17">
      <c r="A1357" t="s">
        <v>81</v>
      </c>
      <c r="B1357" t="s">
        <v>24</v>
      </c>
      <c r="C1357">
        <v>6</v>
      </c>
      <c r="D1357">
        <v>2022</v>
      </c>
      <c r="E1357" s="49" t="s">
        <v>1</v>
      </c>
      <c r="F1357" s="49" t="s">
        <v>163</v>
      </c>
      <c r="G1357">
        <f>'Feb to July, 2022'!AU59+'Feb to July, 2022'!AV59</f>
        <v>38</v>
      </c>
      <c r="H1357">
        <f>'Feb to July, 2022'!AW59</f>
        <v>0</v>
      </c>
      <c r="I1357">
        <f>'Feb to July, 2022'!AX59</f>
        <v>5</v>
      </c>
      <c r="J1357">
        <f>G1357*Parameters!$B$2*Parameters!$B$5</f>
        <v>80.905799999999985</v>
      </c>
      <c r="K1357">
        <f>H1357*Parameters!$B$3*Parameters!$B$6</f>
        <v>0</v>
      </c>
      <c r="L1357">
        <f>I1357*Parameters!$B$4*Parameters!$B$7</f>
        <v>40.481999999999999</v>
      </c>
      <c r="M1357">
        <f t="shared" si="21"/>
        <v>121.38779999999998</v>
      </c>
      <c r="N1357">
        <v>3800</v>
      </c>
      <c r="O1357">
        <v>0</v>
      </c>
      <c r="P1357">
        <v>0</v>
      </c>
      <c r="Q1357">
        <v>1500</v>
      </c>
    </row>
    <row r="1358" spans="1:17">
      <c r="A1358" t="s">
        <v>82</v>
      </c>
      <c r="B1358" t="s">
        <v>83</v>
      </c>
      <c r="C1358">
        <v>4</v>
      </c>
      <c r="D1358">
        <v>2022</v>
      </c>
      <c r="E1358" s="49" t="s">
        <v>1</v>
      </c>
      <c r="F1358" s="49" t="s">
        <v>163</v>
      </c>
      <c r="G1358">
        <f>'Feb to July, 2022'!AU60+'Feb to July, 2022'!AV60</f>
        <v>30</v>
      </c>
      <c r="H1358">
        <f>'Feb to July, 2022'!AW60</f>
        <v>0</v>
      </c>
      <c r="I1358">
        <f>'Feb to July, 2022'!AX60</f>
        <v>12</v>
      </c>
      <c r="J1358">
        <f>G1358*Parameters!$B$2*Parameters!$B$5</f>
        <v>63.87299999999999</v>
      </c>
      <c r="K1358">
        <f>H1358*Parameters!$B$3*Parameters!$B$6</f>
        <v>0</v>
      </c>
      <c r="L1358">
        <f>I1358*Parameters!$B$4*Parameters!$B$7</f>
        <v>97.156800000000018</v>
      </c>
      <c r="M1358">
        <f t="shared" si="21"/>
        <v>161.02980000000002</v>
      </c>
      <c r="N1358">
        <v>3000</v>
      </c>
      <c r="O1358">
        <v>0</v>
      </c>
      <c r="P1358">
        <v>0</v>
      </c>
      <c r="Q1358">
        <v>3600</v>
      </c>
    </row>
    <row r="1359" spans="1:17">
      <c r="A1359" t="s">
        <v>84</v>
      </c>
      <c r="B1359" t="s">
        <v>26</v>
      </c>
      <c r="C1359">
        <v>7</v>
      </c>
      <c r="D1359">
        <v>2022</v>
      </c>
      <c r="E1359" s="49" t="s">
        <v>1</v>
      </c>
      <c r="F1359" s="49" t="s">
        <v>163</v>
      </c>
      <c r="G1359">
        <f>'Feb to July, 2022'!AU61+'Feb to July, 2022'!AV61</f>
        <v>38</v>
      </c>
      <c r="H1359">
        <f>'Feb to July, 2022'!AW61</f>
        <v>0</v>
      </c>
      <c r="I1359">
        <f>'Feb to July, 2022'!AX61</f>
        <v>8</v>
      </c>
      <c r="J1359">
        <f>G1359*Parameters!$B$2*Parameters!$B$5</f>
        <v>80.905799999999985</v>
      </c>
      <c r="K1359">
        <f>H1359*Parameters!$B$3*Parameters!$B$6</f>
        <v>0</v>
      </c>
      <c r="L1359">
        <f>I1359*Parameters!$B$4*Parameters!$B$7</f>
        <v>64.771200000000007</v>
      </c>
      <c r="M1359">
        <f t="shared" si="21"/>
        <v>145.67699999999999</v>
      </c>
      <c r="N1359">
        <v>3800</v>
      </c>
      <c r="O1359">
        <v>0</v>
      </c>
      <c r="P1359">
        <v>0</v>
      </c>
      <c r="Q1359">
        <v>2400</v>
      </c>
    </row>
    <row r="1360" spans="1:17">
      <c r="A1360" t="s">
        <v>85</v>
      </c>
      <c r="B1360" t="s">
        <v>24</v>
      </c>
      <c r="C1360">
        <v>6</v>
      </c>
      <c r="D1360">
        <v>2022</v>
      </c>
      <c r="E1360" s="49" t="s">
        <v>1</v>
      </c>
      <c r="F1360" s="49" t="s">
        <v>163</v>
      </c>
      <c r="G1360">
        <f>'Feb to July, 2022'!AU62+'Feb to July, 2022'!AV62</f>
        <v>32</v>
      </c>
      <c r="H1360">
        <f>'Feb to July, 2022'!AW62</f>
        <v>0</v>
      </c>
      <c r="I1360">
        <f>'Feb to July, 2022'!AX62</f>
        <v>10</v>
      </c>
      <c r="J1360">
        <f>G1360*Parameters!$B$2*Parameters!$B$5</f>
        <v>68.131199999999993</v>
      </c>
      <c r="K1360">
        <f>H1360*Parameters!$B$3*Parameters!$B$6</f>
        <v>0</v>
      </c>
      <c r="L1360">
        <f>I1360*Parameters!$B$4*Parameters!$B$7</f>
        <v>80.963999999999999</v>
      </c>
      <c r="M1360">
        <f t="shared" si="21"/>
        <v>149.09519999999998</v>
      </c>
      <c r="N1360">
        <v>3200</v>
      </c>
      <c r="O1360">
        <v>0</v>
      </c>
      <c r="P1360">
        <v>0</v>
      </c>
      <c r="Q1360">
        <v>3000</v>
      </c>
    </row>
    <row r="1361" spans="1:17">
      <c r="A1361" t="s">
        <v>86</v>
      </c>
      <c r="B1361" t="s">
        <v>32</v>
      </c>
      <c r="C1361">
        <v>4</v>
      </c>
      <c r="D1361">
        <v>2022</v>
      </c>
      <c r="E1361" s="49" t="s">
        <v>1</v>
      </c>
      <c r="F1361" s="49" t="s">
        <v>163</v>
      </c>
      <c r="G1361">
        <f>'Feb to July, 2022'!AU63+'Feb to July, 2022'!AV63</f>
        <v>30</v>
      </c>
      <c r="H1361">
        <f>'Feb to July, 2022'!AW63</f>
        <v>0</v>
      </c>
      <c r="I1361">
        <f>'Feb to July, 2022'!AX63</f>
        <v>8</v>
      </c>
      <c r="J1361">
        <f>G1361*Parameters!$B$2*Parameters!$B$5</f>
        <v>63.87299999999999</v>
      </c>
      <c r="K1361">
        <f>H1361*Parameters!$B$3*Parameters!$B$6</f>
        <v>0</v>
      </c>
      <c r="L1361">
        <f>I1361*Parameters!$B$4*Parameters!$B$7</f>
        <v>64.771200000000007</v>
      </c>
      <c r="M1361">
        <f t="shared" si="21"/>
        <v>128.64420000000001</v>
      </c>
      <c r="N1361">
        <v>3000</v>
      </c>
      <c r="O1361">
        <v>0</v>
      </c>
      <c r="P1361">
        <v>0</v>
      </c>
      <c r="Q1361">
        <v>2400</v>
      </c>
    </row>
    <row r="1362" spans="1:17">
      <c r="A1362" t="s">
        <v>87</v>
      </c>
      <c r="B1362" t="s">
        <v>32</v>
      </c>
      <c r="C1362">
        <v>8</v>
      </c>
      <c r="D1362">
        <v>2022</v>
      </c>
      <c r="E1362" s="49" t="s">
        <v>1</v>
      </c>
      <c r="F1362" s="49" t="s">
        <v>163</v>
      </c>
      <c r="G1362">
        <f>'Feb to July, 2022'!AU64+'Feb to July, 2022'!AV64</f>
        <v>35</v>
      </c>
      <c r="H1362">
        <f>'Feb to July, 2022'!AW64</f>
        <v>0</v>
      </c>
      <c r="I1362">
        <f>'Feb to July, 2022'!AX64</f>
        <v>12</v>
      </c>
      <c r="J1362">
        <f>G1362*Parameters!$B$2*Parameters!$B$5</f>
        <v>74.518499999999989</v>
      </c>
      <c r="K1362">
        <f>H1362*Parameters!$B$3*Parameters!$B$6</f>
        <v>0</v>
      </c>
      <c r="L1362">
        <f>I1362*Parameters!$B$4*Parameters!$B$7</f>
        <v>97.156800000000018</v>
      </c>
      <c r="M1362">
        <f t="shared" si="21"/>
        <v>171.67529999999999</v>
      </c>
      <c r="N1362">
        <v>3500</v>
      </c>
      <c r="O1362">
        <v>0</v>
      </c>
      <c r="P1362">
        <v>0</v>
      </c>
      <c r="Q1362">
        <v>3600</v>
      </c>
    </row>
    <row r="1363" spans="1:17">
      <c r="A1363" t="s">
        <v>88</v>
      </c>
      <c r="B1363" t="s">
        <v>32</v>
      </c>
      <c r="C1363">
        <v>7</v>
      </c>
      <c r="D1363">
        <v>2022</v>
      </c>
      <c r="E1363" s="49" t="s">
        <v>1</v>
      </c>
      <c r="F1363" s="49" t="s">
        <v>163</v>
      </c>
      <c r="G1363">
        <f>'Feb to July, 2022'!AU65+'Feb to July, 2022'!AV65</f>
        <v>30</v>
      </c>
      <c r="H1363">
        <f>'Feb to July, 2022'!AW65</f>
        <v>0</v>
      </c>
      <c r="I1363">
        <f>'Feb to July, 2022'!AX65</f>
        <v>18</v>
      </c>
      <c r="J1363">
        <f>G1363*Parameters!$B$2*Parameters!$B$5</f>
        <v>63.87299999999999</v>
      </c>
      <c r="K1363">
        <f>H1363*Parameters!$B$3*Parameters!$B$6</f>
        <v>0</v>
      </c>
      <c r="L1363">
        <f>I1363*Parameters!$B$4*Parameters!$B$7</f>
        <v>145.73520000000002</v>
      </c>
      <c r="M1363">
        <f t="shared" si="21"/>
        <v>209.60820000000001</v>
      </c>
      <c r="N1363">
        <v>3000</v>
      </c>
      <c r="O1363">
        <v>0</v>
      </c>
      <c r="P1363">
        <v>0</v>
      </c>
      <c r="Q1363">
        <v>5400</v>
      </c>
    </row>
    <row r="1364" spans="1:17">
      <c r="A1364" t="s">
        <v>89</v>
      </c>
      <c r="B1364" t="s">
        <v>65</v>
      </c>
      <c r="C1364">
        <v>8</v>
      </c>
      <c r="D1364">
        <v>2022</v>
      </c>
      <c r="E1364" s="49" t="s">
        <v>1</v>
      </c>
      <c r="F1364" s="49" t="s">
        <v>163</v>
      </c>
      <c r="G1364">
        <f>'Feb to July, 2022'!AU66+'Feb to July, 2022'!AV66</f>
        <v>52</v>
      </c>
      <c r="H1364">
        <f>'Feb to July, 2022'!AW66</f>
        <v>0</v>
      </c>
      <c r="I1364">
        <f>'Feb to July, 2022'!AX66</f>
        <v>10</v>
      </c>
      <c r="J1364">
        <f>G1364*Parameters!$B$2*Parameters!$B$5</f>
        <v>110.71319999999999</v>
      </c>
      <c r="K1364">
        <f>H1364*Parameters!$B$3*Parameters!$B$6</f>
        <v>0</v>
      </c>
      <c r="L1364">
        <f>I1364*Parameters!$B$4*Parameters!$B$7</f>
        <v>80.963999999999999</v>
      </c>
      <c r="M1364">
        <f t="shared" si="21"/>
        <v>191.67719999999997</v>
      </c>
      <c r="N1364">
        <v>5200</v>
      </c>
      <c r="O1364">
        <v>0</v>
      </c>
      <c r="P1364">
        <v>0</v>
      </c>
      <c r="Q1364">
        <v>3000</v>
      </c>
    </row>
    <row r="1365" spans="1:17">
      <c r="A1365" t="s">
        <v>90</v>
      </c>
      <c r="B1365" t="s">
        <v>32</v>
      </c>
      <c r="C1365">
        <v>6</v>
      </c>
      <c r="D1365">
        <v>2022</v>
      </c>
      <c r="E1365" s="49" t="s">
        <v>1</v>
      </c>
      <c r="F1365" s="49" t="s">
        <v>163</v>
      </c>
      <c r="G1365">
        <f>'Feb to July, 2022'!AU67+'Feb to July, 2022'!AV67</f>
        <v>35</v>
      </c>
      <c r="H1365">
        <f>'Feb to July, 2022'!AW67</f>
        <v>0</v>
      </c>
      <c r="I1365">
        <f>'Feb to July, 2022'!AX67</f>
        <v>20</v>
      </c>
      <c r="J1365">
        <f>G1365*Parameters!$B$2*Parameters!$B$5</f>
        <v>74.518499999999989</v>
      </c>
      <c r="K1365">
        <f>H1365*Parameters!$B$3*Parameters!$B$6</f>
        <v>0</v>
      </c>
      <c r="L1365">
        <f>I1365*Parameters!$B$4*Parameters!$B$7</f>
        <v>161.928</v>
      </c>
      <c r="M1365">
        <f t="shared" si="21"/>
        <v>236.44649999999999</v>
      </c>
      <c r="N1365">
        <v>3500</v>
      </c>
      <c r="O1365">
        <v>0</v>
      </c>
      <c r="P1365">
        <v>0</v>
      </c>
      <c r="Q1365">
        <v>6000</v>
      </c>
    </row>
    <row r="1366" spans="1:17">
      <c r="A1366" t="s">
        <v>91</v>
      </c>
      <c r="B1366" t="s">
        <v>24</v>
      </c>
      <c r="C1366">
        <v>6</v>
      </c>
      <c r="D1366">
        <v>2022</v>
      </c>
      <c r="E1366" s="49" t="s">
        <v>1</v>
      </c>
      <c r="F1366" s="49" t="s">
        <v>163</v>
      </c>
      <c r="G1366">
        <f>'Feb to July, 2022'!AU68+'Feb to July, 2022'!AV68</f>
        <v>32</v>
      </c>
      <c r="H1366">
        <f>'Feb to July, 2022'!AW68</f>
        <v>0</v>
      </c>
      <c r="I1366">
        <f>'Feb to July, 2022'!AX68</f>
        <v>18</v>
      </c>
      <c r="J1366">
        <f>G1366*Parameters!$B$2*Parameters!$B$5</f>
        <v>68.131199999999993</v>
      </c>
      <c r="K1366">
        <f>H1366*Parameters!$B$3*Parameters!$B$6</f>
        <v>0</v>
      </c>
      <c r="L1366">
        <f>I1366*Parameters!$B$4*Parameters!$B$7</f>
        <v>145.73520000000002</v>
      </c>
      <c r="M1366">
        <f t="shared" si="21"/>
        <v>213.8664</v>
      </c>
      <c r="N1366">
        <v>3200</v>
      </c>
      <c r="O1366">
        <v>0</v>
      </c>
      <c r="P1366">
        <v>0</v>
      </c>
      <c r="Q1366">
        <v>5400</v>
      </c>
    </row>
    <row r="1367" spans="1:17">
      <c r="A1367" t="s">
        <v>92</v>
      </c>
      <c r="B1367" t="s">
        <v>17</v>
      </c>
      <c r="C1367">
        <v>4</v>
      </c>
      <c r="D1367">
        <v>2022</v>
      </c>
      <c r="E1367" s="49" t="s">
        <v>1</v>
      </c>
      <c r="F1367" s="49" t="s">
        <v>163</v>
      </c>
      <c r="G1367">
        <f>'Feb to July, 2022'!AU69+'Feb to July, 2022'!AV69</f>
        <v>29</v>
      </c>
      <c r="H1367">
        <f>'Feb to July, 2022'!AW69</f>
        <v>0</v>
      </c>
      <c r="I1367">
        <f>'Feb to July, 2022'!AX69</f>
        <v>12</v>
      </c>
      <c r="J1367">
        <f>G1367*Parameters!$B$2*Parameters!$B$5</f>
        <v>61.743899999999989</v>
      </c>
      <c r="K1367">
        <f>H1367*Parameters!$B$3*Parameters!$B$6</f>
        <v>0</v>
      </c>
      <c r="L1367">
        <f>I1367*Parameters!$B$4*Parameters!$B$7</f>
        <v>97.156800000000018</v>
      </c>
      <c r="M1367">
        <f t="shared" si="21"/>
        <v>158.9007</v>
      </c>
      <c r="N1367">
        <v>1900</v>
      </c>
      <c r="O1367">
        <v>1000</v>
      </c>
      <c r="P1367">
        <v>0</v>
      </c>
      <c r="Q1367">
        <v>3600</v>
      </c>
    </row>
    <row r="1368" spans="1:17">
      <c r="A1368" t="s">
        <v>93</v>
      </c>
      <c r="B1368" t="s">
        <v>19</v>
      </c>
      <c r="C1368">
        <v>7</v>
      </c>
      <c r="D1368">
        <v>2022</v>
      </c>
      <c r="E1368" s="49" t="s">
        <v>1</v>
      </c>
      <c r="F1368" s="49" t="s">
        <v>163</v>
      </c>
      <c r="G1368">
        <f>'Feb to July, 2022'!AU70+'Feb to July, 2022'!AV70</f>
        <v>22</v>
      </c>
      <c r="H1368">
        <f>'Feb to July, 2022'!AW70</f>
        <v>0</v>
      </c>
      <c r="I1368">
        <f>'Feb to July, 2022'!AX70</f>
        <v>12</v>
      </c>
      <c r="J1368">
        <f>G1368*Parameters!$B$2*Parameters!$B$5</f>
        <v>46.840199999999996</v>
      </c>
      <c r="K1368">
        <f>H1368*Parameters!$B$3*Parameters!$B$6</f>
        <v>0</v>
      </c>
      <c r="L1368">
        <f>I1368*Parameters!$B$4*Parameters!$B$7</f>
        <v>97.156800000000018</v>
      </c>
      <c r="M1368">
        <f t="shared" si="21"/>
        <v>143.99700000000001</v>
      </c>
      <c r="N1368">
        <v>2200</v>
      </c>
      <c r="O1368">
        <v>0</v>
      </c>
      <c r="P1368">
        <v>0</v>
      </c>
      <c r="Q1368">
        <v>3600</v>
      </c>
    </row>
    <row r="1369" spans="1:17">
      <c r="A1369" t="s">
        <v>94</v>
      </c>
      <c r="B1369" t="s">
        <v>19</v>
      </c>
      <c r="C1369">
        <v>6</v>
      </c>
      <c r="D1369">
        <v>2022</v>
      </c>
      <c r="E1369" s="49" t="s">
        <v>1</v>
      </c>
      <c r="F1369" s="49" t="s">
        <v>163</v>
      </c>
      <c r="G1369">
        <f>'Feb to July, 2022'!AU71+'Feb to July, 2022'!AV71</f>
        <v>35</v>
      </c>
      <c r="H1369">
        <f>'Feb to July, 2022'!AW71</f>
        <v>0</v>
      </c>
      <c r="I1369">
        <f>'Feb to July, 2022'!AX71</f>
        <v>8</v>
      </c>
      <c r="J1369">
        <f>G1369*Parameters!$B$2*Parameters!$B$5</f>
        <v>74.518499999999989</v>
      </c>
      <c r="K1369">
        <f>H1369*Parameters!$B$3*Parameters!$B$6</f>
        <v>0</v>
      </c>
      <c r="L1369">
        <f>I1369*Parameters!$B$4*Parameters!$B$7</f>
        <v>64.771200000000007</v>
      </c>
      <c r="M1369">
        <f t="shared" si="21"/>
        <v>139.28969999999998</v>
      </c>
      <c r="N1369">
        <v>3500</v>
      </c>
      <c r="O1369">
        <v>0</v>
      </c>
      <c r="P1369">
        <v>0</v>
      </c>
      <c r="Q1369">
        <v>2400</v>
      </c>
    </row>
    <row r="1370" spans="1:17">
      <c r="A1370" t="s">
        <v>95</v>
      </c>
      <c r="B1370" t="s">
        <v>26</v>
      </c>
      <c r="C1370">
        <v>8</v>
      </c>
      <c r="D1370">
        <v>2022</v>
      </c>
      <c r="E1370" s="49" t="s">
        <v>1</v>
      </c>
      <c r="F1370" s="49" t="s">
        <v>163</v>
      </c>
      <c r="G1370">
        <f>'Feb to July, 2022'!AU72+'Feb to July, 2022'!AV72</f>
        <v>35</v>
      </c>
      <c r="H1370">
        <f>'Feb to July, 2022'!AW72</f>
        <v>0</v>
      </c>
      <c r="I1370">
        <f>'Feb to July, 2022'!AX72</f>
        <v>8</v>
      </c>
      <c r="J1370">
        <f>G1370*Parameters!$B$2*Parameters!$B$5</f>
        <v>74.518499999999989</v>
      </c>
      <c r="K1370">
        <f>H1370*Parameters!$B$3*Parameters!$B$6</f>
        <v>0</v>
      </c>
      <c r="L1370">
        <f>I1370*Parameters!$B$4*Parameters!$B$7</f>
        <v>64.771200000000007</v>
      </c>
      <c r="M1370">
        <f t="shared" si="21"/>
        <v>139.28969999999998</v>
      </c>
      <c r="N1370">
        <v>3500</v>
      </c>
      <c r="O1370">
        <v>0</v>
      </c>
      <c r="P1370">
        <v>0</v>
      </c>
      <c r="Q1370">
        <v>2400</v>
      </c>
    </row>
    <row r="1371" spans="1:17">
      <c r="A1371" t="s">
        <v>96</v>
      </c>
      <c r="B1371" t="s">
        <v>19</v>
      </c>
      <c r="C1371">
        <v>8</v>
      </c>
      <c r="D1371">
        <v>2022</v>
      </c>
      <c r="E1371" s="49" t="s">
        <v>1</v>
      </c>
      <c r="F1371" s="49" t="s">
        <v>163</v>
      </c>
      <c r="G1371">
        <f>'Feb to July, 2022'!AU73+'Feb to July, 2022'!AV73</f>
        <v>22</v>
      </c>
      <c r="H1371">
        <f>'Feb to July, 2022'!AW73</f>
        <v>0</v>
      </c>
      <c r="I1371">
        <f>'Feb to July, 2022'!AX73</f>
        <v>12</v>
      </c>
      <c r="J1371">
        <f>G1371*Parameters!$B$2*Parameters!$B$5</f>
        <v>46.840199999999996</v>
      </c>
      <c r="K1371">
        <f>H1371*Parameters!$B$3*Parameters!$B$6</f>
        <v>0</v>
      </c>
      <c r="L1371">
        <f>I1371*Parameters!$B$4*Parameters!$B$7</f>
        <v>97.156800000000018</v>
      </c>
      <c r="M1371">
        <f t="shared" si="21"/>
        <v>143.99700000000001</v>
      </c>
      <c r="N1371">
        <v>2200</v>
      </c>
      <c r="O1371">
        <v>0</v>
      </c>
      <c r="P1371">
        <v>0</v>
      </c>
      <c r="Q1371">
        <v>3600</v>
      </c>
    </row>
    <row r="1372" spans="1:17">
      <c r="A1372" t="s">
        <v>97</v>
      </c>
      <c r="B1372" t="s">
        <v>17</v>
      </c>
      <c r="C1372">
        <v>4</v>
      </c>
      <c r="D1372">
        <v>2022</v>
      </c>
      <c r="E1372" s="49" t="s">
        <v>1</v>
      </c>
      <c r="F1372" s="49" t="s">
        <v>163</v>
      </c>
      <c r="G1372">
        <f>'Feb to July, 2022'!AU74+'Feb to July, 2022'!AV74</f>
        <v>32</v>
      </c>
      <c r="H1372">
        <f>'Feb to July, 2022'!AW74</f>
        <v>0</v>
      </c>
      <c r="I1372">
        <f>'Feb to July, 2022'!AX74</f>
        <v>10</v>
      </c>
      <c r="J1372">
        <f>G1372*Parameters!$B$2*Parameters!$B$5</f>
        <v>68.131199999999993</v>
      </c>
      <c r="K1372">
        <f>H1372*Parameters!$B$3*Parameters!$B$6</f>
        <v>0</v>
      </c>
      <c r="L1372">
        <f>I1372*Parameters!$B$4*Parameters!$B$7</f>
        <v>80.963999999999999</v>
      </c>
      <c r="M1372">
        <f t="shared" si="21"/>
        <v>149.09519999999998</v>
      </c>
      <c r="N1372">
        <v>3200</v>
      </c>
      <c r="O1372">
        <v>0</v>
      </c>
      <c r="P1372">
        <v>0</v>
      </c>
      <c r="Q1372">
        <v>3000</v>
      </c>
    </row>
    <row r="1373" spans="1:17">
      <c r="A1373" t="s">
        <v>98</v>
      </c>
      <c r="B1373" t="s">
        <v>65</v>
      </c>
      <c r="C1373">
        <v>5</v>
      </c>
      <c r="D1373">
        <v>2022</v>
      </c>
      <c r="E1373" s="49" t="s">
        <v>1</v>
      </c>
      <c r="F1373" s="49" t="s">
        <v>163</v>
      </c>
      <c r="G1373">
        <f>'Feb to July, 2022'!AU75+'Feb to July, 2022'!AV75</f>
        <v>32</v>
      </c>
      <c r="H1373">
        <f>'Feb to July, 2022'!AW75</f>
        <v>0</v>
      </c>
      <c r="I1373">
        <f>'Feb to July, 2022'!AX75</f>
        <v>15</v>
      </c>
      <c r="J1373">
        <f>G1373*Parameters!$B$2*Parameters!$B$5</f>
        <v>68.131199999999993</v>
      </c>
      <c r="K1373">
        <f>H1373*Parameters!$B$3*Parameters!$B$6</f>
        <v>0</v>
      </c>
      <c r="L1373">
        <f>I1373*Parameters!$B$4*Parameters!$B$7</f>
        <v>121.44600000000001</v>
      </c>
      <c r="M1373">
        <f t="shared" si="21"/>
        <v>189.5772</v>
      </c>
      <c r="N1373">
        <v>3000</v>
      </c>
      <c r="O1373">
        <v>200</v>
      </c>
      <c r="P1373">
        <v>0</v>
      </c>
      <c r="Q1373">
        <v>4500</v>
      </c>
    </row>
    <row r="1374" spans="1:17">
      <c r="A1374" t="s">
        <v>99</v>
      </c>
      <c r="B1374" t="s">
        <v>32</v>
      </c>
      <c r="C1374">
        <v>9</v>
      </c>
      <c r="D1374">
        <v>2022</v>
      </c>
      <c r="E1374" s="49" t="s">
        <v>1</v>
      </c>
      <c r="F1374" s="49" t="s">
        <v>163</v>
      </c>
      <c r="G1374">
        <f>'Feb to July, 2022'!AU76+'Feb to July, 2022'!AV76</f>
        <v>38</v>
      </c>
      <c r="H1374">
        <f>'Feb to July, 2022'!AW76</f>
        <v>0</v>
      </c>
      <c r="I1374">
        <f>'Feb to July, 2022'!AX76</f>
        <v>20</v>
      </c>
      <c r="J1374">
        <f>G1374*Parameters!$B$2*Parameters!$B$5</f>
        <v>80.905799999999985</v>
      </c>
      <c r="K1374">
        <f>H1374*Parameters!$B$3*Parameters!$B$6</f>
        <v>0</v>
      </c>
      <c r="L1374">
        <f>I1374*Parameters!$B$4*Parameters!$B$7</f>
        <v>161.928</v>
      </c>
      <c r="M1374">
        <f t="shared" si="21"/>
        <v>242.8338</v>
      </c>
      <c r="N1374">
        <v>3800</v>
      </c>
      <c r="O1374">
        <v>0</v>
      </c>
      <c r="P1374">
        <v>0</v>
      </c>
      <c r="Q1374">
        <v>6000</v>
      </c>
    </row>
    <row r="1375" spans="1:17">
      <c r="A1375" t="s">
        <v>100</v>
      </c>
      <c r="B1375" t="s">
        <v>40</v>
      </c>
      <c r="C1375">
        <v>8</v>
      </c>
      <c r="D1375">
        <v>2022</v>
      </c>
      <c r="E1375" s="49" t="s">
        <v>1</v>
      </c>
      <c r="F1375" s="49" t="s">
        <v>163</v>
      </c>
      <c r="G1375">
        <f>'Feb to July, 2022'!AU77+'Feb to July, 2022'!AV77</f>
        <v>32</v>
      </c>
      <c r="H1375">
        <f>'Feb to July, 2022'!AW77</f>
        <v>0</v>
      </c>
      <c r="I1375">
        <f>'Feb to July, 2022'!AX77</f>
        <v>15</v>
      </c>
      <c r="J1375">
        <f>G1375*Parameters!$B$2*Parameters!$B$5</f>
        <v>68.131199999999993</v>
      </c>
      <c r="K1375">
        <f>H1375*Parameters!$B$3*Parameters!$B$6</f>
        <v>0</v>
      </c>
      <c r="L1375">
        <f>I1375*Parameters!$B$4*Parameters!$B$7</f>
        <v>121.44600000000001</v>
      </c>
      <c r="M1375">
        <f t="shared" si="21"/>
        <v>189.5772</v>
      </c>
      <c r="N1375">
        <v>3200</v>
      </c>
      <c r="O1375">
        <v>0</v>
      </c>
      <c r="P1375">
        <v>0</v>
      </c>
      <c r="Q1375">
        <v>4500</v>
      </c>
    </row>
    <row r="1376" spans="1:17">
      <c r="A1376" t="s">
        <v>101</v>
      </c>
      <c r="B1376" t="s">
        <v>38</v>
      </c>
      <c r="C1376">
        <v>5</v>
      </c>
      <c r="D1376">
        <v>2022</v>
      </c>
      <c r="E1376" s="49" t="s">
        <v>1</v>
      </c>
      <c r="F1376" s="49" t="s">
        <v>163</v>
      </c>
      <c r="G1376">
        <f>'Feb to July, 2022'!AU78+'Feb to July, 2022'!AV78</f>
        <v>43</v>
      </c>
      <c r="H1376">
        <f>'Feb to July, 2022'!AW78</f>
        <v>0</v>
      </c>
      <c r="I1376">
        <f>'Feb to July, 2022'!AX78</f>
        <v>15</v>
      </c>
      <c r="J1376">
        <f>G1376*Parameters!$B$2*Parameters!$B$5</f>
        <v>91.551299999999983</v>
      </c>
      <c r="K1376">
        <f>H1376*Parameters!$B$3*Parameters!$B$6</f>
        <v>0</v>
      </c>
      <c r="L1376">
        <f>I1376*Parameters!$B$4*Parameters!$B$7</f>
        <v>121.44600000000001</v>
      </c>
      <c r="M1376">
        <f t="shared" si="21"/>
        <v>212.9973</v>
      </c>
      <c r="N1376">
        <v>4300</v>
      </c>
      <c r="O1376">
        <v>0</v>
      </c>
      <c r="P1376">
        <v>0</v>
      </c>
      <c r="Q1376">
        <v>4500</v>
      </c>
    </row>
    <row r="1377" spans="1:17">
      <c r="A1377" t="s">
        <v>102</v>
      </c>
      <c r="B1377" t="s">
        <v>17</v>
      </c>
      <c r="C1377">
        <v>4</v>
      </c>
      <c r="D1377">
        <v>2022</v>
      </c>
      <c r="E1377" s="49" t="s">
        <v>1</v>
      </c>
      <c r="F1377" s="49" t="s">
        <v>163</v>
      </c>
      <c r="G1377">
        <f>'Feb to July, 2022'!AU79+'Feb to July, 2022'!AV79</f>
        <v>40</v>
      </c>
      <c r="H1377">
        <f>'Feb to July, 2022'!AW79</f>
        <v>0</v>
      </c>
      <c r="I1377">
        <f>'Feb to July, 2022'!AX79</f>
        <v>20</v>
      </c>
      <c r="J1377">
        <f>G1377*Parameters!$B$2*Parameters!$B$5</f>
        <v>85.163999999999987</v>
      </c>
      <c r="K1377">
        <f>H1377*Parameters!$B$3*Parameters!$B$6</f>
        <v>0</v>
      </c>
      <c r="L1377">
        <f>I1377*Parameters!$B$4*Parameters!$B$7</f>
        <v>161.928</v>
      </c>
      <c r="M1377">
        <f t="shared" si="21"/>
        <v>247.09199999999998</v>
      </c>
      <c r="N1377">
        <v>4000</v>
      </c>
      <c r="O1377">
        <v>0</v>
      </c>
      <c r="P1377">
        <v>0</v>
      </c>
      <c r="Q1377">
        <v>6000</v>
      </c>
    </row>
    <row r="1378" spans="1:17">
      <c r="A1378" t="s">
        <v>103</v>
      </c>
      <c r="B1378" t="s">
        <v>26</v>
      </c>
      <c r="C1378">
        <v>6</v>
      </c>
      <c r="D1378">
        <v>2022</v>
      </c>
      <c r="E1378" s="49" t="s">
        <v>1</v>
      </c>
      <c r="F1378" s="49" t="s">
        <v>163</v>
      </c>
      <c r="G1378">
        <f>'Feb to July, 2022'!AU80+'Feb to July, 2022'!AV80</f>
        <v>30</v>
      </c>
      <c r="H1378">
        <f>'Feb to July, 2022'!AW80</f>
        <v>0</v>
      </c>
      <c r="I1378">
        <f>'Feb to July, 2022'!AX80</f>
        <v>20</v>
      </c>
      <c r="J1378">
        <f>G1378*Parameters!$B$2*Parameters!$B$5</f>
        <v>63.87299999999999</v>
      </c>
      <c r="K1378">
        <f>H1378*Parameters!$B$3*Parameters!$B$6</f>
        <v>0</v>
      </c>
      <c r="L1378">
        <f>I1378*Parameters!$B$4*Parameters!$B$7</f>
        <v>161.928</v>
      </c>
      <c r="M1378">
        <f t="shared" si="21"/>
        <v>225.80099999999999</v>
      </c>
      <c r="N1378">
        <v>3000</v>
      </c>
      <c r="O1378">
        <v>0</v>
      </c>
      <c r="P1378">
        <v>0</v>
      </c>
      <c r="Q1378">
        <v>6000</v>
      </c>
    </row>
    <row r="1379" spans="1:17">
      <c r="A1379" t="s">
        <v>104</v>
      </c>
      <c r="B1379" t="s">
        <v>26</v>
      </c>
      <c r="C1379">
        <v>7</v>
      </c>
      <c r="D1379">
        <v>2022</v>
      </c>
      <c r="E1379" s="49" t="s">
        <v>1</v>
      </c>
      <c r="F1379" s="49" t="s">
        <v>163</v>
      </c>
      <c r="G1379">
        <f>'Feb to July, 2022'!AU81+'Feb to July, 2022'!AV81</f>
        <v>30</v>
      </c>
      <c r="H1379">
        <f>'Feb to July, 2022'!AW81</f>
        <v>0</v>
      </c>
      <c r="I1379">
        <f>'Feb to July, 2022'!AX81</f>
        <v>13</v>
      </c>
      <c r="J1379">
        <f>G1379*Parameters!$B$2*Parameters!$B$5</f>
        <v>63.87299999999999</v>
      </c>
      <c r="K1379">
        <f>H1379*Parameters!$B$3*Parameters!$B$6</f>
        <v>0</v>
      </c>
      <c r="L1379">
        <f>I1379*Parameters!$B$4*Parameters!$B$7</f>
        <v>105.25320000000001</v>
      </c>
      <c r="M1379">
        <f t="shared" si="21"/>
        <v>169.12619999999998</v>
      </c>
      <c r="N1379">
        <v>3000</v>
      </c>
      <c r="O1379">
        <v>0</v>
      </c>
      <c r="P1379">
        <v>0</v>
      </c>
      <c r="Q1379">
        <v>3900</v>
      </c>
    </row>
    <row r="1380" spans="1:17">
      <c r="A1380" t="s">
        <v>105</v>
      </c>
      <c r="B1380" t="s">
        <v>21</v>
      </c>
      <c r="C1380">
        <v>5</v>
      </c>
      <c r="D1380">
        <v>2022</v>
      </c>
      <c r="E1380" s="49" t="s">
        <v>1</v>
      </c>
      <c r="F1380" s="49" t="s">
        <v>163</v>
      </c>
      <c r="G1380">
        <f>'Feb to July, 2022'!AU82+'Feb to July, 2022'!AV82</f>
        <v>40</v>
      </c>
      <c r="H1380">
        <f>'Feb to July, 2022'!AW82</f>
        <v>0</v>
      </c>
      <c r="I1380">
        <f>'Feb to July, 2022'!AX82</f>
        <v>20</v>
      </c>
      <c r="J1380">
        <f>G1380*Parameters!$B$2*Parameters!$B$5</f>
        <v>85.163999999999987</v>
      </c>
      <c r="K1380">
        <f>H1380*Parameters!$B$3*Parameters!$B$6</f>
        <v>0</v>
      </c>
      <c r="L1380">
        <f>I1380*Parameters!$B$4*Parameters!$B$7</f>
        <v>161.928</v>
      </c>
      <c r="M1380">
        <f t="shared" si="21"/>
        <v>247.09199999999998</v>
      </c>
      <c r="N1380">
        <v>4000</v>
      </c>
      <c r="O1380">
        <v>0</v>
      </c>
      <c r="P1380">
        <v>0</v>
      </c>
      <c r="Q1380">
        <v>6000</v>
      </c>
    </row>
    <row r="1381" spans="1:17">
      <c r="A1381" t="s">
        <v>106</v>
      </c>
      <c r="B1381" t="s">
        <v>24</v>
      </c>
      <c r="C1381">
        <v>6</v>
      </c>
      <c r="D1381">
        <v>2022</v>
      </c>
      <c r="E1381" s="49" t="s">
        <v>1</v>
      </c>
      <c r="F1381" s="49" t="s">
        <v>163</v>
      </c>
      <c r="G1381">
        <f>'Feb to July, 2022'!AU83+'Feb to July, 2022'!AV83</f>
        <v>36</v>
      </c>
      <c r="H1381">
        <f>'Feb to July, 2022'!AW83</f>
        <v>0</v>
      </c>
      <c r="I1381">
        <f>'Feb to July, 2022'!AX83</f>
        <v>15</v>
      </c>
      <c r="J1381">
        <f>G1381*Parameters!$B$2*Parameters!$B$5</f>
        <v>76.647599999999997</v>
      </c>
      <c r="K1381">
        <f>H1381*Parameters!$B$3*Parameters!$B$6</f>
        <v>0</v>
      </c>
      <c r="L1381">
        <f>I1381*Parameters!$B$4*Parameters!$B$7</f>
        <v>121.44600000000001</v>
      </c>
      <c r="M1381">
        <f t="shared" si="21"/>
        <v>198.09360000000001</v>
      </c>
      <c r="N1381">
        <v>3600</v>
      </c>
      <c r="O1381">
        <v>0</v>
      </c>
      <c r="P1381">
        <v>0</v>
      </c>
      <c r="Q1381">
        <v>4500</v>
      </c>
    </row>
    <row r="1382" spans="1:17">
      <c r="A1382" t="s">
        <v>107</v>
      </c>
      <c r="B1382" t="s">
        <v>21</v>
      </c>
      <c r="C1382">
        <v>4</v>
      </c>
      <c r="D1382">
        <v>2022</v>
      </c>
      <c r="E1382" s="49" t="s">
        <v>1</v>
      </c>
      <c r="F1382" s="49" t="s">
        <v>163</v>
      </c>
      <c r="G1382">
        <f>'Feb to July, 2022'!AU84+'Feb to July, 2022'!AV84</f>
        <v>36</v>
      </c>
      <c r="H1382">
        <f>'Feb to July, 2022'!AW84</f>
        <v>0</v>
      </c>
      <c r="I1382">
        <f>'Feb to July, 2022'!AX84</f>
        <v>0</v>
      </c>
      <c r="J1382">
        <f>G1382*Parameters!$B$2*Parameters!$B$5</f>
        <v>76.647599999999997</v>
      </c>
      <c r="K1382">
        <f>H1382*Parameters!$B$3*Parameters!$B$6</f>
        <v>0</v>
      </c>
      <c r="L1382">
        <f>I1382*Parameters!$B$4*Parameters!$B$7</f>
        <v>0</v>
      </c>
      <c r="M1382">
        <f t="shared" si="21"/>
        <v>76.647599999999997</v>
      </c>
      <c r="N1382">
        <v>3600</v>
      </c>
      <c r="O1382">
        <v>0</v>
      </c>
      <c r="P1382">
        <v>0</v>
      </c>
      <c r="Q1382">
        <v>0</v>
      </c>
    </row>
    <row r="1383" spans="1:17">
      <c r="A1383" t="s">
        <v>108</v>
      </c>
      <c r="B1383" t="s">
        <v>24</v>
      </c>
      <c r="C1383">
        <v>5</v>
      </c>
      <c r="D1383">
        <v>2022</v>
      </c>
      <c r="E1383" s="49" t="s">
        <v>1</v>
      </c>
      <c r="F1383" s="49" t="s">
        <v>163</v>
      </c>
      <c r="G1383">
        <f>'Feb to July, 2022'!AU85+'Feb to July, 2022'!AV85</f>
        <v>38</v>
      </c>
      <c r="H1383">
        <f>'Feb to July, 2022'!AW85</f>
        <v>0</v>
      </c>
      <c r="I1383">
        <f>'Feb to July, 2022'!AX85</f>
        <v>12</v>
      </c>
      <c r="J1383">
        <f>G1383*Parameters!$B$2*Parameters!$B$5</f>
        <v>80.905799999999985</v>
      </c>
      <c r="K1383">
        <f>H1383*Parameters!$B$3*Parameters!$B$6</f>
        <v>0</v>
      </c>
      <c r="L1383">
        <f>I1383*Parameters!$B$4*Parameters!$B$7</f>
        <v>97.156800000000018</v>
      </c>
      <c r="M1383">
        <f t="shared" si="21"/>
        <v>178.0626</v>
      </c>
      <c r="N1383">
        <v>3800</v>
      </c>
      <c r="O1383">
        <v>0</v>
      </c>
      <c r="P1383">
        <v>0</v>
      </c>
      <c r="Q1383">
        <v>3600</v>
      </c>
    </row>
    <row r="1384" spans="1:17">
      <c r="A1384" t="s">
        <v>109</v>
      </c>
      <c r="B1384" t="s">
        <v>32</v>
      </c>
      <c r="C1384">
        <v>6</v>
      </c>
      <c r="D1384">
        <v>2022</v>
      </c>
      <c r="E1384" s="49" t="s">
        <v>1</v>
      </c>
      <c r="F1384" s="49" t="s">
        <v>163</v>
      </c>
      <c r="G1384">
        <f>'Feb to July, 2022'!AU86+'Feb to July, 2022'!AV86</f>
        <v>35</v>
      </c>
      <c r="H1384">
        <f>'Feb to July, 2022'!AW86</f>
        <v>0</v>
      </c>
      <c r="I1384">
        <f>'Feb to July, 2022'!AX86</f>
        <v>12</v>
      </c>
      <c r="J1384">
        <f>G1384*Parameters!$B$2*Parameters!$B$5</f>
        <v>74.518499999999989</v>
      </c>
      <c r="K1384">
        <f>H1384*Parameters!$B$3*Parameters!$B$6</f>
        <v>0</v>
      </c>
      <c r="L1384">
        <f>I1384*Parameters!$B$4*Parameters!$B$7</f>
        <v>97.156800000000018</v>
      </c>
      <c r="M1384">
        <f t="shared" si="21"/>
        <v>171.67529999999999</v>
      </c>
      <c r="N1384">
        <v>3500</v>
      </c>
      <c r="O1384">
        <v>0</v>
      </c>
      <c r="P1384">
        <v>0</v>
      </c>
      <c r="Q1384">
        <v>3600</v>
      </c>
    </row>
    <row r="1385" spans="1:17">
      <c r="A1385" t="s">
        <v>110</v>
      </c>
      <c r="B1385" t="s">
        <v>21</v>
      </c>
      <c r="C1385">
        <v>3</v>
      </c>
      <c r="D1385">
        <v>2022</v>
      </c>
      <c r="E1385" s="49" t="s">
        <v>1</v>
      </c>
      <c r="F1385" s="49" t="s">
        <v>163</v>
      </c>
      <c r="G1385">
        <f>'Feb to July, 2022'!AU87+'Feb to July, 2022'!AV87</f>
        <v>30</v>
      </c>
      <c r="H1385">
        <f>'Feb to July, 2022'!AW87</f>
        <v>0</v>
      </c>
      <c r="I1385">
        <f>'Feb to July, 2022'!AX87</f>
        <v>14</v>
      </c>
      <c r="J1385">
        <f>G1385*Parameters!$B$2*Parameters!$B$5</f>
        <v>63.87299999999999</v>
      </c>
      <c r="K1385">
        <f>H1385*Parameters!$B$3*Parameters!$B$6</f>
        <v>0</v>
      </c>
      <c r="L1385">
        <f>I1385*Parameters!$B$4*Parameters!$B$7</f>
        <v>113.34960000000001</v>
      </c>
      <c r="M1385">
        <f t="shared" si="21"/>
        <v>177.2226</v>
      </c>
      <c r="N1385">
        <v>3000</v>
      </c>
      <c r="O1385">
        <v>0</v>
      </c>
      <c r="P1385">
        <v>0</v>
      </c>
      <c r="Q1385">
        <v>4200</v>
      </c>
    </row>
    <row r="1386" spans="1:17">
      <c r="A1386" t="s">
        <v>111</v>
      </c>
      <c r="B1386" t="s">
        <v>26</v>
      </c>
      <c r="C1386">
        <v>6</v>
      </c>
      <c r="D1386">
        <v>2022</v>
      </c>
      <c r="E1386" s="49" t="s">
        <v>1</v>
      </c>
      <c r="F1386" s="49" t="s">
        <v>163</v>
      </c>
      <c r="G1386">
        <f>'Feb to July, 2022'!AU88+'Feb to July, 2022'!AV88</f>
        <v>25</v>
      </c>
      <c r="H1386">
        <f>'Feb to July, 2022'!AW88</f>
        <v>0</v>
      </c>
      <c r="I1386">
        <f>'Feb to July, 2022'!AX88</f>
        <v>10</v>
      </c>
      <c r="J1386">
        <f>G1386*Parameters!$B$2*Parameters!$B$5</f>
        <v>53.227499999999992</v>
      </c>
      <c r="K1386">
        <f>H1386*Parameters!$B$3*Parameters!$B$6</f>
        <v>0</v>
      </c>
      <c r="L1386">
        <f>I1386*Parameters!$B$4*Parameters!$B$7</f>
        <v>80.963999999999999</v>
      </c>
      <c r="M1386">
        <f t="shared" si="21"/>
        <v>134.19149999999999</v>
      </c>
      <c r="N1386">
        <v>2500</v>
      </c>
      <c r="O1386">
        <v>0</v>
      </c>
      <c r="P1386">
        <v>0</v>
      </c>
      <c r="Q1386">
        <v>3000</v>
      </c>
    </row>
    <row r="1387" spans="1:17">
      <c r="A1387" t="s">
        <v>112</v>
      </c>
      <c r="B1387" t="s">
        <v>19</v>
      </c>
      <c r="C1387">
        <v>7</v>
      </c>
      <c r="D1387">
        <v>2022</v>
      </c>
      <c r="E1387" s="49" t="s">
        <v>1</v>
      </c>
      <c r="F1387" s="49" t="s">
        <v>163</v>
      </c>
      <c r="G1387">
        <f>'Feb to July, 2022'!AU89+'Feb to July, 2022'!AV89</f>
        <v>30</v>
      </c>
      <c r="H1387">
        <f>'Feb to July, 2022'!AW89</f>
        <v>0</v>
      </c>
      <c r="I1387">
        <f>'Feb to July, 2022'!AX89</f>
        <v>10</v>
      </c>
      <c r="J1387">
        <f>G1387*Parameters!$B$2*Parameters!$B$5</f>
        <v>63.87299999999999</v>
      </c>
      <c r="K1387">
        <f>H1387*Parameters!$B$3*Parameters!$B$6</f>
        <v>0</v>
      </c>
      <c r="L1387">
        <f>I1387*Parameters!$B$4*Parameters!$B$7</f>
        <v>80.963999999999999</v>
      </c>
      <c r="M1387">
        <f t="shared" si="21"/>
        <v>144.83699999999999</v>
      </c>
      <c r="N1387">
        <v>0</v>
      </c>
      <c r="O1387">
        <v>3000</v>
      </c>
      <c r="P1387">
        <v>0</v>
      </c>
      <c r="Q1387">
        <v>3000</v>
      </c>
    </row>
    <row r="1388" spans="1:17">
      <c r="A1388" t="s">
        <v>113</v>
      </c>
      <c r="B1388" t="s">
        <v>26</v>
      </c>
      <c r="C1388">
        <v>4</v>
      </c>
      <c r="D1388">
        <v>2022</v>
      </c>
      <c r="E1388" s="49" t="s">
        <v>1</v>
      </c>
      <c r="F1388" s="49" t="s">
        <v>163</v>
      </c>
      <c r="G1388">
        <f>'Feb to July, 2022'!AU90+'Feb to July, 2022'!AV90</f>
        <v>34</v>
      </c>
      <c r="H1388">
        <f>'Feb to July, 2022'!AW90</f>
        <v>0</v>
      </c>
      <c r="I1388">
        <f>'Feb to July, 2022'!AX90</f>
        <v>8</v>
      </c>
      <c r="J1388">
        <f>G1388*Parameters!$B$2*Parameters!$B$5</f>
        <v>72.389399999999995</v>
      </c>
      <c r="K1388">
        <f>H1388*Parameters!$B$3*Parameters!$B$6</f>
        <v>0</v>
      </c>
      <c r="L1388">
        <f>I1388*Parameters!$B$4*Parameters!$B$7</f>
        <v>64.771200000000007</v>
      </c>
      <c r="M1388">
        <f t="shared" si="21"/>
        <v>137.16059999999999</v>
      </c>
      <c r="N1388">
        <v>3400</v>
      </c>
      <c r="O1388">
        <v>0</v>
      </c>
      <c r="P1388">
        <v>0</v>
      </c>
      <c r="Q1388">
        <v>2400</v>
      </c>
    </row>
    <row r="1389" spans="1:17">
      <c r="A1389" t="s">
        <v>114</v>
      </c>
      <c r="B1389" t="s">
        <v>65</v>
      </c>
      <c r="C1389">
        <v>8</v>
      </c>
      <c r="D1389">
        <v>2022</v>
      </c>
      <c r="E1389" s="49" t="s">
        <v>1</v>
      </c>
      <c r="F1389" s="49" t="s">
        <v>163</v>
      </c>
      <c r="G1389">
        <f>'Feb to July, 2022'!AU91+'Feb to July, 2022'!AV91</f>
        <v>35</v>
      </c>
      <c r="H1389">
        <f>'Feb to July, 2022'!AW91</f>
        <v>0</v>
      </c>
      <c r="I1389">
        <f>'Feb to July, 2022'!AX91</f>
        <v>15</v>
      </c>
      <c r="J1389">
        <f>G1389*Parameters!$B$2*Parameters!$B$5</f>
        <v>74.518499999999989</v>
      </c>
      <c r="K1389">
        <f>H1389*Parameters!$B$3*Parameters!$B$6</f>
        <v>0</v>
      </c>
      <c r="L1389">
        <f>I1389*Parameters!$B$4*Parameters!$B$7</f>
        <v>121.44600000000001</v>
      </c>
      <c r="M1389">
        <f t="shared" si="21"/>
        <v>195.96449999999999</v>
      </c>
      <c r="N1389">
        <v>3500</v>
      </c>
      <c r="O1389">
        <v>0</v>
      </c>
      <c r="P1389">
        <v>0</v>
      </c>
      <c r="Q1389">
        <v>4500</v>
      </c>
    </row>
    <row r="1390" spans="1:17">
      <c r="A1390" t="s">
        <v>115</v>
      </c>
      <c r="B1390" t="s">
        <v>19</v>
      </c>
      <c r="C1390">
        <v>8</v>
      </c>
      <c r="D1390">
        <v>2022</v>
      </c>
      <c r="E1390" s="49" t="s">
        <v>1</v>
      </c>
      <c r="F1390" s="49" t="s">
        <v>163</v>
      </c>
      <c r="G1390">
        <f>'Feb to July, 2022'!AU92+'Feb to July, 2022'!AV92</f>
        <v>32</v>
      </c>
      <c r="H1390">
        <f>'Feb to July, 2022'!AW92</f>
        <v>0</v>
      </c>
      <c r="I1390">
        <f>'Feb to July, 2022'!AX92</f>
        <v>18</v>
      </c>
      <c r="J1390">
        <f>G1390*Parameters!$B$2*Parameters!$B$5</f>
        <v>68.131199999999993</v>
      </c>
      <c r="K1390">
        <f>H1390*Parameters!$B$3*Parameters!$B$6</f>
        <v>0</v>
      </c>
      <c r="L1390">
        <f>I1390*Parameters!$B$4*Parameters!$B$7</f>
        <v>145.73520000000002</v>
      </c>
      <c r="M1390">
        <f t="shared" si="21"/>
        <v>213.8664</v>
      </c>
      <c r="N1390">
        <v>3200</v>
      </c>
      <c r="O1390">
        <v>0</v>
      </c>
      <c r="P1390">
        <v>0</v>
      </c>
      <c r="Q1390">
        <v>5400</v>
      </c>
    </row>
    <row r="1391" spans="1:17">
      <c r="A1391" t="s">
        <v>116</v>
      </c>
      <c r="B1391" t="s">
        <v>21</v>
      </c>
      <c r="C1391">
        <v>4</v>
      </c>
      <c r="D1391">
        <v>2022</v>
      </c>
      <c r="E1391" s="49" t="s">
        <v>1</v>
      </c>
      <c r="F1391" s="49" t="s">
        <v>163</v>
      </c>
      <c r="G1391">
        <f>'Feb to July, 2022'!AU93+'Feb to July, 2022'!AV93</f>
        <v>22</v>
      </c>
      <c r="H1391">
        <f>'Feb to July, 2022'!AW93</f>
        <v>0</v>
      </c>
      <c r="I1391">
        <f>'Feb to July, 2022'!AX93</f>
        <v>0</v>
      </c>
      <c r="J1391">
        <f>G1391*Parameters!$B$2*Parameters!$B$5</f>
        <v>46.840199999999996</v>
      </c>
      <c r="K1391">
        <f>H1391*Parameters!$B$3*Parameters!$B$6</f>
        <v>0</v>
      </c>
      <c r="L1391">
        <f>I1391*Parameters!$B$4*Parameters!$B$7</f>
        <v>0</v>
      </c>
      <c r="M1391">
        <f t="shared" si="21"/>
        <v>46.840199999999996</v>
      </c>
      <c r="N1391">
        <v>2200</v>
      </c>
      <c r="O1391">
        <v>0</v>
      </c>
      <c r="P1391">
        <v>0</v>
      </c>
      <c r="Q1391">
        <v>0</v>
      </c>
    </row>
    <row r="1392" spans="1:17">
      <c r="A1392" t="s">
        <v>117</v>
      </c>
      <c r="B1392" t="s">
        <v>17</v>
      </c>
      <c r="C1392">
        <v>9</v>
      </c>
      <c r="D1392">
        <v>2022</v>
      </c>
      <c r="E1392" s="49" t="s">
        <v>1</v>
      </c>
      <c r="F1392" s="49" t="s">
        <v>163</v>
      </c>
      <c r="G1392">
        <f>'Feb to July, 2022'!AU94+'Feb to July, 2022'!AV94</f>
        <v>25</v>
      </c>
      <c r="H1392">
        <f>'Feb to July, 2022'!AW94</f>
        <v>0</v>
      </c>
      <c r="I1392">
        <f>'Feb to July, 2022'!AX94</f>
        <v>6</v>
      </c>
      <c r="J1392">
        <f>G1392*Parameters!$B$2*Parameters!$B$5</f>
        <v>53.227499999999992</v>
      </c>
      <c r="K1392">
        <f>H1392*Parameters!$B$3*Parameters!$B$6</f>
        <v>0</v>
      </c>
      <c r="L1392">
        <f>I1392*Parameters!$B$4*Parameters!$B$7</f>
        <v>48.578400000000009</v>
      </c>
      <c r="M1392">
        <f t="shared" si="21"/>
        <v>101.80590000000001</v>
      </c>
      <c r="N1392">
        <v>2500</v>
      </c>
      <c r="O1392">
        <v>0</v>
      </c>
      <c r="P1392">
        <v>0</v>
      </c>
      <c r="Q1392">
        <v>1800</v>
      </c>
    </row>
    <row r="1393" spans="1:17">
      <c r="A1393" t="s">
        <v>118</v>
      </c>
      <c r="B1393" t="s">
        <v>19</v>
      </c>
      <c r="C1393">
        <v>4</v>
      </c>
      <c r="D1393">
        <v>2022</v>
      </c>
      <c r="E1393" s="49" t="s">
        <v>1</v>
      </c>
      <c r="F1393" s="49" t="s">
        <v>163</v>
      </c>
      <c r="G1393">
        <f>'Feb to July, 2022'!AU95+'Feb to July, 2022'!AV95</f>
        <v>34</v>
      </c>
      <c r="H1393">
        <f>'Feb to July, 2022'!AW95</f>
        <v>0</v>
      </c>
      <c r="I1393">
        <f>'Feb to July, 2022'!AX95</f>
        <v>6</v>
      </c>
      <c r="J1393">
        <f>G1393*Parameters!$B$2*Parameters!$B$5</f>
        <v>72.389399999999995</v>
      </c>
      <c r="K1393">
        <f>H1393*Parameters!$B$3*Parameters!$B$6</f>
        <v>0</v>
      </c>
      <c r="L1393">
        <f>I1393*Parameters!$B$4*Parameters!$B$7</f>
        <v>48.578400000000009</v>
      </c>
      <c r="M1393">
        <f t="shared" si="21"/>
        <v>120.96780000000001</v>
      </c>
      <c r="N1393">
        <v>3400</v>
      </c>
      <c r="O1393">
        <v>0</v>
      </c>
      <c r="P1393">
        <v>0</v>
      </c>
      <c r="Q1393">
        <v>1800</v>
      </c>
    </row>
    <row r="1394" spans="1:17">
      <c r="A1394" t="s">
        <v>119</v>
      </c>
      <c r="B1394" t="s">
        <v>40</v>
      </c>
      <c r="C1394">
        <v>6</v>
      </c>
      <c r="D1394">
        <v>2022</v>
      </c>
      <c r="E1394" s="49" t="s">
        <v>1</v>
      </c>
      <c r="F1394" s="49" t="s">
        <v>163</v>
      </c>
      <c r="G1394">
        <f>'Feb to July, 2022'!AU96+'Feb to July, 2022'!AV96</f>
        <v>35</v>
      </c>
      <c r="H1394">
        <f>'Feb to July, 2022'!AW96</f>
        <v>0</v>
      </c>
      <c r="I1394">
        <f>'Feb to July, 2022'!AX96</f>
        <v>15</v>
      </c>
      <c r="J1394">
        <f>G1394*Parameters!$B$2*Parameters!$B$5</f>
        <v>74.518499999999989</v>
      </c>
      <c r="K1394">
        <f>H1394*Parameters!$B$3*Parameters!$B$6</f>
        <v>0</v>
      </c>
      <c r="L1394">
        <f>I1394*Parameters!$B$4*Parameters!$B$7</f>
        <v>121.44600000000001</v>
      </c>
      <c r="M1394">
        <f t="shared" si="21"/>
        <v>195.96449999999999</v>
      </c>
      <c r="N1394">
        <v>0</v>
      </c>
      <c r="O1394">
        <v>3500</v>
      </c>
      <c r="P1394">
        <v>0</v>
      </c>
      <c r="Q1394">
        <v>4500</v>
      </c>
    </row>
    <row r="1395" spans="1:17">
      <c r="A1395" t="s">
        <v>120</v>
      </c>
      <c r="B1395" t="s">
        <v>32</v>
      </c>
      <c r="C1395">
        <v>8</v>
      </c>
      <c r="D1395">
        <v>2022</v>
      </c>
      <c r="E1395" s="49" t="s">
        <v>1</v>
      </c>
      <c r="F1395" s="49" t="s">
        <v>163</v>
      </c>
      <c r="G1395">
        <f>'Feb to July, 2022'!AU97+'Feb to July, 2022'!AV97</f>
        <v>30</v>
      </c>
      <c r="H1395">
        <f>'Feb to July, 2022'!AW97</f>
        <v>0</v>
      </c>
      <c r="I1395">
        <f>'Feb to July, 2022'!AX97</f>
        <v>0</v>
      </c>
      <c r="J1395">
        <f>G1395*Parameters!$B$2*Parameters!$B$5</f>
        <v>63.87299999999999</v>
      </c>
      <c r="K1395">
        <f>H1395*Parameters!$B$3*Parameters!$B$6</f>
        <v>0</v>
      </c>
      <c r="L1395">
        <f>I1395*Parameters!$B$4*Parameters!$B$7</f>
        <v>0</v>
      </c>
      <c r="M1395">
        <f t="shared" si="21"/>
        <v>63.87299999999999</v>
      </c>
      <c r="N1395">
        <v>3000</v>
      </c>
      <c r="O1395">
        <v>0</v>
      </c>
      <c r="P1395">
        <v>0</v>
      </c>
      <c r="Q1395">
        <v>0</v>
      </c>
    </row>
    <row r="1396" spans="1:17">
      <c r="A1396" t="s">
        <v>121</v>
      </c>
      <c r="B1396" t="s">
        <v>24</v>
      </c>
      <c r="C1396">
        <v>5</v>
      </c>
      <c r="D1396">
        <v>2022</v>
      </c>
      <c r="E1396" s="49" t="s">
        <v>1</v>
      </c>
      <c r="F1396" s="49" t="s">
        <v>163</v>
      </c>
      <c r="G1396">
        <f>'Feb to July, 2022'!AU98+'Feb to July, 2022'!AV98</f>
        <v>40</v>
      </c>
      <c r="H1396">
        <f>'Feb to July, 2022'!AW98</f>
        <v>0</v>
      </c>
      <c r="I1396">
        <f>'Feb to July, 2022'!AX98</f>
        <v>15</v>
      </c>
      <c r="J1396">
        <f>G1396*Parameters!$B$2*Parameters!$B$5</f>
        <v>85.163999999999987</v>
      </c>
      <c r="K1396">
        <f>H1396*Parameters!$B$3*Parameters!$B$6</f>
        <v>0</v>
      </c>
      <c r="L1396">
        <f>I1396*Parameters!$B$4*Parameters!$B$7</f>
        <v>121.44600000000001</v>
      </c>
      <c r="M1396">
        <f t="shared" si="21"/>
        <v>206.61</v>
      </c>
      <c r="N1396">
        <v>4000</v>
      </c>
      <c r="O1396">
        <v>0</v>
      </c>
      <c r="P1396">
        <v>0</v>
      </c>
      <c r="Q1396">
        <v>4500</v>
      </c>
    </row>
    <row r="1397" spans="1:17">
      <c r="A1397" t="s">
        <v>122</v>
      </c>
      <c r="B1397" t="s">
        <v>26</v>
      </c>
      <c r="C1397">
        <v>6</v>
      </c>
      <c r="D1397">
        <v>2022</v>
      </c>
      <c r="E1397" s="49" t="s">
        <v>1</v>
      </c>
      <c r="F1397" s="49" t="s">
        <v>163</v>
      </c>
      <c r="G1397">
        <f>'Feb to July, 2022'!AU99+'Feb to July, 2022'!AV99</f>
        <v>25</v>
      </c>
      <c r="H1397">
        <f>'Feb to July, 2022'!AW99</f>
        <v>0</v>
      </c>
      <c r="I1397">
        <f>'Feb to July, 2022'!AX99</f>
        <v>5</v>
      </c>
      <c r="J1397">
        <f>G1397*Parameters!$B$2*Parameters!$B$5</f>
        <v>53.227499999999992</v>
      </c>
      <c r="K1397">
        <f>H1397*Parameters!$B$3*Parameters!$B$6</f>
        <v>0</v>
      </c>
      <c r="L1397">
        <f>I1397*Parameters!$B$4*Parameters!$B$7</f>
        <v>40.481999999999999</v>
      </c>
      <c r="M1397">
        <f t="shared" si="21"/>
        <v>93.709499999999991</v>
      </c>
      <c r="N1397">
        <v>2500</v>
      </c>
      <c r="O1397">
        <v>0</v>
      </c>
      <c r="P1397">
        <v>0</v>
      </c>
      <c r="Q1397">
        <v>1500</v>
      </c>
    </row>
    <row r="1398" spans="1:17">
      <c r="A1398" t="s">
        <v>123</v>
      </c>
      <c r="B1398" t="s">
        <v>19</v>
      </c>
      <c r="C1398">
        <v>8</v>
      </c>
      <c r="D1398">
        <v>2022</v>
      </c>
      <c r="E1398" s="49" t="s">
        <v>1</v>
      </c>
      <c r="F1398" s="49" t="s">
        <v>163</v>
      </c>
      <c r="G1398">
        <f>'Feb to July, 2022'!AU100+'Feb to July, 2022'!AV100</f>
        <v>35</v>
      </c>
      <c r="H1398">
        <f>'Feb to July, 2022'!AW100</f>
        <v>0</v>
      </c>
      <c r="I1398">
        <f>'Feb to July, 2022'!AX100</f>
        <v>10</v>
      </c>
      <c r="J1398">
        <f>G1398*Parameters!$B$2*Parameters!$B$5</f>
        <v>74.518499999999989</v>
      </c>
      <c r="K1398">
        <f>H1398*Parameters!$B$3*Parameters!$B$6</f>
        <v>0</v>
      </c>
      <c r="L1398">
        <f>I1398*Parameters!$B$4*Parameters!$B$7</f>
        <v>80.963999999999999</v>
      </c>
      <c r="M1398">
        <f t="shared" si="21"/>
        <v>155.48249999999999</v>
      </c>
      <c r="N1398">
        <v>3500</v>
      </c>
      <c r="O1398">
        <v>0</v>
      </c>
      <c r="P1398">
        <v>0</v>
      </c>
      <c r="Q1398">
        <v>3000</v>
      </c>
    </row>
    <row r="1399" spans="1:17">
      <c r="A1399" t="s">
        <v>124</v>
      </c>
      <c r="B1399" t="s">
        <v>56</v>
      </c>
      <c r="C1399">
        <v>9</v>
      </c>
      <c r="D1399">
        <v>2022</v>
      </c>
      <c r="E1399" s="49" t="s">
        <v>1</v>
      </c>
      <c r="F1399" s="49" t="s">
        <v>163</v>
      </c>
      <c r="G1399">
        <f>'Feb to July, 2022'!AU101+'Feb to July, 2022'!AV101</f>
        <v>30</v>
      </c>
      <c r="H1399">
        <f>'Feb to July, 2022'!AW101</f>
        <v>0</v>
      </c>
      <c r="I1399">
        <f>'Feb to July, 2022'!AX101</f>
        <v>12</v>
      </c>
      <c r="J1399">
        <f>G1399*Parameters!$B$2*Parameters!$B$5</f>
        <v>63.87299999999999</v>
      </c>
      <c r="K1399">
        <f>H1399*Parameters!$B$3*Parameters!$B$6</f>
        <v>0</v>
      </c>
      <c r="L1399">
        <f>I1399*Parameters!$B$4*Parameters!$B$7</f>
        <v>97.156800000000018</v>
      </c>
      <c r="M1399">
        <f t="shared" si="21"/>
        <v>161.02980000000002</v>
      </c>
      <c r="N1399">
        <v>3000</v>
      </c>
      <c r="O1399">
        <v>0</v>
      </c>
      <c r="P1399">
        <v>0</v>
      </c>
      <c r="Q1399">
        <v>3600</v>
      </c>
    </row>
    <row r="1400" spans="1:17">
      <c r="A1400" t="s">
        <v>125</v>
      </c>
      <c r="B1400" t="s">
        <v>65</v>
      </c>
      <c r="C1400">
        <v>7</v>
      </c>
      <c r="D1400">
        <v>2022</v>
      </c>
      <c r="E1400" s="49" t="s">
        <v>1</v>
      </c>
      <c r="F1400" s="49" t="s">
        <v>163</v>
      </c>
      <c r="G1400">
        <f>'Feb to July, 2022'!AU102+'Feb to July, 2022'!AV102</f>
        <v>30</v>
      </c>
      <c r="H1400">
        <f>'Feb to July, 2022'!AW102</f>
        <v>0</v>
      </c>
      <c r="I1400">
        <f>'Feb to July, 2022'!AX102</f>
        <v>20</v>
      </c>
      <c r="J1400">
        <f>G1400*Parameters!$B$2*Parameters!$B$5</f>
        <v>63.87299999999999</v>
      </c>
      <c r="K1400">
        <f>H1400*Parameters!$B$3*Parameters!$B$6</f>
        <v>0</v>
      </c>
      <c r="L1400">
        <f>I1400*Parameters!$B$4*Parameters!$B$7</f>
        <v>161.928</v>
      </c>
      <c r="M1400">
        <f t="shared" si="21"/>
        <v>225.80099999999999</v>
      </c>
      <c r="N1400">
        <v>3000</v>
      </c>
      <c r="O1400">
        <v>0</v>
      </c>
      <c r="P1400">
        <v>0</v>
      </c>
      <c r="Q1400">
        <v>6000</v>
      </c>
    </row>
    <row r="1401" spans="1:17">
      <c r="A1401" t="s">
        <v>126</v>
      </c>
      <c r="B1401" t="s">
        <v>65</v>
      </c>
      <c r="C1401">
        <v>6</v>
      </c>
      <c r="D1401">
        <v>2022</v>
      </c>
      <c r="E1401" s="49" t="s">
        <v>1</v>
      </c>
      <c r="F1401" s="49" t="s">
        <v>163</v>
      </c>
      <c r="G1401">
        <f>'Feb to July, 2022'!AU103+'Feb to July, 2022'!AV103</f>
        <v>32</v>
      </c>
      <c r="H1401">
        <f>'Feb to July, 2022'!AW103</f>
        <v>0</v>
      </c>
      <c r="I1401">
        <f>'Feb to July, 2022'!AX103</f>
        <v>0</v>
      </c>
      <c r="J1401">
        <f>G1401*Parameters!$B$2*Parameters!$B$5</f>
        <v>68.131199999999993</v>
      </c>
      <c r="K1401">
        <f>H1401*Parameters!$B$3*Parameters!$B$6</f>
        <v>0</v>
      </c>
      <c r="L1401">
        <f>I1401*Parameters!$B$4*Parameters!$B$7</f>
        <v>0</v>
      </c>
      <c r="M1401">
        <f t="shared" si="21"/>
        <v>68.131199999999993</v>
      </c>
      <c r="N1401">
        <v>3200</v>
      </c>
      <c r="O1401">
        <v>0</v>
      </c>
      <c r="P1401">
        <v>0</v>
      </c>
      <c r="Q1401">
        <v>0</v>
      </c>
    </row>
    <row r="1402" spans="1:17">
      <c r="A1402" t="s">
        <v>16</v>
      </c>
      <c r="B1402" t="s">
        <v>17</v>
      </c>
      <c r="C1402">
        <v>8</v>
      </c>
      <c r="D1402">
        <v>2022</v>
      </c>
      <c r="E1402" s="49" t="s">
        <v>2</v>
      </c>
      <c r="F1402" s="49" t="s">
        <v>163</v>
      </c>
      <c r="G1402">
        <f>'Aug-Apr, 2023'!G4+'Aug-Apr, 2023'!H4</f>
        <v>47</v>
      </c>
      <c r="H1402">
        <f>'Aug-Apr, 2023'!I4</f>
        <v>0</v>
      </c>
      <c r="I1402">
        <f>'Aug-Apr, 2023'!J4</f>
        <v>20</v>
      </c>
      <c r="J1402">
        <f>G1402*Parameters!$B$2*Parameters!$B$5</f>
        <v>100.06769999999997</v>
      </c>
      <c r="K1402">
        <f>H1402*Parameters!$B$3*Parameters!$B$6</f>
        <v>0</v>
      </c>
      <c r="L1402">
        <f>I1402*Parameters!$B$4*Parameters!$B$7</f>
        <v>161.928</v>
      </c>
      <c r="M1402">
        <f t="shared" si="21"/>
        <v>261.99569999999994</v>
      </c>
      <c r="N1402">
        <v>4700</v>
      </c>
      <c r="O1402">
        <v>0</v>
      </c>
      <c r="P1402">
        <v>0</v>
      </c>
      <c r="Q1402">
        <v>6000</v>
      </c>
    </row>
    <row r="1403" spans="1:17">
      <c r="A1403" t="s">
        <v>18</v>
      </c>
      <c r="B1403" t="s">
        <v>19</v>
      </c>
      <c r="C1403">
        <v>7</v>
      </c>
      <c r="D1403">
        <v>2022</v>
      </c>
      <c r="E1403" s="49" t="s">
        <v>2</v>
      </c>
      <c r="F1403" s="49" t="s">
        <v>163</v>
      </c>
      <c r="G1403">
        <f>'Aug-Apr, 2023'!G5+'Aug-Apr, 2023'!H5</f>
        <v>50</v>
      </c>
      <c r="H1403">
        <f>'Aug-Apr, 2023'!I5</f>
        <v>0</v>
      </c>
      <c r="I1403">
        <f>'Aug-Apr, 2023'!J5</f>
        <v>5</v>
      </c>
      <c r="J1403">
        <f>G1403*Parameters!$B$2*Parameters!$B$5</f>
        <v>106.45499999999998</v>
      </c>
      <c r="K1403">
        <f>H1403*Parameters!$B$3*Parameters!$B$6</f>
        <v>0</v>
      </c>
      <c r="L1403">
        <f>I1403*Parameters!$B$4*Parameters!$B$7</f>
        <v>40.481999999999999</v>
      </c>
      <c r="M1403">
        <f t="shared" si="21"/>
        <v>146.93699999999998</v>
      </c>
      <c r="N1403">
        <v>5000</v>
      </c>
      <c r="O1403">
        <v>0</v>
      </c>
      <c r="P1403">
        <v>0</v>
      </c>
      <c r="Q1403">
        <v>1500</v>
      </c>
    </row>
    <row r="1404" spans="1:17">
      <c r="A1404" t="s">
        <v>20</v>
      </c>
      <c r="B1404" t="s">
        <v>21</v>
      </c>
      <c r="C1404">
        <v>10</v>
      </c>
      <c r="D1404">
        <v>2022</v>
      </c>
      <c r="E1404" s="49" t="s">
        <v>2</v>
      </c>
      <c r="F1404" s="49" t="s">
        <v>163</v>
      </c>
      <c r="G1404">
        <f>'Aug-Apr, 2023'!G6+'Aug-Apr, 2023'!H6</f>
        <v>35</v>
      </c>
      <c r="H1404">
        <f>'Aug-Apr, 2023'!I6</f>
        <v>0</v>
      </c>
      <c r="I1404">
        <f>'Aug-Apr, 2023'!J6</f>
        <v>20</v>
      </c>
      <c r="J1404">
        <f>G1404*Parameters!$B$2*Parameters!$B$5</f>
        <v>74.518499999999989</v>
      </c>
      <c r="K1404">
        <f>H1404*Parameters!$B$3*Parameters!$B$6</f>
        <v>0</v>
      </c>
      <c r="L1404">
        <f>I1404*Parameters!$B$4*Parameters!$B$7</f>
        <v>161.928</v>
      </c>
      <c r="M1404">
        <f t="shared" si="21"/>
        <v>236.44649999999999</v>
      </c>
      <c r="N1404">
        <v>3500</v>
      </c>
      <c r="O1404">
        <v>0</v>
      </c>
      <c r="P1404">
        <v>0</v>
      </c>
      <c r="Q1404">
        <v>6000</v>
      </c>
    </row>
    <row r="1405" spans="1:17">
      <c r="A1405" t="s">
        <v>22</v>
      </c>
      <c r="B1405" t="s">
        <v>19</v>
      </c>
      <c r="C1405">
        <v>7</v>
      </c>
      <c r="D1405">
        <v>2022</v>
      </c>
      <c r="E1405" s="49" t="s">
        <v>2</v>
      </c>
      <c r="F1405" s="49" t="s">
        <v>163</v>
      </c>
      <c r="G1405">
        <f>'Aug-Apr, 2023'!G7+'Aug-Apr, 2023'!H7</f>
        <v>42</v>
      </c>
      <c r="H1405">
        <f>'Aug-Apr, 2023'!I7</f>
        <v>0</v>
      </c>
      <c r="I1405">
        <f>'Aug-Apr, 2023'!J7</f>
        <v>10</v>
      </c>
      <c r="J1405">
        <f>G1405*Parameters!$B$2*Parameters!$B$5</f>
        <v>89.422199999999975</v>
      </c>
      <c r="K1405">
        <f>H1405*Parameters!$B$3*Parameters!$B$6</f>
        <v>0</v>
      </c>
      <c r="L1405">
        <f>I1405*Parameters!$B$4*Parameters!$B$7</f>
        <v>80.963999999999999</v>
      </c>
      <c r="M1405">
        <f t="shared" si="21"/>
        <v>170.38619999999997</v>
      </c>
      <c r="N1405">
        <v>4200</v>
      </c>
      <c r="O1405">
        <v>0</v>
      </c>
      <c r="P1405">
        <v>0</v>
      </c>
      <c r="Q1405">
        <v>3000</v>
      </c>
    </row>
    <row r="1406" spans="1:17">
      <c r="A1406" t="s">
        <v>23</v>
      </c>
      <c r="B1406" t="s">
        <v>24</v>
      </c>
      <c r="C1406">
        <v>4</v>
      </c>
      <c r="D1406">
        <v>2022</v>
      </c>
      <c r="E1406" s="49" t="s">
        <v>2</v>
      </c>
      <c r="F1406" s="49" t="s">
        <v>163</v>
      </c>
      <c r="G1406">
        <f>'Aug-Apr, 2023'!G8+'Aug-Apr, 2023'!H8</f>
        <v>38</v>
      </c>
      <c r="H1406">
        <f>'Aug-Apr, 2023'!I8</f>
        <v>0</v>
      </c>
      <c r="I1406">
        <f>'Aug-Apr, 2023'!J8</f>
        <v>16</v>
      </c>
      <c r="J1406">
        <f>G1406*Parameters!$B$2*Parameters!$B$5</f>
        <v>80.905799999999985</v>
      </c>
      <c r="K1406">
        <f>H1406*Parameters!$B$3*Parameters!$B$6</f>
        <v>0</v>
      </c>
      <c r="L1406">
        <f>I1406*Parameters!$B$4*Parameters!$B$7</f>
        <v>129.54240000000001</v>
      </c>
      <c r="M1406">
        <f t="shared" si="21"/>
        <v>210.44819999999999</v>
      </c>
      <c r="N1406">
        <v>3800</v>
      </c>
      <c r="O1406">
        <v>0</v>
      </c>
      <c r="P1406">
        <v>0</v>
      </c>
      <c r="Q1406">
        <v>4800</v>
      </c>
    </row>
    <row r="1407" spans="1:17">
      <c r="A1407" t="s">
        <v>25</v>
      </c>
      <c r="B1407" t="s">
        <v>26</v>
      </c>
      <c r="C1407">
        <v>3</v>
      </c>
      <c r="D1407">
        <v>2022</v>
      </c>
      <c r="E1407" s="49" t="s">
        <v>2</v>
      </c>
      <c r="F1407" s="49" t="s">
        <v>163</v>
      </c>
      <c r="G1407">
        <f>'Aug-Apr, 2023'!G9+'Aug-Apr, 2023'!H9</f>
        <v>30</v>
      </c>
      <c r="H1407">
        <f>'Aug-Apr, 2023'!I9</f>
        <v>0</v>
      </c>
      <c r="I1407">
        <f>'Aug-Apr, 2023'!J9</f>
        <v>20</v>
      </c>
      <c r="J1407">
        <f>G1407*Parameters!$B$2*Parameters!$B$5</f>
        <v>63.87299999999999</v>
      </c>
      <c r="K1407">
        <f>H1407*Parameters!$B$3*Parameters!$B$6</f>
        <v>0</v>
      </c>
      <c r="L1407">
        <f>I1407*Parameters!$B$4*Parameters!$B$7</f>
        <v>161.928</v>
      </c>
      <c r="M1407">
        <f t="shared" si="21"/>
        <v>225.80099999999999</v>
      </c>
      <c r="N1407">
        <v>3000</v>
      </c>
      <c r="O1407">
        <v>0</v>
      </c>
      <c r="P1407">
        <v>0</v>
      </c>
      <c r="Q1407">
        <v>6000</v>
      </c>
    </row>
    <row r="1408" spans="1:17">
      <c r="A1408" t="s">
        <v>27</v>
      </c>
      <c r="B1408" t="s">
        <v>21</v>
      </c>
      <c r="C1408">
        <v>6</v>
      </c>
      <c r="D1408">
        <v>2022</v>
      </c>
      <c r="E1408" s="49" t="s">
        <v>2</v>
      </c>
      <c r="F1408" s="49" t="s">
        <v>163</v>
      </c>
      <c r="G1408">
        <f>'Aug-Apr, 2023'!G10+'Aug-Apr, 2023'!H10</f>
        <v>50</v>
      </c>
      <c r="H1408">
        <f>'Aug-Apr, 2023'!I10</f>
        <v>0</v>
      </c>
      <c r="I1408">
        <f>'Aug-Apr, 2023'!J10</f>
        <v>20</v>
      </c>
      <c r="J1408">
        <f>G1408*Parameters!$B$2*Parameters!$B$5</f>
        <v>106.45499999999998</v>
      </c>
      <c r="K1408">
        <f>H1408*Parameters!$B$3*Parameters!$B$6</f>
        <v>0</v>
      </c>
      <c r="L1408">
        <f>I1408*Parameters!$B$4*Parameters!$B$7</f>
        <v>161.928</v>
      </c>
      <c r="M1408">
        <f t="shared" si="21"/>
        <v>268.38299999999998</v>
      </c>
      <c r="N1408">
        <v>5000</v>
      </c>
      <c r="O1408">
        <v>0</v>
      </c>
      <c r="P1408">
        <v>0</v>
      </c>
      <c r="Q1408">
        <v>6000</v>
      </c>
    </row>
    <row r="1409" spans="1:17">
      <c r="A1409" t="s">
        <v>28</v>
      </c>
      <c r="B1409" t="s">
        <v>19</v>
      </c>
      <c r="C1409">
        <v>9</v>
      </c>
      <c r="D1409">
        <v>2022</v>
      </c>
      <c r="E1409" s="49" t="s">
        <v>2</v>
      </c>
      <c r="F1409" s="49" t="s">
        <v>163</v>
      </c>
      <c r="G1409">
        <f>'Aug-Apr, 2023'!G11+'Aug-Apr, 2023'!H11</f>
        <v>50</v>
      </c>
      <c r="H1409">
        <f>'Aug-Apr, 2023'!I11</f>
        <v>0</v>
      </c>
      <c r="I1409">
        <f>'Aug-Apr, 2023'!J11</f>
        <v>20</v>
      </c>
      <c r="J1409">
        <f>G1409*Parameters!$B$2*Parameters!$B$5</f>
        <v>106.45499999999998</v>
      </c>
      <c r="K1409">
        <f>H1409*Parameters!$B$3*Parameters!$B$6</f>
        <v>0</v>
      </c>
      <c r="L1409">
        <f>I1409*Parameters!$B$4*Parameters!$B$7</f>
        <v>161.928</v>
      </c>
      <c r="M1409">
        <f t="shared" si="21"/>
        <v>268.38299999999998</v>
      </c>
      <c r="N1409">
        <v>5000</v>
      </c>
      <c r="O1409">
        <v>0</v>
      </c>
      <c r="P1409">
        <v>0</v>
      </c>
      <c r="Q1409">
        <v>6000</v>
      </c>
    </row>
    <row r="1410" spans="1:17">
      <c r="A1410" t="s">
        <v>29</v>
      </c>
      <c r="B1410" t="s">
        <v>24</v>
      </c>
      <c r="C1410">
        <v>4</v>
      </c>
      <c r="D1410">
        <v>2022</v>
      </c>
      <c r="E1410" s="49" t="s">
        <v>2</v>
      </c>
      <c r="F1410" s="49" t="s">
        <v>163</v>
      </c>
      <c r="G1410">
        <f>'Aug-Apr, 2023'!G12+'Aug-Apr, 2023'!H12</f>
        <v>42</v>
      </c>
      <c r="H1410">
        <f>'Aug-Apr, 2023'!I12</f>
        <v>0</v>
      </c>
      <c r="I1410">
        <f>'Aug-Apr, 2023'!J12</f>
        <v>5</v>
      </c>
      <c r="J1410">
        <f>G1410*Parameters!$B$2*Parameters!$B$5</f>
        <v>89.422199999999975</v>
      </c>
      <c r="K1410">
        <f>H1410*Parameters!$B$3*Parameters!$B$6</f>
        <v>0</v>
      </c>
      <c r="L1410">
        <f>I1410*Parameters!$B$4*Parameters!$B$7</f>
        <v>40.481999999999999</v>
      </c>
      <c r="M1410">
        <f t="shared" si="21"/>
        <v>129.90419999999997</v>
      </c>
      <c r="N1410">
        <v>4200</v>
      </c>
      <c r="O1410">
        <v>0</v>
      </c>
      <c r="P1410">
        <v>0</v>
      </c>
      <c r="Q1410">
        <v>1500</v>
      </c>
    </row>
    <row r="1411" spans="1:17">
      <c r="A1411" t="s">
        <v>30</v>
      </c>
      <c r="B1411" t="s">
        <v>21</v>
      </c>
      <c r="C1411">
        <v>6</v>
      </c>
      <c r="D1411">
        <v>2022</v>
      </c>
      <c r="E1411" s="49" t="s">
        <v>2</v>
      </c>
      <c r="F1411" s="49" t="s">
        <v>163</v>
      </c>
      <c r="G1411">
        <f>'Aug-Apr, 2023'!G13+'Aug-Apr, 2023'!H13</f>
        <v>32</v>
      </c>
      <c r="H1411">
        <f>'Aug-Apr, 2023'!I13</f>
        <v>0</v>
      </c>
      <c r="I1411">
        <f>'Aug-Apr, 2023'!J13</f>
        <v>15</v>
      </c>
      <c r="J1411">
        <f>G1411*Parameters!$B$2*Parameters!$B$5</f>
        <v>68.131199999999993</v>
      </c>
      <c r="K1411">
        <f>H1411*Parameters!$B$3*Parameters!$B$6</f>
        <v>0</v>
      </c>
      <c r="L1411">
        <f>I1411*Parameters!$B$4*Parameters!$B$7</f>
        <v>121.44600000000001</v>
      </c>
      <c r="M1411">
        <f t="shared" ref="M1411:M1474" si="22">SUM(J1411:L1411)</f>
        <v>189.5772</v>
      </c>
      <c r="N1411">
        <v>3200</v>
      </c>
      <c r="O1411">
        <v>0</v>
      </c>
      <c r="P1411">
        <v>0</v>
      </c>
      <c r="Q1411">
        <v>4500</v>
      </c>
    </row>
    <row r="1412" spans="1:17">
      <c r="A1412" t="s">
        <v>31</v>
      </c>
      <c r="B1412" t="s">
        <v>32</v>
      </c>
      <c r="C1412">
        <v>4</v>
      </c>
      <c r="D1412">
        <v>2022</v>
      </c>
      <c r="E1412" s="49" t="s">
        <v>2</v>
      </c>
      <c r="F1412" s="49" t="s">
        <v>163</v>
      </c>
      <c r="G1412">
        <f>'Aug-Apr, 2023'!G14+'Aug-Apr, 2023'!H14</f>
        <v>50</v>
      </c>
      <c r="H1412">
        <f>'Aug-Apr, 2023'!I14</f>
        <v>0</v>
      </c>
      <c r="I1412">
        <f>'Aug-Apr, 2023'!J14</f>
        <v>18</v>
      </c>
      <c r="J1412">
        <f>G1412*Parameters!$B$2*Parameters!$B$5</f>
        <v>106.45499999999998</v>
      </c>
      <c r="K1412">
        <f>H1412*Parameters!$B$3*Parameters!$B$6</f>
        <v>0</v>
      </c>
      <c r="L1412">
        <f>I1412*Parameters!$B$4*Parameters!$B$7</f>
        <v>145.73520000000002</v>
      </c>
      <c r="M1412">
        <f t="shared" si="22"/>
        <v>252.1902</v>
      </c>
      <c r="N1412">
        <v>5000</v>
      </c>
      <c r="O1412">
        <v>0</v>
      </c>
      <c r="P1412">
        <v>0</v>
      </c>
      <c r="Q1412">
        <v>5400</v>
      </c>
    </row>
    <row r="1413" spans="1:17">
      <c r="A1413" t="s">
        <v>33</v>
      </c>
      <c r="B1413" t="s">
        <v>32</v>
      </c>
      <c r="C1413">
        <v>6</v>
      </c>
      <c r="D1413">
        <v>2022</v>
      </c>
      <c r="E1413" s="49" t="s">
        <v>2</v>
      </c>
      <c r="F1413" s="49" t="s">
        <v>163</v>
      </c>
      <c r="G1413">
        <f>'Aug-Apr, 2023'!G15+'Aug-Apr, 2023'!H15</f>
        <v>10</v>
      </c>
      <c r="H1413">
        <f>'Aug-Apr, 2023'!I15</f>
        <v>0</v>
      </c>
      <c r="I1413">
        <f>'Aug-Apr, 2023'!J15</f>
        <v>14</v>
      </c>
      <c r="J1413">
        <f>G1413*Parameters!$B$2*Parameters!$B$5</f>
        <v>21.290999999999997</v>
      </c>
      <c r="K1413">
        <f>H1413*Parameters!$B$3*Parameters!$B$6</f>
        <v>0</v>
      </c>
      <c r="L1413">
        <f>I1413*Parameters!$B$4*Parameters!$B$7</f>
        <v>113.34960000000001</v>
      </c>
      <c r="M1413">
        <f t="shared" si="22"/>
        <v>134.64060000000001</v>
      </c>
      <c r="N1413">
        <v>1000</v>
      </c>
      <c r="O1413">
        <v>0</v>
      </c>
      <c r="P1413">
        <v>0</v>
      </c>
      <c r="Q1413">
        <v>4200</v>
      </c>
    </row>
    <row r="1414" spans="1:17">
      <c r="A1414" t="s">
        <v>34</v>
      </c>
      <c r="B1414" t="s">
        <v>21</v>
      </c>
      <c r="C1414">
        <v>9</v>
      </c>
      <c r="D1414">
        <v>2022</v>
      </c>
      <c r="E1414" s="49" t="s">
        <v>2</v>
      </c>
      <c r="F1414" s="49" t="s">
        <v>163</v>
      </c>
      <c r="G1414">
        <f>'Aug-Apr, 2023'!G16+'Aug-Apr, 2023'!H16</f>
        <v>38</v>
      </c>
      <c r="H1414">
        <f>'Aug-Apr, 2023'!I16</f>
        <v>0</v>
      </c>
      <c r="I1414">
        <f>'Aug-Apr, 2023'!J16</f>
        <v>16</v>
      </c>
      <c r="J1414">
        <f>G1414*Parameters!$B$2*Parameters!$B$5</f>
        <v>80.905799999999985</v>
      </c>
      <c r="K1414">
        <f>H1414*Parameters!$B$3*Parameters!$B$6</f>
        <v>0</v>
      </c>
      <c r="L1414">
        <f>I1414*Parameters!$B$4*Parameters!$B$7</f>
        <v>129.54240000000001</v>
      </c>
      <c r="M1414">
        <f t="shared" si="22"/>
        <v>210.44819999999999</v>
      </c>
      <c r="N1414">
        <v>3800</v>
      </c>
      <c r="O1414">
        <v>0</v>
      </c>
      <c r="P1414">
        <v>0</v>
      </c>
      <c r="Q1414">
        <v>4800</v>
      </c>
    </row>
    <row r="1415" spans="1:17">
      <c r="A1415" t="s">
        <v>35</v>
      </c>
      <c r="B1415" t="s">
        <v>21</v>
      </c>
      <c r="C1415">
        <v>6</v>
      </c>
      <c r="D1415">
        <v>2022</v>
      </c>
      <c r="E1415" s="49" t="s">
        <v>2</v>
      </c>
      <c r="F1415" s="49" t="s">
        <v>163</v>
      </c>
      <c r="G1415">
        <f>'Aug-Apr, 2023'!G17+'Aug-Apr, 2023'!H17</f>
        <v>32</v>
      </c>
      <c r="H1415">
        <f>'Aug-Apr, 2023'!I17</f>
        <v>0</v>
      </c>
      <c r="I1415">
        <f>'Aug-Apr, 2023'!J17</f>
        <v>18</v>
      </c>
      <c r="J1415">
        <f>G1415*Parameters!$B$2*Parameters!$B$5</f>
        <v>68.131199999999993</v>
      </c>
      <c r="K1415">
        <f>H1415*Parameters!$B$3*Parameters!$B$6</f>
        <v>0</v>
      </c>
      <c r="L1415">
        <f>I1415*Parameters!$B$4*Parameters!$B$7</f>
        <v>145.73520000000002</v>
      </c>
      <c r="M1415">
        <f t="shared" si="22"/>
        <v>213.8664</v>
      </c>
      <c r="N1415">
        <v>0</v>
      </c>
      <c r="O1415">
        <v>3200</v>
      </c>
      <c r="P1415">
        <v>0</v>
      </c>
      <c r="Q1415">
        <v>5400</v>
      </c>
    </row>
    <row r="1416" spans="1:17">
      <c r="A1416" t="s">
        <v>36</v>
      </c>
      <c r="B1416" t="s">
        <v>21</v>
      </c>
      <c r="C1416">
        <v>12</v>
      </c>
      <c r="D1416">
        <v>2022</v>
      </c>
      <c r="E1416" s="49" t="s">
        <v>2</v>
      </c>
      <c r="F1416" s="49" t="s">
        <v>163</v>
      </c>
      <c r="G1416">
        <f>'Aug-Apr, 2023'!G18+'Aug-Apr, 2023'!H18</f>
        <v>35</v>
      </c>
      <c r="H1416">
        <f>'Aug-Apr, 2023'!I18</f>
        <v>0</v>
      </c>
      <c r="I1416">
        <f>'Aug-Apr, 2023'!J18</f>
        <v>14</v>
      </c>
      <c r="J1416">
        <f>G1416*Parameters!$B$2*Parameters!$B$5</f>
        <v>74.518499999999989</v>
      </c>
      <c r="K1416">
        <f>H1416*Parameters!$B$3*Parameters!$B$6</f>
        <v>0</v>
      </c>
      <c r="L1416">
        <f>I1416*Parameters!$B$4*Parameters!$B$7</f>
        <v>113.34960000000001</v>
      </c>
      <c r="M1416">
        <f t="shared" si="22"/>
        <v>187.8681</v>
      </c>
      <c r="N1416">
        <v>3500</v>
      </c>
      <c r="O1416">
        <v>0</v>
      </c>
      <c r="P1416">
        <v>0</v>
      </c>
      <c r="Q1416">
        <v>4200</v>
      </c>
    </row>
    <row r="1417" spans="1:17">
      <c r="A1417" t="s">
        <v>37</v>
      </c>
      <c r="B1417" t="s">
        <v>38</v>
      </c>
      <c r="C1417">
        <v>7</v>
      </c>
      <c r="D1417">
        <v>2022</v>
      </c>
      <c r="E1417" s="49" t="s">
        <v>2</v>
      </c>
      <c r="F1417" s="49" t="s">
        <v>163</v>
      </c>
      <c r="G1417">
        <f>'Aug-Apr, 2023'!G19+'Aug-Apr, 2023'!H19</f>
        <v>38</v>
      </c>
      <c r="H1417">
        <f>'Aug-Apr, 2023'!I19</f>
        <v>0</v>
      </c>
      <c r="I1417">
        <f>'Aug-Apr, 2023'!J19</f>
        <v>20</v>
      </c>
      <c r="J1417">
        <f>G1417*Parameters!$B$2*Parameters!$B$5</f>
        <v>80.905799999999985</v>
      </c>
      <c r="K1417">
        <f>H1417*Parameters!$B$3*Parameters!$B$6</f>
        <v>0</v>
      </c>
      <c r="L1417">
        <f>I1417*Parameters!$B$4*Parameters!$B$7</f>
        <v>161.928</v>
      </c>
      <c r="M1417">
        <f t="shared" si="22"/>
        <v>242.8338</v>
      </c>
      <c r="N1417">
        <v>3800</v>
      </c>
      <c r="O1417">
        <v>0</v>
      </c>
      <c r="P1417">
        <v>0</v>
      </c>
      <c r="Q1417">
        <v>6000</v>
      </c>
    </row>
    <row r="1418" spans="1:17">
      <c r="A1418" t="s">
        <v>39</v>
      </c>
      <c r="B1418" t="s">
        <v>40</v>
      </c>
      <c r="C1418">
        <v>6</v>
      </c>
      <c r="D1418">
        <v>2022</v>
      </c>
      <c r="E1418" s="49" t="s">
        <v>2</v>
      </c>
      <c r="F1418" s="49" t="s">
        <v>163</v>
      </c>
      <c r="G1418">
        <f>'Aug-Apr, 2023'!G20+'Aug-Apr, 2023'!H20</f>
        <v>60</v>
      </c>
      <c r="H1418">
        <f>'Aug-Apr, 2023'!I20</f>
        <v>0</v>
      </c>
      <c r="I1418">
        <f>'Aug-Apr, 2023'!J20</f>
        <v>10</v>
      </c>
      <c r="J1418">
        <f>G1418*Parameters!$B$2*Parameters!$B$5</f>
        <v>127.74599999999998</v>
      </c>
      <c r="K1418">
        <f>H1418*Parameters!$B$3*Parameters!$B$6</f>
        <v>0</v>
      </c>
      <c r="L1418">
        <f>I1418*Parameters!$B$4*Parameters!$B$7</f>
        <v>80.963999999999999</v>
      </c>
      <c r="M1418">
        <f t="shared" si="22"/>
        <v>208.70999999999998</v>
      </c>
      <c r="N1418">
        <v>4000</v>
      </c>
      <c r="O1418">
        <v>2000</v>
      </c>
      <c r="P1418">
        <v>0</v>
      </c>
      <c r="Q1418">
        <v>3000</v>
      </c>
    </row>
    <row r="1419" spans="1:17">
      <c r="A1419" t="s">
        <v>41</v>
      </c>
      <c r="B1419" t="s">
        <v>26</v>
      </c>
      <c r="C1419">
        <v>5</v>
      </c>
      <c r="D1419">
        <v>2022</v>
      </c>
      <c r="E1419" s="49" t="s">
        <v>2</v>
      </c>
      <c r="F1419" s="49" t="s">
        <v>163</v>
      </c>
      <c r="G1419">
        <f>'Aug-Apr, 2023'!G21+'Aug-Apr, 2023'!H21</f>
        <v>38</v>
      </c>
      <c r="H1419">
        <f>'Aug-Apr, 2023'!I21</f>
        <v>0</v>
      </c>
      <c r="I1419">
        <f>'Aug-Apr, 2023'!J21</f>
        <v>5</v>
      </c>
      <c r="J1419">
        <f>G1419*Parameters!$B$2*Parameters!$B$5</f>
        <v>80.905799999999985</v>
      </c>
      <c r="K1419">
        <f>H1419*Parameters!$B$3*Parameters!$B$6</f>
        <v>0</v>
      </c>
      <c r="L1419">
        <f>I1419*Parameters!$B$4*Parameters!$B$7</f>
        <v>40.481999999999999</v>
      </c>
      <c r="M1419">
        <f t="shared" si="22"/>
        <v>121.38779999999998</v>
      </c>
      <c r="N1419">
        <v>3800</v>
      </c>
      <c r="O1419">
        <v>0</v>
      </c>
      <c r="P1419">
        <v>0</v>
      </c>
      <c r="Q1419">
        <v>1500</v>
      </c>
    </row>
    <row r="1420" spans="1:17">
      <c r="A1420" t="s">
        <v>42</v>
      </c>
      <c r="B1420" t="s">
        <v>24</v>
      </c>
      <c r="C1420">
        <v>5</v>
      </c>
      <c r="D1420">
        <v>2022</v>
      </c>
      <c r="E1420" s="49" t="s">
        <v>2</v>
      </c>
      <c r="F1420" s="49" t="s">
        <v>163</v>
      </c>
      <c r="G1420">
        <f>'Aug-Apr, 2023'!G22+'Aug-Apr, 2023'!H22</f>
        <v>40</v>
      </c>
      <c r="H1420">
        <f>'Aug-Apr, 2023'!I22</f>
        <v>0</v>
      </c>
      <c r="I1420">
        <f>'Aug-Apr, 2023'!J22</f>
        <v>12</v>
      </c>
      <c r="J1420">
        <f>G1420*Parameters!$B$2*Parameters!$B$5</f>
        <v>85.163999999999987</v>
      </c>
      <c r="K1420">
        <f>H1420*Parameters!$B$3*Parameters!$B$6</f>
        <v>0</v>
      </c>
      <c r="L1420">
        <f>I1420*Parameters!$B$4*Parameters!$B$7</f>
        <v>97.156800000000018</v>
      </c>
      <c r="M1420">
        <f t="shared" si="22"/>
        <v>182.32080000000002</v>
      </c>
      <c r="N1420">
        <v>4000</v>
      </c>
      <c r="O1420">
        <v>0</v>
      </c>
      <c r="P1420">
        <v>0</v>
      </c>
      <c r="Q1420">
        <v>3600</v>
      </c>
    </row>
    <row r="1421" spans="1:17">
      <c r="A1421" t="s">
        <v>43</v>
      </c>
      <c r="B1421" t="s">
        <v>19</v>
      </c>
      <c r="C1421">
        <v>8</v>
      </c>
      <c r="D1421">
        <v>2022</v>
      </c>
      <c r="E1421" s="49" t="s">
        <v>2</v>
      </c>
      <c r="F1421" s="49" t="s">
        <v>163</v>
      </c>
      <c r="G1421">
        <f>'Aug-Apr, 2023'!G23+'Aug-Apr, 2023'!H23</f>
        <v>30</v>
      </c>
      <c r="H1421">
        <f>'Aug-Apr, 2023'!I23</f>
        <v>0</v>
      </c>
      <c r="I1421">
        <f>'Aug-Apr, 2023'!J23</f>
        <v>20</v>
      </c>
      <c r="J1421">
        <f>G1421*Parameters!$B$2*Parameters!$B$5</f>
        <v>63.87299999999999</v>
      </c>
      <c r="K1421">
        <f>H1421*Parameters!$B$3*Parameters!$B$6</f>
        <v>0</v>
      </c>
      <c r="L1421">
        <f>I1421*Parameters!$B$4*Parameters!$B$7</f>
        <v>161.928</v>
      </c>
      <c r="M1421">
        <f t="shared" si="22"/>
        <v>225.80099999999999</v>
      </c>
      <c r="N1421">
        <v>3000</v>
      </c>
      <c r="O1421">
        <v>0</v>
      </c>
      <c r="P1421">
        <v>0</v>
      </c>
      <c r="Q1421">
        <v>6000</v>
      </c>
    </row>
    <row r="1422" spans="1:17">
      <c r="A1422" t="s">
        <v>44</v>
      </c>
      <c r="B1422" t="s">
        <v>40</v>
      </c>
      <c r="C1422">
        <v>10</v>
      </c>
      <c r="D1422">
        <v>2022</v>
      </c>
      <c r="E1422" s="49" t="s">
        <v>2</v>
      </c>
      <c r="F1422" s="49" t="s">
        <v>163</v>
      </c>
      <c r="G1422">
        <f>'Aug-Apr, 2023'!G24+'Aug-Apr, 2023'!H24</f>
        <v>35</v>
      </c>
      <c r="H1422">
        <f>'Aug-Apr, 2023'!I24</f>
        <v>0</v>
      </c>
      <c r="I1422">
        <f>'Aug-Apr, 2023'!J24</f>
        <v>20</v>
      </c>
      <c r="J1422">
        <f>G1422*Parameters!$B$2*Parameters!$B$5</f>
        <v>74.518499999999989</v>
      </c>
      <c r="K1422">
        <f>H1422*Parameters!$B$3*Parameters!$B$6</f>
        <v>0</v>
      </c>
      <c r="L1422">
        <f>I1422*Parameters!$B$4*Parameters!$B$7</f>
        <v>161.928</v>
      </c>
      <c r="M1422">
        <f t="shared" si="22"/>
        <v>236.44649999999999</v>
      </c>
      <c r="N1422">
        <v>3500</v>
      </c>
      <c r="O1422">
        <v>0</v>
      </c>
      <c r="P1422">
        <v>0</v>
      </c>
      <c r="Q1422">
        <v>6000</v>
      </c>
    </row>
    <row r="1423" spans="1:17">
      <c r="A1423" t="s">
        <v>45</v>
      </c>
      <c r="B1423" t="s">
        <v>24</v>
      </c>
      <c r="C1423">
        <v>8</v>
      </c>
      <c r="D1423">
        <v>2022</v>
      </c>
      <c r="E1423" s="49" t="s">
        <v>2</v>
      </c>
      <c r="F1423" s="49" t="s">
        <v>163</v>
      </c>
      <c r="G1423">
        <f>'Aug-Apr, 2023'!G25+'Aug-Apr, 2023'!H25</f>
        <v>40</v>
      </c>
      <c r="H1423">
        <f>'Aug-Apr, 2023'!I25</f>
        <v>0</v>
      </c>
      <c r="I1423">
        <f>'Aug-Apr, 2023'!J25</f>
        <v>20</v>
      </c>
      <c r="J1423">
        <f>G1423*Parameters!$B$2*Parameters!$B$5</f>
        <v>85.163999999999987</v>
      </c>
      <c r="K1423">
        <f>H1423*Parameters!$B$3*Parameters!$B$6</f>
        <v>0</v>
      </c>
      <c r="L1423">
        <f>I1423*Parameters!$B$4*Parameters!$B$7</f>
        <v>161.928</v>
      </c>
      <c r="M1423">
        <f t="shared" si="22"/>
        <v>247.09199999999998</v>
      </c>
      <c r="N1423">
        <v>4000</v>
      </c>
      <c r="O1423">
        <v>0</v>
      </c>
      <c r="P1423">
        <v>0</v>
      </c>
      <c r="Q1423">
        <v>6000</v>
      </c>
    </row>
    <row r="1424" spans="1:17">
      <c r="A1424" t="s">
        <v>46</v>
      </c>
      <c r="B1424" t="s">
        <v>24</v>
      </c>
      <c r="C1424">
        <v>4</v>
      </c>
      <c r="D1424">
        <v>2022</v>
      </c>
      <c r="E1424" s="49" t="s">
        <v>2</v>
      </c>
      <c r="F1424" s="49" t="s">
        <v>163</v>
      </c>
      <c r="G1424">
        <f>'Aug-Apr, 2023'!G26+'Aug-Apr, 2023'!H26</f>
        <v>25</v>
      </c>
      <c r="H1424">
        <f>'Aug-Apr, 2023'!I26</f>
        <v>0</v>
      </c>
      <c r="I1424">
        <f>'Aug-Apr, 2023'!J26</f>
        <v>8</v>
      </c>
      <c r="J1424">
        <f>G1424*Parameters!$B$2*Parameters!$B$5</f>
        <v>53.227499999999992</v>
      </c>
      <c r="K1424">
        <f>H1424*Parameters!$B$3*Parameters!$B$6</f>
        <v>0</v>
      </c>
      <c r="L1424">
        <f>I1424*Parameters!$B$4*Parameters!$B$7</f>
        <v>64.771200000000007</v>
      </c>
      <c r="M1424">
        <f t="shared" si="22"/>
        <v>117.9987</v>
      </c>
      <c r="N1424">
        <v>2500</v>
      </c>
      <c r="O1424">
        <v>0</v>
      </c>
      <c r="P1424">
        <v>0</v>
      </c>
      <c r="Q1424">
        <v>2400</v>
      </c>
    </row>
    <row r="1425" spans="1:17">
      <c r="A1425" t="s">
        <v>47</v>
      </c>
      <c r="B1425" t="s">
        <v>19</v>
      </c>
      <c r="C1425">
        <v>6</v>
      </c>
      <c r="D1425">
        <v>2022</v>
      </c>
      <c r="E1425" s="49" t="s">
        <v>2</v>
      </c>
      <c r="F1425" s="49" t="s">
        <v>163</v>
      </c>
      <c r="G1425">
        <f>'Aug-Apr, 2023'!G27+'Aug-Apr, 2023'!H27</f>
        <v>30</v>
      </c>
      <c r="H1425">
        <f>'Aug-Apr, 2023'!I27</f>
        <v>0</v>
      </c>
      <c r="I1425">
        <f>'Aug-Apr, 2023'!J27</f>
        <v>10</v>
      </c>
      <c r="J1425">
        <f>G1425*Parameters!$B$2*Parameters!$B$5</f>
        <v>63.87299999999999</v>
      </c>
      <c r="K1425">
        <f>H1425*Parameters!$B$3*Parameters!$B$6</f>
        <v>0</v>
      </c>
      <c r="L1425">
        <f>I1425*Parameters!$B$4*Parameters!$B$7</f>
        <v>80.963999999999999</v>
      </c>
      <c r="M1425">
        <f t="shared" si="22"/>
        <v>144.83699999999999</v>
      </c>
      <c r="N1425">
        <v>3000</v>
      </c>
      <c r="O1425">
        <v>0</v>
      </c>
      <c r="P1425">
        <v>0</v>
      </c>
      <c r="Q1425">
        <v>3000</v>
      </c>
    </row>
    <row r="1426" spans="1:17">
      <c r="A1426" t="s">
        <v>48</v>
      </c>
      <c r="B1426" t="s">
        <v>24</v>
      </c>
      <c r="C1426">
        <v>4</v>
      </c>
      <c r="D1426">
        <v>2022</v>
      </c>
      <c r="E1426" s="49" t="s">
        <v>2</v>
      </c>
      <c r="F1426" s="49" t="s">
        <v>163</v>
      </c>
      <c r="G1426">
        <f>'Aug-Apr, 2023'!G28+'Aug-Apr, 2023'!H28</f>
        <v>30</v>
      </c>
      <c r="H1426">
        <f>'Aug-Apr, 2023'!I28</f>
        <v>0</v>
      </c>
      <c r="I1426">
        <f>'Aug-Apr, 2023'!J28</f>
        <v>8</v>
      </c>
      <c r="J1426">
        <f>G1426*Parameters!$B$2*Parameters!$B$5</f>
        <v>63.87299999999999</v>
      </c>
      <c r="K1426">
        <f>H1426*Parameters!$B$3*Parameters!$B$6</f>
        <v>0</v>
      </c>
      <c r="L1426">
        <f>I1426*Parameters!$B$4*Parameters!$B$7</f>
        <v>64.771200000000007</v>
      </c>
      <c r="M1426">
        <f t="shared" si="22"/>
        <v>128.64420000000001</v>
      </c>
      <c r="N1426">
        <v>3000</v>
      </c>
      <c r="O1426">
        <v>0</v>
      </c>
      <c r="P1426">
        <v>0</v>
      </c>
      <c r="Q1426">
        <v>2400</v>
      </c>
    </row>
    <row r="1427" spans="1:17">
      <c r="A1427" t="s">
        <v>49</v>
      </c>
      <c r="B1427" t="s">
        <v>38</v>
      </c>
      <c r="C1427">
        <v>2</v>
      </c>
      <c r="D1427">
        <v>2022</v>
      </c>
      <c r="E1427" s="49" t="s">
        <v>2</v>
      </c>
      <c r="F1427" s="49" t="s">
        <v>163</v>
      </c>
      <c r="G1427">
        <f>'Aug-Apr, 2023'!G29+'Aug-Apr, 2023'!H29</f>
        <v>28</v>
      </c>
      <c r="H1427">
        <f>'Aug-Apr, 2023'!I29</f>
        <v>0</v>
      </c>
      <c r="I1427">
        <f>'Aug-Apr, 2023'!J29</f>
        <v>12</v>
      </c>
      <c r="J1427">
        <f>G1427*Parameters!$B$2*Parameters!$B$5</f>
        <v>59.614799999999995</v>
      </c>
      <c r="K1427">
        <f>H1427*Parameters!$B$3*Parameters!$B$6</f>
        <v>0</v>
      </c>
      <c r="L1427">
        <f>I1427*Parameters!$B$4*Parameters!$B$7</f>
        <v>97.156800000000018</v>
      </c>
      <c r="M1427">
        <f t="shared" si="22"/>
        <v>156.77160000000001</v>
      </c>
      <c r="N1427">
        <v>2800</v>
      </c>
      <c r="O1427">
        <v>0</v>
      </c>
      <c r="P1427">
        <v>0</v>
      </c>
      <c r="Q1427">
        <v>3600</v>
      </c>
    </row>
    <row r="1428" spans="1:17">
      <c r="A1428" t="s">
        <v>50</v>
      </c>
      <c r="B1428" t="s">
        <v>19</v>
      </c>
      <c r="C1428">
        <v>8</v>
      </c>
      <c r="D1428">
        <v>2022</v>
      </c>
      <c r="E1428" s="49" t="s">
        <v>2</v>
      </c>
      <c r="F1428" s="49" t="s">
        <v>163</v>
      </c>
      <c r="G1428">
        <f>'Aug-Apr, 2023'!G30+'Aug-Apr, 2023'!H30</f>
        <v>32</v>
      </c>
      <c r="H1428">
        <f>'Aug-Apr, 2023'!I30</f>
        <v>0</v>
      </c>
      <c r="I1428">
        <f>'Aug-Apr, 2023'!J30</f>
        <v>10</v>
      </c>
      <c r="J1428">
        <f>G1428*Parameters!$B$2*Parameters!$B$5</f>
        <v>68.131199999999993</v>
      </c>
      <c r="K1428">
        <f>H1428*Parameters!$B$3*Parameters!$B$6</f>
        <v>0</v>
      </c>
      <c r="L1428">
        <f>I1428*Parameters!$B$4*Parameters!$B$7</f>
        <v>80.963999999999999</v>
      </c>
      <c r="M1428">
        <f t="shared" si="22"/>
        <v>149.09519999999998</v>
      </c>
      <c r="N1428">
        <v>3200</v>
      </c>
      <c r="O1428">
        <v>0</v>
      </c>
      <c r="P1428">
        <v>0</v>
      </c>
      <c r="Q1428">
        <v>3000</v>
      </c>
    </row>
    <row r="1429" spans="1:17">
      <c r="A1429" t="s">
        <v>51</v>
      </c>
      <c r="B1429" t="s">
        <v>19</v>
      </c>
      <c r="C1429">
        <v>6</v>
      </c>
      <c r="D1429">
        <v>2022</v>
      </c>
      <c r="E1429" s="49" t="s">
        <v>2</v>
      </c>
      <c r="F1429" s="49" t="s">
        <v>163</v>
      </c>
      <c r="G1429">
        <f>'Aug-Apr, 2023'!G31+'Aug-Apr, 2023'!H31</f>
        <v>45</v>
      </c>
      <c r="H1429">
        <f>'Aug-Apr, 2023'!I31</f>
        <v>0</v>
      </c>
      <c r="I1429">
        <f>'Aug-Apr, 2023'!J31</f>
        <v>16</v>
      </c>
      <c r="J1429">
        <f>G1429*Parameters!$B$2*Parameters!$B$5</f>
        <v>95.809499999999986</v>
      </c>
      <c r="K1429">
        <f>H1429*Parameters!$B$3*Parameters!$B$6</f>
        <v>0</v>
      </c>
      <c r="L1429">
        <f>I1429*Parameters!$B$4*Parameters!$B$7</f>
        <v>129.54240000000001</v>
      </c>
      <c r="M1429">
        <f t="shared" si="22"/>
        <v>225.3519</v>
      </c>
      <c r="N1429">
        <v>4500</v>
      </c>
      <c r="O1429">
        <v>0</v>
      </c>
      <c r="P1429">
        <v>0</v>
      </c>
      <c r="Q1429">
        <v>4800</v>
      </c>
    </row>
    <row r="1430" spans="1:17">
      <c r="A1430" t="s">
        <v>52</v>
      </c>
      <c r="B1430" t="s">
        <v>38</v>
      </c>
      <c r="C1430">
        <v>12</v>
      </c>
      <c r="D1430">
        <v>2022</v>
      </c>
      <c r="E1430" s="49" t="s">
        <v>2</v>
      </c>
      <c r="F1430" s="49" t="s">
        <v>163</v>
      </c>
      <c r="G1430">
        <f>'Aug-Apr, 2023'!G32+'Aug-Apr, 2023'!H32</f>
        <v>35</v>
      </c>
      <c r="H1430">
        <f>'Aug-Apr, 2023'!I32</f>
        <v>0</v>
      </c>
      <c r="I1430">
        <f>'Aug-Apr, 2023'!J32</f>
        <v>15</v>
      </c>
      <c r="J1430">
        <f>G1430*Parameters!$B$2*Parameters!$B$5</f>
        <v>74.518499999999989</v>
      </c>
      <c r="K1430">
        <f>H1430*Parameters!$B$3*Parameters!$B$6</f>
        <v>0</v>
      </c>
      <c r="L1430">
        <f>I1430*Parameters!$B$4*Parameters!$B$7</f>
        <v>121.44600000000001</v>
      </c>
      <c r="M1430">
        <f t="shared" si="22"/>
        <v>195.96449999999999</v>
      </c>
      <c r="N1430">
        <v>3500</v>
      </c>
      <c r="O1430">
        <v>0</v>
      </c>
      <c r="P1430">
        <v>0</v>
      </c>
      <c r="Q1430">
        <v>4500</v>
      </c>
    </row>
    <row r="1431" spans="1:17">
      <c r="A1431" t="s">
        <v>53</v>
      </c>
      <c r="B1431" t="s">
        <v>40</v>
      </c>
      <c r="C1431">
        <v>8</v>
      </c>
      <c r="D1431">
        <v>2022</v>
      </c>
      <c r="E1431" s="49" t="s">
        <v>2</v>
      </c>
      <c r="F1431" s="49" t="s">
        <v>163</v>
      </c>
      <c r="G1431">
        <f>'Aug-Apr, 2023'!G33+'Aug-Apr, 2023'!H33</f>
        <v>30</v>
      </c>
      <c r="H1431">
        <f>'Aug-Apr, 2023'!I33</f>
        <v>0</v>
      </c>
      <c r="I1431">
        <f>'Aug-Apr, 2023'!J33</f>
        <v>15</v>
      </c>
      <c r="J1431">
        <f>G1431*Parameters!$B$2*Parameters!$B$5</f>
        <v>63.87299999999999</v>
      </c>
      <c r="K1431">
        <f>H1431*Parameters!$B$3*Parameters!$B$6</f>
        <v>0</v>
      </c>
      <c r="L1431">
        <f>I1431*Parameters!$B$4*Parameters!$B$7</f>
        <v>121.44600000000001</v>
      </c>
      <c r="M1431">
        <f t="shared" si="22"/>
        <v>185.31900000000002</v>
      </c>
      <c r="N1431">
        <v>3000</v>
      </c>
      <c r="O1431">
        <v>0</v>
      </c>
      <c r="P1431">
        <v>0</v>
      </c>
      <c r="Q1431">
        <v>4500</v>
      </c>
    </row>
    <row r="1432" spans="1:17">
      <c r="A1432" t="s">
        <v>54</v>
      </c>
      <c r="B1432" t="s">
        <v>40</v>
      </c>
      <c r="C1432">
        <v>6</v>
      </c>
      <c r="D1432">
        <v>2022</v>
      </c>
      <c r="E1432" s="49" t="s">
        <v>2</v>
      </c>
      <c r="F1432" s="49" t="s">
        <v>163</v>
      </c>
      <c r="G1432">
        <f>'Aug-Apr, 2023'!G34+'Aug-Apr, 2023'!H34</f>
        <v>40</v>
      </c>
      <c r="H1432">
        <f>'Aug-Apr, 2023'!I34</f>
        <v>0</v>
      </c>
      <c r="I1432">
        <f>'Aug-Apr, 2023'!J34</f>
        <v>15</v>
      </c>
      <c r="J1432">
        <f>G1432*Parameters!$B$2*Parameters!$B$5</f>
        <v>85.163999999999987</v>
      </c>
      <c r="K1432">
        <f>H1432*Parameters!$B$3*Parameters!$B$6</f>
        <v>0</v>
      </c>
      <c r="L1432">
        <f>I1432*Parameters!$B$4*Parameters!$B$7</f>
        <v>121.44600000000001</v>
      </c>
      <c r="M1432">
        <f t="shared" si="22"/>
        <v>206.61</v>
      </c>
      <c r="N1432">
        <v>4000</v>
      </c>
      <c r="O1432">
        <v>0</v>
      </c>
      <c r="P1432">
        <v>0</v>
      </c>
      <c r="Q1432">
        <v>4500</v>
      </c>
    </row>
    <row r="1433" spans="1:17">
      <c r="A1433" t="s">
        <v>55</v>
      </c>
      <c r="B1433" t="s">
        <v>56</v>
      </c>
      <c r="C1433">
        <v>4</v>
      </c>
      <c r="D1433">
        <v>2022</v>
      </c>
      <c r="E1433" s="49" t="s">
        <v>2</v>
      </c>
      <c r="F1433" s="49" t="s">
        <v>163</v>
      </c>
      <c r="G1433">
        <f>'Aug-Apr, 2023'!G35+'Aug-Apr, 2023'!H35</f>
        <v>30</v>
      </c>
      <c r="H1433">
        <f>'Aug-Apr, 2023'!I35</f>
        <v>0</v>
      </c>
      <c r="I1433">
        <f>'Aug-Apr, 2023'!J35</f>
        <v>20</v>
      </c>
      <c r="J1433">
        <f>G1433*Parameters!$B$2*Parameters!$B$5</f>
        <v>63.87299999999999</v>
      </c>
      <c r="K1433">
        <f>H1433*Parameters!$B$3*Parameters!$B$6</f>
        <v>0</v>
      </c>
      <c r="L1433">
        <f>I1433*Parameters!$B$4*Parameters!$B$7</f>
        <v>161.928</v>
      </c>
      <c r="M1433">
        <f t="shared" si="22"/>
        <v>225.80099999999999</v>
      </c>
      <c r="N1433">
        <v>3000</v>
      </c>
      <c r="O1433">
        <v>0</v>
      </c>
      <c r="P1433">
        <v>0</v>
      </c>
      <c r="Q1433">
        <v>6000</v>
      </c>
    </row>
    <row r="1434" spans="1:17">
      <c r="A1434" t="s">
        <v>57</v>
      </c>
      <c r="B1434" t="s">
        <v>40</v>
      </c>
      <c r="C1434">
        <v>4</v>
      </c>
      <c r="D1434">
        <v>2022</v>
      </c>
      <c r="E1434" s="49" t="s">
        <v>2</v>
      </c>
      <c r="F1434" s="49" t="s">
        <v>163</v>
      </c>
      <c r="G1434">
        <f>'Aug-Apr, 2023'!G36+'Aug-Apr, 2023'!H36</f>
        <v>28.5</v>
      </c>
      <c r="H1434">
        <f>'Aug-Apr, 2023'!I36</f>
        <v>0</v>
      </c>
      <c r="I1434">
        <f>'Aug-Apr, 2023'!J36</f>
        <v>18.600000000000001</v>
      </c>
      <c r="J1434">
        <f>G1434*Parameters!$B$2*Parameters!$B$5</f>
        <v>60.679349999999992</v>
      </c>
      <c r="K1434">
        <f>H1434*Parameters!$B$3*Parameters!$B$6</f>
        <v>0</v>
      </c>
      <c r="L1434">
        <f>I1434*Parameters!$B$4*Parameters!$B$7</f>
        <v>150.59304000000003</v>
      </c>
      <c r="M1434">
        <f t="shared" si="22"/>
        <v>211.27239000000003</v>
      </c>
      <c r="N1434">
        <v>2850</v>
      </c>
      <c r="O1434">
        <v>0</v>
      </c>
      <c r="P1434">
        <v>0</v>
      </c>
      <c r="Q1434">
        <v>5580</v>
      </c>
    </row>
    <row r="1435" spans="1:17">
      <c r="A1435" t="s">
        <v>58</v>
      </c>
      <c r="B1435" t="s">
        <v>26</v>
      </c>
      <c r="C1435">
        <v>6</v>
      </c>
      <c r="D1435">
        <v>2022</v>
      </c>
      <c r="E1435" s="49" t="s">
        <v>2</v>
      </c>
      <c r="F1435" s="49" t="s">
        <v>163</v>
      </c>
      <c r="G1435">
        <f>'Aug-Apr, 2023'!G37+'Aug-Apr, 2023'!H37</f>
        <v>25</v>
      </c>
      <c r="H1435">
        <f>'Aug-Apr, 2023'!I37</f>
        <v>0</v>
      </c>
      <c r="I1435">
        <f>'Aug-Apr, 2023'!J37</f>
        <v>10</v>
      </c>
      <c r="J1435">
        <f>G1435*Parameters!$B$2*Parameters!$B$5</f>
        <v>53.227499999999992</v>
      </c>
      <c r="K1435">
        <f>H1435*Parameters!$B$3*Parameters!$B$6</f>
        <v>0</v>
      </c>
      <c r="L1435">
        <f>I1435*Parameters!$B$4*Parameters!$B$7</f>
        <v>80.963999999999999</v>
      </c>
      <c r="M1435">
        <f t="shared" si="22"/>
        <v>134.19149999999999</v>
      </c>
      <c r="N1435">
        <v>2500</v>
      </c>
      <c r="O1435">
        <v>0</v>
      </c>
      <c r="P1435">
        <v>0</v>
      </c>
      <c r="Q1435">
        <v>3000</v>
      </c>
    </row>
    <row r="1436" spans="1:17">
      <c r="A1436" t="s">
        <v>59</v>
      </c>
      <c r="B1436" t="s">
        <v>26</v>
      </c>
      <c r="C1436">
        <v>7</v>
      </c>
      <c r="D1436">
        <v>2022</v>
      </c>
      <c r="E1436" s="49" t="s">
        <v>2</v>
      </c>
      <c r="F1436" s="49" t="s">
        <v>163</v>
      </c>
      <c r="G1436">
        <f>'Aug-Apr, 2023'!G38+'Aug-Apr, 2023'!H38</f>
        <v>30</v>
      </c>
      <c r="H1436">
        <f>'Aug-Apr, 2023'!I38</f>
        <v>0</v>
      </c>
      <c r="I1436">
        <f>'Aug-Apr, 2023'!J38</f>
        <v>5</v>
      </c>
      <c r="J1436">
        <f>G1436*Parameters!$B$2*Parameters!$B$5</f>
        <v>63.87299999999999</v>
      </c>
      <c r="K1436">
        <f>H1436*Parameters!$B$3*Parameters!$B$6</f>
        <v>0</v>
      </c>
      <c r="L1436">
        <f>I1436*Parameters!$B$4*Parameters!$B$7</f>
        <v>40.481999999999999</v>
      </c>
      <c r="M1436">
        <f t="shared" si="22"/>
        <v>104.35499999999999</v>
      </c>
      <c r="N1436">
        <v>3000</v>
      </c>
      <c r="O1436">
        <v>0</v>
      </c>
      <c r="P1436">
        <v>0</v>
      </c>
      <c r="Q1436">
        <v>1500</v>
      </c>
    </row>
    <row r="1437" spans="1:17">
      <c r="A1437" t="s">
        <v>60</v>
      </c>
      <c r="B1437" t="s">
        <v>26</v>
      </c>
      <c r="C1437">
        <v>8</v>
      </c>
      <c r="D1437">
        <v>2022</v>
      </c>
      <c r="E1437" s="49" t="s">
        <v>2</v>
      </c>
      <c r="F1437" s="49" t="s">
        <v>163</v>
      </c>
      <c r="G1437">
        <f>'Aug-Apr, 2023'!G39+'Aug-Apr, 2023'!H39</f>
        <v>30</v>
      </c>
      <c r="H1437">
        <f>'Aug-Apr, 2023'!I39</f>
        <v>0</v>
      </c>
      <c r="I1437">
        <f>'Aug-Apr, 2023'!J39</f>
        <v>12</v>
      </c>
      <c r="J1437">
        <f>G1437*Parameters!$B$2*Parameters!$B$5</f>
        <v>63.87299999999999</v>
      </c>
      <c r="K1437">
        <f>H1437*Parameters!$B$3*Parameters!$B$6</f>
        <v>0</v>
      </c>
      <c r="L1437">
        <f>I1437*Parameters!$B$4*Parameters!$B$7</f>
        <v>97.156800000000018</v>
      </c>
      <c r="M1437">
        <f t="shared" si="22"/>
        <v>161.02980000000002</v>
      </c>
      <c r="N1437">
        <v>3000</v>
      </c>
      <c r="O1437">
        <v>0</v>
      </c>
      <c r="P1437">
        <v>0</v>
      </c>
      <c r="Q1437">
        <v>3600</v>
      </c>
    </row>
    <row r="1438" spans="1:17">
      <c r="A1438" t="s">
        <v>61</v>
      </c>
      <c r="B1438" t="s">
        <v>56</v>
      </c>
      <c r="C1438">
        <v>5</v>
      </c>
      <c r="D1438">
        <v>2022</v>
      </c>
      <c r="E1438" s="49" t="s">
        <v>2</v>
      </c>
      <c r="F1438" s="49" t="s">
        <v>163</v>
      </c>
      <c r="G1438">
        <f>'Aug-Apr, 2023'!G40+'Aug-Apr, 2023'!H40</f>
        <v>22</v>
      </c>
      <c r="H1438">
        <f>'Aug-Apr, 2023'!I40</f>
        <v>0</v>
      </c>
      <c r="I1438">
        <f>'Aug-Apr, 2023'!J40</f>
        <v>10</v>
      </c>
      <c r="J1438">
        <f>G1438*Parameters!$B$2*Parameters!$B$5</f>
        <v>46.840199999999996</v>
      </c>
      <c r="K1438">
        <f>H1438*Parameters!$B$3*Parameters!$B$6</f>
        <v>0</v>
      </c>
      <c r="L1438">
        <f>I1438*Parameters!$B$4*Parameters!$B$7</f>
        <v>80.963999999999999</v>
      </c>
      <c r="M1438">
        <f t="shared" si="22"/>
        <v>127.80419999999999</v>
      </c>
      <c r="N1438">
        <v>2200</v>
      </c>
      <c r="O1438">
        <v>0</v>
      </c>
      <c r="P1438">
        <v>0</v>
      </c>
      <c r="Q1438">
        <v>3000</v>
      </c>
    </row>
    <row r="1439" spans="1:17">
      <c r="A1439" t="s">
        <v>62</v>
      </c>
      <c r="B1439" t="s">
        <v>21</v>
      </c>
      <c r="C1439">
        <v>6</v>
      </c>
      <c r="D1439">
        <v>2022</v>
      </c>
      <c r="E1439" s="49" t="s">
        <v>2</v>
      </c>
      <c r="F1439" s="49" t="s">
        <v>163</v>
      </c>
      <c r="G1439">
        <f>'Aug-Apr, 2023'!G41+'Aug-Apr, 2023'!H41</f>
        <v>48</v>
      </c>
      <c r="H1439">
        <f>'Aug-Apr, 2023'!I41</f>
        <v>0</v>
      </c>
      <c r="I1439">
        <f>'Aug-Apr, 2023'!J41</f>
        <v>16</v>
      </c>
      <c r="J1439">
        <f>G1439*Parameters!$B$2*Parameters!$B$5</f>
        <v>102.19679999999998</v>
      </c>
      <c r="K1439">
        <f>H1439*Parameters!$B$3*Parameters!$B$6</f>
        <v>0</v>
      </c>
      <c r="L1439">
        <f>I1439*Parameters!$B$4*Parameters!$B$7</f>
        <v>129.54240000000001</v>
      </c>
      <c r="M1439">
        <f t="shared" si="22"/>
        <v>231.73919999999998</v>
      </c>
      <c r="N1439">
        <v>4800</v>
      </c>
      <c r="O1439">
        <v>0</v>
      </c>
      <c r="P1439">
        <v>0</v>
      </c>
      <c r="Q1439">
        <v>4800</v>
      </c>
    </row>
    <row r="1440" spans="1:17">
      <c r="A1440" t="s">
        <v>63</v>
      </c>
      <c r="B1440" t="s">
        <v>21</v>
      </c>
      <c r="C1440">
        <v>9</v>
      </c>
      <c r="D1440">
        <v>2022</v>
      </c>
      <c r="E1440" s="49" t="s">
        <v>2</v>
      </c>
      <c r="F1440" s="49" t="s">
        <v>163</v>
      </c>
      <c r="G1440">
        <f>'Aug-Apr, 2023'!G42+'Aug-Apr, 2023'!H42</f>
        <v>50</v>
      </c>
      <c r="H1440">
        <f>'Aug-Apr, 2023'!I42</f>
        <v>0</v>
      </c>
      <c r="I1440">
        <f>'Aug-Apr, 2023'!J42</f>
        <v>15</v>
      </c>
      <c r="J1440">
        <f>G1440*Parameters!$B$2*Parameters!$B$5</f>
        <v>106.45499999999998</v>
      </c>
      <c r="K1440">
        <f>H1440*Parameters!$B$3*Parameters!$B$6</f>
        <v>0</v>
      </c>
      <c r="L1440">
        <f>I1440*Parameters!$B$4*Parameters!$B$7</f>
        <v>121.44600000000001</v>
      </c>
      <c r="M1440">
        <f t="shared" si="22"/>
        <v>227.90100000000001</v>
      </c>
      <c r="N1440">
        <v>5000</v>
      </c>
      <c r="O1440">
        <v>0</v>
      </c>
      <c r="P1440">
        <v>0</v>
      </c>
      <c r="Q1440">
        <v>4500</v>
      </c>
    </row>
    <row r="1441" spans="1:17">
      <c r="A1441" t="s">
        <v>64</v>
      </c>
      <c r="B1441" t="s">
        <v>65</v>
      </c>
      <c r="C1441">
        <v>3</v>
      </c>
      <c r="D1441">
        <v>2022</v>
      </c>
      <c r="E1441" s="49" t="s">
        <v>2</v>
      </c>
      <c r="F1441" s="49" t="s">
        <v>163</v>
      </c>
      <c r="G1441">
        <f>'Aug-Apr, 2023'!G43+'Aug-Apr, 2023'!H43</f>
        <v>67</v>
      </c>
      <c r="H1441">
        <f>'Aug-Apr, 2023'!I43</f>
        <v>0</v>
      </c>
      <c r="I1441">
        <f>'Aug-Apr, 2023'!J43</f>
        <v>15</v>
      </c>
      <c r="J1441">
        <f>G1441*Parameters!$B$2*Parameters!$B$5</f>
        <v>142.64969999999997</v>
      </c>
      <c r="K1441">
        <f>H1441*Parameters!$B$3*Parameters!$B$6</f>
        <v>0</v>
      </c>
      <c r="L1441">
        <f>I1441*Parameters!$B$4*Parameters!$B$7</f>
        <v>121.44600000000001</v>
      </c>
      <c r="M1441">
        <f t="shared" si="22"/>
        <v>264.09569999999997</v>
      </c>
      <c r="N1441">
        <v>3200</v>
      </c>
      <c r="O1441">
        <v>3500</v>
      </c>
      <c r="P1441">
        <v>0</v>
      </c>
      <c r="Q1441">
        <v>4500</v>
      </c>
    </row>
    <row r="1442" spans="1:17">
      <c r="A1442" t="s">
        <v>66</v>
      </c>
      <c r="B1442" t="s">
        <v>24</v>
      </c>
      <c r="C1442">
        <v>4</v>
      </c>
      <c r="D1442">
        <v>2022</v>
      </c>
      <c r="E1442" s="49" t="s">
        <v>2</v>
      </c>
      <c r="F1442" s="49" t="s">
        <v>163</v>
      </c>
      <c r="G1442">
        <f>'Aug-Apr, 2023'!G44+'Aug-Apr, 2023'!H44</f>
        <v>32</v>
      </c>
      <c r="H1442">
        <f>'Aug-Apr, 2023'!I44</f>
        <v>0</v>
      </c>
      <c r="I1442">
        <f>'Aug-Apr, 2023'!J44</f>
        <v>12</v>
      </c>
      <c r="J1442">
        <f>G1442*Parameters!$B$2*Parameters!$B$5</f>
        <v>68.131199999999993</v>
      </c>
      <c r="K1442">
        <f>H1442*Parameters!$B$3*Parameters!$B$6</f>
        <v>0</v>
      </c>
      <c r="L1442">
        <f>I1442*Parameters!$B$4*Parameters!$B$7</f>
        <v>97.156800000000018</v>
      </c>
      <c r="M1442">
        <f t="shared" si="22"/>
        <v>165.28800000000001</v>
      </c>
      <c r="N1442">
        <v>3200</v>
      </c>
      <c r="O1442">
        <v>0</v>
      </c>
      <c r="P1442">
        <v>0</v>
      </c>
      <c r="Q1442">
        <v>3600</v>
      </c>
    </row>
    <row r="1443" spans="1:17">
      <c r="A1443" t="s">
        <v>67</v>
      </c>
      <c r="B1443" t="s">
        <v>56</v>
      </c>
      <c r="C1443">
        <v>6</v>
      </c>
      <c r="D1443">
        <v>2022</v>
      </c>
      <c r="E1443" s="49" t="s">
        <v>2</v>
      </c>
      <c r="F1443" s="49" t="s">
        <v>163</v>
      </c>
      <c r="G1443">
        <f>'Aug-Apr, 2023'!G45+'Aug-Apr, 2023'!H45</f>
        <v>45</v>
      </c>
      <c r="H1443">
        <f>'Aug-Apr, 2023'!I45</f>
        <v>0</v>
      </c>
      <c r="I1443">
        <f>'Aug-Apr, 2023'!J45</f>
        <v>20</v>
      </c>
      <c r="J1443">
        <f>G1443*Parameters!$B$2*Parameters!$B$5</f>
        <v>95.809499999999986</v>
      </c>
      <c r="K1443">
        <f>H1443*Parameters!$B$3*Parameters!$B$6</f>
        <v>0</v>
      </c>
      <c r="L1443">
        <f>I1443*Parameters!$B$4*Parameters!$B$7</f>
        <v>161.928</v>
      </c>
      <c r="M1443">
        <f t="shared" si="22"/>
        <v>257.73749999999995</v>
      </c>
      <c r="N1443">
        <v>4500</v>
      </c>
      <c r="O1443">
        <v>0</v>
      </c>
      <c r="P1443">
        <v>0</v>
      </c>
      <c r="Q1443">
        <v>6000</v>
      </c>
    </row>
    <row r="1444" spans="1:17">
      <c r="A1444" t="s">
        <v>68</v>
      </c>
      <c r="B1444" t="s">
        <v>21</v>
      </c>
      <c r="C1444">
        <v>4</v>
      </c>
      <c r="D1444">
        <v>2022</v>
      </c>
      <c r="E1444" s="49" t="s">
        <v>2</v>
      </c>
      <c r="F1444" s="49" t="s">
        <v>163</v>
      </c>
      <c r="G1444">
        <f>'Aug-Apr, 2023'!G46+'Aug-Apr, 2023'!H46</f>
        <v>32</v>
      </c>
      <c r="H1444">
        <f>'Aug-Apr, 2023'!I46</f>
        <v>0</v>
      </c>
      <c r="I1444">
        <f>'Aug-Apr, 2023'!J46</f>
        <v>20</v>
      </c>
      <c r="J1444">
        <f>G1444*Parameters!$B$2*Parameters!$B$5</f>
        <v>68.131199999999993</v>
      </c>
      <c r="K1444">
        <f>H1444*Parameters!$B$3*Parameters!$B$6</f>
        <v>0</v>
      </c>
      <c r="L1444">
        <f>I1444*Parameters!$B$4*Parameters!$B$7</f>
        <v>161.928</v>
      </c>
      <c r="M1444">
        <f t="shared" si="22"/>
        <v>230.05919999999998</v>
      </c>
      <c r="N1444">
        <v>3200</v>
      </c>
      <c r="O1444">
        <v>0</v>
      </c>
      <c r="P1444">
        <v>0</v>
      </c>
      <c r="Q1444">
        <v>6000</v>
      </c>
    </row>
    <row r="1445" spans="1:17">
      <c r="A1445" t="s">
        <v>69</v>
      </c>
      <c r="B1445" t="s">
        <v>24</v>
      </c>
      <c r="C1445">
        <v>6</v>
      </c>
      <c r="D1445">
        <v>2022</v>
      </c>
      <c r="E1445" s="49" t="s">
        <v>2</v>
      </c>
      <c r="F1445" s="49" t="s">
        <v>163</v>
      </c>
      <c r="G1445">
        <f>'Aug-Apr, 2023'!G47+'Aug-Apr, 2023'!H47</f>
        <v>20</v>
      </c>
      <c r="H1445">
        <f>'Aug-Apr, 2023'!I47</f>
        <v>0</v>
      </c>
      <c r="I1445">
        <f>'Aug-Apr, 2023'!J47</f>
        <v>15</v>
      </c>
      <c r="J1445">
        <f>G1445*Parameters!$B$2*Parameters!$B$5</f>
        <v>42.581999999999994</v>
      </c>
      <c r="K1445">
        <f>H1445*Parameters!$B$3*Parameters!$B$6</f>
        <v>0</v>
      </c>
      <c r="L1445">
        <f>I1445*Parameters!$B$4*Parameters!$B$7</f>
        <v>121.44600000000001</v>
      </c>
      <c r="M1445">
        <f t="shared" si="22"/>
        <v>164.02800000000002</v>
      </c>
      <c r="N1445">
        <v>2000</v>
      </c>
      <c r="O1445">
        <v>0</v>
      </c>
      <c r="P1445">
        <v>0</v>
      </c>
      <c r="Q1445">
        <v>4500</v>
      </c>
    </row>
    <row r="1446" spans="1:17">
      <c r="A1446" t="s">
        <v>70</v>
      </c>
      <c r="B1446" t="s">
        <v>26</v>
      </c>
      <c r="C1446">
        <v>6</v>
      </c>
      <c r="D1446">
        <v>2022</v>
      </c>
      <c r="E1446" s="49" t="s">
        <v>2</v>
      </c>
      <c r="F1446" s="49" t="s">
        <v>163</v>
      </c>
      <c r="G1446">
        <f>'Aug-Apr, 2023'!G48+'Aug-Apr, 2023'!H48</f>
        <v>45</v>
      </c>
      <c r="H1446">
        <f>'Aug-Apr, 2023'!I48</f>
        <v>0</v>
      </c>
      <c r="I1446">
        <f>'Aug-Apr, 2023'!J48</f>
        <v>18</v>
      </c>
      <c r="J1446">
        <f>G1446*Parameters!$B$2*Parameters!$B$5</f>
        <v>95.809499999999986</v>
      </c>
      <c r="K1446">
        <f>H1446*Parameters!$B$3*Parameters!$B$6</f>
        <v>0</v>
      </c>
      <c r="L1446">
        <f>I1446*Parameters!$B$4*Parameters!$B$7</f>
        <v>145.73520000000002</v>
      </c>
      <c r="M1446">
        <f t="shared" si="22"/>
        <v>241.54470000000001</v>
      </c>
      <c r="N1446">
        <v>4500</v>
      </c>
      <c r="O1446">
        <v>0</v>
      </c>
      <c r="P1446">
        <v>0</v>
      </c>
      <c r="Q1446">
        <v>5400</v>
      </c>
    </row>
    <row r="1447" spans="1:17">
      <c r="A1447" t="s">
        <v>71</v>
      </c>
      <c r="B1447" t="s">
        <v>26</v>
      </c>
      <c r="C1447">
        <v>5</v>
      </c>
      <c r="D1447">
        <v>2022</v>
      </c>
      <c r="E1447" s="49" t="s">
        <v>2</v>
      </c>
      <c r="F1447" s="49" t="s">
        <v>163</v>
      </c>
      <c r="G1447">
        <f>'Aug-Apr, 2023'!G49+'Aug-Apr, 2023'!H49</f>
        <v>30</v>
      </c>
      <c r="H1447">
        <f>'Aug-Apr, 2023'!I49</f>
        <v>0</v>
      </c>
      <c r="I1447">
        <f>'Aug-Apr, 2023'!J49</f>
        <v>12</v>
      </c>
      <c r="J1447">
        <f>G1447*Parameters!$B$2*Parameters!$B$5</f>
        <v>63.87299999999999</v>
      </c>
      <c r="K1447">
        <f>H1447*Parameters!$B$3*Parameters!$B$6</f>
        <v>0</v>
      </c>
      <c r="L1447">
        <f>I1447*Parameters!$B$4*Parameters!$B$7</f>
        <v>97.156800000000018</v>
      </c>
      <c r="M1447">
        <f t="shared" si="22"/>
        <v>161.02980000000002</v>
      </c>
      <c r="N1447">
        <v>3000</v>
      </c>
      <c r="O1447">
        <v>0</v>
      </c>
      <c r="P1447">
        <v>0</v>
      </c>
      <c r="Q1447">
        <v>3600</v>
      </c>
    </row>
    <row r="1448" spans="1:17">
      <c r="A1448" t="s">
        <v>72</v>
      </c>
      <c r="B1448" t="s">
        <v>26</v>
      </c>
      <c r="C1448">
        <v>8</v>
      </c>
      <c r="D1448">
        <v>2022</v>
      </c>
      <c r="E1448" s="49" t="s">
        <v>2</v>
      </c>
      <c r="F1448" s="49" t="s">
        <v>163</v>
      </c>
      <c r="G1448">
        <f>'Aug-Apr, 2023'!G50+'Aug-Apr, 2023'!H50</f>
        <v>32</v>
      </c>
      <c r="H1448">
        <f>'Aug-Apr, 2023'!I50</f>
        <v>0</v>
      </c>
      <c r="I1448">
        <f>'Aug-Apr, 2023'!J50</f>
        <v>20</v>
      </c>
      <c r="J1448">
        <f>G1448*Parameters!$B$2*Parameters!$B$5</f>
        <v>68.131199999999993</v>
      </c>
      <c r="K1448">
        <f>H1448*Parameters!$B$3*Parameters!$B$6</f>
        <v>0</v>
      </c>
      <c r="L1448">
        <f>I1448*Parameters!$B$4*Parameters!$B$7</f>
        <v>161.928</v>
      </c>
      <c r="M1448">
        <f t="shared" si="22"/>
        <v>230.05919999999998</v>
      </c>
      <c r="N1448">
        <v>3200</v>
      </c>
      <c r="O1448">
        <v>0</v>
      </c>
      <c r="P1448">
        <v>0</v>
      </c>
      <c r="Q1448">
        <v>6000</v>
      </c>
    </row>
    <row r="1449" spans="1:17">
      <c r="A1449" t="s">
        <v>73</v>
      </c>
      <c r="B1449" t="s">
        <v>17</v>
      </c>
      <c r="C1449">
        <v>4</v>
      </c>
      <c r="D1449">
        <v>2022</v>
      </c>
      <c r="E1449" s="49" t="s">
        <v>2</v>
      </c>
      <c r="F1449" s="49" t="s">
        <v>163</v>
      </c>
      <c r="G1449">
        <f>'Aug-Apr, 2023'!G51+'Aug-Apr, 2023'!H51</f>
        <v>25</v>
      </c>
      <c r="H1449">
        <f>'Aug-Apr, 2023'!I51</f>
        <v>0</v>
      </c>
      <c r="I1449">
        <f>'Aug-Apr, 2023'!J51</f>
        <v>20</v>
      </c>
      <c r="J1449">
        <f>G1449*Parameters!$B$2*Parameters!$B$5</f>
        <v>53.227499999999992</v>
      </c>
      <c r="K1449">
        <f>H1449*Parameters!$B$3*Parameters!$B$6</f>
        <v>0</v>
      </c>
      <c r="L1449">
        <f>I1449*Parameters!$B$4*Parameters!$B$7</f>
        <v>161.928</v>
      </c>
      <c r="M1449">
        <f t="shared" si="22"/>
        <v>215.15549999999999</v>
      </c>
      <c r="N1449">
        <v>2500</v>
      </c>
      <c r="O1449">
        <v>0</v>
      </c>
      <c r="P1449">
        <v>0</v>
      </c>
      <c r="Q1449">
        <v>6000</v>
      </c>
    </row>
    <row r="1450" spans="1:17">
      <c r="A1450" t="s">
        <v>74</v>
      </c>
      <c r="B1450" t="s">
        <v>65</v>
      </c>
      <c r="C1450">
        <v>8</v>
      </c>
      <c r="D1450">
        <v>2022</v>
      </c>
      <c r="E1450" s="49" t="s">
        <v>2</v>
      </c>
      <c r="F1450" s="49" t="s">
        <v>163</v>
      </c>
      <c r="G1450">
        <f>'Aug-Apr, 2023'!G52+'Aug-Apr, 2023'!H52</f>
        <v>30</v>
      </c>
      <c r="H1450">
        <f>'Aug-Apr, 2023'!I52</f>
        <v>0</v>
      </c>
      <c r="I1450">
        <f>'Aug-Apr, 2023'!J52</f>
        <v>5</v>
      </c>
      <c r="J1450">
        <f>G1450*Parameters!$B$2*Parameters!$B$5</f>
        <v>63.87299999999999</v>
      </c>
      <c r="K1450">
        <f>H1450*Parameters!$B$3*Parameters!$B$6</f>
        <v>0</v>
      </c>
      <c r="L1450">
        <f>I1450*Parameters!$B$4*Parameters!$B$7</f>
        <v>40.481999999999999</v>
      </c>
      <c r="M1450">
        <f t="shared" si="22"/>
        <v>104.35499999999999</v>
      </c>
      <c r="N1450">
        <v>1500</v>
      </c>
      <c r="O1450">
        <v>1500</v>
      </c>
      <c r="P1450">
        <v>0</v>
      </c>
      <c r="Q1450">
        <v>1500</v>
      </c>
    </row>
    <row r="1451" spans="1:17">
      <c r="A1451" t="s">
        <v>75</v>
      </c>
      <c r="B1451" t="s">
        <v>24</v>
      </c>
      <c r="C1451">
        <v>4</v>
      </c>
      <c r="D1451">
        <v>2022</v>
      </c>
      <c r="E1451" s="49" t="s">
        <v>2</v>
      </c>
      <c r="F1451" s="49" t="s">
        <v>163</v>
      </c>
      <c r="G1451">
        <f>'Aug-Apr, 2023'!G53+'Aug-Apr, 2023'!H53</f>
        <v>32</v>
      </c>
      <c r="H1451">
        <f>'Aug-Apr, 2023'!I53</f>
        <v>0</v>
      </c>
      <c r="I1451">
        <f>'Aug-Apr, 2023'!J53</f>
        <v>15</v>
      </c>
      <c r="J1451">
        <f>G1451*Parameters!$B$2*Parameters!$B$5</f>
        <v>68.131199999999993</v>
      </c>
      <c r="K1451">
        <f>H1451*Parameters!$B$3*Parameters!$B$6</f>
        <v>0</v>
      </c>
      <c r="L1451">
        <f>I1451*Parameters!$B$4*Parameters!$B$7</f>
        <v>121.44600000000001</v>
      </c>
      <c r="M1451">
        <f t="shared" si="22"/>
        <v>189.5772</v>
      </c>
      <c r="N1451">
        <v>3200</v>
      </c>
      <c r="O1451">
        <v>0</v>
      </c>
      <c r="P1451">
        <v>0</v>
      </c>
      <c r="Q1451">
        <v>4500</v>
      </c>
    </row>
    <row r="1452" spans="1:17">
      <c r="A1452" t="s">
        <v>76</v>
      </c>
      <c r="B1452" t="s">
        <v>56</v>
      </c>
      <c r="C1452">
        <v>4</v>
      </c>
      <c r="D1452">
        <v>2022</v>
      </c>
      <c r="E1452" s="49" t="s">
        <v>2</v>
      </c>
      <c r="F1452" s="49" t="s">
        <v>163</v>
      </c>
      <c r="G1452">
        <f>'Aug-Apr, 2023'!G54+'Aug-Apr, 2023'!H54</f>
        <v>35</v>
      </c>
      <c r="H1452">
        <f>'Aug-Apr, 2023'!I54</f>
        <v>0</v>
      </c>
      <c r="I1452">
        <f>'Aug-Apr, 2023'!J54</f>
        <v>10</v>
      </c>
      <c r="J1452">
        <f>G1452*Parameters!$B$2*Parameters!$B$5</f>
        <v>74.518499999999989</v>
      </c>
      <c r="K1452">
        <f>H1452*Parameters!$B$3*Parameters!$B$6</f>
        <v>0</v>
      </c>
      <c r="L1452">
        <f>I1452*Parameters!$B$4*Parameters!$B$7</f>
        <v>80.963999999999999</v>
      </c>
      <c r="M1452">
        <f t="shared" si="22"/>
        <v>155.48249999999999</v>
      </c>
      <c r="N1452">
        <v>3500</v>
      </c>
      <c r="O1452">
        <v>0</v>
      </c>
      <c r="P1452">
        <v>0</v>
      </c>
      <c r="Q1452">
        <v>3000</v>
      </c>
    </row>
    <row r="1453" spans="1:17">
      <c r="A1453" t="s">
        <v>77</v>
      </c>
      <c r="B1453" t="s">
        <v>40</v>
      </c>
      <c r="C1453">
        <v>12</v>
      </c>
      <c r="D1453">
        <v>2022</v>
      </c>
      <c r="E1453" s="49" t="s">
        <v>2</v>
      </c>
      <c r="F1453" s="49" t="s">
        <v>163</v>
      </c>
      <c r="G1453">
        <f>'Aug-Apr, 2023'!G55+'Aug-Apr, 2023'!H55</f>
        <v>40</v>
      </c>
      <c r="H1453">
        <f>'Aug-Apr, 2023'!I55</f>
        <v>0</v>
      </c>
      <c r="I1453">
        <f>'Aug-Apr, 2023'!J55</f>
        <v>10</v>
      </c>
      <c r="J1453">
        <f>G1453*Parameters!$B$2*Parameters!$B$5</f>
        <v>85.163999999999987</v>
      </c>
      <c r="K1453">
        <f>H1453*Parameters!$B$3*Parameters!$B$6</f>
        <v>0</v>
      </c>
      <c r="L1453">
        <f>I1453*Parameters!$B$4*Parameters!$B$7</f>
        <v>80.963999999999999</v>
      </c>
      <c r="M1453">
        <f t="shared" si="22"/>
        <v>166.12799999999999</v>
      </c>
      <c r="N1453">
        <v>4000</v>
      </c>
      <c r="O1453">
        <v>0</v>
      </c>
      <c r="P1453">
        <v>0</v>
      </c>
      <c r="Q1453">
        <v>3000</v>
      </c>
    </row>
    <row r="1454" spans="1:17">
      <c r="A1454" t="s">
        <v>78</v>
      </c>
      <c r="B1454" t="s">
        <v>32</v>
      </c>
      <c r="C1454">
        <v>6</v>
      </c>
      <c r="D1454">
        <v>2022</v>
      </c>
      <c r="E1454" s="49" t="s">
        <v>2</v>
      </c>
      <c r="F1454" s="49" t="s">
        <v>163</v>
      </c>
      <c r="G1454">
        <f>'Aug-Apr, 2023'!G56+'Aug-Apr, 2023'!H56</f>
        <v>32</v>
      </c>
      <c r="H1454">
        <f>'Aug-Apr, 2023'!I56</f>
        <v>0</v>
      </c>
      <c r="I1454">
        <f>'Aug-Apr, 2023'!J56</f>
        <v>0</v>
      </c>
      <c r="J1454">
        <f>G1454*Parameters!$B$2*Parameters!$B$5</f>
        <v>68.131199999999993</v>
      </c>
      <c r="K1454">
        <f>H1454*Parameters!$B$3*Parameters!$B$6</f>
        <v>0</v>
      </c>
      <c r="L1454">
        <f>I1454*Parameters!$B$4*Parameters!$B$7</f>
        <v>0</v>
      </c>
      <c r="M1454">
        <f t="shared" si="22"/>
        <v>68.131199999999993</v>
      </c>
      <c r="N1454">
        <v>3200</v>
      </c>
      <c r="O1454">
        <v>0</v>
      </c>
      <c r="P1454">
        <v>0</v>
      </c>
      <c r="Q1454">
        <v>0</v>
      </c>
    </row>
    <row r="1455" spans="1:17">
      <c r="A1455" t="s">
        <v>79</v>
      </c>
      <c r="B1455" t="s">
        <v>40</v>
      </c>
      <c r="C1455">
        <v>4</v>
      </c>
      <c r="D1455">
        <v>2022</v>
      </c>
      <c r="E1455" s="49" t="s">
        <v>2</v>
      </c>
      <c r="F1455" s="49" t="s">
        <v>163</v>
      </c>
      <c r="G1455">
        <f>'Aug-Apr, 2023'!G57+'Aug-Apr, 2023'!H57</f>
        <v>48</v>
      </c>
      <c r="H1455">
        <f>'Aug-Apr, 2023'!I57</f>
        <v>0</v>
      </c>
      <c r="I1455">
        <f>'Aug-Apr, 2023'!J57</f>
        <v>5</v>
      </c>
      <c r="J1455">
        <f>G1455*Parameters!$B$2*Parameters!$B$5</f>
        <v>102.19679999999998</v>
      </c>
      <c r="K1455">
        <f>H1455*Parameters!$B$3*Parameters!$B$6</f>
        <v>0</v>
      </c>
      <c r="L1455">
        <f>I1455*Parameters!$B$4*Parameters!$B$7</f>
        <v>40.481999999999999</v>
      </c>
      <c r="M1455">
        <f t="shared" si="22"/>
        <v>142.67879999999997</v>
      </c>
      <c r="N1455">
        <v>4800</v>
      </c>
      <c r="O1455">
        <v>0</v>
      </c>
      <c r="P1455">
        <v>0</v>
      </c>
      <c r="Q1455">
        <v>1500</v>
      </c>
    </row>
    <row r="1456" spans="1:17">
      <c r="A1456" t="s">
        <v>80</v>
      </c>
      <c r="B1456" t="s">
        <v>26</v>
      </c>
      <c r="C1456">
        <v>7</v>
      </c>
      <c r="D1456">
        <v>2022</v>
      </c>
      <c r="E1456" s="49" t="s">
        <v>2</v>
      </c>
      <c r="F1456" s="49" t="s">
        <v>163</v>
      </c>
      <c r="G1456">
        <f>'Aug-Apr, 2023'!G58+'Aug-Apr, 2023'!H58</f>
        <v>40</v>
      </c>
      <c r="H1456">
        <f>'Aug-Apr, 2023'!I58</f>
        <v>0</v>
      </c>
      <c r="I1456">
        <f>'Aug-Apr, 2023'!J58</f>
        <v>5</v>
      </c>
      <c r="J1456">
        <f>G1456*Parameters!$B$2*Parameters!$B$5</f>
        <v>85.163999999999987</v>
      </c>
      <c r="K1456">
        <f>H1456*Parameters!$B$3*Parameters!$B$6</f>
        <v>0</v>
      </c>
      <c r="L1456">
        <f>I1456*Parameters!$B$4*Parameters!$B$7</f>
        <v>40.481999999999999</v>
      </c>
      <c r="M1456">
        <f t="shared" si="22"/>
        <v>125.64599999999999</v>
      </c>
      <c r="N1456">
        <v>4000</v>
      </c>
      <c r="O1456">
        <v>0</v>
      </c>
      <c r="P1456">
        <v>0</v>
      </c>
      <c r="Q1456">
        <v>1500</v>
      </c>
    </row>
    <row r="1457" spans="1:17">
      <c r="A1457" t="s">
        <v>81</v>
      </c>
      <c r="B1457" t="s">
        <v>24</v>
      </c>
      <c r="C1457">
        <v>6</v>
      </c>
      <c r="D1457">
        <v>2022</v>
      </c>
      <c r="E1457" s="49" t="s">
        <v>2</v>
      </c>
      <c r="F1457" s="49" t="s">
        <v>163</v>
      </c>
      <c r="G1457">
        <f>'Aug-Apr, 2023'!G59+'Aug-Apr, 2023'!H59</f>
        <v>45</v>
      </c>
      <c r="H1457">
        <f>'Aug-Apr, 2023'!I59</f>
        <v>0</v>
      </c>
      <c r="I1457">
        <f>'Aug-Apr, 2023'!J59</f>
        <v>18</v>
      </c>
      <c r="J1457">
        <f>G1457*Parameters!$B$2*Parameters!$B$5</f>
        <v>95.809499999999986</v>
      </c>
      <c r="K1457">
        <f>H1457*Parameters!$B$3*Parameters!$B$6</f>
        <v>0</v>
      </c>
      <c r="L1457">
        <f>I1457*Parameters!$B$4*Parameters!$B$7</f>
        <v>145.73520000000002</v>
      </c>
      <c r="M1457">
        <f t="shared" si="22"/>
        <v>241.54470000000001</v>
      </c>
      <c r="N1457">
        <v>4500</v>
      </c>
      <c r="O1457">
        <v>0</v>
      </c>
      <c r="P1457">
        <v>0</v>
      </c>
      <c r="Q1457">
        <v>5400</v>
      </c>
    </row>
    <row r="1458" spans="1:17">
      <c r="A1458" t="s">
        <v>82</v>
      </c>
      <c r="B1458" t="s">
        <v>83</v>
      </c>
      <c r="C1458">
        <v>4</v>
      </c>
      <c r="D1458">
        <v>2022</v>
      </c>
      <c r="E1458" s="49" t="s">
        <v>2</v>
      </c>
      <c r="F1458" s="49" t="s">
        <v>163</v>
      </c>
      <c r="G1458">
        <f>'Aug-Apr, 2023'!G60+'Aug-Apr, 2023'!H60</f>
        <v>50</v>
      </c>
      <c r="H1458">
        <f>'Aug-Apr, 2023'!I60</f>
        <v>0</v>
      </c>
      <c r="I1458">
        <f>'Aug-Apr, 2023'!J60</f>
        <v>12</v>
      </c>
      <c r="J1458">
        <f>G1458*Parameters!$B$2*Parameters!$B$5</f>
        <v>106.45499999999998</v>
      </c>
      <c r="K1458">
        <f>H1458*Parameters!$B$3*Parameters!$B$6</f>
        <v>0</v>
      </c>
      <c r="L1458">
        <f>I1458*Parameters!$B$4*Parameters!$B$7</f>
        <v>97.156800000000018</v>
      </c>
      <c r="M1458">
        <f t="shared" si="22"/>
        <v>203.61180000000002</v>
      </c>
      <c r="N1458">
        <v>5000</v>
      </c>
      <c r="O1458">
        <v>0</v>
      </c>
      <c r="P1458">
        <v>0</v>
      </c>
      <c r="Q1458">
        <v>3600</v>
      </c>
    </row>
    <row r="1459" spans="1:17">
      <c r="A1459" t="s">
        <v>84</v>
      </c>
      <c r="B1459" t="s">
        <v>26</v>
      </c>
      <c r="C1459">
        <v>7</v>
      </c>
      <c r="D1459">
        <v>2022</v>
      </c>
      <c r="E1459" s="49" t="s">
        <v>2</v>
      </c>
      <c r="F1459" s="49" t="s">
        <v>163</v>
      </c>
      <c r="G1459">
        <f>'Aug-Apr, 2023'!G61+'Aug-Apr, 2023'!H61</f>
        <v>38</v>
      </c>
      <c r="H1459">
        <f>'Aug-Apr, 2023'!I61</f>
        <v>0</v>
      </c>
      <c r="I1459">
        <f>'Aug-Apr, 2023'!J61</f>
        <v>5</v>
      </c>
      <c r="J1459">
        <f>G1459*Parameters!$B$2*Parameters!$B$5</f>
        <v>80.905799999999985</v>
      </c>
      <c r="K1459">
        <f>H1459*Parameters!$B$3*Parameters!$B$6</f>
        <v>0</v>
      </c>
      <c r="L1459">
        <f>I1459*Parameters!$B$4*Parameters!$B$7</f>
        <v>40.481999999999999</v>
      </c>
      <c r="M1459">
        <f t="shared" si="22"/>
        <v>121.38779999999998</v>
      </c>
      <c r="N1459">
        <v>3800</v>
      </c>
      <c r="O1459">
        <v>0</v>
      </c>
      <c r="P1459">
        <v>0</v>
      </c>
      <c r="Q1459">
        <v>1500</v>
      </c>
    </row>
    <row r="1460" spans="1:17">
      <c r="A1460" t="s">
        <v>85</v>
      </c>
      <c r="B1460" t="s">
        <v>24</v>
      </c>
      <c r="C1460">
        <v>6</v>
      </c>
      <c r="D1460">
        <v>2022</v>
      </c>
      <c r="E1460" s="49" t="s">
        <v>2</v>
      </c>
      <c r="F1460" s="49" t="s">
        <v>163</v>
      </c>
      <c r="G1460">
        <f>'Aug-Apr, 2023'!G62+'Aug-Apr, 2023'!H62</f>
        <v>35</v>
      </c>
      <c r="H1460">
        <f>'Aug-Apr, 2023'!I62</f>
        <v>0</v>
      </c>
      <c r="I1460">
        <f>'Aug-Apr, 2023'!J62</f>
        <v>10</v>
      </c>
      <c r="J1460">
        <f>G1460*Parameters!$B$2*Parameters!$B$5</f>
        <v>74.518499999999989</v>
      </c>
      <c r="K1460">
        <f>H1460*Parameters!$B$3*Parameters!$B$6</f>
        <v>0</v>
      </c>
      <c r="L1460">
        <f>I1460*Parameters!$B$4*Parameters!$B$7</f>
        <v>80.963999999999999</v>
      </c>
      <c r="M1460">
        <f t="shared" si="22"/>
        <v>155.48249999999999</v>
      </c>
      <c r="N1460">
        <v>3500</v>
      </c>
      <c r="O1460">
        <v>0</v>
      </c>
      <c r="P1460">
        <v>0</v>
      </c>
      <c r="Q1460">
        <v>3000</v>
      </c>
    </row>
    <row r="1461" spans="1:17">
      <c r="A1461" t="s">
        <v>86</v>
      </c>
      <c r="B1461" t="s">
        <v>32</v>
      </c>
      <c r="C1461">
        <v>4</v>
      </c>
      <c r="D1461">
        <v>2022</v>
      </c>
      <c r="E1461" s="49" t="s">
        <v>2</v>
      </c>
      <c r="F1461" s="49" t="s">
        <v>163</v>
      </c>
      <c r="G1461">
        <f>'Aug-Apr, 2023'!G63+'Aug-Apr, 2023'!H63</f>
        <v>30</v>
      </c>
      <c r="H1461">
        <f>'Aug-Apr, 2023'!I63</f>
        <v>0</v>
      </c>
      <c r="I1461">
        <f>'Aug-Apr, 2023'!J63</f>
        <v>8</v>
      </c>
      <c r="J1461">
        <f>G1461*Parameters!$B$2*Parameters!$B$5</f>
        <v>63.87299999999999</v>
      </c>
      <c r="K1461">
        <f>H1461*Parameters!$B$3*Parameters!$B$6</f>
        <v>0</v>
      </c>
      <c r="L1461">
        <f>I1461*Parameters!$B$4*Parameters!$B$7</f>
        <v>64.771200000000007</v>
      </c>
      <c r="M1461">
        <f t="shared" si="22"/>
        <v>128.64420000000001</v>
      </c>
      <c r="N1461">
        <v>3000</v>
      </c>
      <c r="O1461">
        <v>0</v>
      </c>
      <c r="P1461">
        <v>0</v>
      </c>
      <c r="Q1461">
        <v>2400</v>
      </c>
    </row>
    <row r="1462" spans="1:17">
      <c r="A1462" t="s">
        <v>87</v>
      </c>
      <c r="B1462" t="s">
        <v>32</v>
      </c>
      <c r="C1462">
        <v>8</v>
      </c>
      <c r="D1462">
        <v>2022</v>
      </c>
      <c r="E1462" s="49" t="s">
        <v>2</v>
      </c>
      <c r="F1462" s="49" t="s">
        <v>163</v>
      </c>
      <c r="G1462">
        <f>'Aug-Apr, 2023'!G64+'Aug-Apr, 2023'!H64</f>
        <v>35</v>
      </c>
      <c r="H1462">
        <f>'Aug-Apr, 2023'!I64</f>
        <v>0</v>
      </c>
      <c r="I1462">
        <f>'Aug-Apr, 2023'!J64</f>
        <v>18</v>
      </c>
      <c r="J1462">
        <f>G1462*Parameters!$B$2*Parameters!$B$5</f>
        <v>74.518499999999989</v>
      </c>
      <c r="K1462">
        <f>H1462*Parameters!$B$3*Parameters!$B$6</f>
        <v>0</v>
      </c>
      <c r="L1462">
        <f>I1462*Parameters!$B$4*Parameters!$B$7</f>
        <v>145.73520000000002</v>
      </c>
      <c r="M1462">
        <f t="shared" si="22"/>
        <v>220.25370000000001</v>
      </c>
      <c r="N1462">
        <v>3500</v>
      </c>
      <c r="O1462">
        <v>0</v>
      </c>
      <c r="P1462">
        <v>0</v>
      </c>
      <c r="Q1462">
        <v>5400</v>
      </c>
    </row>
    <row r="1463" spans="1:17">
      <c r="A1463" t="s">
        <v>88</v>
      </c>
      <c r="B1463" t="s">
        <v>32</v>
      </c>
      <c r="C1463">
        <v>7</v>
      </c>
      <c r="D1463">
        <v>2022</v>
      </c>
      <c r="E1463" s="49" t="s">
        <v>2</v>
      </c>
      <c r="F1463" s="49" t="s">
        <v>163</v>
      </c>
      <c r="G1463">
        <f>'Aug-Apr, 2023'!G65+'Aug-Apr, 2023'!H65</f>
        <v>30</v>
      </c>
      <c r="H1463">
        <f>'Aug-Apr, 2023'!I65</f>
        <v>0</v>
      </c>
      <c r="I1463">
        <f>'Aug-Apr, 2023'!J65</f>
        <v>20</v>
      </c>
      <c r="J1463">
        <f>G1463*Parameters!$B$2*Parameters!$B$5</f>
        <v>63.87299999999999</v>
      </c>
      <c r="K1463">
        <f>H1463*Parameters!$B$3*Parameters!$B$6</f>
        <v>0</v>
      </c>
      <c r="L1463">
        <f>I1463*Parameters!$B$4*Parameters!$B$7</f>
        <v>161.928</v>
      </c>
      <c r="M1463">
        <f t="shared" si="22"/>
        <v>225.80099999999999</v>
      </c>
      <c r="N1463">
        <v>3000</v>
      </c>
      <c r="O1463">
        <v>0</v>
      </c>
      <c r="P1463">
        <v>0</v>
      </c>
      <c r="Q1463">
        <v>6000</v>
      </c>
    </row>
    <row r="1464" spans="1:17">
      <c r="A1464" t="s">
        <v>89</v>
      </c>
      <c r="B1464" t="s">
        <v>65</v>
      </c>
      <c r="C1464">
        <v>8</v>
      </c>
      <c r="D1464">
        <v>2022</v>
      </c>
      <c r="E1464" s="49" t="s">
        <v>2</v>
      </c>
      <c r="F1464" s="49" t="s">
        <v>163</v>
      </c>
      <c r="G1464">
        <f>'Aug-Apr, 2023'!G66+'Aug-Apr, 2023'!H66</f>
        <v>52</v>
      </c>
      <c r="H1464">
        <f>'Aug-Apr, 2023'!I66</f>
        <v>0</v>
      </c>
      <c r="I1464">
        <f>'Aug-Apr, 2023'!J66</f>
        <v>10</v>
      </c>
      <c r="J1464">
        <f>G1464*Parameters!$B$2*Parameters!$B$5</f>
        <v>110.71319999999999</v>
      </c>
      <c r="K1464">
        <f>H1464*Parameters!$B$3*Parameters!$B$6</f>
        <v>0</v>
      </c>
      <c r="L1464">
        <f>I1464*Parameters!$B$4*Parameters!$B$7</f>
        <v>80.963999999999999</v>
      </c>
      <c r="M1464">
        <f t="shared" si="22"/>
        <v>191.67719999999997</v>
      </c>
      <c r="N1464">
        <v>5200</v>
      </c>
      <c r="O1464">
        <v>0</v>
      </c>
      <c r="P1464">
        <v>0</v>
      </c>
      <c r="Q1464">
        <v>3000</v>
      </c>
    </row>
    <row r="1465" spans="1:17">
      <c r="A1465" t="s">
        <v>90</v>
      </c>
      <c r="B1465" t="s">
        <v>32</v>
      </c>
      <c r="C1465">
        <v>6</v>
      </c>
      <c r="D1465">
        <v>2022</v>
      </c>
      <c r="E1465" s="49" t="s">
        <v>2</v>
      </c>
      <c r="F1465" s="49" t="s">
        <v>163</v>
      </c>
      <c r="G1465">
        <f>'Aug-Apr, 2023'!G67+'Aug-Apr, 2023'!H67</f>
        <v>35</v>
      </c>
      <c r="H1465">
        <f>'Aug-Apr, 2023'!I67</f>
        <v>0</v>
      </c>
      <c r="I1465">
        <f>'Aug-Apr, 2023'!J67</f>
        <v>20</v>
      </c>
      <c r="J1465">
        <f>G1465*Parameters!$B$2*Parameters!$B$5</f>
        <v>74.518499999999989</v>
      </c>
      <c r="K1465">
        <f>H1465*Parameters!$B$3*Parameters!$B$6</f>
        <v>0</v>
      </c>
      <c r="L1465">
        <f>I1465*Parameters!$B$4*Parameters!$B$7</f>
        <v>161.928</v>
      </c>
      <c r="M1465">
        <f t="shared" si="22"/>
        <v>236.44649999999999</v>
      </c>
      <c r="N1465">
        <v>3500</v>
      </c>
      <c r="O1465">
        <v>0</v>
      </c>
      <c r="P1465">
        <v>0</v>
      </c>
      <c r="Q1465">
        <v>6000</v>
      </c>
    </row>
    <row r="1466" spans="1:17">
      <c r="A1466" t="s">
        <v>91</v>
      </c>
      <c r="B1466" t="s">
        <v>24</v>
      </c>
      <c r="C1466">
        <v>6</v>
      </c>
      <c r="D1466">
        <v>2022</v>
      </c>
      <c r="E1466" s="49" t="s">
        <v>2</v>
      </c>
      <c r="F1466" s="49" t="s">
        <v>163</v>
      </c>
      <c r="G1466">
        <f>'Aug-Apr, 2023'!G68+'Aug-Apr, 2023'!H68</f>
        <v>30</v>
      </c>
      <c r="H1466">
        <f>'Aug-Apr, 2023'!I68</f>
        <v>0</v>
      </c>
      <c r="I1466">
        <f>'Aug-Apr, 2023'!J68</f>
        <v>18</v>
      </c>
      <c r="J1466">
        <f>G1466*Parameters!$B$2*Parameters!$B$5</f>
        <v>63.87299999999999</v>
      </c>
      <c r="K1466">
        <f>H1466*Parameters!$B$3*Parameters!$B$6</f>
        <v>0</v>
      </c>
      <c r="L1466">
        <f>I1466*Parameters!$B$4*Parameters!$B$7</f>
        <v>145.73520000000002</v>
      </c>
      <c r="M1466">
        <f t="shared" si="22"/>
        <v>209.60820000000001</v>
      </c>
      <c r="N1466">
        <v>3000</v>
      </c>
      <c r="O1466">
        <v>0</v>
      </c>
      <c r="P1466">
        <v>0</v>
      </c>
      <c r="Q1466">
        <v>5400</v>
      </c>
    </row>
    <row r="1467" spans="1:17">
      <c r="A1467" t="s">
        <v>92</v>
      </c>
      <c r="B1467" t="s">
        <v>17</v>
      </c>
      <c r="C1467">
        <v>4</v>
      </c>
      <c r="D1467">
        <v>2022</v>
      </c>
      <c r="E1467" s="49" t="s">
        <v>2</v>
      </c>
      <c r="F1467" s="49" t="s">
        <v>163</v>
      </c>
      <c r="G1467">
        <f>'Aug-Apr, 2023'!G69+'Aug-Apr, 2023'!H69</f>
        <v>60</v>
      </c>
      <c r="H1467">
        <f>'Aug-Apr, 2023'!I69</f>
        <v>0</v>
      </c>
      <c r="I1467">
        <f>'Aug-Apr, 2023'!J69</f>
        <v>12</v>
      </c>
      <c r="J1467">
        <f>G1467*Parameters!$B$2*Parameters!$B$5</f>
        <v>127.74599999999998</v>
      </c>
      <c r="K1467">
        <f>H1467*Parameters!$B$3*Parameters!$B$6</f>
        <v>0</v>
      </c>
      <c r="L1467">
        <f>I1467*Parameters!$B$4*Parameters!$B$7</f>
        <v>97.156800000000018</v>
      </c>
      <c r="M1467">
        <f t="shared" si="22"/>
        <v>224.90280000000001</v>
      </c>
      <c r="N1467">
        <v>5000</v>
      </c>
      <c r="O1467">
        <v>1000</v>
      </c>
      <c r="P1467">
        <v>0</v>
      </c>
      <c r="Q1467">
        <v>3600</v>
      </c>
    </row>
    <row r="1468" spans="1:17">
      <c r="A1468" t="s">
        <v>93</v>
      </c>
      <c r="B1468" t="s">
        <v>19</v>
      </c>
      <c r="C1468">
        <v>7</v>
      </c>
      <c r="D1468">
        <v>2022</v>
      </c>
      <c r="E1468" s="49" t="s">
        <v>2</v>
      </c>
      <c r="F1468" s="49" t="s">
        <v>163</v>
      </c>
      <c r="G1468">
        <f>'Aug-Apr, 2023'!G70+'Aug-Apr, 2023'!H70</f>
        <v>55</v>
      </c>
      <c r="H1468">
        <f>'Aug-Apr, 2023'!I70</f>
        <v>0</v>
      </c>
      <c r="I1468">
        <f>'Aug-Apr, 2023'!J70</f>
        <v>12</v>
      </c>
      <c r="J1468">
        <f>G1468*Parameters!$B$2*Parameters!$B$5</f>
        <v>117.10049999999998</v>
      </c>
      <c r="K1468">
        <f>H1468*Parameters!$B$3*Parameters!$B$6</f>
        <v>0</v>
      </c>
      <c r="L1468">
        <f>I1468*Parameters!$B$4*Parameters!$B$7</f>
        <v>97.156800000000018</v>
      </c>
      <c r="M1468">
        <f t="shared" si="22"/>
        <v>214.25729999999999</v>
      </c>
      <c r="N1468">
        <v>5500</v>
      </c>
      <c r="O1468">
        <v>0</v>
      </c>
      <c r="P1468">
        <v>0</v>
      </c>
      <c r="Q1468">
        <v>3600</v>
      </c>
    </row>
    <row r="1469" spans="1:17">
      <c r="A1469" t="s">
        <v>94</v>
      </c>
      <c r="B1469" t="s">
        <v>19</v>
      </c>
      <c r="C1469">
        <v>6</v>
      </c>
      <c r="D1469">
        <v>2022</v>
      </c>
      <c r="E1469" s="49" t="s">
        <v>2</v>
      </c>
      <c r="F1469" s="49" t="s">
        <v>163</v>
      </c>
      <c r="G1469">
        <f>'Aug-Apr, 2023'!G71+'Aug-Apr, 2023'!H71</f>
        <v>40</v>
      </c>
      <c r="H1469">
        <f>'Aug-Apr, 2023'!I71</f>
        <v>0</v>
      </c>
      <c r="I1469">
        <f>'Aug-Apr, 2023'!J71</f>
        <v>10</v>
      </c>
      <c r="J1469">
        <f>G1469*Parameters!$B$2*Parameters!$B$5</f>
        <v>85.163999999999987</v>
      </c>
      <c r="K1469">
        <f>H1469*Parameters!$B$3*Parameters!$B$6</f>
        <v>0</v>
      </c>
      <c r="L1469">
        <f>I1469*Parameters!$B$4*Parameters!$B$7</f>
        <v>80.963999999999999</v>
      </c>
      <c r="M1469">
        <f t="shared" si="22"/>
        <v>166.12799999999999</v>
      </c>
      <c r="N1469">
        <v>4000</v>
      </c>
      <c r="O1469">
        <v>0</v>
      </c>
      <c r="P1469">
        <v>0</v>
      </c>
      <c r="Q1469">
        <v>3000</v>
      </c>
    </row>
    <row r="1470" spans="1:17">
      <c r="A1470" t="s">
        <v>95</v>
      </c>
      <c r="B1470" t="s">
        <v>26</v>
      </c>
      <c r="C1470">
        <v>8</v>
      </c>
      <c r="D1470">
        <v>2022</v>
      </c>
      <c r="E1470" s="49" t="s">
        <v>2</v>
      </c>
      <c r="F1470" s="49" t="s">
        <v>163</v>
      </c>
      <c r="G1470">
        <f>'Aug-Apr, 2023'!G72+'Aug-Apr, 2023'!H72</f>
        <v>45</v>
      </c>
      <c r="H1470">
        <f>'Aug-Apr, 2023'!I72</f>
        <v>0</v>
      </c>
      <c r="I1470">
        <f>'Aug-Apr, 2023'!J72</f>
        <v>8</v>
      </c>
      <c r="J1470">
        <f>G1470*Parameters!$B$2*Parameters!$B$5</f>
        <v>95.809499999999986</v>
      </c>
      <c r="K1470">
        <f>H1470*Parameters!$B$3*Parameters!$B$6</f>
        <v>0</v>
      </c>
      <c r="L1470">
        <f>I1470*Parameters!$B$4*Parameters!$B$7</f>
        <v>64.771200000000007</v>
      </c>
      <c r="M1470">
        <f t="shared" si="22"/>
        <v>160.58069999999998</v>
      </c>
      <c r="N1470">
        <v>4500</v>
      </c>
      <c r="O1470">
        <v>0</v>
      </c>
      <c r="P1470">
        <v>0</v>
      </c>
      <c r="Q1470">
        <v>2400</v>
      </c>
    </row>
    <row r="1471" spans="1:17">
      <c r="A1471" t="s">
        <v>96</v>
      </c>
      <c r="B1471" t="s">
        <v>19</v>
      </c>
      <c r="C1471">
        <v>8</v>
      </c>
      <c r="D1471">
        <v>2022</v>
      </c>
      <c r="E1471" s="49" t="s">
        <v>2</v>
      </c>
      <c r="F1471" s="49" t="s">
        <v>163</v>
      </c>
      <c r="G1471">
        <f>'Aug-Apr, 2023'!G73+'Aug-Apr, 2023'!H73</f>
        <v>25</v>
      </c>
      <c r="H1471">
        <f>'Aug-Apr, 2023'!I73</f>
        <v>0</v>
      </c>
      <c r="I1471">
        <f>'Aug-Apr, 2023'!J73</f>
        <v>12</v>
      </c>
      <c r="J1471">
        <f>G1471*Parameters!$B$2*Parameters!$B$5</f>
        <v>53.227499999999992</v>
      </c>
      <c r="K1471">
        <f>H1471*Parameters!$B$3*Parameters!$B$6</f>
        <v>0</v>
      </c>
      <c r="L1471">
        <f>I1471*Parameters!$B$4*Parameters!$B$7</f>
        <v>97.156800000000018</v>
      </c>
      <c r="M1471">
        <f t="shared" si="22"/>
        <v>150.3843</v>
      </c>
      <c r="N1471">
        <v>2500</v>
      </c>
      <c r="O1471">
        <v>0</v>
      </c>
      <c r="P1471">
        <v>0</v>
      </c>
      <c r="Q1471">
        <v>3600</v>
      </c>
    </row>
    <row r="1472" spans="1:17">
      <c r="A1472" t="s">
        <v>97</v>
      </c>
      <c r="B1472" t="s">
        <v>17</v>
      </c>
      <c r="C1472">
        <v>4</v>
      </c>
      <c r="D1472">
        <v>2022</v>
      </c>
      <c r="E1472" s="49" t="s">
        <v>2</v>
      </c>
      <c r="F1472" s="49" t="s">
        <v>163</v>
      </c>
      <c r="G1472">
        <f>'Aug-Apr, 2023'!G74+'Aug-Apr, 2023'!H74</f>
        <v>30</v>
      </c>
      <c r="H1472">
        <f>'Aug-Apr, 2023'!I74</f>
        <v>0</v>
      </c>
      <c r="I1472">
        <f>'Aug-Apr, 2023'!J74</f>
        <v>15</v>
      </c>
      <c r="J1472">
        <f>G1472*Parameters!$B$2*Parameters!$B$5</f>
        <v>63.87299999999999</v>
      </c>
      <c r="K1472">
        <f>H1472*Parameters!$B$3*Parameters!$B$6</f>
        <v>0</v>
      </c>
      <c r="L1472">
        <f>I1472*Parameters!$B$4*Parameters!$B$7</f>
        <v>121.44600000000001</v>
      </c>
      <c r="M1472">
        <f t="shared" si="22"/>
        <v>185.31900000000002</v>
      </c>
      <c r="N1472">
        <v>3000</v>
      </c>
      <c r="O1472">
        <v>0</v>
      </c>
      <c r="P1472">
        <v>0</v>
      </c>
      <c r="Q1472">
        <v>4500</v>
      </c>
    </row>
    <row r="1473" spans="1:17">
      <c r="A1473" t="s">
        <v>98</v>
      </c>
      <c r="B1473" t="s">
        <v>65</v>
      </c>
      <c r="C1473">
        <v>5</v>
      </c>
      <c r="D1473">
        <v>2022</v>
      </c>
      <c r="E1473" s="49" t="s">
        <v>2</v>
      </c>
      <c r="F1473" s="49" t="s">
        <v>163</v>
      </c>
      <c r="G1473">
        <f>'Aug-Apr, 2023'!G75+'Aug-Apr, 2023'!H75</f>
        <v>25</v>
      </c>
      <c r="H1473">
        <f>'Aug-Apr, 2023'!I75</f>
        <v>0</v>
      </c>
      <c r="I1473">
        <f>'Aug-Apr, 2023'!J75</f>
        <v>15</v>
      </c>
      <c r="J1473">
        <f>G1473*Parameters!$B$2*Parameters!$B$5</f>
        <v>53.227499999999992</v>
      </c>
      <c r="K1473">
        <f>H1473*Parameters!$B$3*Parameters!$B$6</f>
        <v>0</v>
      </c>
      <c r="L1473">
        <f>I1473*Parameters!$B$4*Parameters!$B$7</f>
        <v>121.44600000000001</v>
      </c>
      <c r="M1473">
        <f t="shared" si="22"/>
        <v>174.67349999999999</v>
      </c>
      <c r="N1473">
        <v>2300</v>
      </c>
      <c r="O1473">
        <v>200</v>
      </c>
      <c r="P1473">
        <v>0</v>
      </c>
      <c r="Q1473">
        <v>4500</v>
      </c>
    </row>
    <row r="1474" spans="1:17">
      <c r="A1474" t="s">
        <v>99</v>
      </c>
      <c r="B1474" t="s">
        <v>32</v>
      </c>
      <c r="C1474">
        <v>9</v>
      </c>
      <c r="D1474">
        <v>2022</v>
      </c>
      <c r="E1474" s="49" t="s">
        <v>2</v>
      </c>
      <c r="F1474" s="49" t="s">
        <v>163</v>
      </c>
      <c r="G1474">
        <f>'Aug-Apr, 2023'!G76+'Aug-Apr, 2023'!H76</f>
        <v>45</v>
      </c>
      <c r="H1474">
        <f>'Aug-Apr, 2023'!I76</f>
        <v>0</v>
      </c>
      <c r="I1474">
        <f>'Aug-Apr, 2023'!J76</f>
        <v>10</v>
      </c>
      <c r="J1474">
        <f>G1474*Parameters!$B$2*Parameters!$B$5</f>
        <v>95.809499999999986</v>
      </c>
      <c r="K1474">
        <f>H1474*Parameters!$B$3*Parameters!$B$6</f>
        <v>0</v>
      </c>
      <c r="L1474">
        <f>I1474*Parameters!$B$4*Parameters!$B$7</f>
        <v>80.963999999999999</v>
      </c>
      <c r="M1474">
        <f t="shared" si="22"/>
        <v>176.77349999999998</v>
      </c>
      <c r="N1474">
        <v>4500</v>
      </c>
      <c r="O1474">
        <v>0</v>
      </c>
      <c r="P1474">
        <v>0</v>
      </c>
      <c r="Q1474">
        <v>3000</v>
      </c>
    </row>
    <row r="1475" spans="1:17">
      <c r="A1475" t="s">
        <v>100</v>
      </c>
      <c r="B1475" t="s">
        <v>40</v>
      </c>
      <c r="C1475">
        <v>8</v>
      </c>
      <c r="D1475">
        <v>2022</v>
      </c>
      <c r="E1475" s="49" t="s">
        <v>2</v>
      </c>
      <c r="F1475" s="49" t="s">
        <v>163</v>
      </c>
      <c r="G1475">
        <f>'Aug-Apr, 2023'!G77+'Aug-Apr, 2023'!H77</f>
        <v>20</v>
      </c>
      <c r="H1475">
        <f>'Aug-Apr, 2023'!I77</f>
        <v>0</v>
      </c>
      <c r="I1475">
        <f>'Aug-Apr, 2023'!J77</f>
        <v>15</v>
      </c>
      <c r="J1475">
        <f>G1475*Parameters!$B$2*Parameters!$B$5</f>
        <v>42.581999999999994</v>
      </c>
      <c r="K1475">
        <f>H1475*Parameters!$B$3*Parameters!$B$6</f>
        <v>0</v>
      </c>
      <c r="L1475">
        <f>I1475*Parameters!$B$4*Parameters!$B$7</f>
        <v>121.44600000000001</v>
      </c>
      <c r="M1475">
        <f t="shared" ref="M1475:M1538" si="23">SUM(J1475:L1475)</f>
        <v>164.02800000000002</v>
      </c>
      <c r="N1475">
        <v>2000</v>
      </c>
      <c r="O1475">
        <v>0</v>
      </c>
      <c r="P1475">
        <v>0</v>
      </c>
      <c r="Q1475">
        <v>4500</v>
      </c>
    </row>
    <row r="1476" spans="1:17">
      <c r="A1476" t="s">
        <v>101</v>
      </c>
      <c r="B1476" t="s">
        <v>38</v>
      </c>
      <c r="C1476">
        <v>5</v>
      </c>
      <c r="D1476">
        <v>2022</v>
      </c>
      <c r="E1476" s="49" t="s">
        <v>2</v>
      </c>
      <c r="F1476" s="49" t="s">
        <v>163</v>
      </c>
      <c r="G1476">
        <f>'Aug-Apr, 2023'!G78+'Aug-Apr, 2023'!H78</f>
        <v>42</v>
      </c>
      <c r="H1476">
        <f>'Aug-Apr, 2023'!I78</f>
        <v>0</v>
      </c>
      <c r="I1476">
        <f>'Aug-Apr, 2023'!J78</f>
        <v>8</v>
      </c>
      <c r="J1476">
        <f>G1476*Parameters!$B$2*Parameters!$B$5</f>
        <v>89.422199999999975</v>
      </c>
      <c r="K1476">
        <f>H1476*Parameters!$B$3*Parameters!$B$6</f>
        <v>0</v>
      </c>
      <c r="L1476">
        <f>I1476*Parameters!$B$4*Parameters!$B$7</f>
        <v>64.771200000000007</v>
      </c>
      <c r="M1476">
        <f t="shared" si="23"/>
        <v>154.1934</v>
      </c>
      <c r="N1476">
        <v>4200</v>
      </c>
      <c r="O1476">
        <v>0</v>
      </c>
      <c r="P1476">
        <v>0</v>
      </c>
      <c r="Q1476">
        <v>2400</v>
      </c>
    </row>
    <row r="1477" spans="1:17">
      <c r="A1477" t="s">
        <v>102</v>
      </c>
      <c r="B1477" t="s">
        <v>17</v>
      </c>
      <c r="C1477">
        <v>4</v>
      </c>
      <c r="D1477">
        <v>2022</v>
      </c>
      <c r="E1477" s="49" t="s">
        <v>2</v>
      </c>
      <c r="F1477" s="49" t="s">
        <v>163</v>
      </c>
      <c r="G1477">
        <f>'Aug-Apr, 2023'!G79+'Aug-Apr, 2023'!H79</f>
        <v>55</v>
      </c>
      <c r="H1477">
        <f>'Aug-Apr, 2023'!I79</f>
        <v>0</v>
      </c>
      <c r="I1477">
        <f>'Aug-Apr, 2023'!J79</f>
        <v>12</v>
      </c>
      <c r="J1477">
        <f>G1477*Parameters!$B$2*Parameters!$B$5</f>
        <v>117.10049999999998</v>
      </c>
      <c r="K1477">
        <f>H1477*Parameters!$B$3*Parameters!$B$6</f>
        <v>0</v>
      </c>
      <c r="L1477">
        <f>I1477*Parameters!$B$4*Parameters!$B$7</f>
        <v>97.156800000000018</v>
      </c>
      <c r="M1477">
        <f t="shared" si="23"/>
        <v>214.25729999999999</v>
      </c>
      <c r="N1477">
        <v>5500</v>
      </c>
      <c r="O1477">
        <v>0</v>
      </c>
      <c r="P1477">
        <v>0</v>
      </c>
      <c r="Q1477">
        <v>3600</v>
      </c>
    </row>
    <row r="1478" spans="1:17">
      <c r="A1478" t="s">
        <v>103</v>
      </c>
      <c r="B1478" t="s">
        <v>26</v>
      </c>
      <c r="C1478">
        <v>6</v>
      </c>
      <c r="D1478">
        <v>2022</v>
      </c>
      <c r="E1478" s="49" t="s">
        <v>2</v>
      </c>
      <c r="F1478" s="49" t="s">
        <v>163</v>
      </c>
      <c r="G1478">
        <f>'Aug-Apr, 2023'!G80+'Aug-Apr, 2023'!H80</f>
        <v>35</v>
      </c>
      <c r="H1478">
        <f>'Aug-Apr, 2023'!I80</f>
        <v>0</v>
      </c>
      <c r="I1478">
        <f>'Aug-Apr, 2023'!J80</f>
        <v>18</v>
      </c>
      <c r="J1478">
        <f>G1478*Parameters!$B$2*Parameters!$B$5</f>
        <v>74.518499999999989</v>
      </c>
      <c r="K1478">
        <f>H1478*Parameters!$B$3*Parameters!$B$6</f>
        <v>0</v>
      </c>
      <c r="L1478">
        <f>I1478*Parameters!$B$4*Parameters!$B$7</f>
        <v>145.73520000000002</v>
      </c>
      <c r="M1478">
        <f t="shared" si="23"/>
        <v>220.25370000000001</v>
      </c>
      <c r="N1478">
        <v>3500</v>
      </c>
      <c r="O1478">
        <v>0</v>
      </c>
      <c r="P1478">
        <v>0</v>
      </c>
      <c r="Q1478">
        <v>5400</v>
      </c>
    </row>
    <row r="1479" spans="1:17">
      <c r="A1479" t="s">
        <v>104</v>
      </c>
      <c r="B1479" t="s">
        <v>26</v>
      </c>
      <c r="C1479">
        <v>7</v>
      </c>
      <c r="D1479">
        <v>2022</v>
      </c>
      <c r="E1479" s="49" t="s">
        <v>2</v>
      </c>
      <c r="F1479" s="49" t="s">
        <v>163</v>
      </c>
      <c r="G1479">
        <f>'Aug-Apr, 2023'!G81+'Aug-Apr, 2023'!H81</f>
        <v>30</v>
      </c>
      <c r="H1479">
        <f>'Aug-Apr, 2023'!I81</f>
        <v>0</v>
      </c>
      <c r="I1479">
        <f>'Aug-Apr, 2023'!J81</f>
        <v>11</v>
      </c>
      <c r="J1479">
        <f>G1479*Parameters!$B$2*Parameters!$B$5</f>
        <v>63.87299999999999</v>
      </c>
      <c r="K1479">
        <f>H1479*Parameters!$B$3*Parameters!$B$6</f>
        <v>0</v>
      </c>
      <c r="L1479">
        <f>I1479*Parameters!$B$4*Parameters!$B$7</f>
        <v>89.060400000000016</v>
      </c>
      <c r="M1479">
        <f t="shared" si="23"/>
        <v>152.93340000000001</v>
      </c>
      <c r="N1479">
        <v>3000</v>
      </c>
      <c r="O1479">
        <v>0</v>
      </c>
      <c r="P1479">
        <v>0</v>
      </c>
      <c r="Q1479">
        <v>3300</v>
      </c>
    </row>
    <row r="1480" spans="1:17">
      <c r="A1480" t="s">
        <v>105</v>
      </c>
      <c r="B1480" t="s">
        <v>21</v>
      </c>
      <c r="C1480">
        <v>5</v>
      </c>
      <c r="D1480">
        <v>2022</v>
      </c>
      <c r="E1480" s="49" t="s">
        <v>2</v>
      </c>
      <c r="F1480" s="49" t="s">
        <v>163</v>
      </c>
      <c r="G1480">
        <f>'Aug-Apr, 2023'!G82+'Aug-Apr, 2023'!H82</f>
        <v>40</v>
      </c>
      <c r="H1480">
        <f>'Aug-Apr, 2023'!I82</f>
        <v>0</v>
      </c>
      <c r="I1480">
        <f>'Aug-Apr, 2023'!J82</f>
        <v>20</v>
      </c>
      <c r="J1480">
        <f>G1480*Parameters!$B$2*Parameters!$B$5</f>
        <v>85.163999999999987</v>
      </c>
      <c r="K1480">
        <f>H1480*Parameters!$B$3*Parameters!$B$6</f>
        <v>0</v>
      </c>
      <c r="L1480">
        <f>I1480*Parameters!$B$4*Parameters!$B$7</f>
        <v>161.928</v>
      </c>
      <c r="M1480">
        <f t="shared" si="23"/>
        <v>247.09199999999998</v>
      </c>
      <c r="N1480">
        <v>4000</v>
      </c>
      <c r="O1480">
        <v>0</v>
      </c>
      <c r="P1480">
        <v>0</v>
      </c>
      <c r="Q1480">
        <v>6000</v>
      </c>
    </row>
    <row r="1481" spans="1:17">
      <c r="A1481" t="s">
        <v>106</v>
      </c>
      <c r="B1481" t="s">
        <v>24</v>
      </c>
      <c r="C1481">
        <v>6</v>
      </c>
      <c r="D1481">
        <v>2022</v>
      </c>
      <c r="E1481" s="49" t="s">
        <v>2</v>
      </c>
      <c r="F1481" s="49" t="s">
        <v>163</v>
      </c>
      <c r="G1481">
        <f>'Aug-Apr, 2023'!G83+'Aug-Apr, 2023'!H83</f>
        <v>36</v>
      </c>
      <c r="H1481">
        <f>'Aug-Apr, 2023'!I83</f>
        <v>0</v>
      </c>
      <c r="I1481">
        <f>'Aug-Apr, 2023'!J83</f>
        <v>15</v>
      </c>
      <c r="J1481">
        <f>G1481*Parameters!$B$2*Parameters!$B$5</f>
        <v>76.647599999999997</v>
      </c>
      <c r="K1481">
        <f>H1481*Parameters!$B$3*Parameters!$B$6</f>
        <v>0</v>
      </c>
      <c r="L1481">
        <f>I1481*Parameters!$B$4*Parameters!$B$7</f>
        <v>121.44600000000001</v>
      </c>
      <c r="M1481">
        <f t="shared" si="23"/>
        <v>198.09360000000001</v>
      </c>
      <c r="N1481">
        <v>3600</v>
      </c>
      <c r="O1481">
        <v>0</v>
      </c>
      <c r="P1481">
        <v>0</v>
      </c>
      <c r="Q1481">
        <v>4500</v>
      </c>
    </row>
    <row r="1482" spans="1:17">
      <c r="A1482" t="s">
        <v>107</v>
      </c>
      <c r="B1482" t="s">
        <v>21</v>
      </c>
      <c r="C1482">
        <v>4</v>
      </c>
      <c r="D1482">
        <v>2022</v>
      </c>
      <c r="E1482" s="49" t="s">
        <v>2</v>
      </c>
      <c r="F1482" s="49" t="s">
        <v>163</v>
      </c>
      <c r="G1482">
        <f>'Aug-Apr, 2023'!G84+'Aug-Apr, 2023'!H84</f>
        <v>36</v>
      </c>
      <c r="H1482">
        <f>'Aug-Apr, 2023'!I84</f>
        <v>0</v>
      </c>
      <c r="I1482">
        <f>'Aug-Apr, 2023'!J84</f>
        <v>0</v>
      </c>
      <c r="J1482">
        <f>G1482*Parameters!$B$2*Parameters!$B$5</f>
        <v>76.647599999999997</v>
      </c>
      <c r="K1482">
        <f>H1482*Parameters!$B$3*Parameters!$B$6</f>
        <v>0</v>
      </c>
      <c r="L1482">
        <f>I1482*Parameters!$B$4*Parameters!$B$7</f>
        <v>0</v>
      </c>
      <c r="M1482">
        <f t="shared" si="23"/>
        <v>76.647599999999997</v>
      </c>
      <c r="N1482">
        <v>3600</v>
      </c>
      <c r="O1482">
        <v>0</v>
      </c>
      <c r="P1482">
        <v>0</v>
      </c>
      <c r="Q1482">
        <v>0</v>
      </c>
    </row>
    <row r="1483" spans="1:17">
      <c r="A1483" t="s">
        <v>108</v>
      </c>
      <c r="B1483" t="s">
        <v>24</v>
      </c>
      <c r="C1483">
        <v>5</v>
      </c>
      <c r="D1483">
        <v>2022</v>
      </c>
      <c r="E1483" s="49" t="s">
        <v>2</v>
      </c>
      <c r="F1483" s="49" t="s">
        <v>163</v>
      </c>
      <c r="G1483">
        <f>'Aug-Apr, 2023'!G85+'Aug-Apr, 2023'!H85</f>
        <v>38</v>
      </c>
      <c r="H1483">
        <f>'Aug-Apr, 2023'!I85</f>
        <v>0</v>
      </c>
      <c r="I1483">
        <f>'Aug-Apr, 2023'!J85</f>
        <v>10</v>
      </c>
      <c r="J1483">
        <f>G1483*Parameters!$B$2*Parameters!$B$5</f>
        <v>80.905799999999985</v>
      </c>
      <c r="K1483">
        <f>H1483*Parameters!$B$3*Parameters!$B$6</f>
        <v>0</v>
      </c>
      <c r="L1483">
        <f>I1483*Parameters!$B$4*Parameters!$B$7</f>
        <v>80.963999999999999</v>
      </c>
      <c r="M1483">
        <f t="shared" si="23"/>
        <v>161.8698</v>
      </c>
      <c r="N1483">
        <v>3800</v>
      </c>
      <c r="O1483">
        <v>0</v>
      </c>
      <c r="P1483">
        <v>0</v>
      </c>
      <c r="Q1483">
        <v>3000</v>
      </c>
    </row>
    <row r="1484" spans="1:17">
      <c r="A1484" t="s">
        <v>109</v>
      </c>
      <c r="B1484" t="s">
        <v>32</v>
      </c>
      <c r="C1484">
        <v>6</v>
      </c>
      <c r="D1484">
        <v>2022</v>
      </c>
      <c r="E1484" s="49" t="s">
        <v>2</v>
      </c>
      <c r="F1484" s="49" t="s">
        <v>163</v>
      </c>
      <c r="G1484">
        <f>'Aug-Apr, 2023'!G86+'Aug-Apr, 2023'!H86</f>
        <v>30</v>
      </c>
      <c r="H1484">
        <f>'Aug-Apr, 2023'!I86</f>
        <v>0</v>
      </c>
      <c r="I1484">
        <f>'Aug-Apr, 2023'!J86</f>
        <v>8</v>
      </c>
      <c r="J1484">
        <f>G1484*Parameters!$B$2*Parameters!$B$5</f>
        <v>63.87299999999999</v>
      </c>
      <c r="K1484">
        <f>H1484*Parameters!$B$3*Parameters!$B$6</f>
        <v>0</v>
      </c>
      <c r="L1484">
        <f>I1484*Parameters!$B$4*Parameters!$B$7</f>
        <v>64.771200000000007</v>
      </c>
      <c r="M1484">
        <f t="shared" si="23"/>
        <v>128.64420000000001</v>
      </c>
      <c r="N1484">
        <v>3000</v>
      </c>
      <c r="O1484">
        <v>0</v>
      </c>
      <c r="P1484">
        <v>0</v>
      </c>
      <c r="Q1484">
        <v>2400</v>
      </c>
    </row>
    <row r="1485" spans="1:17">
      <c r="A1485" t="s">
        <v>110</v>
      </c>
      <c r="B1485" t="s">
        <v>21</v>
      </c>
      <c r="C1485">
        <v>3</v>
      </c>
      <c r="D1485">
        <v>2022</v>
      </c>
      <c r="E1485" s="49" t="s">
        <v>2</v>
      </c>
      <c r="F1485" s="49" t="s">
        <v>163</v>
      </c>
      <c r="G1485">
        <f>'Aug-Apr, 2023'!G87+'Aug-Apr, 2023'!H87</f>
        <v>30</v>
      </c>
      <c r="H1485">
        <f>'Aug-Apr, 2023'!I87</f>
        <v>0</v>
      </c>
      <c r="I1485">
        <f>'Aug-Apr, 2023'!J87</f>
        <v>5</v>
      </c>
      <c r="J1485">
        <f>G1485*Parameters!$B$2*Parameters!$B$5</f>
        <v>63.87299999999999</v>
      </c>
      <c r="K1485">
        <f>H1485*Parameters!$B$3*Parameters!$B$6</f>
        <v>0</v>
      </c>
      <c r="L1485">
        <f>I1485*Parameters!$B$4*Parameters!$B$7</f>
        <v>40.481999999999999</v>
      </c>
      <c r="M1485">
        <f t="shared" si="23"/>
        <v>104.35499999999999</v>
      </c>
      <c r="N1485">
        <v>3000</v>
      </c>
      <c r="O1485">
        <v>0</v>
      </c>
      <c r="P1485">
        <v>0</v>
      </c>
      <c r="Q1485">
        <v>1500</v>
      </c>
    </row>
    <row r="1486" spans="1:17">
      <c r="A1486" t="s">
        <v>111</v>
      </c>
      <c r="B1486" t="s">
        <v>26</v>
      </c>
      <c r="C1486">
        <v>6</v>
      </c>
      <c r="D1486">
        <v>2022</v>
      </c>
      <c r="E1486" s="49" t="s">
        <v>2</v>
      </c>
      <c r="F1486" s="49" t="s">
        <v>163</v>
      </c>
      <c r="G1486">
        <f>'Aug-Apr, 2023'!G88+'Aug-Apr, 2023'!H88</f>
        <v>29</v>
      </c>
      <c r="H1486">
        <f>'Aug-Apr, 2023'!I88</f>
        <v>0</v>
      </c>
      <c r="I1486">
        <f>'Aug-Apr, 2023'!J88</f>
        <v>10</v>
      </c>
      <c r="J1486">
        <f>G1486*Parameters!$B$2*Parameters!$B$5</f>
        <v>61.743899999999989</v>
      </c>
      <c r="K1486">
        <f>H1486*Parameters!$B$3*Parameters!$B$6</f>
        <v>0</v>
      </c>
      <c r="L1486">
        <f>I1486*Parameters!$B$4*Parameters!$B$7</f>
        <v>80.963999999999999</v>
      </c>
      <c r="M1486">
        <f t="shared" si="23"/>
        <v>142.7079</v>
      </c>
      <c r="N1486">
        <v>2900</v>
      </c>
      <c r="O1486">
        <v>0</v>
      </c>
      <c r="P1486">
        <v>0</v>
      </c>
      <c r="Q1486">
        <v>3000</v>
      </c>
    </row>
    <row r="1487" spans="1:17">
      <c r="A1487" t="s">
        <v>112</v>
      </c>
      <c r="B1487" t="s">
        <v>19</v>
      </c>
      <c r="C1487">
        <v>7</v>
      </c>
      <c r="D1487">
        <v>2022</v>
      </c>
      <c r="E1487" s="49" t="s">
        <v>2</v>
      </c>
      <c r="F1487" s="49" t="s">
        <v>163</v>
      </c>
      <c r="G1487">
        <f>'Aug-Apr, 2023'!G89+'Aug-Apr, 2023'!H89</f>
        <v>30</v>
      </c>
      <c r="H1487">
        <f>'Aug-Apr, 2023'!I89</f>
        <v>0</v>
      </c>
      <c r="I1487">
        <f>'Aug-Apr, 2023'!J89</f>
        <v>6</v>
      </c>
      <c r="J1487">
        <f>G1487*Parameters!$B$2*Parameters!$B$5</f>
        <v>63.87299999999999</v>
      </c>
      <c r="K1487">
        <f>H1487*Parameters!$B$3*Parameters!$B$6</f>
        <v>0</v>
      </c>
      <c r="L1487">
        <f>I1487*Parameters!$B$4*Parameters!$B$7</f>
        <v>48.578400000000009</v>
      </c>
      <c r="M1487">
        <f t="shared" si="23"/>
        <v>112.45140000000001</v>
      </c>
      <c r="N1487">
        <v>0</v>
      </c>
      <c r="O1487">
        <v>3000</v>
      </c>
      <c r="P1487">
        <v>0</v>
      </c>
      <c r="Q1487">
        <v>1800</v>
      </c>
    </row>
    <row r="1488" spans="1:17">
      <c r="A1488" t="s">
        <v>113</v>
      </c>
      <c r="B1488" t="s">
        <v>26</v>
      </c>
      <c r="C1488">
        <v>4</v>
      </c>
      <c r="D1488">
        <v>2022</v>
      </c>
      <c r="E1488" s="49" t="s">
        <v>2</v>
      </c>
      <c r="F1488" s="49" t="s">
        <v>163</v>
      </c>
      <c r="G1488">
        <f>'Aug-Apr, 2023'!G90+'Aug-Apr, 2023'!H90</f>
        <v>30</v>
      </c>
      <c r="H1488">
        <f>'Aug-Apr, 2023'!I90</f>
        <v>0</v>
      </c>
      <c r="I1488">
        <f>'Aug-Apr, 2023'!J90</f>
        <v>8</v>
      </c>
      <c r="J1488">
        <f>G1488*Parameters!$B$2*Parameters!$B$5</f>
        <v>63.87299999999999</v>
      </c>
      <c r="K1488">
        <f>H1488*Parameters!$B$3*Parameters!$B$6</f>
        <v>0</v>
      </c>
      <c r="L1488">
        <f>I1488*Parameters!$B$4*Parameters!$B$7</f>
        <v>64.771200000000007</v>
      </c>
      <c r="M1488">
        <f t="shared" si="23"/>
        <v>128.64420000000001</v>
      </c>
      <c r="N1488">
        <v>3000</v>
      </c>
      <c r="O1488">
        <v>0</v>
      </c>
      <c r="P1488">
        <v>0</v>
      </c>
      <c r="Q1488">
        <v>2400</v>
      </c>
    </row>
    <row r="1489" spans="1:17">
      <c r="A1489" t="s">
        <v>114</v>
      </c>
      <c r="B1489" t="s">
        <v>65</v>
      </c>
      <c r="C1489">
        <v>8</v>
      </c>
      <c r="D1489">
        <v>2022</v>
      </c>
      <c r="E1489" s="49" t="s">
        <v>2</v>
      </c>
      <c r="F1489" s="49" t="s">
        <v>163</v>
      </c>
      <c r="G1489">
        <f>'Aug-Apr, 2023'!G91+'Aug-Apr, 2023'!H91</f>
        <v>35</v>
      </c>
      <c r="H1489">
        <f>'Aug-Apr, 2023'!I91</f>
        <v>0</v>
      </c>
      <c r="I1489">
        <f>'Aug-Apr, 2023'!J91</f>
        <v>15</v>
      </c>
      <c r="J1489">
        <f>G1489*Parameters!$B$2*Parameters!$B$5</f>
        <v>74.518499999999989</v>
      </c>
      <c r="K1489">
        <f>H1489*Parameters!$B$3*Parameters!$B$6</f>
        <v>0</v>
      </c>
      <c r="L1489">
        <f>I1489*Parameters!$B$4*Parameters!$B$7</f>
        <v>121.44600000000001</v>
      </c>
      <c r="M1489">
        <f t="shared" si="23"/>
        <v>195.96449999999999</v>
      </c>
      <c r="N1489">
        <v>3500</v>
      </c>
      <c r="O1489">
        <v>0</v>
      </c>
      <c r="P1489">
        <v>0</v>
      </c>
      <c r="Q1489">
        <v>4500</v>
      </c>
    </row>
    <row r="1490" spans="1:17">
      <c r="A1490" t="s">
        <v>115</v>
      </c>
      <c r="B1490" t="s">
        <v>19</v>
      </c>
      <c r="C1490">
        <v>8</v>
      </c>
      <c r="D1490">
        <v>2022</v>
      </c>
      <c r="E1490" s="49" t="s">
        <v>2</v>
      </c>
      <c r="F1490" s="49" t="s">
        <v>163</v>
      </c>
      <c r="G1490">
        <f>'Aug-Apr, 2023'!G92+'Aug-Apr, 2023'!H92</f>
        <v>37</v>
      </c>
      <c r="H1490">
        <f>'Aug-Apr, 2023'!I92</f>
        <v>0</v>
      </c>
      <c r="I1490">
        <f>'Aug-Apr, 2023'!J92</f>
        <v>18</v>
      </c>
      <c r="J1490">
        <f>G1490*Parameters!$B$2*Parameters!$B$5</f>
        <v>78.776699999999977</v>
      </c>
      <c r="K1490">
        <f>H1490*Parameters!$B$3*Parameters!$B$6</f>
        <v>0</v>
      </c>
      <c r="L1490">
        <f>I1490*Parameters!$B$4*Parameters!$B$7</f>
        <v>145.73520000000002</v>
      </c>
      <c r="M1490">
        <f t="shared" si="23"/>
        <v>224.5119</v>
      </c>
      <c r="N1490">
        <v>3700</v>
      </c>
      <c r="O1490">
        <v>0</v>
      </c>
      <c r="P1490">
        <v>0</v>
      </c>
      <c r="Q1490">
        <v>5400</v>
      </c>
    </row>
    <row r="1491" spans="1:17">
      <c r="A1491" t="s">
        <v>116</v>
      </c>
      <c r="B1491" t="s">
        <v>21</v>
      </c>
      <c r="C1491">
        <v>4</v>
      </c>
      <c r="D1491">
        <v>2022</v>
      </c>
      <c r="E1491" s="49" t="s">
        <v>2</v>
      </c>
      <c r="F1491" s="49" t="s">
        <v>163</v>
      </c>
      <c r="G1491">
        <f>'Aug-Apr, 2023'!G93+'Aug-Apr, 2023'!H93</f>
        <v>22</v>
      </c>
      <c r="H1491">
        <f>'Aug-Apr, 2023'!I93</f>
        <v>0</v>
      </c>
      <c r="I1491">
        <f>'Aug-Apr, 2023'!J93</f>
        <v>0</v>
      </c>
      <c r="J1491">
        <f>G1491*Parameters!$B$2*Parameters!$B$5</f>
        <v>46.840199999999996</v>
      </c>
      <c r="K1491">
        <f>H1491*Parameters!$B$3*Parameters!$B$6</f>
        <v>0</v>
      </c>
      <c r="L1491">
        <f>I1491*Parameters!$B$4*Parameters!$B$7</f>
        <v>0</v>
      </c>
      <c r="M1491">
        <f t="shared" si="23"/>
        <v>46.840199999999996</v>
      </c>
      <c r="N1491">
        <v>2200</v>
      </c>
      <c r="O1491">
        <v>0</v>
      </c>
      <c r="P1491">
        <v>0</v>
      </c>
      <c r="Q1491">
        <v>0</v>
      </c>
    </row>
    <row r="1492" spans="1:17">
      <c r="A1492" t="s">
        <v>117</v>
      </c>
      <c r="B1492" t="s">
        <v>17</v>
      </c>
      <c r="C1492">
        <v>9</v>
      </c>
      <c r="D1492">
        <v>2022</v>
      </c>
      <c r="E1492" s="49" t="s">
        <v>2</v>
      </c>
      <c r="F1492" s="49" t="s">
        <v>163</v>
      </c>
      <c r="G1492">
        <f>'Aug-Apr, 2023'!G94+'Aug-Apr, 2023'!H94</f>
        <v>25</v>
      </c>
      <c r="H1492">
        <f>'Aug-Apr, 2023'!I94</f>
        <v>0</v>
      </c>
      <c r="I1492">
        <f>'Aug-Apr, 2023'!J94</f>
        <v>8</v>
      </c>
      <c r="J1492">
        <f>G1492*Parameters!$B$2*Parameters!$B$5</f>
        <v>53.227499999999992</v>
      </c>
      <c r="K1492">
        <f>H1492*Parameters!$B$3*Parameters!$B$6</f>
        <v>0</v>
      </c>
      <c r="L1492">
        <f>I1492*Parameters!$B$4*Parameters!$B$7</f>
        <v>64.771200000000007</v>
      </c>
      <c r="M1492">
        <f t="shared" si="23"/>
        <v>117.9987</v>
      </c>
      <c r="N1492">
        <v>2500</v>
      </c>
      <c r="O1492">
        <v>0</v>
      </c>
      <c r="P1492">
        <v>0</v>
      </c>
      <c r="Q1492">
        <v>2400</v>
      </c>
    </row>
    <row r="1493" spans="1:17">
      <c r="A1493" t="s">
        <v>118</v>
      </c>
      <c r="B1493" t="s">
        <v>19</v>
      </c>
      <c r="C1493">
        <v>4</v>
      </c>
      <c r="D1493">
        <v>2022</v>
      </c>
      <c r="E1493" s="49" t="s">
        <v>2</v>
      </c>
      <c r="F1493" s="49" t="s">
        <v>163</v>
      </c>
      <c r="G1493">
        <f>'Aug-Apr, 2023'!G95+'Aug-Apr, 2023'!H95</f>
        <v>35</v>
      </c>
      <c r="H1493">
        <f>'Aug-Apr, 2023'!I95</f>
        <v>0</v>
      </c>
      <c r="I1493">
        <f>'Aug-Apr, 2023'!J95</f>
        <v>6</v>
      </c>
      <c r="J1493">
        <f>G1493*Parameters!$B$2*Parameters!$B$5</f>
        <v>74.518499999999989</v>
      </c>
      <c r="K1493">
        <f>H1493*Parameters!$B$3*Parameters!$B$6</f>
        <v>0</v>
      </c>
      <c r="L1493">
        <f>I1493*Parameters!$B$4*Parameters!$B$7</f>
        <v>48.578400000000009</v>
      </c>
      <c r="M1493">
        <f t="shared" si="23"/>
        <v>123.09690000000001</v>
      </c>
      <c r="N1493">
        <v>3500</v>
      </c>
      <c r="O1493">
        <v>0</v>
      </c>
      <c r="P1493">
        <v>0</v>
      </c>
      <c r="Q1493">
        <v>1800</v>
      </c>
    </row>
    <row r="1494" spans="1:17">
      <c r="A1494" t="s">
        <v>119</v>
      </c>
      <c r="B1494" t="s">
        <v>40</v>
      </c>
      <c r="C1494">
        <v>6</v>
      </c>
      <c r="D1494">
        <v>2022</v>
      </c>
      <c r="E1494" s="49" t="s">
        <v>2</v>
      </c>
      <c r="F1494" s="49" t="s">
        <v>163</v>
      </c>
      <c r="G1494">
        <f>'Aug-Apr, 2023'!G96+'Aug-Apr, 2023'!H96</f>
        <v>35</v>
      </c>
      <c r="H1494">
        <f>'Aug-Apr, 2023'!I96</f>
        <v>0</v>
      </c>
      <c r="I1494">
        <f>'Aug-Apr, 2023'!J96</f>
        <v>15</v>
      </c>
      <c r="J1494">
        <f>G1494*Parameters!$B$2*Parameters!$B$5</f>
        <v>74.518499999999989</v>
      </c>
      <c r="K1494">
        <f>H1494*Parameters!$B$3*Parameters!$B$6</f>
        <v>0</v>
      </c>
      <c r="L1494">
        <f>I1494*Parameters!$B$4*Parameters!$B$7</f>
        <v>121.44600000000001</v>
      </c>
      <c r="M1494">
        <f t="shared" si="23"/>
        <v>195.96449999999999</v>
      </c>
      <c r="N1494">
        <v>0</v>
      </c>
      <c r="O1494">
        <v>3500</v>
      </c>
      <c r="P1494">
        <v>0</v>
      </c>
      <c r="Q1494">
        <v>4500</v>
      </c>
    </row>
    <row r="1495" spans="1:17">
      <c r="A1495" t="s">
        <v>120</v>
      </c>
      <c r="B1495" t="s">
        <v>32</v>
      </c>
      <c r="C1495">
        <v>8</v>
      </c>
      <c r="D1495">
        <v>2022</v>
      </c>
      <c r="E1495" s="49" t="s">
        <v>2</v>
      </c>
      <c r="F1495" s="49" t="s">
        <v>163</v>
      </c>
      <c r="G1495">
        <f>'Aug-Apr, 2023'!G97+'Aug-Apr, 2023'!H97</f>
        <v>35</v>
      </c>
      <c r="H1495">
        <f>'Aug-Apr, 2023'!I97</f>
        <v>0</v>
      </c>
      <c r="I1495">
        <f>'Aug-Apr, 2023'!J97</f>
        <v>0</v>
      </c>
      <c r="J1495">
        <f>G1495*Parameters!$B$2*Parameters!$B$5</f>
        <v>74.518499999999989</v>
      </c>
      <c r="K1495">
        <f>H1495*Parameters!$B$3*Parameters!$B$6</f>
        <v>0</v>
      </c>
      <c r="L1495">
        <f>I1495*Parameters!$B$4*Parameters!$B$7</f>
        <v>0</v>
      </c>
      <c r="M1495">
        <f t="shared" si="23"/>
        <v>74.518499999999989</v>
      </c>
      <c r="N1495">
        <v>3500</v>
      </c>
      <c r="O1495">
        <v>0</v>
      </c>
      <c r="P1495">
        <v>0</v>
      </c>
      <c r="Q1495">
        <v>0</v>
      </c>
    </row>
    <row r="1496" spans="1:17">
      <c r="A1496" t="s">
        <v>121</v>
      </c>
      <c r="B1496" t="s">
        <v>24</v>
      </c>
      <c r="C1496">
        <v>5</v>
      </c>
      <c r="D1496">
        <v>2022</v>
      </c>
      <c r="E1496" s="49" t="s">
        <v>2</v>
      </c>
      <c r="F1496" s="49" t="s">
        <v>163</v>
      </c>
      <c r="G1496">
        <f>'Aug-Apr, 2023'!G98+'Aug-Apr, 2023'!H98</f>
        <v>40</v>
      </c>
      <c r="H1496">
        <f>'Aug-Apr, 2023'!I98</f>
        <v>0</v>
      </c>
      <c r="I1496">
        <f>'Aug-Apr, 2023'!J98</f>
        <v>5</v>
      </c>
      <c r="J1496">
        <f>G1496*Parameters!$B$2*Parameters!$B$5</f>
        <v>85.163999999999987</v>
      </c>
      <c r="K1496">
        <f>H1496*Parameters!$B$3*Parameters!$B$6</f>
        <v>0</v>
      </c>
      <c r="L1496">
        <f>I1496*Parameters!$B$4*Parameters!$B$7</f>
        <v>40.481999999999999</v>
      </c>
      <c r="M1496">
        <f t="shared" si="23"/>
        <v>125.64599999999999</v>
      </c>
      <c r="N1496">
        <v>4000</v>
      </c>
      <c r="O1496">
        <v>0</v>
      </c>
      <c r="P1496">
        <v>0</v>
      </c>
      <c r="Q1496">
        <v>1500</v>
      </c>
    </row>
    <row r="1497" spans="1:17">
      <c r="A1497" t="s">
        <v>122</v>
      </c>
      <c r="B1497" t="s">
        <v>26</v>
      </c>
      <c r="C1497">
        <v>6</v>
      </c>
      <c r="D1497">
        <v>2022</v>
      </c>
      <c r="E1497" s="49" t="s">
        <v>2</v>
      </c>
      <c r="F1497" s="49" t="s">
        <v>163</v>
      </c>
      <c r="G1497">
        <f>'Aug-Apr, 2023'!G99+'Aug-Apr, 2023'!H99</f>
        <v>25</v>
      </c>
      <c r="H1497">
        <f>'Aug-Apr, 2023'!I99</f>
        <v>0</v>
      </c>
      <c r="I1497">
        <f>'Aug-Apr, 2023'!J99</f>
        <v>5</v>
      </c>
      <c r="J1497">
        <f>G1497*Parameters!$B$2*Parameters!$B$5</f>
        <v>53.227499999999992</v>
      </c>
      <c r="K1497">
        <f>H1497*Parameters!$B$3*Parameters!$B$6</f>
        <v>0</v>
      </c>
      <c r="L1497">
        <f>I1497*Parameters!$B$4*Parameters!$B$7</f>
        <v>40.481999999999999</v>
      </c>
      <c r="M1497">
        <f t="shared" si="23"/>
        <v>93.709499999999991</v>
      </c>
      <c r="N1497">
        <v>2500</v>
      </c>
      <c r="O1497">
        <v>0</v>
      </c>
      <c r="P1497">
        <v>0</v>
      </c>
      <c r="Q1497">
        <v>1500</v>
      </c>
    </row>
    <row r="1498" spans="1:17">
      <c r="A1498" t="s">
        <v>123</v>
      </c>
      <c r="B1498" t="s">
        <v>19</v>
      </c>
      <c r="C1498">
        <v>8</v>
      </c>
      <c r="D1498">
        <v>2022</v>
      </c>
      <c r="E1498" s="49" t="s">
        <v>2</v>
      </c>
      <c r="F1498" s="49" t="s">
        <v>163</v>
      </c>
      <c r="G1498">
        <f>'Aug-Apr, 2023'!G100+'Aug-Apr, 2023'!H100</f>
        <v>32</v>
      </c>
      <c r="H1498">
        <f>'Aug-Apr, 2023'!I100</f>
        <v>0</v>
      </c>
      <c r="I1498">
        <f>'Aug-Apr, 2023'!J100</f>
        <v>8</v>
      </c>
      <c r="J1498">
        <f>G1498*Parameters!$B$2*Parameters!$B$5</f>
        <v>68.131199999999993</v>
      </c>
      <c r="K1498">
        <f>H1498*Parameters!$B$3*Parameters!$B$6</f>
        <v>0</v>
      </c>
      <c r="L1498">
        <f>I1498*Parameters!$B$4*Parameters!$B$7</f>
        <v>64.771200000000007</v>
      </c>
      <c r="M1498">
        <f t="shared" si="23"/>
        <v>132.9024</v>
      </c>
      <c r="N1498">
        <v>3200</v>
      </c>
      <c r="O1498">
        <v>0</v>
      </c>
      <c r="P1498">
        <v>0</v>
      </c>
      <c r="Q1498">
        <v>2400</v>
      </c>
    </row>
    <row r="1499" spans="1:17">
      <c r="A1499" t="s">
        <v>124</v>
      </c>
      <c r="B1499" t="s">
        <v>56</v>
      </c>
      <c r="C1499">
        <v>9</v>
      </c>
      <c r="D1499">
        <v>2022</v>
      </c>
      <c r="E1499" s="49" t="s">
        <v>2</v>
      </c>
      <c r="F1499" s="49" t="s">
        <v>163</v>
      </c>
      <c r="G1499">
        <f>'Aug-Apr, 2023'!G101+'Aug-Apr, 2023'!H101</f>
        <v>28</v>
      </c>
      <c r="H1499">
        <f>'Aug-Apr, 2023'!I101</f>
        <v>0</v>
      </c>
      <c r="I1499">
        <f>'Aug-Apr, 2023'!J101</f>
        <v>8</v>
      </c>
      <c r="J1499">
        <f>G1499*Parameters!$B$2*Parameters!$B$5</f>
        <v>59.614799999999995</v>
      </c>
      <c r="K1499">
        <f>H1499*Parameters!$B$3*Parameters!$B$6</f>
        <v>0</v>
      </c>
      <c r="L1499">
        <f>I1499*Parameters!$B$4*Parameters!$B$7</f>
        <v>64.771200000000007</v>
      </c>
      <c r="M1499">
        <f t="shared" si="23"/>
        <v>124.386</v>
      </c>
      <c r="N1499">
        <v>2800</v>
      </c>
      <c r="O1499">
        <v>0</v>
      </c>
      <c r="P1499">
        <v>0</v>
      </c>
      <c r="Q1499">
        <v>2400</v>
      </c>
    </row>
    <row r="1500" spans="1:17">
      <c r="A1500" t="s">
        <v>125</v>
      </c>
      <c r="B1500" t="s">
        <v>65</v>
      </c>
      <c r="C1500">
        <v>7</v>
      </c>
      <c r="D1500">
        <v>2022</v>
      </c>
      <c r="E1500" s="49" t="s">
        <v>2</v>
      </c>
      <c r="F1500" s="49" t="s">
        <v>163</v>
      </c>
      <c r="G1500">
        <f>'Aug-Apr, 2023'!G102+'Aug-Apr, 2023'!H102</f>
        <v>30</v>
      </c>
      <c r="H1500">
        <f>'Aug-Apr, 2023'!I102</f>
        <v>0</v>
      </c>
      <c r="I1500">
        <f>'Aug-Apr, 2023'!J102</f>
        <v>12</v>
      </c>
      <c r="J1500">
        <f>G1500*Parameters!$B$2*Parameters!$B$5</f>
        <v>63.87299999999999</v>
      </c>
      <c r="K1500">
        <f>H1500*Parameters!$B$3*Parameters!$B$6</f>
        <v>0</v>
      </c>
      <c r="L1500">
        <f>I1500*Parameters!$B$4*Parameters!$B$7</f>
        <v>97.156800000000018</v>
      </c>
      <c r="M1500">
        <f t="shared" si="23"/>
        <v>161.02980000000002</v>
      </c>
      <c r="N1500">
        <v>3000</v>
      </c>
      <c r="O1500">
        <v>0</v>
      </c>
      <c r="P1500">
        <v>0</v>
      </c>
      <c r="Q1500">
        <v>3600</v>
      </c>
    </row>
    <row r="1501" spans="1:17">
      <c r="A1501" t="s">
        <v>126</v>
      </c>
      <c r="B1501" t="s">
        <v>65</v>
      </c>
      <c r="C1501">
        <v>6</v>
      </c>
      <c r="D1501">
        <v>2022</v>
      </c>
      <c r="E1501" s="49" t="s">
        <v>2</v>
      </c>
      <c r="F1501" s="49" t="s">
        <v>163</v>
      </c>
      <c r="G1501">
        <f>'Aug-Apr, 2023'!G103+'Aug-Apr, 2023'!H103</f>
        <v>32</v>
      </c>
      <c r="H1501">
        <f>'Aug-Apr, 2023'!I103</f>
        <v>0</v>
      </c>
      <c r="I1501">
        <f>'Aug-Apr, 2023'!J103</f>
        <v>0</v>
      </c>
      <c r="J1501">
        <f>G1501*Parameters!$B$2*Parameters!$B$5</f>
        <v>68.131199999999993</v>
      </c>
      <c r="K1501">
        <f>H1501*Parameters!$B$3*Parameters!$B$6</f>
        <v>0</v>
      </c>
      <c r="L1501">
        <f>I1501*Parameters!$B$4*Parameters!$B$7</f>
        <v>0</v>
      </c>
      <c r="M1501">
        <f t="shared" si="23"/>
        <v>68.131199999999993</v>
      </c>
      <c r="N1501">
        <v>3200</v>
      </c>
      <c r="O1501">
        <v>0</v>
      </c>
      <c r="P1501">
        <v>0</v>
      </c>
      <c r="Q1501">
        <v>0</v>
      </c>
    </row>
    <row r="1502" spans="1:17">
      <c r="A1502" t="s">
        <v>16</v>
      </c>
      <c r="B1502" t="s">
        <v>17</v>
      </c>
      <c r="C1502">
        <v>8</v>
      </c>
      <c r="D1502">
        <v>2022</v>
      </c>
      <c r="E1502" s="49" t="s">
        <v>3</v>
      </c>
      <c r="F1502" s="49" t="s">
        <v>163</v>
      </c>
      <c r="G1502">
        <f>'Aug-Apr, 2023'!O4+'Aug-Apr, 2023'!P4</f>
        <v>48</v>
      </c>
      <c r="H1502">
        <f>'Aug-Apr, 2023'!Q4</f>
        <v>0</v>
      </c>
      <c r="I1502">
        <f>'Aug-Apr, 2023'!R4</f>
        <v>18</v>
      </c>
      <c r="J1502">
        <f>G1502*Parameters!$B$2*Parameters!$B$5</f>
        <v>102.19679999999998</v>
      </c>
      <c r="K1502">
        <f>H1502*Parameters!$B$3*Parameters!$B$6</f>
        <v>0</v>
      </c>
      <c r="L1502">
        <f>I1502*Parameters!$B$4*Parameters!$B$7</f>
        <v>145.73520000000002</v>
      </c>
      <c r="M1502">
        <f t="shared" si="23"/>
        <v>247.93200000000002</v>
      </c>
      <c r="N1502">
        <v>4800</v>
      </c>
      <c r="O1502">
        <v>0</v>
      </c>
      <c r="P1502">
        <v>0</v>
      </c>
      <c r="Q1502">
        <v>5400</v>
      </c>
    </row>
    <row r="1503" spans="1:17">
      <c r="A1503" t="s">
        <v>18</v>
      </c>
      <c r="B1503" t="s">
        <v>19</v>
      </c>
      <c r="C1503">
        <v>7</v>
      </c>
      <c r="D1503">
        <v>2022</v>
      </c>
      <c r="E1503" s="49" t="s">
        <v>3</v>
      </c>
      <c r="F1503" s="49" t="s">
        <v>163</v>
      </c>
      <c r="G1503">
        <f>'Aug-Apr, 2023'!O5+'Aug-Apr, 2023'!P5</f>
        <v>50</v>
      </c>
      <c r="H1503">
        <f>'Aug-Apr, 2023'!Q5</f>
        <v>0</v>
      </c>
      <c r="I1503">
        <f>'Aug-Apr, 2023'!R5</f>
        <v>10</v>
      </c>
      <c r="J1503">
        <f>G1503*Parameters!$B$2*Parameters!$B$5</f>
        <v>106.45499999999998</v>
      </c>
      <c r="K1503">
        <f>H1503*Parameters!$B$3*Parameters!$B$6</f>
        <v>0</v>
      </c>
      <c r="L1503">
        <f>I1503*Parameters!$B$4*Parameters!$B$7</f>
        <v>80.963999999999999</v>
      </c>
      <c r="M1503">
        <f t="shared" si="23"/>
        <v>187.41899999999998</v>
      </c>
      <c r="N1503">
        <v>5000</v>
      </c>
      <c r="O1503">
        <v>0</v>
      </c>
      <c r="P1503">
        <v>0</v>
      </c>
      <c r="Q1503">
        <v>3000</v>
      </c>
    </row>
    <row r="1504" spans="1:17">
      <c r="A1504" t="s">
        <v>20</v>
      </c>
      <c r="B1504" t="s">
        <v>21</v>
      </c>
      <c r="C1504">
        <v>10</v>
      </c>
      <c r="D1504">
        <v>2022</v>
      </c>
      <c r="E1504" s="49" t="s">
        <v>3</v>
      </c>
      <c r="F1504" s="49" t="s">
        <v>163</v>
      </c>
      <c r="G1504">
        <f>'Aug-Apr, 2023'!O6+'Aug-Apr, 2023'!P6</f>
        <v>55</v>
      </c>
      <c r="H1504">
        <f>'Aug-Apr, 2023'!Q6</f>
        <v>0</v>
      </c>
      <c r="I1504">
        <f>'Aug-Apr, 2023'!R6</f>
        <v>20</v>
      </c>
      <c r="J1504">
        <f>G1504*Parameters!$B$2*Parameters!$B$5</f>
        <v>117.10049999999998</v>
      </c>
      <c r="K1504">
        <f>H1504*Parameters!$B$3*Parameters!$B$6</f>
        <v>0</v>
      </c>
      <c r="L1504">
        <f>I1504*Parameters!$B$4*Parameters!$B$7</f>
        <v>161.928</v>
      </c>
      <c r="M1504">
        <f t="shared" si="23"/>
        <v>279.02850000000001</v>
      </c>
      <c r="N1504">
        <v>5500</v>
      </c>
      <c r="O1504">
        <v>0</v>
      </c>
      <c r="P1504">
        <v>0</v>
      </c>
      <c r="Q1504">
        <v>6000</v>
      </c>
    </row>
    <row r="1505" spans="1:17">
      <c r="A1505" t="s">
        <v>22</v>
      </c>
      <c r="B1505" t="s">
        <v>19</v>
      </c>
      <c r="C1505">
        <v>7</v>
      </c>
      <c r="D1505">
        <v>2022</v>
      </c>
      <c r="E1505" s="49" t="s">
        <v>3</v>
      </c>
      <c r="F1505" s="49" t="s">
        <v>163</v>
      </c>
      <c r="G1505">
        <f>'Aug-Apr, 2023'!O7+'Aug-Apr, 2023'!P7</f>
        <v>40</v>
      </c>
      <c r="H1505">
        <f>'Aug-Apr, 2023'!Q7</f>
        <v>0</v>
      </c>
      <c r="I1505">
        <f>'Aug-Apr, 2023'!R7</f>
        <v>10</v>
      </c>
      <c r="J1505">
        <f>G1505*Parameters!$B$2*Parameters!$B$5</f>
        <v>85.163999999999987</v>
      </c>
      <c r="K1505">
        <f>H1505*Parameters!$B$3*Parameters!$B$6</f>
        <v>0</v>
      </c>
      <c r="L1505">
        <f>I1505*Parameters!$B$4*Parameters!$B$7</f>
        <v>80.963999999999999</v>
      </c>
      <c r="M1505">
        <f t="shared" si="23"/>
        <v>166.12799999999999</v>
      </c>
      <c r="N1505">
        <v>4000</v>
      </c>
      <c r="O1505">
        <v>0</v>
      </c>
      <c r="P1505">
        <v>0</v>
      </c>
      <c r="Q1505">
        <v>3000</v>
      </c>
    </row>
    <row r="1506" spans="1:17">
      <c r="A1506" t="s">
        <v>23</v>
      </c>
      <c r="B1506" t="s">
        <v>24</v>
      </c>
      <c r="C1506">
        <v>4</v>
      </c>
      <c r="D1506">
        <v>2022</v>
      </c>
      <c r="E1506" s="49" t="s">
        <v>3</v>
      </c>
      <c r="F1506" s="49" t="s">
        <v>163</v>
      </c>
      <c r="G1506">
        <f>'Aug-Apr, 2023'!O8+'Aug-Apr, 2023'!P8</f>
        <v>37</v>
      </c>
      <c r="H1506">
        <f>'Aug-Apr, 2023'!Q8</f>
        <v>0</v>
      </c>
      <c r="I1506">
        <f>'Aug-Apr, 2023'!R8</f>
        <v>16</v>
      </c>
      <c r="J1506">
        <f>G1506*Parameters!$B$2*Parameters!$B$5</f>
        <v>78.776699999999977</v>
      </c>
      <c r="K1506">
        <f>H1506*Parameters!$B$3*Parameters!$B$6</f>
        <v>0</v>
      </c>
      <c r="L1506">
        <f>I1506*Parameters!$B$4*Parameters!$B$7</f>
        <v>129.54240000000001</v>
      </c>
      <c r="M1506">
        <f t="shared" si="23"/>
        <v>208.31909999999999</v>
      </c>
      <c r="N1506">
        <v>3700</v>
      </c>
      <c r="O1506">
        <v>0</v>
      </c>
      <c r="P1506">
        <v>0</v>
      </c>
      <c r="Q1506">
        <v>4800</v>
      </c>
    </row>
    <row r="1507" spans="1:17">
      <c r="A1507" t="s">
        <v>25</v>
      </c>
      <c r="B1507" t="s">
        <v>26</v>
      </c>
      <c r="C1507">
        <v>3</v>
      </c>
      <c r="D1507">
        <v>2022</v>
      </c>
      <c r="E1507" s="49" t="s">
        <v>3</v>
      </c>
      <c r="F1507" s="49" t="s">
        <v>163</v>
      </c>
      <c r="G1507">
        <f>'Aug-Apr, 2023'!O9+'Aug-Apr, 2023'!P9</f>
        <v>35</v>
      </c>
      <c r="H1507">
        <f>'Aug-Apr, 2023'!Q9</f>
        <v>0</v>
      </c>
      <c r="I1507">
        <f>'Aug-Apr, 2023'!R9</f>
        <v>20</v>
      </c>
      <c r="J1507">
        <f>G1507*Parameters!$B$2*Parameters!$B$5</f>
        <v>74.518499999999989</v>
      </c>
      <c r="K1507">
        <f>H1507*Parameters!$B$3*Parameters!$B$6</f>
        <v>0</v>
      </c>
      <c r="L1507">
        <f>I1507*Parameters!$B$4*Parameters!$B$7</f>
        <v>161.928</v>
      </c>
      <c r="M1507">
        <f t="shared" si="23"/>
        <v>236.44649999999999</v>
      </c>
      <c r="N1507">
        <v>3500</v>
      </c>
      <c r="O1507">
        <v>0</v>
      </c>
      <c r="P1507">
        <v>0</v>
      </c>
      <c r="Q1507">
        <v>6000</v>
      </c>
    </row>
    <row r="1508" spans="1:17">
      <c r="A1508" t="s">
        <v>27</v>
      </c>
      <c r="B1508" t="s">
        <v>21</v>
      </c>
      <c r="C1508">
        <v>6</v>
      </c>
      <c r="D1508">
        <v>2022</v>
      </c>
      <c r="E1508" s="49" t="s">
        <v>3</v>
      </c>
      <c r="F1508" s="49" t="s">
        <v>163</v>
      </c>
      <c r="G1508">
        <f>'Aug-Apr, 2023'!O10+'Aug-Apr, 2023'!P10</f>
        <v>45</v>
      </c>
      <c r="H1508">
        <f>'Aug-Apr, 2023'!Q10</f>
        <v>0</v>
      </c>
      <c r="I1508">
        <f>'Aug-Apr, 2023'!R10</f>
        <v>18</v>
      </c>
      <c r="J1508">
        <f>G1508*Parameters!$B$2*Parameters!$B$5</f>
        <v>95.809499999999986</v>
      </c>
      <c r="K1508">
        <f>H1508*Parameters!$B$3*Parameters!$B$6</f>
        <v>0</v>
      </c>
      <c r="L1508">
        <f>I1508*Parameters!$B$4*Parameters!$B$7</f>
        <v>145.73520000000002</v>
      </c>
      <c r="M1508">
        <f t="shared" si="23"/>
        <v>241.54470000000001</v>
      </c>
      <c r="N1508">
        <v>4500</v>
      </c>
      <c r="O1508">
        <v>0</v>
      </c>
      <c r="P1508">
        <v>0</v>
      </c>
      <c r="Q1508">
        <v>5400</v>
      </c>
    </row>
    <row r="1509" spans="1:17">
      <c r="A1509" t="s">
        <v>28</v>
      </c>
      <c r="B1509" t="s">
        <v>19</v>
      </c>
      <c r="C1509">
        <v>9</v>
      </c>
      <c r="D1509">
        <v>2022</v>
      </c>
      <c r="E1509" s="49" t="s">
        <v>3</v>
      </c>
      <c r="F1509" s="49" t="s">
        <v>163</v>
      </c>
      <c r="G1509">
        <f>'Aug-Apr, 2023'!O11+'Aug-Apr, 2023'!P11</f>
        <v>42</v>
      </c>
      <c r="H1509">
        <f>'Aug-Apr, 2023'!Q11</f>
        <v>0</v>
      </c>
      <c r="I1509">
        <f>'Aug-Apr, 2023'!R11</f>
        <v>20</v>
      </c>
      <c r="J1509">
        <f>G1509*Parameters!$B$2*Parameters!$B$5</f>
        <v>89.422199999999975</v>
      </c>
      <c r="K1509">
        <f>H1509*Parameters!$B$3*Parameters!$B$6</f>
        <v>0</v>
      </c>
      <c r="L1509">
        <f>I1509*Parameters!$B$4*Parameters!$B$7</f>
        <v>161.928</v>
      </c>
      <c r="M1509">
        <f t="shared" si="23"/>
        <v>251.35019999999997</v>
      </c>
      <c r="N1509">
        <v>4200</v>
      </c>
      <c r="O1509">
        <v>0</v>
      </c>
      <c r="P1509">
        <v>0</v>
      </c>
      <c r="Q1509">
        <v>6000</v>
      </c>
    </row>
    <row r="1510" spans="1:17">
      <c r="A1510" t="s">
        <v>29</v>
      </c>
      <c r="B1510" t="s">
        <v>24</v>
      </c>
      <c r="C1510">
        <v>4</v>
      </c>
      <c r="D1510">
        <v>2022</v>
      </c>
      <c r="E1510" s="49" t="s">
        <v>3</v>
      </c>
      <c r="F1510" s="49" t="s">
        <v>163</v>
      </c>
      <c r="G1510">
        <f>'Aug-Apr, 2023'!O12+'Aug-Apr, 2023'!P12</f>
        <v>55</v>
      </c>
      <c r="H1510">
        <f>'Aug-Apr, 2023'!Q12</f>
        <v>0</v>
      </c>
      <c r="I1510">
        <f>'Aug-Apr, 2023'!R12</f>
        <v>10</v>
      </c>
      <c r="J1510">
        <f>G1510*Parameters!$B$2*Parameters!$B$5</f>
        <v>117.10049999999998</v>
      </c>
      <c r="K1510">
        <f>H1510*Parameters!$B$3*Parameters!$B$6</f>
        <v>0</v>
      </c>
      <c r="L1510">
        <f>I1510*Parameters!$B$4*Parameters!$B$7</f>
        <v>80.963999999999999</v>
      </c>
      <c r="M1510">
        <f t="shared" si="23"/>
        <v>198.06449999999998</v>
      </c>
      <c r="N1510">
        <v>5500</v>
      </c>
      <c r="O1510">
        <v>0</v>
      </c>
      <c r="P1510">
        <v>0</v>
      </c>
      <c r="Q1510">
        <v>3000</v>
      </c>
    </row>
    <row r="1511" spans="1:17">
      <c r="A1511" t="s">
        <v>30</v>
      </c>
      <c r="B1511" t="s">
        <v>21</v>
      </c>
      <c r="C1511">
        <v>6</v>
      </c>
      <c r="D1511">
        <v>2022</v>
      </c>
      <c r="E1511" s="49" t="s">
        <v>3</v>
      </c>
      <c r="F1511" s="49" t="s">
        <v>163</v>
      </c>
      <c r="G1511">
        <f>'Aug-Apr, 2023'!O13+'Aug-Apr, 2023'!P13</f>
        <v>50</v>
      </c>
      <c r="H1511">
        <f>'Aug-Apr, 2023'!Q13</f>
        <v>0</v>
      </c>
      <c r="I1511">
        <f>'Aug-Apr, 2023'!R13</f>
        <v>15</v>
      </c>
      <c r="J1511">
        <f>G1511*Parameters!$B$2*Parameters!$B$5</f>
        <v>106.45499999999998</v>
      </c>
      <c r="K1511">
        <f>H1511*Parameters!$B$3*Parameters!$B$6</f>
        <v>0</v>
      </c>
      <c r="L1511">
        <f>I1511*Parameters!$B$4*Parameters!$B$7</f>
        <v>121.44600000000001</v>
      </c>
      <c r="M1511">
        <f t="shared" si="23"/>
        <v>227.90100000000001</v>
      </c>
      <c r="N1511">
        <v>5000</v>
      </c>
      <c r="O1511">
        <v>0</v>
      </c>
      <c r="P1511">
        <v>0</v>
      </c>
      <c r="Q1511">
        <v>4500</v>
      </c>
    </row>
    <row r="1512" spans="1:17">
      <c r="A1512" t="s">
        <v>31</v>
      </c>
      <c r="B1512" t="s">
        <v>32</v>
      </c>
      <c r="C1512">
        <v>4</v>
      </c>
      <c r="D1512">
        <v>2022</v>
      </c>
      <c r="E1512" s="49" t="s">
        <v>3</v>
      </c>
      <c r="F1512" s="49" t="s">
        <v>163</v>
      </c>
      <c r="G1512">
        <f>'Aug-Apr, 2023'!O14+'Aug-Apr, 2023'!P14</f>
        <v>38</v>
      </c>
      <c r="H1512">
        <f>'Aug-Apr, 2023'!Q14</f>
        <v>0</v>
      </c>
      <c r="I1512">
        <f>'Aug-Apr, 2023'!R14</f>
        <v>18</v>
      </c>
      <c r="J1512">
        <f>G1512*Parameters!$B$2*Parameters!$B$5</f>
        <v>80.905799999999985</v>
      </c>
      <c r="K1512">
        <f>H1512*Parameters!$B$3*Parameters!$B$6</f>
        <v>0</v>
      </c>
      <c r="L1512">
        <f>I1512*Parameters!$B$4*Parameters!$B$7</f>
        <v>145.73520000000002</v>
      </c>
      <c r="M1512">
        <f t="shared" si="23"/>
        <v>226.64100000000002</v>
      </c>
      <c r="N1512">
        <v>3800</v>
      </c>
      <c r="O1512">
        <v>0</v>
      </c>
      <c r="P1512">
        <v>0</v>
      </c>
      <c r="Q1512">
        <v>5400</v>
      </c>
    </row>
    <row r="1513" spans="1:17">
      <c r="A1513" t="s">
        <v>33</v>
      </c>
      <c r="B1513" t="s">
        <v>32</v>
      </c>
      <c r="C1513">
        <v>6</v>
      </c>
      <c r="D1513">
        <v>2022</v>
      </c>
      <c r="E1513" s="49" t="s">
        <v>3</v>
      </c>
      <c r="F1513" s="49" t="s">
        <v>163</v>
      </c>
      <c r="G1513">
        <f>'Aug-Apr, 2023'!O15+'Aug-Apr, 2023'!P15</f>
        <v>25</v>
      </c>
      <c r="H1513">
        <f>'Aug-Apr, 2023'!Q15</f>
        <v>0</v>
      </c>
      <c r="I1513">
        <f>'Aug-Apr, 2023'!R15</f>
        <v>15</v>
      </c>
      <c r="J1513">
        <f>G1513*Parameters!$B$2*Parameters!$B$5</f>
        <v>53.227499999999992</v>
      </c>
      <c r="K1513">
        <f>H1513*Parameters!$B$3*Parameters!$B$6</f>
        <v>0</v>
      </c>
      <c r="L1513">
        <f>I1513*Parameters!$B$4*Parameters!$B$7</f>
        <v>121.44600000000001</v>
      </c>
      <c r="M1513">
        <f t="shared" si="23"/>
        <v>174.67349999999999</v>
      </c>
      <c r="N1513">
        <v>2500</v>
      </c>
      <c r="O1513">
        <v>0</v>
      </c>
      <c r="P1513">
        <v>0</v>
      </c>
      <c r="Q1513">
        <v>4500</v>
      </c>
    </row>
    <row r="1514" spans="1:17">
      <c r="A1514" t="s">
        <v>34</v>
      </c>
      <c r="B1514" t="s">
        <v>21</v>
      </c>
      <c r="C1514">
        <v>9</v>
      </c>
      <c r="D1514">
        <v>2022</v>
      </c>
      <c r="E1514" s="49" t="s">
        <v>3</v>
      </c>
      <c r="F1514" s="49" t="s">
        <v>163</v>
      </c>
      <c r="G1514">
        <f>'Aug-Apr, 2023'!O16+'Aug-Apr, 2023'!P16</f>
        <v>45</v>
      </c>
      <c r="H1514">
        <f>'Aug-Apr, 2023'!Q16</f>
        <v>0</v>
      </c>
      <c r="I1514">
        <f>'Aug-Apr, 2023'!R16</f>
        <v>18</v>
      </c>
      <c r="J1514">
        <f>G1514*Parameters!$B$2*Parameters!$B$5</f>
        <v>95.809499999999986</v>
      </c>
      <c r="K1514">
        <f>H1514*Parameters!$B$3*Parameters!$B$6</f>
        <v>0</v>
      </c>
      <c r="L1514">
        <f>I1514*Parameters!$B$4*Parameters!$B$7</f>
        <v>145.73520000000002</v>
      </c>
      <c r="M1514">
        <f t="shared" si="23"/>
        <v>241.54470000000001</v>
      </c>
      <c r="N1514">
        <v>4500</v>
      </c>
      <c r="O1514">
        <v>0</v>
      </c>
      <c r="P1514">
        <v>0</v>
      </c>
      <c r="Q1514">
        <v>5400</v>
      </c>
    </row>
    <row r="1515" spans="1:17">
      <c r="A1515" t="s">
        <v>35</v>
      </c>
      <c r="B1515" t="s">
        <v>21</v>
      </c>
      <c r="C1515">
        <v>6</v>
      </c>
      <c r="D1515">
        <v>2022</v>
      </c>
      <c r="E1515" s="49" t="s">
        <v>3</v>
      </c>
      <c r="F1515" s="49" t="s">
        <v>163</v>
      </c>
      <c r="G1515">
        <f>'Aug-Apr, 2023'!O17+'Aug-Apr, 2023'!P17</f>
        <v>32</v>
      </c>
      <c r="H1515">
        <f>'Aug-Apr, 2023'!Q17</f>
        <v>0</v>
      </c>
      <c r="I1515">
        <f>'Aug-Apr, 2023'!R17</f>
        <v>18</v>
      </c>
      <c r="J1515">
        <f>G1515*Parameters!$B$2*Parameters!$B$5</f>
        <v>68.131199999999993</v>
      </c>
      <c r="K1515">
        <f>H1515*Parameters!$B$3*Parameters!$B$6</f>
        <v>0</v>
      </c>
      <c r="L1515">
        <f>I1515*Parameters!$B$4*Parameters!$B$7</f>
        <v>145.73520000000002</v>
      </c>
      <c r="M1515">
        <f t="shared" si="23"/>
        <v>213.8664</v>
      </c>
      <c r="N1515">
        <v>0</v>
      </c>
      <c r="O1515">
        <v>3200</v>
      </c>
      <c r="P1515">
        <v>0</v>
      </c>
      <c r="Q1515">
        <v>5400</v>
      </c>
    </row>
    <row r="1516" spans="1:17">
      <c r="A1516" t="s">
        <v>36</v>
      </c>
      <c r="B1516" t="s">
        <v>21</v>
      </c>
      <c r="C1516">
        <v>12</v>
      </c>
      <c r="D1516">
        <v>2022</v>
      </c>
      <c r="E1516" s="49" t="s">
        <v>3</v>
      </c>
      <c r="F1516" s="49" t="s">
        <v>163</v>
      </c>
      <c r="G1516">
        <f>'Aug-Apr, 2023'!O18+'Aug-Apr, 2023'!P18</f>
        <v>40</v>
      </c>
      <c r="H1516">
        <f>'Aug-Apr, 2023'!Q18</f>
        <v>0</v>
      </c>
      <c r="I1516">
        <f>'Aug-Apr, 2023'!R18</f>
        <v>14</v>
      </c>
      <c r="J1516">
        <f>G1516*Parameters!$B$2*Parameters!$B$5</f>
        <v>85.163999999999987</v>
      </c>
      <c r="K1516">
        <f>H1516*Parameters!$B$3*Parameters!$B$6</f>
        <v>0</v>
      </c>
      <c r="L1516">
        <f>I1516*Parameters!$B$4*Parameters!$B$7</f>
        <v>113.34960000000001</v>
      </c>
      <c r="M1516">
        <f t="shared" si="23"/>
        <v>198.5136</v>
      </c>
      <c r="N1516">
        <v>4000</v>
      </c>
      <c r="O1516">
        <v>0</v>
      </c>
      <c r="P1516">
        <v>0</v>
      </c>
      <c r="Q1516">
        <v>4200</v>
      </c>
    </row>
    <row r="1517" spans="1:17">
      <c r="A1517" t="s">
        <v>37</v>
      </c>
      <c r="B1517" t="s">
        <v>38</v>
      </c>
      <c r="C1517">
        <v>7</v>
      </c>
      <c r="D1517">
        <v>2022</v>
      </c>
      <c r="E1517" s="49" t="s">
        <v>3</v>
      </c>
      <c r="F1517" s="49" t="s">
        <v>163</v>
      </c>
      <c r="G1517">
        <f>'Aug-Apr, 2023'!O19+'Aug-Apr, 2023'!P19</f>
        <v>35</v>
      </c>
      <c r="H1517">
        <f>'Aug-Apr, 2023'!Q19</f>
        <v>0</v>
      </c>
      <c r="I1517">
        <f>'Aug-Apr, 2023'!R19</f>
        <v>20</v>
      </c>
      <c r="J1517">
        <f>G1517*Parameters!$B$2*Parameters!$B$5</f>
        <v>74.518499999999989</v>
      </c>
      <c r="K1517">
        <f>H1517*Parameters!$B$3*Parameters!$B$6</f>
        <v>0</v>
      </c>
      <c r="L1517">
        <f>I1517*Parameters!$B$4*Parameters!$B$7</f>
        <v>161.928</v>
      </c>
      <c r="M1517">
        <f t="shared" si="23"/>
        <v>236.44649999999999</v>
      </c>
      <c r="N1517">
        <v>3500</v>
      </c>
      <c r="O1517">
        <v>0</v>
      </c>
      <c r="P1517">
        <v>0</v>
      </c>
      <c r="Q1517">
        <v>6000</v>
      </c>
    </row>
    <row r="1518" spans="1:17">
      <c r="A1518" t="s">
        <v>39</v>
      </c>
      <c r="B1518" t="s">
        <v>40</v>
      </c>
      <c r="C1518">
        <v>6</v>
      </c>
      <c r="D1518">
        <v>2022</v>
      </c>
      <c r="E1518" s="49" t="s">
        <v>3</v>
      </c>
      <c r="F1518" s="49" t="s">
        <v>163</v>
      </c>
      <c r="G1518">
        <f>'Aug-Apr, 2023'!O20+'Aug-Apr, 2023'!P20</f>
        <v>70</v>
      </c>
      <c r="H1518">
        <f>'Aug-Apr, 2023'!Q20</f>
        <v>0</v>
      </c>
      <c r="I1518">
        <f>'Aug-Apr, 2023'!R20</f>
        <v>10</v>
      </c>
      <c r="J1518">
        <f>G1518*Parameters!$B$2*Parameters!$B$5</f>
        <v>149.03699999999998</v>
      </c>
      <c r="K1518">
        <f>H1518*Parameters!$B$3*Parameters!$B$6</f>
        <v>0</v>
      </c>
      <c r="L1518">
        <f>I1518*Parameters!$B$4*Parameters!$B$7</f>
        <v>80.963999999999999</v>
      </c>
      <c r="M1518">
        <f t="shared" si="23"/>
        <v>230.00099999999998</v>
      </c>
      <c r="N1518">
        <v>5000</v>
      </c>
      <c r="O1518">
        <v>2000</v>
      </c>
      <c r="P1518">
        <v>0</v>
      </c>
      <c r="Q1518">
        <v>3000</v>
      </c>
    </row>
    <row r="1519" spans="1:17">
      <c r="A1519" t="s">
        <v>41</v>
      </c>
      <c r="B1519" t="s">
        <v>26</v>
      </c>
      <c r="C1519">
        <v>5</v>
      </c>
      <c r="D1519">
        <v>2022</v>
      </c>
      <c r="E1519" s="49" t="s">
        <v>3</v>
      </c>
      <c r="F1519" s="49" t="s">
        <v>163</v>
      </c>
      <c r="G1519">
        <f>'Aug-Apr, 2023'!O21+'Aug-Apr, 2023'!P21</f>
        <v>25</v>
      </c>
      <c r="H1519">
        <f>'Aug-Apr, 2023'!Q21</f>
        <v>0</v>
      </c>
      <c r="I1519">
        <f>'Aug-Apr, 2023'!R21</f>
        <v>12</v>
      </c>
      <c r="J1519">
        <f>G1519*Parameters!$B$2*Parameters!$B$5</f>
        <v>53.227499999999992</v>
      </c>
      <c r="K1519">
        <f>H1519*Parameters!$B$3*Parameters!$B$6</f>
        <v>0</v>
      </c>
      <c r="L1519">
        <f>I1519*Parameters!$B$4*Parameters!$B$7</f>
        <v>97.156800000000018</v>
      </c>
      <c r="M1519">
        <f t="shared" si="23"/>
        <v>150.3843</v>
      </c>
      <c r="N1519">
        <v>2500</v>
      </c>
      <c r="O1519">
        <v>0</v>
      </c>
      <c r="P1519">
        <v>0</v>
      </c>
      <c r="Q1519">
        <v>3600</v>
      </c>
    </row>
    <row r="1520" spans="1:17">
      <c r="A1520" t="s">
        <v>42</v>
      </c>
      <c r="B1520" t="s">
        <v>24</v>
      </c>
      <c r="C1520">
        <v>5</v>
      </c>
      <c r="D1520">
        <v>2022</v>
      </c>
      <c r="E1520" s="49" t="s">
        <v>3</v>
      </c>
      <c r="F1520" s="49" t="s">
        <v>163</v>
      </c>
      <c r="G1520">
        <f>'Aug-Apr, 2023'!O22+'Aug-Apr, 2023'!P22</f>
        <v>45</v>
      </c>
      <c r="H1520">
        <f>'Aug-Apr, 2023'!Q22</f>
        <v>0</v>
      </c>
      <c r="I1520">
        <f>'Aug-Apr, 2023'!R22</f>
        <v>15</v>
      </c>
      <c r="J1520">
        <f>G1520*Parameters!$B$2*Parameters!$B$5</f>
        <v>95.809499999999986</v>
      </c>
      <c r="K1520">
        <f>H1520*Parameters!$B$3*Parameters!$B$6</f>
        <v>0</v>
      </c>
      <c r="L1520">
        <f>I1520*Parameters!$B$4*Parameters!$B$7</f>
        <v>121.44600000000001</v>
      </c>
      <c r="M1520">
        <f t="shared" si="23"/>
        <v>217.25549999999998</v>
      </c>
      <c r="N1520">
        <v>4500</v>
      </c>
      <c r="O1520">
        <v>0</v>
      </c>
      <c r="P1520">
        <v>0</v>
      </c>
      <c r="Q1520">
        <v>4500</v>
      </c>
    </row>
    <row r="1521" spans="1:17">
      <c r="A1521" t="s">
        <v>43</v>
      </c>
      <c r="B1521" t="s">
        <v>19</v>
      </c>
      <c r="C1521">
        <v>8</v>
      </c>
      <c r="D1521">
        <v>2022</v>
      </c>
      <c r="E1521" s="49" t="s">
        <v>3</v>
      </c>
      <c r="F1521" s="49" t="s">
        <v>163</v>
      </c>
      <c r="G1521">
        <f>'Aug-Apr, 2023'!O23+'Aug-Apr, 2023'!P23</f>
        <v>33</v>
      </c>
      <c r="H1521">
        <f>'Aug-Apr, 2023'!Q23</f>
        <v>0</v>
      </c>
      <c r="I1521">
        <f>'Aug-Apr, 2023'!R23</f>
        <v>20</v>
      </c>
      <c r="J1521">
        <f>G1521*Parameters!$B$2*Parameters!$B$5</f>
        <v>70.260300000000001</v>
      </c>
      <c r="K1521">
        <f>H1521*Parameters!$B$3*Parameters!$B$6</f>
        <v>0</v>
      </c>
      <c r="L1521">
        <f>I1521*Parameters!$B$4*Parameters!$B$7</f>
        <v>161.928</v>
      </c>
      <c r="M1521">
        <f t="shared" si="23"/>
        <v>232.1883</v>
      </c>
      <c r="N1521">
        <v>3300</v>
      </c>
      <c r="O1521">
        <v>0</v>
      </c>
      <c r="P1521">
        <v>0</v>
      </c>
      <c r="Q1521">
        <v>6000</v>
      </c>
    </row>
    <row r="1522" spans="1:17">
      <c r="A1522" t="s">
        <v>44</v>
      </c>
      <c r="B1522" t="s">
        <v>40</v>
      </c>
      <c r="C1522">
        <v>10</v>
      </c>
      <c r="D1522">
        <v>2022</v>
      </c>
      <c r="E1522" s="49" t="s">
        <v>3</v>
      </c>
      <c r="F1522" s="49" t="s">
        <v>163</v>
      </c>
      <c r="G1522">
        <f>'Aug-Apr, 2023'!O24+'Aug-Apr, 2023'!P24</f>
        <v>55</v>
      </c>
      <c r="H1522">
        <f>'Aug-Apr, 2023'!Q24</f>
        <v>0</v>
      </c>
      <c r="I1522">
        <f>'Aug-Apr, 2023'!R24</f>
        <v>0</v>
      </c>
      <c r="J1522">
        <f>G1522*Parameters!$B$2*Parameters!$B$5</f>
        <v>117.10049999999998</v>
      </c>
      <c r="K1522">
        <f>H1522*Parameters!$B$3*Parameters!$B$6</f>
        <v>0</v>
      </c>
      <c r="L1522">
        <f>I1522*Parameters!$B$4*Parameters!$B$7</f>
        <v>0</v>
      </c>
      <c r="M1522">
        <f t="shared" si="23"/>
        <v>117.10049999999998</v>
      </c>
      <c r="N1522">
        <v>5500</v>
      </c>
      <c r="O1522">
        <v>0</v>
      </c>
      <c r="P1522">
        <v>0</v>
      </c>
      <c r="Q1522">
        <v>0</v>
      </c>
    </row>
    <row r="1523" spans="1:17">
      <c r="A1523" t="s">
        <v>45</v>
      </c>
      <c r="B1523" t="s">
        <v>24</v>
      </c>
      <c r="C1523">
        <v>8</v>
      </c>
      <c r="D1523">
        <v>2022</v>
      </c>
      <c r="E1523" s="49" t="s">
        <v>3</v>
      </c>
      <c r="F1523" s="49" t="s">
        <v>163</v>
      </c>
      <c r="G1523">
        <f>'Aug-Apr, 2023'!O25+'Aug-Apr, 2023'!P25</f>
        <v>40</v>
      </c>
      <c r="H1523">
        <f>'Aug-Apr, 2023'!Q25</f>
        <v>0</v>
      </c>
      <c r="I1523">
        <f>'Aug-Apr, 2023'!R25</f>
        <v>20</v>
      </c>
      <c r="J1523">
        <f>G1523*Parameters!$B$2*Parameters!$B$5</f>
        <v>85.163999999999987</v>
      </c>
      <c r="K1523">
        <f>H1523*Parameters!$B$3*Parameters!$B$6</f>
        <v>0</v>
      </c>
      <c r="L1523">
        <f>I1523*Parameters!$B$4*Parameters!$B$7</f>
        <v>161.928</v>
      </c>
      <c r="M1523">
        <f t="shared" si="23"/>
        <v>247.09199999999998</v>
      </c>
      <c r="N1523">
        <v>4000</v>
      </c>
      <c r="O1523">
        <v>0</v>
      </c>
      <c r="P1523">
        <v>0</v>
      </c>
      <c r="Q1523">
        <v>6000</v>
      </c>
    </row>
    <row r="1524" spans="1:17">
      <c r="A1524" t="s">
        <v>46</v>
      </c>
      <c r="B1524" t="s">
        <v>24</v>
      </c>
      <c r="C1524">
        <v>4</v>
      </c>
      <c r="D1524">
        <v>2022</v>
      </c>
      <c r="E1524" s="49" t="s">
        <v>3</v>
      </c>
      <c r="F1524" s="49" t="s">
        <v>163</v>
      </c>
      <c r="G1524">
        <f>'Aug-Apr, 2023'!O26+'Aug-Apr, 2023'!P26</f>
        <v>30</v>
      </c>
      <c r="H1524">
        <f>'Aug-Apr, 2023'!Q26</f>
        <v>0</v>
      </c>
      <c r="I1524">
        <f>'Aug-Apr, 2023'!R26</f>
        <v>8</v>
      </c>
      <c r="J1524">
        <f>G1524*Parameters!$B$2*Parameters!$B$5</f>
        <v>63.87299999999999</v>
      </c>
      <c r="K1524">
        <f>H1524*Parameters!$B$3*Parameters!$B$6</f>
        <v>0</v>
      </c>
      <c r="L1524">
        <f>I1524*Parameters!$B$4*Parameters!$B$7</f>
        <v>64.771200000000007</v>
      </c>
      <c r="M1524">
        <f t="shared" si="23"/>
        <v>128.64420000000001</v>
      </c>
      <c r="N1524">
        <v>3000</v>
      </c>
      <c r="O1524">
        <v>0</v>
      </c>
      <c r="P1524">
        <v>0</v>
      </c>
      <c r="Q1524">
        <v>2400</v>
      </c>
    </row>
    <row r="1525" spans="1:17">
      <c r="A1525" t="s">
        <v>47</v>
      </c>
      <c r="B1525" t="s">
        <v>19</v>
      </c>
      <c r="C1525">
        <v>6</v>
      </c>
      <c r="D1525">
        <v>2022</v>
      </c>
      <c r="E1525" s="49" t="s">
        <v>3</v>
      </c>
      <c r="F1525" s="49" t="s">
        <v>163</v>
      </c>
      <c r="G1525">
        <f>'Aug-Apr, 2023'!O27+'Aug-Apr, 2023'!P27</f>
        <v>35</v>
      </c>
      <c r="H1525">
        <f>'Aug-Apr, 2023'!Q27</f>
        <v>0</v>
      </c>
      <c r="I1525">
        <f>'Aug-Apr, 2023'!R27</f>
        <v>10</v>
      </c>
      <c r="J1525">
        <f>G1525*Parameters!$B$2*Parameters!$B$5</f>
        <v>74.518499999999989</v>
      </c>
      <c r="K1525">
        <f>H1525*Parameters!$B$3*Parameters!$B$6</f>
        <v>0</v>
      </c>
      <c r="L1525">
        <f>I1525*Parameters!$B$4*Parameters!$B$7</f>
        <v>80.963999999999999</v>
      </c>
      <c r="M1525">
        <f t="shared" si="23"/>
        <v>155.48249999999999</v>
      </c>
      <c r="N1525">
        <v>3500</v>
      </c>
      <c r="O1525">
        <v>0</v>
      </c>
      <c r="P1525">
        <v>0</v>
      </c>
      <c r="Q1525">
        <v>3000</v>
      </c>
    </row>
    <row r="1526" spans="1:17">
      <c r="A1526" t="s">
        <v>48</v>
      </c>
      <c r="B1526" t="s">
        <v>24</v>
      </c>
      <c r="C1526">
        <v>4</v>
      </c>
      <c r="D1526">
        <v>2022</v>
      </c>
      <c r="E1526" s="49" t="s">
        <v>3</v>
      </c>
      <c r="F1526" s="49" t="s">
        <v>163</v>
      </c>
      <c r="G1526">
        <f>'Aug-Apr, 2023'!O28+'Aug-Apr, 2023'!P28</f>
        <v>25</v>
      </c>
      <c r="H1526">
        <f>'Aug-Apr, 2023'!Q28</f>
        <v>0</v>
      </c>
      <c r="I1526">
        <f>'Aug-Apr, 2023'!R28</f>
        <v>18</v>
      </c>
      <c r="J1526">
        <f>G1526*Parameters!$B$2*Parameters!$B$5</f>
        <v>53.227499999999992</v>
      </c>
      <c r="K1526">
        <f>H1526*Parameters!$B$3*Parameters!$B$6</f>
        <v>0</v>
      </c>
      <c r="L1526">
        <f>I1526*Parameters!$B$4*Parameters!$B$7</f>
        <v>145.73520000000002</v>
      </c>
      <c r="M1526">
        <f t="shared" si="23"/>
        <v>198.96270000000001</v>
      </c>
      <c r="N1526">
        <v>2500</v>
      </c>
      <c r="O1526">
        <v>0</v>
      </c>
      <c r="P1526">
        <v>0</v>
      </c>
      <c r="Q1526">
        <v>5400</v>
      </c>
    </row>
    <row r="1527" spans="1:17">
      <c r="A1527" t="s">
        <v>49</v>
      </c>
      <c r="B1527" t="s">
        <v>38</v>
      </c>
      <c r="C1527">
        <v>2</v>
      </c>
      <c r="D1527">
        <v>2022</v>
      </c>
      <c r="E1527" s="49" t="s">
        <v>3</v>
      </c>
      <c r="F1527" s="49" t="s">
        <v>163</v>
      </c>
      <c r="G1527">
        <f>'Aug-Apr, 2023'!O29+'Aug-Apr, 2023'!P29</f>
        <v>25</v>
      </c>
      <c r="H1527">
        <f>'Aug-Apr, 2023'!Q29</f>
        <v>0</v>
      </c>
      <c r="I1527">
        <f>'Aug-Apr, 2023'!R29</f>
        <v>12</v>
      </c>
      <c r="J1527">
        <f>G1527*Parameters!$B$2*Parameters!$B$5</f>
        <v>53.227499999999992</v>
      </c>
      <c r="K1527">
        <f>H1527*Parameters!$B$3*Parameters!$B$6</f>
        <v>0</v>
      </c>
      <c r="L1527">
        <f>I1527*Parameters!$B$4*Parameters!$B$7</f>
        <v>97.156800000000018</v>
      </c>
      <c r="M1527">
        <f t="shared" si="23"/>
        <v>150.3843</v>
      </c>
      <c r="N1527">
        <v>2500</v>
      </c>
      <c r="O1527">
        <v>0</v>
      </c>
      <c r="P1527">
        <v>0</v>
      </c>
      <c r="Q1527">
        <v>3600</v>
      </c>
    </row>
    <row r="1528" spans="1:17">
      <c r="A1528" t="s">
        <v>50</v>
      </c>
      <c r="B1528" t="s">
        <v>19</v>
      </c>
      <c r="C1528">
        <v>8</v>
      </c>
      <c r="D1528">
        <v>2022</v>
      </c>
      <c r="E1528" s="49" t="s">
        <v>3</v>
      </c>
      <c r="F1528" s="49" t="s">
        <v>163</v>
      </c>
      <c r="G1528">
        <f>'Aug-Apr, 2023'!O30+'Aug-Apr, 2023'!P30</f>
        <v>30</v>
      </c>
      <c r="H1528">
        <f>'Aug-Apr, 2023'!Q30</f>
        <v>0</v>
      </c>
      <c r="I1528">
        <f>'Aug-Apr, 2023'!R30</f>
        <v>10</v>
      </c>
      <c r="J1528">
        <f>G1528*Parameters!$B$2*Parameters!$B$5</f>
        <v>63.87299999999999</v>
      </c>
      <c r="K1528">
        <f>H1528*Parameters!$B$3*Parameters!$B$6</f>
        <v>0</v>
      </c>
      <c r="L1528">
        <f>I1528*Parameters!$B$4*Parameters!$B$7</f>
        <v>80.963999999999999</v>
      </c>
      <c r="M1528">
        <f t="shared" si="23"/>
        <v>144.83699999999999</v>
      </c>
      <c r="N1528">
        <v>3000</v>
      </c>
      <c r="O1528">
        <v>0</v>
      </c>
      <c r="P1528">
        <v>0</v>
      </c>
      <c r="Q1528">
        <v>3000</v>
      </c>
    </row>
    <row r="1529" spans="1:17">
      <c r="A1529" t="s">
        <v>51</v>
      </c>
      <c r="B1529" t="s">
        <v>19</v>
      </c>
      <c r="C1529">
        <v>6</v>
      </c>
      <c r="D1529">
        <v>2022</v>
      </c>
      <c r="E1529" s="49" t="s">
        <v>3</v>
      </c>
      <c r="F1529" s="49" t="s">
        <v>163</v>
      </c>
      <c r="G1529">
        <f>'Aug-Apr, 2023'!O31+'Aug-Apr, 2023'!P31</f>
        <v>25</v>
      </c>
      <c r="H1529">
        <f>'Aug-Apr, 2023'!Q31</f>
        <v>0</v>
      </c>
      <c r="I1529">
        <f>'Aug-Apr, 2023'!R31</f>
        <v>20</v>
      </c>
      <c r="J1529">
        <f>G1529*Parameters!$B$2*Parameters!$B$5</f>
        <v>53.227499999999992</v>
      </c>
      <c r="K1529">
        <f>H1529*Parameters!$B$3*Parameters!$B$6</f>
        <v>0</v>
      </c>
      <c r="L1529">
        <f>I1529*Parameters!$B$4*Parameters!$B$7</f>
        <v>161.928</v>
      </c>
      <c r="M1529">
        <f t="shared" si="23"/>
        <v>215.15549999999999</v>
      </c>
      <c r="N1529">
        <v>2500</v>
      </c>
      <c r="O1529">
        <v>0</v>
      </c>
      <c r="P1529">
        <v>0</v>
      </c>
      <c r="Q1529">
        <v>6000</v>
      </c>
    </row>
    <row r="1530" spans="1:17">
      <c r="A1530" t="s">
        <v>52</v>
      </c>
      <c r="B1530" t="s">
        <v>38</v>
      </c>
      <c r="C1530">
        <v>12</v>
      </c>
      <c r="D1530">
        <v>2022</v>
      </c>
      <c r="E1530" s="49" t="s">
        <v>3</v>
      </c>
      <c r="F1530" s="49" t="s">
        <v>163</v>
      </c>
      <c r="G1530">
        <f>'Aug-Apr, 2023'!O32+'Aug-Apr, 2023'!P32</f>
        <v>52</v>
      </c>
      <c r="H1530">
        <f>'Aug-Apr, 2023'!Q32</f>
        <v>0</v>
      </c>
      <c r="I1530">
        <f>'Aug-Apr, 2023'!R32</f>
        <v>15</v>
      </c>
      <c r="J1530">
        <f>G1530*Parameters!$B$2*Parameters!$B$5</f>
        <v>110.71319999999999</v>
      </c>
      <c r="K1530">
        <f>H1530*Parameters!$B$3*Parameters!$B$6</f>
        <v>0</v>
      </c>
      <c r="L1530">
        <f>I1530*Parameters!$B$4*Parameters!$B$7</f>
        <v>121.44600000000001</v>
      </c>
      <c r="M1530">
        <f t="shared" si="23"/>
        <v>232.1592</v>
      </c>
      <c r="N1530">
        <v>5200</v>
      </c>
      <c r="O1530">
        <v>0</v>
      </c>
      <c r="P1530">
        <v>0</v>
      </c>
      <c r="Q1530">
        <v>4500</v>
      </c>
    </row>
    <row r="1531" spans="1:17">
      <c r="A1531" t="s">
        <v>53</v>
      </c>
      <c r="B1531" t="s">
        <v>40</v>
      </c>
      <c r="C1531">
        <v>8</v>
      </c>
      <c r="D1531">
        <v>2022</v>
      </c>
      <c r="E1531" s="49" t="s">
        <v>3</v>
      </c>
      <c r="F1531" s="49" t="s">
        <v>163</v>
      </c>
      <c r="G1531">
        <f>'Aug-Apr, 2023'!O33+'Aug-Apr, 2023'!P33</f>
        <v>35</v>
      </c>
      <c r="H1531">
        <f>'Aug-Apr, 2023'!Q33</f>
        <v>0</v>
      </c>
      <c r="I1531">
        <f>'Aug-Apr, 2023'!R33</f>
        <v>12</v>
      </c>
      <c r="J1531">
        <f>G1531*Parameters!$B$2*Parameters!$B$5</f>
        <v>74.518499999999989</v>
      </c>
      <c r="K1531">
        <f>H1531*Parameters!$B$3*Parameters!$B$6</f>
        <v>0</v>
      </c>
      <c r="L1531">
        <f>I1531*Parameters!$B$4*Parameters!$B$7</f>
        <v>97.156800000000018</v>
      </c>
      <c r="M1531">
        <f t="shared" si="23"/>
        <v>171.67529999999999</v>
      </c>
      <c r="N1531">
        <v>3500</v>
      </c>
      <c r="O1531">
        <v>0</v>
      </c>
      <c r="P1531">
        <v>0</v>
      </c>
      <c r="Q1531">
        <v>3600</v>
      </c>
    </row>
    <row r="1532" spans="1:17">
      <c r="A1532" t="s">
        <v>54</v>
      </c>
      <c r="B1532" t="s">
        <v>40</v>
      </c>
      <c r="C1532">
        <v>6</v>
      </c>
      <c r="D1532">
        <v>2022</v>
      </c>
      <c r="E1532" s="49" t="s">
        <v>3</v>
      </c>
      <c r="F1532" s="49" t="s">
        <v>163</v>
      </c>
      <c r="G1532">
        <f>'Aug-Apr, 2023'!O34+'Aug-Apr, 2023'!P34</f>
        <v>30</v>
      </c>
      <c r="H1532">
        <f>'Aug-Apr, 2023'!Q34</f>
        <v>0</v>
      </c>
      <c r="I1532">
        <f>'Aug-Apr, 2023'!R34</f>
        <v>15</v>
      </c>
      <c r="J1532">
        <f>G1532*Parameters!$B$2*Parameters!$B$5</f>
        <v>63.87299999999999</v>
      </c>
      <c r="K1532">
        <f>H1532*Parameters!$B$3*Parameters!$B$6</f>
        <v>0</v>
      </c>
      <c r="L1532">
        <f>I1532*Parameters!$B$4*Parameters!$B$7</f>
        <v>121.44600000000001</v>
      </c>
      <c r="M1532">
        <f t="shared" si="23"/>
        <v>185.31900000000002</v>
      </c>
      <c r="N1532">
        <v>3000</v>
      </c>
      <c r="O1532">
        <v>0</v>
      </c>
      <c r="P1532">
        <v>0</v>
      </c>
      <c r="Q1532">
        <v>4500</v>
      </c>
    </row>
    <row r="1533" spans="1:17">
      <c r="A1533" t="s">
        <v>55</v>
      </c>
      <c r="B1533" t="s">
        <v>56</v>
      </c>
      <c r="C1533">
        <v>4</v>
      </c>
      <c r="D1533">
        <v>2022</v>
      </c>
      <c r="E1533" s="49" t="s">
        <v>3</v>
      </c>
      <c r="F1533" s="49" t="s">
        <v>163</v>
      </c>
      <c r="G1533">
        <f>'Aug-Apr, 2023'!O35+'Aug-Apr, 2023'!P35</f>
        <v>50</v>
      </c>
      <c r="H1533">
        <f>'Aug-Apr, 2023'!Q35</f>
        <v>0</v>
      </c>
      <c r="I1533">
        <f>'Aug-Apr, 2023'!R35</f>
        <v>20</v>
      </c>
      <c r="J1533">
        <f>G1533*Parameters!$B$2*Parameters!$B$5</f>
        <v>106.45499999999998</v>
      </c>
      <c r="K1533">
        <f>H1533*Parameters!$B$3*Parameters!$B$6</f>
        <v>0</v>
      </c>
      <c r="L1533">
        <f>I1533*Parameters!$B$4*Parameters!$B$7</f>
        <v>161.928</v>
      </c>
      <c r="M1533">
        <f t="shared" si="23"/>
        <v>268.38299999999998</v>
      </c>
      <c r="N1533">
        <v>5000</v>
      </c>
      <c r="O1533">
        <v>0</v>
      </c>
      <c r="P1533">
        <v>0</v>
      </c>
      <c r="Q1533">
        <v>6000</v>
      </c>
    </row>
    <row r="1534" spans="1:17">
      <c r="A1534" t="s">
        <v>57</v>
      </c>
      <c r="B1534" t="s">
        <v>40</v>
      </c>
      <c r="C1534">
        <v>4</v>
      </c>
      <c r="D1534">
        <v>2022</v>
      </c>
      <c r="E1534" s="49" t="s">
        <v>3</v>
      </c>
      <c r="F1534" s="49" t="s">
        <v>163</v>
      </c>
      <c r="G1534">
        <f>'Aug-Apr, 2023'!O36+'Aug-Apr, 2023'!P36</f>
        <v>55</v>
      </c>
      <c r="H1534">
        <f>'Aug-Apr, 2023'!Q36</f>
        <v>0</v>
      </c>
      <c r="I1534">
        <f>'Aug-Apr, 2023'!R36</f>
        <v>20</v>
      </c>
      <c r="J1534">
        <f>G1534*Parameters!$B$2*Parameters!$B$5</f>
        <v>117.10049999999998</v>
      </c>
      <c r="K1534">
        <f>H1534*Parameters!$B$3*Parameters!$B$6</f>
        <v>0</v>
      </c>
      <c r="L1534">
        <f>I1534*Parameters!$B$4*Parameters!$B$7</f>
        <v>161.928</v>
      </c>
      <c r="M1534">
        <f t="shared" si="23"/>
        <v>279.02850000000001</v>
      </c>
      <c r="N1534">
        <v>5500</v>
      </c>
      <c r="O1534">
        <v>0</v>
      </c>
      <c r="P1534">
        <v>0</v>
      </c>
      <c r="Q1534">
        <v>6000</v>
      </c>
    </row>
    <row r="1535" spans="1:17">
      <c r="A1535" t="s">
        <v>58</v>
      </c>
      <c r="B1535" t="s">
        <v>26</v>
      </c>
      <c r="C1535">
        <v>6</v>
      </c>
      <c r="D1535">
        <v>2022</v>
      </c>
      <c r="E1535" s="49" t="s">
        <v>3</v>
      </c>
      <c r="F1535" s="49" t="s">
        <v>163</v>
      </c>
      <c r="G1535">
        <f>'Aug-Apr, 2023'!O37+'Aug-Apr, 2023'!P37</f>
        <v>40</v>
      </c>
      <c r="H1535">
        <f>'Aug-Apr, 2023'!Q37</f>
        <v>0</v>
      </c>
      <c r="I1535">
        <f>'Aug-Apr, 2023'!R37</f>
        <v>6</v>
      </c>
      <c r="J1535">
        <f>G1535*Parameters!$B$2*Parameters!$B$5</f>
        <v>85.163999999999987</v>
      </c>
      <c r="K1535">
        <f>H1535*Parameters!$B$3*Parameters!$B$6</f>
        <v>0</v>
      </c>
      <c r="L1535">
        <f>I1535*Parameters!$B$4*Parameters!$B$7</f>
        <v>48.578400000000009</v>
      </c>
      <c r="M1535">
        <f t="shared" si="23"/>
        <v>133.7424</v>
      </c>
      <c r="N1535">
        <v>4000</v>
      </c>
      <c r="O1535">
        <v>0</v>
      </c>
      <c r="P1535">
        <v>0</v>
      </c>
      <c r="Q1535">
        <v>1800</v>
      </c>
    </row>
    <row r="1536" spans="1:17">
      <c r="A1536" t="s">
        <v>59</v>
      </c>
      <c r="B1536" t="s">
        <v>26</v>
      </c>
      <c r="C1536">
        <v>7</v>
      </c>
      <c r="D1536">
        <v>2022</v>
      </c>
      <c r="E1536" s="49" t="s">
        <v>3</v>
      </c>
      <c r="F1536" s="49" t="s">
        <v>163</v>
      </c>
      <c r="G1536">
        <f>'Aug-Apr, 2023'!O38+'Aug-Apr, 2023'!P38</f>
        <v>45</v>
      </c>
      <c r="H1536">
        <f>'Aug-Apr, 2023'!Q38</f>
        <v>0</v>
      </c>
      <c r="I1536">
        <f>'Aug-Apr, 2023'!R38</f>
        <v>15</v>
      </c>
      <c r="J1536">
        <f>G1536*Parameters!$B$2*Parameters!$B$5</f>
        <v>95.809499999999986</v>
      </c>
      <c r="K1536">
        <f>H1536*Parameters!$B$3*Parameters!$B$6</f>
        <v>0</v>
      </c>
      <c r="L1536">
        <f>I1536*Parameters!$B$4*Parameters!$B$7</f>
        <v>121.44600000000001</v>
      </c>
      <c r="M1536">
        <f t="shared" si="23"/>
        <v>217.25549999999998</v>
      </c>
      <c r="N1536">
        <v>4500</v>
      </c>
      <c r="O1536">
        <v>0</v>
      </c>
      <c r="P1536">
        <v>0</v>
      </c>
      <c r="Q1536">
        <v>4500</v>
      </c>
    </row>
    <row r="1537" spans="1:17">
      <c r="A1537" t="s">
        <v>60</v>
      </c>
      <c r="B1537" t="s">
        <v>26</v>
      </c>
      <c r="C1537">
        <v>8</v>
      </c>
      <c r="D1537">
        <v>2022</v>
      </c>
      <c r="E1537" s="49" t="s">
        <v>3</v>
      </c>
      <c r="F1537" s="49" t="s">
        <v>163</v>
      </c>
      <c r="G1537">
        <f>'Aug-Apr, 2023'!O39+'Aug-Apr, 2023'!P39</f>
        <v>25</v>
      </c>
      <c r="H1537">
        <f>'Aug-Apr, 2023'!Q39</f>
        <v>0</v>
      </c>
      <c r="I1537">
        <f>'Aug-Apr, 2023'!R39</f>
        <v>20</v>
      </c>
      <c r="J1537">
        <f>G1537*Parameters!$B$2*Parameters!$B$5</f>
        <v>53.227499999999992</v>
      </c>
      <c r="K1537">
        <f>H1537*Parameters!$B$3*Parameters!$B$6</f>
        <v>0</v>
      </c>
      <c r="L1537">
        <f>I1537*Parameters!$B$4*Parameters!$B$7</f>
        <v>161.928</v>
      </c>
      <c r="M1537">
        <f t="shared" si="23"/>
        <v>215.15549999999999</v>
      </c>
      <c r="N1537">
        <v>2500</v>
      </c>
      <c r="O1537">
        <v>0</v>
      </c>
      <c r="P1537">
        <v>0</v>
      </c>
      <c r="Q1537">
        <v>6000</v>
      </c>
    </row>
    <row r="1538" spans="1:17">
      <c r="A1538" t="s">
        <v>61</v>
      </c>
      <c r="B1538" t="s">
        <v>56</v>
      </c>
      <c r="C1538">
        <v>5</v>
      </c>
      <c r="D1538">
        <v>2022</v>
      </c>
      <c r="E1538" s="49" t="s">
        <v>3</v>
      </c>
      <c r="F1538" s="49" t="s">
        <v>163</v>
      </c>
      <c r="G1538">
        <f>'Aug-Apr, 2023'!O40+'Aug-Apr, 2023'!P40</f>
        <v>25</v>
      </c>
      <c r="H1538">
        <f>'Aug-Apr, 2023'!Q40</f>
        <v>0</v>
      </c>
      <c r="I1538">
        <f>'Aug-Apr, 2023'!R40</f>
        <v>6</v>
      </c>
      <c r="J1538">
        <f>G1538*Parameters!$B$2*Parameters!$B$5</f>
        <v>53.227499999999992</v>
      </c>
      <c r="K1538">
        <f>H1538*Parameters!$B$3*Parameters!$B$6</f>
        <v>0</v>
      </c>
      <c r="L1538">
        <f>I1538*Parameters!$B$4*Parameters!$B$7</f>
        <v>48.578400000000009</v>
      </c>
      <c r="M1538">
        <f t="shared" si="23"/>
        <v>101.80590000000001</v>
      </c>
      <c r="N1538">
        <v>2500</v>
      </c>
      <c r="O1538">
        <v>0</v>
      </c>
      <c r="P1538">
        <v>0</v>
      </c>
      <c r="Q1538">
        <v>1800</v>
      </c>
    </row>
    <row r="1539" spans="1:17">
      <c r="A1539" t="s">
        <v>62</v>
      </c>
      <c r="B1539" t="s">
        <v>21</v>
      </c>
      <c r="C1539">
        <v>6</v>
      </c>
      <c r="D1539">
        <v>2022</v>
      </c>
      <c r="E1539" s="49" t="s">
        <v>3</v>
      </c>
      <c r="F1539" s="49" t="s">
        <v>163</v>
      </c>
      <c r="G1539">
        <f>'Aug-Apr, 2023'!O41+'Aug-Apr, 2023'!P41</f>
        <v>50</v>
      </c>
      <c r="H1539">
        <f>'Aug-Apr, 2023'!Q41</f>
        <v>0</v>
      </c>
      <c r="I1539">
        <f>'Aug-Apr, 2023'!R41</f>
        <v>20</v>
      </c>
      <c r="J1539">
        <f>G1539*Parameters!$B$2*Parameters!$B$5</f>
        <v>106.45499999999998</v>
      </c>
      <c r="K1539">
        <f>H1539*Parameters!$B$3*Parameters!$B$6</f>
        <v>0</v>
      </c>
      <c r="L1539">
        <f>I1539*Parameters!$B$4*Parameters!$B$7</f>
        <v>161.928</v>
      </c>
      <c r="M1539">
        <f t="shared" ref="M1539:M1602" si="24">SUM(J1539:L1539)</f>
        <v>268.38299999999998</v>
      </c>
      <c r="N1539">
        <v>5000</v>
      </c>
      <c r="O1539">
        <v>0</v>
      </c>
      <c r="P1539">
        <v>0</v>
      </c>
      <c r="Q1539">
        <v>6000</v>
      </c>
    </row>
    <row r="1540" spans="1:17">
      <c r="A1540" t="s">
        <v>63</v>
      </c>
      <c r="B1540" t="s">
        <v>21</v>
      </c>
      <c r="C1540">
        <v>9</v>
      </c>
      <c r="D1540">
        <v>2022</v>
      </c>
      <c r="E1540" s="49" t="s">
        <v>3</v>
      </c>
      <c r="F1540" s="49" t="s">
        <v>163</v>
      </c>
      <c r="G1540">
        <f>'Aug-Apr, 2023'!O42+'Aug-Apr, 2023'!P42</f>
        <v>55</v>
      </c>
      <c r="H1540">
        <f>'Aug-Apr, 2023'!Q42</f>
        <v>0</v>
      </c>
      <c r="I1540">
        <f>'Aug-Apr, 2023'!R42</f>
        <v>15</v>
      </c>
      <c r="J1540">
        <f>G1540*Parameters!$B$2*Parameters!$B$5</f>
        <v>117.10049999999998</v>
      </c>
      <c r="K1540">
        <f>H1540*Parameters!$B$3*Parameters!$B$6</f>
        <v>0</v>
      </c>
      <c r="L1540">
        <f>I1540*Parameters!$B$4*Parameters!$B$7</f>
        <v>121.44600000000001</v>
      </c>
      <c r="M1540">
        <f t="shared" si="24"/>
        <v>238.54649999999998</v>
      </c>
      <c r="N1540">
        <v>5500</v>
      </c>
      <c r="O1540">
        <v>0</v>
      </c>
      <c r="P1540">
        <v>0</v>
      </c>
      <c r="Q1540">
        <v>4500</v>
      </c>
    </row>
    <row r="1541" spans="1:17">
      <c r="A1541" t="s">
        <v>64</v>
      </c>
      <c r="B1541" t="s">
        <v>65</v>
      </c>
      <c r="C1541">
        <v>3</v>
      </c>
      <c r="D1541">
        <v>2022</v>
      </c>
      <c r="E1541" s="49" t="s">
        <v>3</v>
      </c>
      <c r="F1541" s="49" t="s">
        <v>163</v>
      </c>
      <c r="G1541">
        <f>'Aug-Apr, 2023'!O43+'Aug-Apr, 2023'!P43</f>
        <v>70</v>
      </c>
      <c r="H1541">
        <f>'Aug-Apr, 2023'!Q43</f>
        <v>0</v>
      </c>
      <c r="I1541">
        <f>'Aug-Apr, 2023'!R43</f>
        <v>15</v>
      </c>
      <c r="J1541">
        <f>G1541*Parameters!$B$2*Parameters!$B$5</f>
        <v>149.03699999999998</v>
      </c>
      <c r="K1541">
        <f>H1541*Parameters!$B$3*Parameters!$B$6</f>
        <v>0</v>
      </c>
      <c r="L1541">
        <f>I1541*Parameters!$B$4*Parameters!$B$7</f>
        <v>121.44600000000001</v>
      </c>
      <c r="M1541">
        <f t="shared" si="24"/>
        <v>270.483</v>
      </c>
      <c r="N1541">
        <v>3500</v>
      </c>
      <c r="O1541">
        <v>3500</v>
      </c>
      <c r="P1541">
        <v>0</v>
      </c>
      <c r="Q1541">
        <v>4500</v>
      </c>
    </row>
    <row r="1542" spans="1:17">
      <c r="A1542" t="s">
        <v>66</v>
      </c>
      <c r="B1542" t="s">
        <v>24</v>
      </c>
      <c r="C1542">
        <v>4</v>
      </c>
      <c r="D1542">
        <v>2022</v>
      </c>
      <c r="E1542" s="49" t="s">
        <v>3</v>
      </c>
      <c r="F1542" s="49" t="s">
        <v>163</v>
      </c>
      <c r="G1542">
        <f>'Aug-Apr, 2023'!O44+'Aug-Apr, 2023'!P44</f>
        <v>47</v>
      </c>
      <c r="H1542">
        <f>'Aug-Apr, 2023'!Q44</f>
        <v>0</v>
      </c>
      <c r="I1542">
        <f>'Aug-Apr, 2023'!R44</f>
        <v>20</v>
      </c>
      <c r="J1542">
        <f>G1542*Parameters!$B$2*Parameters!$B$5</f>
        <v>100.06769999999997</v>
      </c>
      <c r="K1542">
        <f>H1542*Parameters!$B$3*Parameters!$B$6</f>
        <v>0</v>
      </c>
      <c r="L1542">
        <f>I1542*Parameters!$B$4*Parameters!$B$7</f>
        <v>161.928</v>
      </c>
      <c r="M1542">
        <f t="shared" si="24"/>
        <v>261.99569999999994</v>
      </c>
      <c r="N1542">
        <v>4700</v>
      </c>
      <c r="O1542">
        <v>0</v>
      </c>
      <c r="P1542">
        <v>0</v>
      </c>
      <c r="Q1542">
        <v>6000</v>
      </c>
    </row>
    <row r="1543" spans="1:17">
      <c r="A1543" t="s">
        <v>67</v>
      </c>
      <c r="B1543" t="s">
        <v>56</v>
      </c>
      <c r="C1543">
        <v>6</v>
      </c>
      <c r="D1543">
        <v>2022</v>
      </c>
      <c r="E1543" s="49" t="s">
        <v>3</v>
      </c>
      <c r="F1543" s="49" t="s">
        <v>163</v>
      </c>
      <c r="G1543">
        <f>'Aug-Apr, 2023'!O45+'Aug-Apr, 2023'!P45</f>
        <v>30</v>
      </c>
      <c r="H1543">
        <f>'Aug-Apr, 2023'!Q45</f>
        <v>0</v>
      </c>
      <c r="I1543">
        <f>'Aug-Apr, 2023'!R45</f>
        <v>20</v>
      </c>
      <c r="J1543">
        <f>G1543*Parameters!$B$2*Parameters!$B$5</f>
        <v>63.87299999999999</v>
      </c>
      <c r="K1543">
        <f>H1543*Parameters!$B$3*Parameters!$B$6</f>
        <v>0</v>
      </c>
      <c r="L1543">
        <f>I1543*Parameters!$B$4*Parameters!$B$7</f>
        <v>161.928</v>
      </c>
      <c r="M1543">
        <f t="shared" si="24"/>
        <v>225.80099999999999</v>
      </c>
      <c r="N1543">
        <v>3000</v>
      </c>
      <c r="O1543">
        <v>0</v>
      </c>
      <c r="P1543">
        <v>0</v>
      </c>
      <c r="Q1543">
        <v>6000</v>
      </c>
    </row>
    <row r="1544" spans="1:17">
      <c r="A1544" t="s">
        <v>68</v>
      </c>
      <c r="B1544" t="s">
        <v>21</v>
      </c>
      <c r="C1544">
        <v>4</v>
      </c>
      <c r="D1544">
        <v>2022</v>
      </c>
      <c r="E1544" s="49" t="s">
        <v>3</v>
      </c>
      <c r="F1544" s="49" t="s">
        <v>163</v>
      </c>
      <c r="G1544">
        <f>'Aug-Apr, 2023'!O46+'Aug-Apr, 2023'!P46</f>
        <v>25</v>
      </c>
      <c r="H1544">
        <f>'Aug-Apr, 2023'!Q46</f>
        <v>0</v>
      </c>
      <c r="I1544">
        <f>'Aug-Apr, 2023'!R46</f>
        <v>20</v>
      </c>
      <c r="J1544">
        <f>G1544*Parameters!$B$2*Parameters!$B$5</f>
        <v>53.227499999999992</v>
      </c>
      <c r="K1544">
        <f>H1544*Parameters!$B$3*Parameters!$B$6</f>
        <v>0</v>
      </c>
      <c r="L1544">
        <f>I1544*Parameters!$B$4*Parameters!$B$7</f>
        <v>161.928</v>
      </c>
      <c r="M1544">
        <f t="shared" si="24"/>
        <v>215.15549999999999</v>
      </c>
      <c r="N1544">
        <v>2500</v>
      </c>
      <c r="O1544">
        <v>0</v>
      </c>
      <c r="P1544">
        <v>0</v>
      </c>
      <c r="Q1544">
        <v>6000</v>
      </c>
    </row>
    <row r="1545" spans="1:17">
      <c r="A1545" t="s">
        <v>69</v>
      </c>
      <c r="B1545" t="s">
        <v>24</v>
      </c>
      <c r="C1545">
        <v>6</v>
      </c>
      <c r="D1545">
        <v>2022</v>
      </c>
      <c r="E1545" s="49" t="s">
        <v>3</v>
      </c>
      <c r="F1545" s="49" t="s">
        <v>163</v>
      </c>
      <c r="G1545">
        <f>'Aug-Apr, 2023'!O47+'Aug-Apr, 2023'!P47</f>
        <v>50</v>
      </c>
      <c r="H1545">
        <f>'Aug-Apr, 2023'!Q47</f>
        <v>0</v>
      </c>
      <c r="I1545">
        <f>'Aug-Apr, 2023'!R47</f>
        <v>15</v>
      </c>
      <c r="J1545">
        <f>G1545*Parameters!$B$2*Parameters!$B$5</f>
        <v>106.45499999999998</v>
      </c>
      <c r="K1545">
        <f>H1545*Parameters!$B$3*Parameters!$B$6</f>
        <v>0</v>
      </c>
      <c r="L1545">
        <f>I1545*Parameters!$B$4*Parameters!$B$7</f>
        <v>121.44600000000001</v>
      </c>
      <c r="M1545">
        <f t="shared" si="24"/>
        <v>227.90100000000001</v>
      </c>
      <c r="N1545">
        <v>5000</v>
      </c>
      <c r="O1545">
        <v>0</v>
      </c>
      <c r="P1545">
        <v>0</v>
      </c>
      <c r="Q1545">
        <v>4500</v>
      </c>
    </row>
    <row r="1546" spans="1:17">
      <c r="A1546" t="s">
        <v>70</v>
      </c>
      <c r="B1546" t="s">
        <v>26</v>
      </c>
      <c r="C1546">
        <v>6</v>
      </c>
      <c r="D1546">
        <v>2022</v>
      </c>
      <c r="E1546" s="49" t="s">
        <v>3</v>
      </c>
      <c r="F1546" s="49" t="s">
        <v>163</v>
      </c>
      <c r="G1546">
        <f>'Aug-Apr, 2023'!O48+'Aug-Apr, 2023'!P48</f>
        <v>30</v>
      </c>
      <c r="H1546">
        <f>'Aug-Apr, 2023'!Q48</f>
        <v>0</v>
      </c>
      <c r="I1546">
        <f>'Aug-Apr, 2023'!R48</f>
        <v>16</v>
      </c>
      <c r="J1546">
        <f>G1546*Parameters!$B$2*Parameters!$B$5</f>
        <v>63.87299999999999</v>
      </c>
      <c r="K1546">
        <f>H1546*Parameters!$B$3*Parameters!$B$6</f>
        <v>0</v>
      </c>
      <c r="L1546">
        <f>I1546*Parameters!$B$4*Parameters!$B$7</f>
        <v>129.54240000000001</v>
      </c>
      <c r="M1546">
        <f t="shared" si="24"/>
        <v>193.41540000000001</v>
      </c>
      <c r="N1546">
        <v>3000</v>
      </c>
      <c r="O1546">
        <v>0</v>
      </c>
      <c r="P1546">
        <v>0</v>
      </c>
      <c r="Q1546">
        <v>4800</v>
      </c>
    </row>
    <row r="1547" spans="1:17">
      <c r="A1547" t="s">
        <v>71</v>
      </c>
      <c r="B1547" t="s">
        <v>26</v>
      </c>
      <c r="C1547">
        <v>5</v>
      </c>
      <c r="D1547">
        <v>2022</v>
      </c>
      <c r="E1547" s="49" t="s">
        <v>3</v>
      </c>
      <c r="F1547" s="49" t="s">
        <v>163</v>
      </c>
      <c r="G1547">
        <f>'Aug-Apr, 2023'!O49+'Aug-Apr, 2023'!P49</f>
        <v>35</v>
      </c>
      <c r="H1547">
        <f>'Aug-Apr, 2023'!Q49</f>
        <v>0</v>
      </c>
      <c r="I1547">
        <f>'Aug-Apr, 2023'!R49</f>
        <v>15</v>
      </c>
      <c r="J1547">
        <f>G1547*Parameters!$B$2*Parameters!$B$5</f>
        <v>74.518499999999989</v>
      </c>
      <c r="K1547">
        <f>H1547*Parameters!$B$3*Parameters!$B$6</f>
        <v>0</v>
      </c>
      <c r="L1547">
        <f>I1547*Parameters!$B$4*Parameters!$B$7</f>
        <v>121.44600000000001</v>
      </c>
      <c r="M1547">
        <f t="shared" si="24"/>
        <v>195.96449999999999</v>
      </c>
      <c r="N1547">
        <v>3500</v>
      </c>
      <c r="O1547">
        <v>0</v>
      </c>
      <c r="P1547">
        <v>0</v>
      </c>
      <c r="Q1547">
        <v>4500</v>
      </c>
    </row>
    <row r="1548" spans="1:17">
      <c r="A1548" t="s">
        <v>72</v>
      </c>
      <c r="B1548" t="s">
        <v>26</v>
      </c>
      <c r="C1548">
        <v>8</v>
      </c>
      <c r="D1548">
        <v>2022</v>
      </c>
      <c r="E1548" s="49" t="s">
        <v>3</v>
      </c>
      <c r="F1548" s="49" t="s">
        <v>163</v>
      </c>
      <c r="G1548">
        <f>'Aug-Apr, 2023'!O50+'Aug-Apr, 2023'!P50</f>
        <v>30</v>
      </c>
      <c r="H1548">
        <f>'Aug-Apr, 2023'!Q50</f>
        <v>0</v>
      </c>
      <c r="I1548">
        <f>'Aug-Apr, 2023'!R50</f>
        <v>20</v>
      </c>
      <c r="J1548">
        <f>G1548*Parameters!$B$2*Parameters!$B$5</f>
        <v>63.87299999999999</v>
      </c>
      <c r="K1548">
        <f>H1548*Parameters!$B$3*Parameters!$B$6</f>
        <v>0</v>
      </c>
      <c r="L1548">
        <f>I1548*Parameters!$B$4*Parameters!$B$7</f>
        <v>161.928</v>
      </c>
      <c r="M1548">
        <f t="shared" si="24"/>
        <v>225.80099999999999</v>
      </c>
      <c r="N1548">
        <v>3000</v>
      </c>
      <c r="O1548">
        <v>0</v>
      </c>
      <c r="P1548">
        <v>0</v>
      </c>
      <c r="Q1548">
        <v>6000</v>
      </c>
    </row>
    <row r="1549" spans="1:17">
      <c r="A1549" t="s">
        <v>73</v>
      </c>
      <c r="B1549" t="s">
        <v>17</v>
      </c>
      <c r="C1549">
        <v>4</v>
      </c>
      <c r="D1549">
        <v>2022</v>
      </c>
      <c r="E1549" s="49" t="s">
        <v>3</v>
      </c>
      <c r="F1549" s="49" t="s">
        <v>163</v>
      </c>
      <c r="G1549">
        <f>'Aug-Apr, 2023'!O51+'Aug-Apr, 2023'!P51</f>
        <v>40</v>
      </c>
      <c r="H1549">
        <f>'Aug-Apr, 2023'!Q51</f>
        <v>0</v>
      </c>
      <c r="I1549">
        <f>'Aug-Apr, 2023'!R51</f>
        <v>15</v>
      </c>
      <c r="J1549">
        <f>G1549*Parameters!$B$2*Parameters!$B$5</f>
        <v>85.163999999999987</v>
      </c>
      <c r="K1549">
        <f>H1549*Parameters!$B$3*Parameters!$B$6</f>
        <v>0</v>
      </c>
      <c r="L1549">
        <f>I1549*Parameters!$B$4*Parameters!$B$7</f>
        <v>121.44600000000001</v>
      </c>
      <c r="M1549">
        <f t="shared" si="24"/>
        <v>206.61</v>
      </c>
      <c r="N1549">
        <v>4000</v>
      </c>
      <c r="O1549">
        <v>0</v>
      </c>
      <c r="P1549">
        <v>0</v>
      </c>
      <c r="Q1549">
        <v>4500</v>
      </c>
    </row>
    <row r="1550" spans="1:17">
      <c r="A1550" t="s">
        <v>74</v>
      </c>
      <c r="B1550" t="s">
        <v>65</v>
      </c>
      <c r="C1550">
        <v>8</v>
      </c>
      <c r="D1550">
        <v>2022</v>
      </c>
      <c r="E1550" s="49" t="s">
        <v>3</v>
      </c>
      <c r="F1550" s="49" t="s">
        <v>163</v>
      </c>
      <c r="G1550">
        <f>'Aug-Apr, 2023'!O52+'Aug-Apr, 2023'!P52</f>
        <v>45</v>
      </c>
      <c r="H1550">
        <f>'Aug-Apr, 2023'!Q52</f>
        <v>0</v>
      </c>
      <c r="I1550">
        <f>'Aug-Apr, 2023'!R52</f>
        <v>8</v>
      </c>
      <c r="J1550">
        <f>G1550*Parameters!$B$2*Parameters!$B$5</f>
        <v>95.809499999999986</v>
      </c>
      <c r="K1550">
        <f>H1550*Parameters!$B$3*Parameters!$B$6</f>
        <v>0</v>
      </c>
      <c r="L1550">
        <f>I1550*Parameters!$B$4*Parameters!$B$7</f>
        <v>64.771200000000007</v>
      </c>
      <c r="M1550">
        <f t="shared" si="24"/>
        <v>160.58069999999998</v>
      </c>
      <c r="N1550">
        <v>3000</v>
      </c>
      <c r="O1550">
        <v>1500</v>
      </c>
      <c r="P1550">
        <v>0</v>
      </c>
      <c r="Q1550">
        <v>2400</v>
      </c>
    </row>
    <row r="1551" spans="1:17">
      <c r="A1551" t="s">
        <v>75</v>
      </c>
      <c r="B1551" t="s">
        <v>24</v>
      </c>
      <c r="C1551">
        <v>4</v>
      </c>
      <c r="D1551">
        <v>2022</v>
      </c>
      <c r="E1551" s="49" t="s">
        <v>3</v>
      </c>
      <c r="F1551" s="49" t="s">
        <v>163</v>
      </c>
      <c r="G1551">
        <f>'Aug-Apr, 2023'!O53+'Aug-Apr, 2023'!P53</f>
        <v>28</v>
      </c>
      <c r="H1551">
        <f>'Aug-Apr, 2023'!Q53</f>
        <v>0</v>
      </c>
      <c r="I1551">
        <f>'Aug-Apr, 2023'!R53</f>
        <v>20</v>
      </c>
      <c r="J1551">
        <f>G1551*Parameters!$B$2*Parameters!$B$5</f>
        <v>59.614799999999995</v>
      </c>
      <c r="K1551">
        <f>H1551*Parameters!$B$3*Parameters!$B$6</f>
        <v>0</v>
      </c>
      <c r="L1551">
        <f>I1551*Parameters!$B$4*Parameters!$B$7</f>
        <v>161.928</v>
      </c>
      <c r="M1551">
        <f t="shared" si="24"/>
        <v>221.5428</v>
      </c>
      <c r="N1551">
        <v>2800</v>
      </c>
      <c r="O1551">
        <v>0</v>
      </c>
      <c r="P1551">
        <v>0</v>
      </c>
      <c r="Q1551">
        <v>6000</v>
      </c>
    </row>
    <row r="1552" spans="1:17">
      <c r="A1552" t="s">
        <v>76</v>
      </c>
      <c r="B1552" t="s">
        <v>56</v>
      </c>
      <c r="C1552">
        <v>4</v>
      </c>
      <c r="D1552">
        <v>2022</v>
      </c>
      <c r="E1552" s="49" t="s">
        <v>3</v>
      </c>
      <c r="F1552" s="49" t="s">
        <v>163</v>
      </c>
      <c r="G1552">
        <f>'Aug-Apr, 2023'!O54+'Aug-Apr, 2023'!P54</f>
        <v>25</v>
      </c>
      <c r="H1552">
        <f>'Aug-Apr, 2023'!Q54</f>
        <v>0</v>
      </c>
      <c r="I1552">
        <f>'Aug-Apr, 2023'!R54</f>
        <v>20</v>
      </c>
      <c r="J1552">
        <f>G1552*Parameters!$B$2*Parameters!$B$5</f>
        <v>53.227499999999992</v>
      </c>
      <c r="K1552">
        <f>H1552*Parameters!$B$3*Parameters!$B$6</f>
        <v>0</v>
      </c>
      <c r="L1552">
        <f>I1552*Parameters!$B$4*Parameters!$B$7</f>
        <v>161.928</v>
      </c>
      <c r="M1552">
        <f t="shared" si="24"/>
        <v>215.15549999999999</v>
      </c>
      <c r="N1552">
        <v>2500</v>
      </c>
      <c r="O1552">
        <v>0</v>
      </c>
      <c r="P1552">
        <v>0</v>
      </c>
      <c r="Q1552">
        <v>6000</v>
      </c>
    </row>
    <row r="1553" spans="1:17">
      <c r="A1553" t="s">
        <v>77</v>
      </c>
      <c r="B1553" t="s">
        <v>40</v>
      </c>
      <c r="C1553">
        <v>12</v>
      </c>
      <c r="D1553">
        <v>2022</v>
      </c>
      <c r="E1553" s="49" t="s">
        <v>3</v>
      </c>
      <c r="F1553" s="49" t="s">
        <v>163</v>
      </c>
      <c r="G1553">
        <f>'Aug-Apr, 2023'!O55+'Aug-Apr, 2023'!P55</f>
        <v>30</v>
      </c>
      <c r="H1553">
        <f>'Aug-Apr, 2023'!Q55</f>
        <v>0</v>
      </c>
      <c r="I1553">
        <f>'Aug-Apr, 2023'!R55</f>
        <v>12</v>
      </c>
      <c r="J1553">
        <f>G1553*Parameters!$B$2*Parameters!$B$5</f>
        <v>63.87299999999999</v>
      </c>
      <c r="K1553">
        <f>H1553*Parameters!$B$3*Parameters!$B$6</f>
        <v>0</v>
      </c>
      <c r="L1553">
        <f>I1553*Parameters!$B$4*Parameters!$B$7</f>
        <v>97.156800000000018</v>
      </c>
      <c r="M1553">
        <f t="shared" si="24"/>
        <v>161.02980000000002</v>
      </c>
      <c r="N1553">
        <v>3000</v>
      </c>
      <c r="O1553">
        <v>0</v>
      </c>
      <c r="P1553">
        <v>0</v>
      </c>
      <c r="Q1553">
        <v>3600</v>
      </c>
    </row>
    <row r="1554" spans="1:17">
      <c r="A1554" t="s">
        <v>78</v>
      </c>
      <c r="B1554" t="s">
        <v>32</v>
      </c>
      <c r="C1554">
        <v>6</v>
      </c>
      <c r="D1554">
        <v>2022</v>
      </c>
      <c r="E1554" s="49" t="s">
        <v>3</v>
      </c>
      <c r="F1554" s="49" t="s">
        <v>163</v>
      </c>
      <c r="G1554">
        <f>'Aug-Apr, 2023'!O56+'Aug-Apr, 2023'!P56</f>
        <v>30</v>
      </c>
      <c r="H1554">
        <f>'Aug-Apr, 2023'!Q56</f>
        <v>0</v>
      </c>
      <c r="I1554">
        <f>'Aug-Apr, 2023'!R56</f>
        <v>4</v>
      </c>
      <c r="J1554">
        <f>G1554*Parameters!$B$2*Parameters!$B$5</f>
        <v>63.87299999999999</v>
      </c>
      <c r="K1554">
        <f>H1554*Parameters!$B$3*Parameters!$B$6</f>
        <v>0</v>
      </c>
      <c r="L1554">
        <f>I1554*Parameters!$B$4*Parameters!$B$7</f>
        <v>32.385600000000004</v>
      </c>
      <c r="M1554">
        <f t="shared" si="24"/>
        <v>96.258600000000001</v>
      </c>
      <c r="N1554">
        <v>3000</v>
      </c>
      <c r="O1554">
        <v>0</v>
      </c>
      <c r="P1554">
        <v>0</v>
      </c>
      <c r="Q1554">
        <v>1200</v>
      </c>
    </row>
    <row r="1555" spans="1:17">
      <c r="A1555" t="s">
        <v>79</v>
      </c>
      <c r="B1555" t="s">
        <v>40</v>
      </c>
      <c r="C1555">
        <v>4</v>
      </c>
      <c r="D1555">
        <v>2022</v>
      </c>
      <c r="E1555" s="49" t="s">
        <v>3</v>
      </c>
      <c r="F1555" s="49" t="s">
        <v>163</v>
      </c>
      <c r="G1555">
        <f>'Aug-Apr, 2023'!O57+'Aug-Apr, 2023'!P57</f>
        <v>48</v>
      </c>
      <c r="H1555">
        <f>'Aug-Apr, 2023'!Q57</f>
        <v>0</v>
      </c>
      <c r="I1555">
        <f>'Aug-Apr, 2023'!R57</f>
        <v>5</v>
      </c>
      <c r="J1555">
        <f>G1555*Parameters!$B$2*Parameters!$B$5</f>
        <v>102.19679999999998</v>
      </c>
      <c r="K1555">
        <f>H1555*Parameters!$B$3*Parameters!$B$6</f>
        <v>0</v>
      </c>
      <c r="L1555">
        <f>I1555*Parameters!$B$4*Parameters!$B$7</f>
        <v>40.481999999999999</v>
      </c>
      <c r="M1555">
        <f t="shared" si="24"/>
        <v>142.67879999999997</v>
      </c>
      <c r="N1555">
        <v>4800</v>
      </c>
      <c r="O1555">
        <v>0</v>
      </c>
      <c r="P1555">
        <v>0</v>
      </c>
      <c r="Q1555">
        <v>1500</v>
      </c>
    </row>
    <row r="1556" spans="1:17">
      <c r="A1556" t="s">
        <v>80</v>
      </c>
      <c r="B1556" t="s">
        <v>26</v>
      </c>
      <c r="C1556">
        <v>7</v>
      </c>
      <c r="D1556">
        <v>2022</v>
      </c>
      <c r="E1556" s="49" t="s">
        <v>3</v>
      </c>
      <c r="F1556" s="49" t="s">
        <v>163</v>
      </c>
      <c r="G1556">
        <f>'Aug-Apr, 2023'!O58+'Aug-Apr, 2023'!P58</f>
        <v>40</v>
      </c>
      <c r="H1556">
        <f>'Aug-Apr, 2023'!Q58</f>
        <v>0</v>
      </c>
      <c r="I1556">
        <f>'Aug-Apr, 2023'!R58</f>
        <v>5</v>
      </c>
      <c r="J1556">
        <f>G1556*Parameters!$B$2*Parameters!$B$5</f>
        <v>85.163999999999987</v>
      </c>
      <c r="K1556">
        <f>H1556*Parameters!$B$3*Parameters!$B$6</f>
        <v>0</v>
      </c>
      <c r="L1556">
        <f>I1556*Parameters!$B$4*Parameters!$B$7</f>
        <v>40.481999999999999</v>
      </c>
      <c r="M1556">
        <f t="shared" si="24"/>
        <v>125.64599999999999</v>
      </c>
      <c r="N1556">
        <v>4000</v>
      </c>
      <c r="O1556">
        <v>0</v>
      </c>
      <c r="P1556">
        <v>0</v>
      </c>
      <c r="Q1556">
        <v>1500</v>
      </c>
    </row>
    <row r="1557" spans="1:17">
      <c r="A1557" t="s">
        <v>81</v>
      </c>
      <c r="B1557" t="s">
        <v>24</v>
      </c>
      <c r="C1557">
        <v>6</v>
      </c>
      <c r="D1557">
        <v>2022</v>
      </c>
      <c r="E1557" s="49" t="s">
        <v>3</v>
      </c>
      <c r="F1557" s="49" t="s">
        <v>163</v>
      </c>
      <c r="G1557">
        <f>'Aug-Apr, 2023'!O59+'Aug-Apr, 2023'!P59</f>
        <v>45</v>
      </c>
      <c r="H1557">
        <f>'Aug-Apr, 2023'!Q59</f>
        <v>0</v>
      </c>
      <c r="I1557">
        <f>'Aug-Apr, 2023'!R59</f>
        <v>20</v>
      </c>
      <c r="J1557">
        <f>G1557*Parameters!$B$2*Parameters!$B$5</f>
        <v>95.809499999999986</v>
      </c>
      <c r="K1557">
        <f>H1557*Parameters!$B$3*Parameters!$B$6</f>
        <v>0</v>
      </c>
      <c r="L1557">
        <f>I1557*Parameters!$B$4*Parameters!$B$7</f>
        <v>161.928</v>
      </c>
      <c r="M1557">
        <f t="shared" si="24"/>
        <v>257.73749999999995</v>
      </c>
      <c r="N1557">
        <v>4500</v>
      </c>
      <c r="O1557">
        <v>0</v>
      </c>
      <c r="P1557">
        <v>0</v>
      </c>
      <c r="Q1557">
        <v>6000</v>
      </c>
    </row>
    <row r="1558" spans="1:17">
      <c r="A1558" t="s">
        <v>82</v>
      </c>
      <c r="B1558" t="s">
        <v>83</v>
      </c>
      <c r="C1558">
        <v>4</v>
      </c>
      <c r="D1558">
        <v>2022</v>
      </c>
      <c r="E1558" s="49" t="s">
        <v>3</v>
      </c>
      <c r="F1558" s="49" t="s">
        <v>163</v>
      </c>
      <c r="G1558">
        <f>'Aug-Apr, 2023'!O60+'Aug-Apr, 2023'!P60</f>
        <v>48</v>
      </c>
      <c r="H1558">
        <f>'Aug-Apr, 2023'!Q60</f>
        <v>0</v>
      </c>
      <c r="I1558">
        <f>'Aug-Apr, 2023'!R60</f>
        <v>10</v>
      </c>
      <c r="J1558">
        <f>G1558*Parameters!$B$2*Parameters!$B$5</f>
        <v>102.19679999999998</v>
      </c>
      <c r="K1558">
        <f>H1558*Parameters!$B$3*Parameters!$B$6</f>
        <v>0</v>
      </c>
      <c r="L1558">
        <f>I1558*Parameters!$B$4*Parameters!$B$7</f>
        <v>80.963999999999999</v>
      </c>
      <c r="M1558">
        <f t="shared" si="24"/>
        <v>183.16079999999999</v>
      </c>
      <c r="N1558">
        <v>4800</v>
      </c>
      <c r="O1558">
        <v>0</v>
      </c>
      <c r="P1558">
        <v>0</v>
      </c>
      <c r="Q1558">
        <v>3000</v>
      </c>
    </row>
    <row r="1559" spans="1:17">
      <c r="A1559" t="s">
        <v>84</v>
      </c>
      <c r="B1559" t="s">
        <v>26</v>
      </c>
      <c r="C1559">
        <v>7</v>
      </c>
      <c r="D1559">
        <v>2022</v>
      </c>
      <c r="E1559" s="49" t="s">
        <v>3</v>
      </c>
      <c r="F1559" s="49" t="s">
        <v>163</v>
      </c>
      <c r="G1559">
        <f>'Aug-Apr, 2023'!O61+'Aug-Apr, 2023'!P61</f>
        <v>40</v>
      </c>
      <c r="H1559">
        <f>'Aug-Apr, 2023'!Q61</f>
        <v>0</v>
      </c>
      <c r="I1559">
        <f>'Aug-Apr, 2023'!R61</f>
        <v>6</v>
      </c>
      <c r="J1559">
        <f>G1559*Parameters!$B$2*Parameters!$B$5</f>
        <v>85.163999999999987</v>
      </c>
      <c r="K1559">
        <f>H1559*Parameters!$B$3*Parameters!$B$6</f>
        <v>0</v>
      </c>
      <c r="L1559">
        <f>I1559*Parameters!$B$4*Parameters!$B$7</f>
        <v>48.578400000000009</v>
      </c>
      <c r="M1559">
        <f t="shared" si="24"/>
        <v>133.7424</v>
      </c>
      <c r="N1559">
        <v>4000</v>
      </c>
      <c r="O1559">
        <v>0</v>
      </c>
      <c r="P1559">
        <v>0</v>
      </c>
      <c r="Q1559">
        <v>1800</v>
      </c>
    </row>
    <row r="1560" spans="1:17">
      <c r="A1560" t="s">
        <v>85</v>
      </c>
      <c r="B1560" t="s">
        <v>24</v>
      </c>
      <c r="C1560">
        <v>6</v>
      </c>
      <c r="D1560">
        <v>2022</v>
      </c>
      <c r="E1560" s="49" t="s">
        <v>3</v>
      </c>
      <c r="F1560" s="49" t="s">
        <v>163</v>
      </c>
      <c r="G1560">
        <f>'Aug-Apr, 2023'!O62+'Aug-Apr, 2023'!P62</f>
        <v>38</v>
      </c>
      <c r="H1560">
        <f>'Aug-Apr, 2023'!Q62</f>
        <v>0</v>
      </c>
      <c r="I1560">
        <f>'Aug-Apr, 2023'!R62</f>
        <v>12</v>
      </c>
      <c r="J1560">
        <f>G1560*Parameters!$B$2*Parameters!$B$5</f>
        <v>80.905799999999985</v>
      </c>
      <c r="K1560">
        <f>H1560*Parameters!$B$3*Parameters!$B$6</f>
        <v>0</v>
      </c>
      <c r="L1560">
        <f>I1560*Parameters!$B$4*Parameters!$B$7</f>
        <v>97.156800000000018</v>
      </c>
      <c r="M1560">
        <f t="shared" si="24"/>
        <v>178.0626</v>
      </c>
      <c r="N1560">
        <v>3800</v>
      </c>
      <c r="O1560">
        <v>0</v>
      </c>
      <c r="P1560">
        <v>0</v>
      </c>
      <c r="Q1560">
        <v>3600</v>
      </c>
    </row>
    <row r="1561" spans="1:17">
      <c r="A1561" t="s">
        <v>86</v>
      </c>
      <c r="B1561" t="s">
        <v>32</v>
      </c>
      <c r="C1561">
        <v>4</v>
      </c>
      <c r="D1561">
        <v>2022</v>
      </c>
      <c r="E1561" s="49" t="s">
        <v>3</v>
      </c>
      <c r="F1561" s="49" t="s">
        <v>163</v>
      </c>
      <c r="G1561">
        <f>'Aug-Apr, 2023'!O63+'Aug-Apr, 2023'!P63</f>
        <v>30</v>
      </c>
      <c r="H1561">
        <f>'Aug-Apr, 2023'!Q63</f>
        <v>0</v>
      </c>
      <c r="I1561">
        <f>'Aug-Apr, 2023'!R63</f>
        <v>8</v>
      </c>
      <c r="J1561">
        <f>G1561*Parameters!$B$2*Parameters!$B$5</f>
        <v>63.87299999999999</v>
      </c>
      <c r="K1561">
        <f>H1561*Parameters!$B$3*Parameters!$B$6</f>
        <v>0</v>
      </c>
      <c r="L1561">
        <f>I1561*Parameters!$B$4*Parameters!$B$7</f>
        <v>64.771200000000007</v>
      </c>
      <c r="M1561">
        <f t="shared" si="24"/>
        <v>128.64420000000001</v>
      </c>
      <c r="N1561">
        <v>3000</v>
      </c>
      <c r="O1561">
        <v>0</v>
      </c>
      <c r="P1561">
        <v>0</v>
      </c>
      <c r="Q1561">
        <v>2400</v>
      </c>
    </row>
    <row r="1562" spans="1:17">
      <c r="A1562" t="s">
        <v>87</v>
      </c>
      <c r="B1562" t="s">
        <v>32</v>
      </c>
      <c r="C1562">
        <v>8</v>
      </c>
      <c r="D1562">
        <v>2022</v>
      </c>
      <c r="E1562" s="49" t="s">
        <v>3</v>
      </c>
      <c r="F1562" s="49" t="s">
        <v>163</v>
      </c>
      <c r="G1562">
        <f>'Aug-Apr, 2023'!O64+'Aug-Apr, 2023'!P64</f>
        <v>36</v>
      </c>
      <c r="H1562">
        <f>'Aug-Apr, 2023'!Q64</f>
        <v>0</v>
      </c>
      <c r="I1562">
        <f>'Aug-Apr, 2023'!R64</f>
        <v>14</v>
      </c>
      <c r="J1562">
        <f>G1562*Parameters!$B$2*Parameters!$B$5</f>
        <v>76.647599999999997</v>
      </c>
      <c r="K1562">
        <f>H1562*Parameters!$B$3*Parameters!$B$6</f>
        <v>0</v>
      </c>
      <c r="L1562">
        <f>I1562*Parameters!$B$4*Parameters!$B$7</f>
        <v>113.34960000000001</v>
      </c>
      <c r="M1562">
        <f t="shared" si="24"/>
        <v>189.99720000000002</v>
      </c>
      <c r="N1562">
        <v>3600</v>
      </c>
      <c r="O1562">
        <v>0</v>
      </c>
      <c r="P1562">
        <v>0</v>
      </c>
      <c r="Q1562">
        <v>4200</v>
      </c>
    </row>
    <row r="1563" spans="1:17">
      <c r="A1563" t="s">
        <v>88</v>
      </c>
      <c r="B1563" t="s">
        <v>32</v>
      </c>
      <c r="C1563">
        <v>7</v>
      </c>
      <c r="D1563">
        <v>2022</v>
      </c>
      <c r="E1563" s="49" t="s">
        <v>3</v>
      </c>
      <c r="F1563" s="49" t="s">
        <v>163</v>
      </c>
      <c r="G1563">
        <f>'Aug-Apr, 2023'!O65+'Aug-Apr, 2023'!P65</f>
        <v>31</v>
      </c>
      <c r="H1563">
        <f>'Aug-Apr, 2023'!Q65</f>
        <v>0</v>
      </c>
      <c r="I1563">
        <f>'Aug-Apr, 2023'!R65</f>
        <v>20</v>
      </c>
      <c r="J1563">
        <f>G1563*Parameters!$B$2*Parameters!$B$5</f>
        <v>66.002099999999984</v>
      </c>
      <c r="K1563">
        <f>H1563*Parameters!$B$3*Parameters!$B$6</f>
        <v>0</v>
      </c>
      <c r="L1563">
        <f>I1563*Parameters!$B$4*Parameters!$B$7</f>
        <v>161.928</v>
      </c>
      <c r="M1563">
        <f t="shared" si="24"/>
        <v>227.93009999999998</v>
      </c>
      <c r="N1563">
        <v>3100</v>
      </c>
      <c r="O1563">
        <v>0</v>
      </c>
      <c r="P1563">
        <v>0</v>
      </c>
      <c r="Q1563">
        <v>6000</v>
      </c>
    </row>
    <row r="1564" spans="1:17">
      <c r="A1564" t="s">
        <v>89</v>
      </c>
      <c r="B1564" t="s">
        <v>65</v>
      </c>
      <c r="C1564">
        <v>8</v>
      </c>
      <c r="D1564">
        <v>2022</v>
      </c>
      <c r="E1564" s="49" t="s">
        <v>3</v>
      </c>
      <c r="F1564" s="49" t="s">
        <v>163</v>
      </c>
      <c r="G1564">
        <f>'Aug-Apr, 2023'!O66+'Aug-Apr, 2023'!P66</f>
        <v>47</v>
      </c>
      <c r="H1564">
        <f>'Aug-Apr, 2023'!Q66</f>
        <v>0</v>
      </c>
      <c r="I1564">
        <f>'Aug-Apr, 2023'!R66</f>
        <v>14</v>
      </c>
      <c r="J1564">
        <f>G1564*Parameters!$B$2*Parameters!$B$5</f>
        <v>100.06769999999997</v>
      </c>
      <c r="K1564">
        <f>H1564*Parameters!$B$3*Parameters!$B$6</f>
        <v>0</v>
      </c>
      <c r="L1564">
        <f>I1564*Parameters!$B$4*Parameters!$B$7</f>
        <v>113.34960000000001</v>
      </c>
      <c r="M1564">
        <f t="shared" si="24"/>
        <v>213.41729999999998</v>
      </c>
      <c r="N1564">
        <v>4700</v>
      </c>
      <c r="O1564">
        <v>0</v>
      </c>
      <c r="P1564">
        <v>0</v>
      </c>
      <c r="Q1564">
        <v>4200</v>
      </c>
    </row>
    <row r="1565" spans="1:17">
      <c r="A1565" t="s">
        <v>90</v>
      </c>
      <c r="B1565" t="s">
        <v>32</v>
      </c>
      <c r="C1565">
        <v>6</v>
      </c>
      <c r="D1565">
        <v>2022</v>
      </c>
      <c r="E1565" s="49" t="s">
        <v>3</v>
      </c>
      <c r="F1565" s="49" t="s">
        <v>163</v>
      </c>
      <c r="G1565">
        <f>'Aug-Apr, 2023'!O67+'Aug-Apr, 2023'!P67</f>
        <v>40</v>
      </c>
      <c r="H1565">
        <f>'Aug-Apr, 2023'!Q67</f>
        <v>0</v>
      </c>
      <c r="I1565">
        <f>'Aug-Apr, 2023'!R67</f>
        <v>20</v>
      </c>
      <c r="J1565">
        <f>G1565*Parameters!$B$2*Parameters!$B$5</f>
        <v>85.163999999999987</v>
      </c>
      <c r="K1565">
        <f>H1565*Parameters!$B$3*Parameters!$B$6</f>
        <v>0</v>
      </c>
      <c r="L1565">
        <f>I1565*Parameters!$B$4*Parameters!$B$7</f>
        <v>161.928</v>
      </c>
      <c r="M1565">
        <f t="shared" si="24"/>
        <v>247.09199999999998</v>
      </c>
      <c r="N1565">
        <v>4000</v>
      </c>
      <c r="O1565">
        <v>0</v>
      </c>
      <c r="P1565">
        <v>0</v>
      </c>
      <c r="Q1565">
        <v>6000</v>
      </c>
    </row>
    <row r="1566" spans="1:17">
      <c r="A1566" t="s">
        <v>91</v>
      </c>
      <c r="B1566" t="s">
        <v>24</v>
      </c>
      <c r="C1566">
        <v>6</v>
      </c>
      <c r="D1566">
        <v>2022</v>
      </c>
      <c r="E1566" s="49" t="s">
        <v>3</v>
      </c>
      <c r="F1566" s="49" t="s">
        <v>163</v>
      </c>
      <c r="G1566">
        <f>'Aug-Apr, 2023'!O68+'Aug-Apr, 2023'!P68</f>
        <v>30</v>
      </c>
      <c r="H1566">
        <f>'Aug-Apr, 2023'!Q68</f>
        <v>0</v>
      </c>
      <c r="I1566">
        <f>'Aug-Apr, 2023'!R68</f>
        <v>16</v>
      </c>
      <c r="J1566">
        <f>G1566*Parameters!$B$2*Parameters!$B$5</f>
        <v>63.87299999999999</v>
      </c>
      <c r="K1566">
        <f>H1566*Parameters!$B$3*Parameters!$B$6</f>
        <v>0</v>
      </c>
      <c r="L1566">
        <f>I1566*Parameters!$B$4*Parameters!$B$7</f>
        <v>129.54240000000001</v>
      </c>
      <c r="M1566">
        <f t="shared" si="24"/>
        <v>193.41540000000001</v>
      </c>
      <c r="N1566">
        <v>3000</v>
      </c>
      <c r="O1566">
        <v>0</v>
      </c>
      <c r="P1566">
        <v>0</v>
      </c>
      <c r="Q1566">
        <v>4800</v>
      </c>
    </row>
    <row r="1567" spans="1:17">
      <c r="A1567" t="s">
        <v>92</v>
      </c>
      <c r="B1567" t="s">
        <v>17</v>
      </c>
      <c r="C1567">
        <v>4</v>
      </c>
      <c r="D1567">
        <v>2022</v>
      </c>
      <c r="E1567" s="49" t="s">
        <v>3</v>
      </c>
      <c r="F1567" s="49" t="s">
        <v>163</v>
      </c>
      <c r="G1567">
        <f>'Aug-Apr, 2023'!O69+'Aug-Apr, 2023'!P69</f>
        <v>58</v>
      </c>
      <c r="H1567">
        <f>'Aug-Apr, 2023'!Q69</f>
        <v>0</v>
      </c>
      <c r="I1567">
        <f>'Aug-Apr, 2023'!R69</f>
        <v>12</v>
      </c>
      <c r="J1567">
        <f>G1567*Parameters!$B$2*Parameters!$B$5</f>
        <v>123.48779999999998</v>
      </c>
      <c r="K1567">
        <f>H1567*Parameters!$B$3*Parameters!$B$6</f>
        <v>0</v>
      </c>
      <c r="L1567">
        <f>I1567*Parameters!$B$4*Parameters!$B$7</f>
        <v>97.156800000000018</v>
      </c>
      <c r="M1567">
        <f t="shared" si="24"/>
        <v>220.6446</v>
      </c>
      <c r="N1567">
        <v>4800</v>
      </c>
      <c r="O1567">
        <v>1000</v>
      </c>
      <c r="P1567">
        <v>0</v>
      </c>
      <c r="Q1567">
        <v>3600</v>
      </c>
    </row>
    <row r="1568" spans="1:17">
      <c r="A1568" t="s">
        <v>93</v>
      </c>
      <c r="B1568" t="s">
        <v>19</v>
      </c>
      <c r="C1568">
        <v>7</v>
      </c>
      <c r="D1568">
        <v>2022</v>
      </c>
      <c r="E1568" s="49" t="s">
        <v>3</v>
      </c>
      <c r="F1568" s="49" t="s">
        <v>163</v>
      </c>
      <c r="G1568">
        <f>'Aug-Apr, 2023'!O70+'Aug-Apr, 2023'!P70</f>
        <v>50</v>
      </c>
      <c r="H1568">
        <f>'Aug-Apr, 2023'!Q70</f>
        <v>0</v>
      </c>
      <c r="I1568">
        <f>'Aug-Apr, 2023'!R70</f>
        <v>10</v>
      </c>
      <c r="J1568">
        <f>G1568*Parameters!$B$2*Parameters!$B$5</f>
        <v>106.45499999999998</v>
      </c>
      <c r="K1568">
        <f>H1568*Parameters!$B$3*Parameters!$B$6</f>
        <v>0</v>
      </c>
      <c r="L1568">
        <f>I1568*Parameters!$B$4*Parameters!$B$7</f>
        <v>80.963999999999999</v>
      </c>
      <c r="M1568">
        <f t="shared" si="24"/>
        <v>187.41899999999998</v>
      </c>
      <c r="N1568">
        <v>5000</v>
      </c>
      <c r="O1568">
        <v>0</v>
      </c>
      <c r="P1568">
        <v>0</v>
      </c>
      <c r="Q1568">
        <v>3000</v>
      </c>
    </row>
    <row r="1569" spans="1:17">
      <c r="A1569" t="s">
        <v>94</v>
      </c>
      <c r="B1569" t="s">
        <v>19</v>
      </c>
      <c r="C1569">
        <v>6</v>
      </c>
      <c r="D1569">
        <v>2022</v>
      </c>
      <c r="E1569" s="49" t="s">
        <v>3</v>
      </c>
      <c r="F1569" s="49" t="s">
        <v>163</v>
      </c>
      <c r="G1569">
        <f>'Aug-Apr, 2023'!O71+'Aug-Apr, 2023'!P71</f>
        <v>38</v>
      </c>
      <c r="H1569">
        <f>'Aug-Apr, 2023'!Q71</f>
        <v>0</v>
      </c>
      <c r="I1569">
        <f>'Aug-Apr, 2023'!R71</f>
        <v>8</v>
      </c>
      <c r="J1569">
        <f>G1569*Parameters!$B$2*Parameters!$B$5</f>
        <v>80.905799999999985</v>
      </c>
      <c r="K1569">
        <f>H1569*Parameters!$B$3*Parameters!$B$6</f>
        <v>0</v>
      </c>
      <c r="L1569">
        <f>I1569*Parameters!$B$4*Parameters!$B$7</f>
        <v>64.771200000000007</v>
      </c>
      <c r="M1569">
        <f t="shared" si="24"/>
        <v>145.67699999999999</v>
      </c>
      <c r="N1569">
        <v>3800</v>
      </c>
      <c r="O1569">
        <v>0</v>
      </c>
      <c r="P1569">
        <v>0</v>
      </c>
      <c r="Q1569">
        <v>2400</v>
      </c>
    </row>
    <row r="1570" spans="1:17">
      <c r="A1570" t="s">
        <v>95</v>
      </c>
      <c r="B1570" t="s">
        <v>26</v>
      </c>
      <c r="C1570">
        <v>8</v>
      </c>
      <c r="D1570">
        <v>2022</v>
      </c>
      <c r="E1570" s="49" t="s">
        <v>3</v>
      </c>
      <c r="F1570" s="49" t="s">
        <v>163</v>
      </c>
      <c r="G1570">
        <f>'Aug-Apr, 2023'!O72+'Aug-Apr, 2023'!P72</f>
        <v>50</v>
      </c>
      <c r="H1570">
        <f>'Aug-Apr, 2023'!Q72</f>
        <v>0</v>
      </c>
      <c r="I1570">
        <f>'Aug-Apr, 2023'!R72</f>
        <v>4</v>
      </c>
      <c r="J1570">
        <f>G1570*Parameters!$B$2*Parameters!$B$5</f>
        <v>106.45499999999998</v>
      </c>
      <c r="K1570">
        <f>H1570*Parameters!$B$3*Parameters!$B$6</f>
        <v>0</v>
      </c>
      <c r="L1570">
        <f>I1570*Parameters!$B$4*Parameters!$B$7</f>
        <v>32.385600000000004</v>
      </c>
      <c r="M1570">
        <f t="shared" si="24"/>
        <v>138.84059999999999</v>
      </c>
      <c r="N1570">
        <v>5000</v>
      </c>
      <c r="O1570">
        <v>0</v>
      </c>
      <c r="P1570">
        <v>0</v>
      </c>
      <c r="Q1570">
        <v>1200</v>
      </c>
    </row>
    <row r="1571" spans="1:17">
      <c r="A1571" t="s">
        <v>96</v>
      </c>
      <c r="B1571" t="s">
        <v>19</v>
      </c>
      <c r="C1571">
        <v>8</v>
      </c>
      <c r="D1571">
        <v>2022</v>
      </c>
      <c r="E1571" s="49" t="s">
        <v>3</v>
      </c>
      <c r="F1571" s="49" t="s">
        <v>163</v>
      </c>
      <c r="G1571">
        <f>'Aug-Apr, 2023'!O73+'Aug-Apr, 2023'!P73</f>
        <v>20</v>
      </c>
      <c r="H1571">
        <f>'Aug-Apr, 2023'!Q73</f>
        <v>0</v>
      </c>
      <c r="I1571">
        <f>'Aug-Apr, 2023'!R73</f>
        <v>12</v>
      </c>
      <c r="J1571">
        <f>G1571*Parameters!$B$2*Parameters!$B$5</f>
        <v>42.581999999999994</v>
      </c>
      <c r="K1571">
        <f>H1571*Parameters!$B$3*Parameters!$B$6</f>
        <v>0</v>
      </c>
      <c r="L1571">
        <f>I1571*Parameters!$B$4*Parameters!$B$7</f>
        <v>97.156800000000018</v>
      </c>
      <c r="M1571">
        <f t="shared" si="24"/>
        <v>139.73880000000003</v>
      </c>
      <c r="N1571">
        <v>2000</v>
      </c>
      <c r="O1571">
        <v>0</v>
      </c>
      <c r="P1571">
        <v>0</v>
      </c>
      <c r="Q1571">
        <v>3600</v>
      </c>
    </row>
    <row r="1572" spans="1:17">
      <c r="A1572" t="s">
        <v>97</v>
      </c>
      <c r="B1572" t="s">
        <v>17</v>
      </c>
      <c r="C1572">
        <v>4</v>
      </c>
      <c r="D1572">
        <v>2022</v>
      </c>
      <c r="E1572" s="49" t="s">
        <v>3</v>
      </c>
      <c r="F1572" s="49" t="s">
        <v>163</v>
      </c>
      <c r="G1572">
        <f>'Aug-Apr, 2023'!O74+'Aug-Apr, 2023'!P74</f>
        <v>32</v>
      </c>
      <c r="H1572">
        <f>'Aug-Apr, 2023'!Q74</f>
        <v>0</v>
      </c>
      <c r="I1572">
        <f>'Aug-Apr, 2023'!R74</f>
        <v>20</v>
      </c>
      <c r="J1572">
        <f>G1572*Parameters!$B$2*Parameters!$B$5</f>
        <v>68.131199999999993</v>
      </c>
      <c r="K1572">
        <f>H1572*Parameters!$B$3*Parameters!$B$6</f>
        <v>0</v>
      </c>
      <c r="L1572">
        <f>I1572*Parameters!$B$4*Parameters!$B$7</f>
        <v>161.928</v>
      </c>
      <c r="M1572">
        <f t="shared" si="24"/>
        <v>230.05919999999998</v>
      </c>
      <c r="N1572">
        <v>3200</v>
      </c>
      <c r="O1572">
        <v>0</v>
      </c>
      <c r="P1572">
        <v>0</v>
      </c>
      <c r="Q1572">
        <v>6000</v>
      </c>
    </row>
    <row r="1573" spans="1:17">
      <c r="A1573" t="s">
        <v>98</v>
      </c>
      <c r="B1573" t="s">
        <v>65</v>
      </c>
      <c r="C1573">
        <v>5</v>
      </c>
      <c r="D1573">
        <v>2022</v>
      </c>
      <c r="E1573" s="49" t="s">
        <v>3</v>
      </c>
      <c r="F1573" s="49" t="s">
        <v>163</v>
      </c>
      <c r="G1573">
        <f>'Aug-Apr, 2023'!O75+'Aug-Apr, 2023'!P75</f>
        <v>22</v>
      </c>
      <c r="H1573">
        <f>'Aug-Apr, 2023'!Q75</f>
        <v>0</v>
      </c>
      <c r="I1573">
        <f>'Aug-Apr, 2023'!R75</f>
        <v>15</v>
      </c>
      <c r="J1573">
        <f>G1573*Parameters!$B$2*Parameters!$B$5</f>
        <v>46.840199999999996</v>
      </c>
      <c r="K1573">
        <f>H1573*Parameters!$B$3*Parameters!$B$6</f>
        <v>0</v>
      </c>
      <c r="L1573">
        <f>I1573*Parameters!$B$4*Parameters!$B$7</f>
        <v>121.44600000000001</v>
      </c>
      <c r="M1573">
        <f t="shared" si="24"/>
        <v>168.28620000000001</v>
      </c>
      <c r="N1573">
        <v>2000</v>
      </c>
      <c r="O1573">
        <v>200</v>
      </c>
      <c r="P1573">
        <v>0</v>
      </c>
      <c r="Q1573">
        <v>4500</v>
      </c>
    </row>
    <row r="1574" spans="1:17">
      <c r="A1574" t="s">
        <v>99</v>
      </c>
      <c r="B1574" t="s">
        <v>32</v>
      </c>
      <c r="C1574">
        <v>9</v>
      </c>
      <c r="D1574">
        <v>2022</v>
      </c>
      <c r="E1574" s="49" t="s">
        <v>3</v>
      </c>
      <c r="F1574" s="49" t="s">
        <v>163</v>
      </c>
      <c r="G1574">
        <f>'Aug-Apr, 2023'!O76+'Aug-Apr, 2023'!P76</f>
        <v>40</v>
      </c>
      <c r="H1574">
        <f>'Aug-Apr, 2023'!Q76</f>
        <v>0</v>
      </c>
      <c r="I1574">
        <f>'Aug-Apr, 2023'!R76</f>
        <v>10</v>
      </c>
      <c r="J1574">
        <f>G1574*Parameters!$B$2*Parameters!$B$5</f>
        <v>85.163999999999987</v>
      </c>
      <c r="K1574">
        <f>H1574*Parameters!$B$3*Parameters!$B$6</f>
        <v>0</v>
      </c>
      <c r="L1574">
        <f>I1574*Parameters!$B$4*Parameters!$B$7</f>
        <v>80.963999999999999</v>
      </c>
      <c r="M1574">
        <f t="shared" si="24"/>
        <v>166.12799999999999</v>
      </c>
      <c r="N1574">
        <v>4000</v>
      </c>
      <c r="O1574">
        <v>0</v>
      </c>
      <c r="P1574">
        <v>0</v>
      </c>
      <c r="Q1574">
        <v>3000</v>
      </c>
    </row>
    <row r="1575" spans="1:17">
      <c r="A1575" t="s">
        <v>100</v>
      </c>
      <c r="B1575" t="s">
        <v>40</v>
      </c>
      <c r="C1575">
        <v>8</v>
      </c>
      <c r="D1575">
        <v>2022</v>
      </c>
      <c r="E1575" s="49" t="s">
        <v>3</v>
      </c>
      <c r="F1575" s="49" t="s">
        <v>163</v>
      </c>
      <c r="G1575">
        <f>'Aug-Apr, 2023'!O77+'Aug-Apr, 2023'!P77</f>
        <v>27</v>
      </c>
      <c r="H1575">
        <f>'Aug-Apr, 2023'!Q77</f>
        <v>0</v>
      </c>
      <c r="I1575">
        <f>'Aug-Apr, 2023'!R77</f>
        <v>12</v>
      </c>
      <c r="J1575">
        <f>G1575*Parameters!$B$2*Parameters!$B$5</f>
        <v>57.485699999999994</v>
      </c>
      <c r="K1575">
        <f>H1575*Parameters!$B$3*Parameters!$B$6</f>
        <v>0</v>
      </c>
      <c r="L1575">
        <f>I1575*Parameters!$B$4*Parameters!$B$7</f>
        <v>97.156800000000018</v>
      </c>
      <c r="M1575">
        <f t="shared" si="24"/>
        <v>154.64250000000001</v>
      </c>
      <c r="N1575">
        <v>2700</v>
      </c>
      <c r="O1575">
        <v>0</v>
      </c>
      <c r="P1575">
        <v>0</v>
      </c>
      <c r="Q1575">
        <v>3600</v>
      </c>
    </row>
    <row r="1576" spans="1:17">
      <c r="A1576" t="s">
        <v>101</v>
      </c>
      <c r="B1576" t="s">
        <v>38</v>
      </c>
      <c r="C1576">
        <v>5</v>
      </c>
      <c r="D1576">
        <v>2022</v>
      </c>
      <c r="E1576" s="49" t="s">
        <v>3</v>
      </c>
      <c r="F1576" s="49" t="s">
        <v>163</v>
      </c>
      <c r="G1576">
        <f>'Aug-Apr, 2023'!O78+'Aug-Apr, 2023'!P78</f>
        <v>40</v>
      </c>
      <c r="H1576">
        <f>'Aug-Apr, 2023'!Q78</f>
        <v>0</v>
      </c>
      <c r="I1576">
        <f>'Aug-Apr, 2023'!R78</f>
        <v>18</v>
      </c>
      <c r="J1576">
        <f>G1576*Parameters!$B$2*Parameters!$B$5</f>
        <v>85.163999999999987</v>
      </c>
      <c r="K1576">
        <f>H1576*Parameters!$B$3*Parameters!$B$6</f>
        <v>0</v>
      </c>
      <c r="L1576">
        <f>I1576*Parameters!$B$4*Parameters!$B$7</f>
        <v>145.73520000000002</v>
      </c>
      <c r="M1576">
        <f t="shared" si="24"/>
        <v>230.89920000000001</v>
      </c>
      <c r="N1576">
        <v>4000</v>
      </c>
      <c r="O1576">
        <v>0</v>
      </c>
      <c r="P1576">
        <v>0</v>
      </c>
      <c r="Q1576">
        <v>5400</v>
      </c>
    </row>
    <row r="1577" spans="1:17">
      <c r="A1577" t="s">
        <v>102</v>
      </c>
      <c r="B1577" t="s">
        <v>17</v>
      </c>
      <c r="C1577">
        <v>4</v>
      </c>
      <c r="D1577">
        <v>2022</v>
      </c>
      <c r="E1577" s="49" t="s">
        <v>3</v>
      </c>
      <c r="F1577" s="49" t="s">
        <v>163</v>
      </c>
      <c r="G1577">
        <f>'Aug-Apr, 2023'!O79+'Aug-Apr, 2023'!P79</f>
        <v>53</v>
      </c>
      <c r="H1577">
        <f>'Aug-Apr, 2023'!Q79</f>
        <v>0</v>
      </c>
      <c r="I1577">
        <f>'Aug-Apr, 2023'!R79</f>
        <v>0</v>
      </c>
      <c r="J1577">
        <f>G1577*Parameters!$B$2*Parameters!$B$5</f>
        <v>112.84229999999998</v>
      </c>
      <c r="K1577">
        <f>H1577*Parameters!$B$3*Parameters!$B$6</f>
        <v>0</v>
      </c>
      <c r="L1577">
        <f>I1577*Parameters!$B$4*Parameters!$B$7</f>
        <v>0</v>
      </c>
      <c r="M1577">
        <f t="shared" si="24"/>
        <v>112.84229999999998</v>
      </c>
      <c r="N1577">
        <v>5300</v>
      </c>
      <c r="O1577">
        <v>0</v>
      </c>
      <c r="P1577">
        <v>0</v>
      </c>
      <c r="Q1577">
        <v>0</v>
      </c>
    </row>
    <row r="1578" spans="1:17">
      <c r="A1578" t="s">
        <v>103</v>
      </c>
      <c r="B1578" t="s">
        <v>26</v>
      </c>
      <c r="C1578">
        <v>6</v>
      </c>
      <c r="D1578">
        <v>2022</v>
      </c>
      <c r="E1578" s="49" t="s">
        <v>3</v>
      </c>
      <c r="F1578" s="49" t="s">
        <v>163</v>
      </c>
      <c r="G1578">
        <f>'Aug-Apr, 2023'!O80+'Aug-Apr, 2023'!P80</f>
        <v>30</v>
      </c>
      <c r="H1578">
        <f>'Aug-Apr, 2023'!Q80</f>
        <v>0</v>
      </c>
      <c r="I1578">
        <f>'Aug-Apr, 2023'!R80</f>
        <v>20</v>
      </c>
      <c r="J1578">
        <f>G1578*Parameters!$B$2*Parameters!$B$5</f>
        <v>63.87299999999999</v>
      </c>
      <c r="K1578">
        <f>H1578*Parameters!$B$3*Parameters!$B$6</f>
        <v>0</v>
      </c>
      <c r="L1578">
        <f>I1578*Parameters!$B$4*Parameters!$B$7</f>
        <v>161.928</v>
      </c>
      <c r="M1578">
        <f t="shared" si="24"/>
        <v>225.80099999999999</v>
      </c>
      <c r="N1578">
        <v>3000</v>
      </c>
      <c r="O1578">
        <v>0</v>
      </c>
      <c r="P1578">
        <v>0</v>
      </c>
      <c r="Q1578">
        <v>6000</v>
      </c>
    </row>
    <row r="1579" spans="1:17">
      <c r="A1579" t="s">
        <v>104</v>
      </c>
      <c r="B1579" t="s">
        <v>26</v>
      </c>
      <c r="C1579">
        <v>7</v>
      </c>
      <c r="D1579">
        <v>2022</v>
      </c>
      <c r="E1579" s="49" t="s">
        <v>3</v>
      </c>
      <c r="F1579" s="49" t="s">
        <v>163</v>
      </c>
      <c r="G1579">
        <f>'Aug-Apr, 2023'!O81+'Aug-Apr, 2023'!P81</f>
        <v>39</v>
      </c>
      <c r="H1579">
        <f>'Aug-Apr, 2023'!Q81</f>
        <v>0</v>
      </c>
      <c r="I1579">
        <f>'Aug-Apr, 2023'!R81</f>
        <v>12</v>
      </c>
      <c r="J1579">
        <f>G1579*Parameters!$B$2*Parameters!$B$5</f>
        <v>83.034899999999993</v>
      </c>
      <c r="K1579">
        <f>H1579*Parameters!$B$3*Parameters!$B$6</f>
        <v>0</v>
      </c>
      <c r="L1579">
        <f>I1579*Parameters!$B$4*Parameters!$B$7</f>
        <v>97.156800000000018</v>
      </c>
      <c r="M1579">
        <f t="shared" si="24"/>
        <v>180.19170000000003</v>
      </c>
      <c r="N1579">
        <v>3900</v>
      </c>
      <c r="O1579">
        <v>0</v>
      </c>
      <c r="P1579">
        <v>0</v>
      </c>
      <c r="Q1579">
        <v>3600</v>
      </c>
    </row>
    <row r="1580" spans="1:17">
      <c r="A1580" t="s">
        <v>105</v>
      </c>
      <c r="B1580" t="s">
        <v>21</v>
      </c>
      <c r="C1580">
        <v>5</v>
      </c>
      <c r="D1580">
        <v>2022</v>
      </c>
      <c r="E1580" s="49" t="s">
        <v>3</v>
      </c>
      <c r="F1580" s="49" t="s">
        <v>163</v>
      </c>
      <c r="G1580">
        <f>'Aug-Apr, 2023'!O82+'Aug-Apr, 2023'!P82</f>
        <v>38</v>
      </c>
      <c r="H1580">
        <f>'Aug-Apr, 2023'!Q82</f>
        <v>0</v>
      </c>
      <c r="I1580">
        <f>'Aug-Apr, 2023'!R82</f>
        <v>18</v>
      </c>
      <c r="J1580">
        <f>G1580*Parameters!$B$2*Parameters!$B$5</f>
        <v>80.905799999999985</v>
      </c>
      <c r="K1580">
        <f>H1580*Parameters!$B$3*Parameters!$B$6</f>
        <v>0</v>
      </c>
      <c r="L1580">
        <f>I1580*Parameters!$B$4*Parameters!$B$7</f>
        <v>145.73520000000002</v>
      </c>
      <c r="M1580">
        <f t="shared" si="24"/>
        <v>226.64100000000002</v>
      </c>
      <c r="N1580">
        <v>3800</v>
      </c>
      <c r="O1580">
        <v>0</v>
      </c>
      <c r="P1580">
        <v>0</v>
      </c>
      <c r="Q1580">
        <v>5400</v>
      </c>
    </row>
    <row r="1581" spans="1:17">
      <c r="A1581" t="s">
        <v>106</v>
      </c>
      <c r="B1581" t="s">
        <v>24</v>
      </c>
      <c r="C1581">
        <v>6</v>
      </c>
      <c r="D1581">
        <v>2022</v>
      </c>
      <c r="E1581" s="49" t="s">
        <v>3</v>
      </c>
      <c r="F1581" s="49" t="s">
        <v>163</v>
      </c>
      <c r="G1581">
        <f>'Aug-Apr, 2023'!O83+'Aug-Apr, 2023'!P83</f>
        <v>40</v>
      </c>
      <c r="H1581">
        <f>'Aug-Apr, 2023'!Q83</f>
        <v>0</v>
      </c>
      <c r="I1581">
        <f>'Aug-Apr, 2023'!R83</f>
        <v>12</v>
      </c>
      <c r="J1581">
        <f>G1581*Parameters!$B$2*Parameters!$B$5</f>
        <v>85.163999999999987</v>
      </c>
      <c r="K1581">
        <f>H1581*Parameters!$B$3*Parameters!$B$6</f>
        <v>0</v>
      </c>
      <c r="L1581">
        <f>I1581*Parameters!$B$4*Parameters!$B$7</f>
        <v>97.156800000000018</v>
      </c>
      <c r="M1581">
        <f t="shared" si="24"/>
        <v>182.32080000000002</v>
      </c>
      <c r="N1581">
        <v>4000</v>
      </c>
      <c r="O1581">
        <v>0</v>
      </c>
      <c r="P1581">
        <v>0</v>
      </c>
      <c r="Q1581">
        <v>3600</v>
      </c>
    </row>
    <row r="1582" spans="1:17">
      <c r="A1582" t="s">
        <v>107</v>
      </c>
      <c r="B1582" t="s">
        <v>21</v>
      </c>
      <c r="C1582">
        <v>4</v>
      </c>
      <c r="D1582">
        <v>2022</v>
      </c>
      <c r="E1582" s="49" t="s">
        <v>3</v>
      </c>
      <c r="F1582" s="49" t="s">
        <v>163</v>
      </c>
      <c r="G1582">
        <f>'Aug-Apr, 2023'!O84+'Aug-Apr, 2023'!P84</f>
        <v>34</v>
      </c>
      <c r="H1582">
        <f>'Aug-Apr, 2023'!Q84</f>
        <v>0</v>
      </c>
      <c r="I1582">
        <f>'Aug-Apr, 2023'!R84</f>
        <v>0</v>
      </c>
      <c r="J1582">
        <f>G1582*Parameters!$B$2*Parameters!$B$5</f>
        <v>72.389399999999995</v>
      </c>
      <c r="K1582">
        <f>H1582*Parameters!$B$3*Parameters!$B$6</f>
        <v>0</v>
      </c>
      <c r="L1582">
        <f>I1582*Parameters!$B$4*Parameters!$B$7</f>
        <v>0</v>
      </c>
      <c r="M1582">
        <f t="shared" si="24"/>
        <v>72.389399999999995</v>
      </c>
      <c r="N1582">
        <v>3400</v>
      </c>
      <c r="O1582">
        <v>0</v>
      </c>
      <c r="P1582">
        <v>0</v>
      </c>
      <c r="Q1582">
        <v>0</v>
      </c>
    </row>
    <row r="1583" spans="1:17">
      <c r="A1583" t="s">
        <v>108</v>
      </c>
      <c r="B1583" t="s">
        <v>24</v>
      </c>
      <c r="C1583">
        <v>5</v>
      </c>
      <c r="D1583">
        <v>2022</v>
      </c>
      <c r="E1583" s="49" t="s">
        <v>3</v>
      </c>
      <c r="F1583" s="49" t="s">
        <v>163</v>
      </c>
      <c r="G1583">
        <f>'Aug-Apr, 2023'!O85+'Aug-Apr, 2023'!P85</f>
        <v>40</v>
      </c>
      <c r="H1583">
        <f>'Aug-Apr, 2023'!Q85</f>
        <v>0</v>
      </c>
      <c r="I1583">
        <f>'Aug-Apr, 2023'!R85</f>
        <v>8</v>
      </c>
      <c r="J1583">
        <f>G1583*Parameters!$B$2*Parameters!$B$5</f>
        <v>85.163999999999987</v>
      </c>
      <c r="K1583">
        <f>H1583*Parameters!$B$3*Parameters!$B$6</f>
        <v>0</v>
      </c>
      <c r="L1583">
        <f>I1583*Parameters!$B$4*Parameters!$B$7</f>
        <v>64.771200000000007</v>
      </c>
      <c r="M1583">
        <f t="shared" si="24"/>
        <v>149.93520000000001</v>
      </c>
      <c r="N1583">
        <v>4000</v>
      </c>
      <c r="O1583">
        <v>0</v>
      </c>
      <c r="P1583">
        <v>0</v>
      </c>
      <c r="Q1583">
        <v>2400</v>
      </c>
    </row>
    <row r="1584" spans="1:17">
      <c r="A1584" t="s">
        <v>109</v>
      </c>
      <c r="B1584" t="s">
        <v>32</v>
      </c>
      <c r="C1584">
        <v>6</v>
      </c>
      <c r="D1584">
        <v>2022</v>
      </c>
      <c r="E1584" s="49" t="s">
        <v>3</v>
      </c>
      <c r="F1584" s="49" t="s">
        <v>163</v>
      </c>
      <c r="G1584">
        <f>'Aug-Apr, 2023'!O86+'Aug-Apr, 2023'!P86</f>
        <v>32</v>
      </c>
      <c r="H1584">
        <f>'Aug-Apr, 2023'!Q86</f>
        <v>0</v>
      </c>
      <c r="I1584">
        <f>'Aug-Apr, 2023'!R86</f>
        <v>10</v>
      </c>
      <c r="J1584">
        <f>G1584*Parameters!$B$2*Parameters!$B$5</f>
        <v>68.131199999999993</v>
      </c>
      <c r="K1584">
        <f>H1584*Parameters!$B$3*Parameters!$B$6</f>
        <v>0</v>
      </c>
      <c r="L1584">
        <f>I1584*Parameters!$B$4*Parameters!$B$7</f>
        <v>80.963999999999999</v>
      </c>
      <c r="M1584">
        <f t="shared" si="24"/>
        <v>149.09519999999998</v>
      </c>
      <c r="N1584">
        <v>3200</v>
      </c>
      <c r="O1584">
        <v>0</v>
      </c>
      <c r="P1584">
        <v>0</v>
      </c>
      <c r="Q1584">
        <v>3000</v>
      </c>
    </row>
    <row r="1585" spans="1:17">
      <c r="A1585" t="s">
        <v>110</v>
      </c>
      <c r="B1585" t="s">
        <v>21</v>
      </c>
      <c r="C1585">
        <v>3</v>
      </c>
      <c r="D1585">
        <v>2022</v>
      </c>
      <c r="E1585" s="49" t="s">
        <v>3</v>
      </c>
      <c r="F1585" s="49" t="s">
        <v>163</v>
      </c>
      <c r="G1585">
        <f>'Aug-Apr, 2023'!O87+'Aug-Apr, 2023'!P87</f>
        <v>30</v>
      </c>
      <c r="H1585">
        <f>'Aug-Apr, 2023'!Q87</f>
        <v>0</v>
      </c>
      <c r="I1585">
        <f>'Aug-Apr, 2023'!R87</f>
        <v>11</v>
      </c>
      <c r="J1585">
        <f>G1585*Parameters!$B$2*Parameters!$B$5</f>
        <v>63.87299999999999</v>
      </c>
      <c r="K1585">
        <f>H1585*Parameters!$B$3*Parameters!$B$6</f>
        <v>0</v>
      </c>
      <c r="L1585">
        <f>I1585*Parameters!$B$4*Parameters!$B$7</f>
        <v>89.060400000000016</v>
      </c>
      <c r="M1585">
        <f t="shared" si="24"/>
        <v>152.93340000000001</v>
      </c>
      <c r="N1585">
        <v>3000</v>
      </c>
      <c r="O1585">
        <v>0</v>
      </c>
      <c r="P1585">
        <v>0</v>
      </c>
      <c r="Q1585">
        <v>3300</v>
      </c>
    </row>
    <row r="1586" spans="1:17">
      <c r="A1586" t="s">
        <v>111</v>
      </c>
      <c r="B1586" t="s">
        <v>26</v>
      </c>
      <c r="C1586">
        <v>6</v>
      </c>
      <c r="D1586">
        <v>2022</v>
      </c>
      <c r="E1586" s="49" t="s">
        <v>3</v>
      </c>
      <c r="F1586" s="49" t="s">
        <v>163</v>
      </c>
      <c r="G1586">
        <f>'Aug-Apr, 2023'!O88+'Aug-Apr, 2023'!P88</f>
        <v>32</v>
      </c>
      <c r="H1586">
        <f>'Aug-Apr, 2023'!Q88</f>
        <v>0</v>
      </c>
      <c r="I1586">
        <f>'Aug-Apr, 2023'!R88</f>
        <v>12</v>
      </c>
      <c r="J1586">
        <f>G1586*Parameters!$B$2*Parameters!$B$5</f>
        <v>68.131199999999993</v>
      </c>
      <c r="K1586">
        <f>H1586*Parameters!$B$3*Parameters!$B$6</f>
        <v>0</v>
      </c>
      <c r="L1586">
        <f>I1586*Parameters!$B$4*Parameters!$B$7</f>
        <v>97.156800000000018</v>
      </c>
      <c r="M1586">
        <f t="shared" si="24"/>
        <v>165.28800000000001</v>
      </c>
      <c r="N1586">
        <v>3200</v>
      </c>
      <c r="O1586">
        <v>0</v>
      </c>
      <c r="P1586">
        <v>0</v>
      </c>
      <c r="Q1586">
        <v>3600</v>
      </c>
    </row>
    <row r="1587" spans="1:17">
      <c r="A1587" t="s">
        <v>112</v>
      </c>
      <c r="B1587" t="s">
        <v>19</v>
      </c>
      <c r="C1587">
        <v>7</v>
      </c>
      <c r="D1587">
        <v>2022</v>
      </c>
      <c r="E1587" s="49" t="s">
        <v>3</v>
      </c>
      <c r="F1587" s="49" t="s">
        <v>163</v>
      </c>
      <c r="G1587">
        <f>'Aug-Apr, 2023'!O89+'Aug-Apr, 2023'!P89</f>
        <v>60</v>
      </c>
      <c r="H1587">
        <f>'Aug-Apr, 2023'!Q89</f>
        <v>0</v>
      </c>
      <c r="I1587">
        <f>'Aug-Apr, 2023'!R89</f>
        <v>12</v>
      </c>
      <c r="J1587">
        <f>G1587*Parameters!$B$2*Parameters!$B$5</f>
        <v>127.74599999999998</v>
      </c>
      <c r="K1587">
        <f>H1587*Parameters!$B$3*Parameters!$B$6</f>
        <v>0</v>
      </c>
      <c r="L1587">
        <f>I1587*Parameters!$B$4*Parameters!$B$7</f>
        <v>97.156800000000018</v>
      </c>
      <c r="M1587">
        <f t="shared" si="24"/>
        <v>224.90280000000001</v>
      </c>
      <c r="N1587">
        <v>3000</v>
      </c>
      <c r="O1587">
        <v>3000</v>
      </c>
      <c r="P1587">
        <v>0</v>
      </c>
      <c r="Q1587">
        <v>3600</v>
      </c>
    </row>
    <row r="1588" spans="1:17">
      <c r="A1588" t="s">
        <v>113</v>
      </c>
      <c r="B1588" t="s">
        <v>26</v>
      </c>
      <c r="C1588">
        <v>4</v>
      </c>
      <c r="D1588">
        <v>2022</v>
      </c>
      <c r="E1588" s="49" t="s">
        <v>3</v>
      </c>
      <c r="F1588" s="49" t="s">
        <v>163</v>
      </c>
      <c r="G1588">
        <f>'Aug-Apr, 2023'!O90+'Aug-Apr, 2023'!P90</f>
        <v>35</v>
      </c>
      <c r="H1588">
        <f>'Aug-Apr, 2023'!Q90</f>
        <v>0</v>
      </c>
      <c r="I1588">
        <f>'Aug-Apr, 2023'!R90</f>
        <v>4</v>
      </c>
      <c r="J1588">
        <f>G1588*Parameters!$B$2*Parameters!$B$5</f>
        <v>74.518499999999989</v>
      </c>
      <c r="K1588">
        <f>H1588*Parameters!$B$3*Parameters!$B$6</f>
        <v>0</v>
      </c>
      <c r="L1588">
        <f>I1588*Parameters!$B$4*Parameters!$B$7</f>
        <v>32.385600000000004</v>
      </c>
      <c r="M1588">
        <f t="shared" si="24"/>
        <v>106.9041</v>
      </c>
      <c r="N1588">
        <v>3500</v>
      </c>
      <c r="O1588">
        <v>0</v>
      </c>
      <c r="P1588">
        <v>0</v>
      </c>
      <c r="Q1588">
        <v>1200</v>
      </c>
    </row>
    <row r="1589" spans="1:17">
      <c r="A1589" t="s">
        <v>114</v>
      </c>
      <c r="B1589" t="s">
        <v>65</v>
      </c>
      <c r="C1589">
        <v>8</v>
      </c>
      <c r="D1589">
        <v>2022</v>
      </c>
      <c r="E1589" s="49" t="s">
        <v>3</v>
      </c>
      <c r="F1589" s="49" t="s">
        <v>163</v>
      </c>
      <c r="G1589">
        <f>'Aug-Apr, 2023'!O91+'Aug-Apr, 2023'!P91</f>
        <v>30</v>
      </c>
      <c r="H1589">
        <f>'Aug-Apr, 2023'!Q91</f>
        <v>0</v>
      </c>
      <c r="I1589">
        <f>'Aug-Apr, 2023'!R91</f>
        <v>12</v>
      </c>
      <c r="J1589">
        <f>G1589*Parameters!$B$2*Parameters!$B$5</f>
        <v>63.87299999999999</v>
      </c>
      <c r="K1589">
        <f>H1589*Parameters!$B$3*Parameters!$B$6</f>
        <v>0</v>
      </c>
      <c r="L1589">
        <f>I1589*Parameters!$B$4*Parameters!$B$7</f>
        <v>97.156800000000018</v>
      </c>
      <c r="M1589">
        <f t="shared" si="24"/>
        <v>161.02980000000002</v>
      </c>
      <c r="N1589">
        <v>3000</v>
      </c>
      <c r="O1589">
        <v>0</v>
      </c>
      <c r="P1589">
        <v>0</v>
      </c>
      <c r="Q1589">
        <v>3600</v>
      </c>
    </row>
    <row r="1590" spans="1:17">
      <c r="A1590" t="s">
        <v>115</v>
      </c>
      <c r="B1590" t="s">
        <v>19</v>
      </c>
      <c r="C1590">
        <v>8</v>
      </c>
      <c r="D1590">
        <v>2022</v>
      </c>
      <c r="E1590" s="49" t="s">
        <v>3</v>
      </c>
      <c r="F1590" s="49" t="s">
        <v>163</v>
      </c>
      <c r="G1590">
        <f>'Aug-Apr, 2023'!O92+'Aug-Apr, 2023'!P92</f>
        <v>32</v>
      </c>
      <c r="H1590">
        <f>'Aug-Apr, 2023'!Q92</f>
        <v>0</v>
      </c>
      <c r="I1590">
        <f>'Aug-Apr, 2023'!R92</f>
        <v>15</v>
      </c>
      <c r="J1590">
        <f>G1590*Parameters!$B$2*Parameters!$B$5</f>
        <v>68.131199999999993</v>
      </c>
      <c r="K1590">
        <f>H1590*Parameters!$B$3*Parameters!$B$6</f>
        <v>0</v>
      </c>
      <c r="L1590">
        <f>I1590*Parameters!$B$4*Parameters!$B$7</f>
        <v>121.44600000000001</v>
      </c>
      <c r="M1590">
        <f t="shared" si="24"/>
        <v>189.5772</v>
      </c>
      <c r="N1590">
        <v>3200</v>
      </c>
      <c r="O1590">
        <v>0</v>
      </c>
      <c r="P1590">
        <v>0</v>
      </c>
      <c r="Q1590">
        <v>4500</v>
      </c>
    </row>
    <row r="1591" spans="1:17">
      <c r="A1591" t="s">
        <v>116</v>
      </c>
      <c r="B1591" t="s">
        <v>21</v>
      </c>
      <c r="C1591">
        <v>4</v>
      </c>
      <c r="D1591">
        <v>2022</v>
      </c>
      <c r="E1591" s="49" t="s">
        <v>3</v>
      </c>
      <c r="F1591" s="49" t="s">
        <v>163</v>
      </c>
      <c r="G1591">
        <f>'Aug-Apr, 2023'!O93+'Aug-Apr, 2023'!P93</f>
        <v>29</v>
      </c>
      <c r="H1591">
        <f>'Aug-Apr, 2023'!Q93</f>
        <v>0</v>
      </c>
      <c r="I1591">
        <f>'Aug-Apr, 2023'!R93</f>
        <v>0</v>
      </c>
      <c r="J1591">
        <f>G1591*Parameters!$B$2*Parameters!$B$5</f>
        <v>61.743899999999989</v>
      </c>
      <c r="K1591">
        <f>H1591*Parameters!$B$3*Parameters!$B$6</f>
        <v>0</v>
      </c>
      <c r="L1591">
        <f>I1591*Parameters!$B$4*Parameters!$B$7</f>
        <v>0</v>
      </c>
      <c r="M1591">
        <f t="shared" si="24"/>
        <v>61.743899999999989</v>
      </c>
      <c r="N1591">
        <v>2900</v>
      </c>
      <c r="O1591">
        <v>0</v>
      </c>
      <c r="P1591">
        <v>0</v>
      </c>
      <c r="Q1591">
        <v>0</v>
      </c>
    </row>
    <row r="1592" spans="1:17">
      <c r="A1592" t="s">
        <v>117</v>
      </c>
      <c r="B1592" t="s">
        <v>17</v>
      </c>
      <c r="C1592">
        <v>9</v>
      </c>
      <c r="D1592">
        <v>2022</v>
      </c>
      <c r="E1592" s="49" t="s">
        <v>3</v>
      </c>
      <c r="F1592" s="49" t="s">
        <v>163</v>
      </c>
      <c r="G1592">
        <f>'Aug-Apr, 2023'!O94+'Aug-Apr, 2023'!P94</f>
        <v>28</v>
      </c>
      <c r="H1592">
        <f>'Aug-Apr, 2023'!Q94</f>
        <v>0</v>
      </c>
      <c r="I1592">
        <f>'Aug-Apr, 2023'!R94</f>
        <v>6</v>
      </c>
      <c r="J1592">
        <f>G1592*Parameters!$B$2*Parameters!$B$5</f>
        <v>59.614799999999995</v>
      </c>
      <c r="K1592">
        <f>H1592*Parameters!$B$3*Parameters!$B$6</f>
        <v>0</v>
      </c>
      <c r="L1592">
        <f>I1592*Parameters!$B$4*Parameters!$B$7</f>
        <v>48.578400000000009</v>
      </c>
      <c r="M1592">
        <f t="shared" si="24"/>
        <v>108.1932</v>
      </c>
      <c r="N1592">
        <v>2800</v>
      </c>
      <c r="O1592">
        <v>0</v>
      </c>
      <c r="P1592">
        <v>0</v>
      </c>
      <c r="Q1592">
        <v>1800</v>
      </c>
    </row>
    <row r="1593" spans="1:17">
      <c r="A1593" t="s">
        <v>118</v>
      </c>
      <c r="B1593" t="s">
        <v>19</v>
      </c>
      <c r="C1593">
        <v>4</v>
      </c>
      <c r="D1593">
        <v>2022</v>
      </c>
      <c r="E1593" s="49" t="s">
        <v>3</v>
      </c>
      <c r="F1593" s="49" t="s">
        <v>163</v>
      </c>
      <c r="G1593">
        <f>'Aug-Apr, 2023'!O95+'Aug-Apr, 2023'!P95</f>
        <v>32</v>
      </c>
      <c r="H1593">
        <f>'Aug-Apr, 2023'!Q95</f>
        <v>0</v>
      </c>
      <c r="I1593">
        <f>'Aug-Apr, 2023'!R95</f>
        <v>7</v>
      </c>
      <c r="J1593">
        <f>G1593*Parameters!$B$2*Parameters!$B$5</f>
        <v>68.131199999999993</v>
      </c>
      <c r="K1593">
        <f>H1593*Parameters!$B$3*Parameters!$B$6</f>
        <v>0</v>
      </c>
      <c r="L1593">
        <f>I1593*Parameters!$B$4*Parameters!$B$7</f>
        <v>56.674800000000005</v>
      </c>
      <c r="M1593">
        <f t="shared" si="24"/>
        <v>124.806</v>
      </c>
      <c r="N1593">
        <v>3200</v>
      </c>
      <c r="O1593">
        <v>0</v>
      </c>
      <c r="P1593">
        <v>0</v>
      </c>
      <c r="Q1593">
        <v>2100</v>
      </c>
    </row>
    <row r="1594" spans="1:17">
      <c r="A1594" t="s">
        <v>119</v>
      </c>
      <c r="B1594" t="s">
        <v>40</v>
      </c>
      <c r="C1594">
        <v>6</v>
      </c>
      <c r="D1594">
        <v>2022</v>
      </c>
      <c r="E1594" s="49" t="s">
        <v>3</v>
      </c>
      <c r="F1594" s="49" t="s">
        <v>163</v>
      </c>
      <c r="G1594">
        <f>'Aug-Apr, 2023'!O96+'Aug-Apr, 2023'!P96</f>
        <v>40</v>
      </c>
      <c r="H1594">
        <f>'Aug-Apr, 2023'!Q96</f>
        <v>0</v>
      </c>
      <c r="I1594">
        <f>'Aug-Apr, 2023'!R96</f>
        <v>13</v>
      </c>
      <c r="J1594">
        <f>G1594*Parameters!$B$2*Parameters!$B$5</f>
        <v>85.163999999999987</v>
      </c>
      <c r="K1594">
        <f>H1594*Parameters!$B$3*Parameters!$B$6</f>
        <v>0</v>
      </c>
      <c r="L1594">
        <f>I1594*Parameters!$B$4*Parameters!$B$7</f>
        <v>105.25320000000001</v>
      </c>
      <c r="M1594">
        <f t="shared" si="24"/>
        <v>190.41719999999998</v>
      </c>
      <c r="N1594">
        <v>0</v>
      </c>
      <c r="O1594">
        <v>4000</v>
      </c>
      <c r="P1594">
        <v>0</v>
      </c>
      <c r="Q1594">
        <v>3900</v>
      </c>
    </row>
    <row r="1595" spans="1:17">
      <c r="A1595" t="s">
        <v>120</v>
      </c>
      <c r="B1595" t="s">
        <v>32</v>
      </c>
      <c r="C1595">
        <v>8</v>
      </c>
      <c r="D1595">
        <v>2022</v>
      </c>
      <c r="E1595" s="49" t="s">
        <v>3</v>
      </c>
      <c r="F1595" s="49" t="s">
        <v>163</v>
      </c>
      <c r="G1595">
        <f>'Aug-Apr, 2023'!O97+'Aug-Apr, 2023'!P97</f>
        <v>30</v>
      </c>
      <c r="H1595">
        <f>'Aug-Apr, 2023'!Q97</f>
        <v>0</v>
      </c>
      <c r="I1595">
        <f>'Aug-Apr, 2023'!R97</f>
        <v>0</v>
      </c>
      <c r="J1595">
        <f>G1595*Parameters!$B$2*Parameters!$B$5</f>
        <v>63.87299999999999</v>
      </c>
      <c r="K1595">
        <f>H1595*Parameters!$B$3*Parameters!$B$6</f>
        <v>0</v>
      </c>
      <c r="L1595">
        <f>I1595*Parameters!$B$4*Parameters!$B$7</f>
        <v>0</v>
      </c>
      <c r="M1595">
        <f t="shared" si="24"/>
        <v>63.87299999999999</v>
      </c>
      <c r="N1595">
        <v>3000</v>
      </c>
      <c r="O1595">
        <v>0</v>
      </c>
      <c r="P1595">
        <v>0</v>
      </c>
      <c r="Q1595">
        <v>0</v>
      </c>
    </row>
    <row r="1596" spans="1:17">
      <c r="A1596" t="s">
        <v>121</v>
      </c>
      <c r="B1596" t="s">
        <v>24</v>
      </c>
      <c r="C1596">
        <v>5</v>
      </c>
      <c r="D1596">
        <v>2022</v>
      </c>
      <c r="E1596" s="49" t="s">
        <v>3</v>
      </c>
      <c r="F1596" s="49" t="s">
        <v>163</v>
      </c>
      <c r="G1596">
        <f>'Aug-Apr, 2023'!O98+'Aug-Apr, 2023'!P98</f>
        <v>50</v>
      </c>
      <c r="H1596">
        <f>'Aug-Apr, 2023'!Q98</f>
        <v>0</v>
      </c>
      <c r="I1596">
        <f>'Aug-Apr, 2023'!R98</f>
        <v>10</v>
      </c>
      <c r="J1596">
        <f>G1596*Parameters!$B$2*Parameters!$B$5</f>
        <v>106.45499999999998</v>
      </c>
      <c r="K1596">
        <f>H1596*Parameters!$B$3*Parameters!$B$6</f>
        <v>0</v>
      </c>
      <c r="L1596">
        <f>I1596*Parameters!$B$4*Parameters!$B$7</f>
        <v>80.963999999999999</v>
      </c>
      <c r="M1596">
        <f t="shared" si="24"/>
        <v>187.41899999999998</v>
      </c>
      <c r="N1596">
        <v>5000</v>
      </c>
      <c r="O1596">
        <v>0</v>
      </c>
      <c r="P1596">
        <v>0</v>
      </c>
      <c r="Q1596">
        <v>3000</v>
      </c>
    </row>
    <row r="1597" spans="1:17">
      <c r="A1597" t="s">
        <v>122</v>
      </c>
      <c r="B1597" t="s">
        <v>26</v>
      </c>
      <c r="C1597">
        <v>6</v>
      </c>
      <c r="D1597">
        <v>2022</v>
      </c>
      <c r="E1597" s="49" t="s">
        <v>3</v>
      </c>
      <c r="F1597" s="49" t="s">
        <v>163</v>
      </c>
      <c r="G1597">
        <f>'Aug-Apr, 2023'!O99+'Aug-Apr, 2023'!P99</f>
        <v>30</v>
      </c>
      <c r="H1597">
        <f>'Aug-Apr, 2023'!Q99</f>
        <v>0</v>
      </c>
      <c r="I1597">
        <f>'Aug-Apr, 2023'!R99</f>
        <v>5</v>
      </c>
      <c r="J1597">
        <f>G1597*Parameters!$B$2*Parameters!$B$5</f>
        <v>63.87299999999999</v>
      </c>
      <c r="K1597">
        <f>H1597*Parameters!$B$3*Parameters!$B$6</f>
        <v>0</v>
      </c>
      <c r="L1597">
        <f>I1597*Parameters!$B$4*Parameters!$B$7</f>
        <v>40.481999999999999</v>
      </c>
      <c r="M1597">
        <f t="shared" si="24"/>
        <v>104.35499999999999</v>
      </c>
      <c r="N1597">
        <v>3000</v>
      </c>
      <c r="O1597">
        <v>0</v>
      </c>
      <c r="P1597">
        <v>0</v>
      </c>
      <c r="Q1597">
        <v>1500</v>
      </c>
    </row>
    <row r="1598" spans="1:17">
      <c r="A1598" t="s">
        <v>123</v>
      </c>
      <c r="B1598" t="s">
        <v>19</v>
      </c>
      <c r="C1598">
        <v>8</v>
      </c>
      <c r="D1598">
        <v>2022</v>
      </c>
      <c r="E1598" s="49" t="s">
        <v>3</v>
      </c>
      <c r="F1598" s="49" t="s">
        <v>163</v>
      </c>
      <c r="G1598">
        <f>'Aug-Apr, 2023'!O100+'Aug-Apr, 2023'!P100</f>
        <v>38</v>
      </c>
      <c r="H1598">
        <f>'Aug-Apr, 2023'!Q100</f>
        <v>0</v>
      </c>
      <c r="I1598">
        <f>'Aug-Apr, 2023'!R100</f>
        <v>6</v>
      </c>
      <c r="J1598">
        <f>G1598*Parameters!$B$2*Parameters!$B$5</f>
        <v>80.905799999999985</v>
      </c>
      <c r="K1598">
        <f>H1598*Parameters!$B$3*Parameters!$B$6</f>
        <v>0</v>
      </c>
      <c r="L1598">
        <f>I1598*Parameters!$B$4*Parameters!$B$7</f>
        <v>48.578400000000009</v>
      </c>
      <c r="M1598">
        <f t="shared" si="24"/>
        <v>129.48419999999999</v>
      </c>
      <c r="N1598">
        <v>3800</v>
      </c>
      <c r="O1598">
        <v>0</v>
      </c>
      <c r="P1598">
        <v>0</v>
      </c>
      <c r="Q1598">
        <v>1800</v>
      </c>
    </row>
    <row r="1599" spans="1:17">
      <c r="A1599" t="s">
        <v>124</v>
      </c>
      <c r="B1599" t="s">
        <v>56</v>
      </c>
      <c r="C1599">
        <v>9</v>
      </c>
      <c r="D1599">
        <v>2022</v>
      </c>
      <c r="E1599" s="49" t="s">
        <v>3</v>
      </c>
      <c r="F1599" s="49" t="s">
        <v>163</v>
      </c>
      <c r="G1599">
        <f>'Aug-Apr, 2023'!O101+'Aug-Apr, 2023'!P101</f>
        <v>30</v>
      </c>
      <c r="H1599">
        <f>'Aug-Apr, 2023'!Q101</f>
        <v>0</v>
      </c>
      <c r="I1599">
        <f>'Aug-Apr, 2023'!R101</f>
        <v>20</v>
      </c>
      <c r="J1599">
        <f>G1599*Parameters!$B$2*Parameters!$B$5</f>
        <v>63.87299999999999</v>
      </c>
      <c r="K1599">
        <f>H1599*Parameters!$B$3*Parameters!$B$6</f>
        <v>0</v>
      </c>
      <c r="L1599">
        <f>I1599*Parameters!$B$4*Parameters!$B$7</f>
        <v>161.928</v>
      </c>
      <c r="M1599">
        <f t="shared" si="24"/>
        <v>225.80099999999999</v>
      </c>
      <c r="N1599">
        <v>3000</v>
      </c>
      <c r="O1599">
        <v>0</v>
      </c>
      <c r="P1599">
        <v>0</v>
      </c>
      <c r="Q1599">
        <v>6000</v>
      </c>
    </row>
    <row r="1600" spans="1:17">
      <c r="A1600" t="s">
        <v>125</v>
      </c>
      <c r="B1600" t="s">
        <v>65</v>
      </c>
      <c r="C1600">
        <v>7</v>
      </c>
      <c r="D1600">
        <v>2022</v>
      </c>
      <c r="E1600" s="49" t="s">
        <v>3</v>
      </c>
      <c r="F1600" s="49" t="s">
        <v>163</v>
      </c>
      <c r="G1600">
        <f>'Aug-Apr, 2023'!O102+'Aug-Apr, 2023'!P102</f>
        <v>28</v>
      </c>
      <c r="H1600">
        <f>'Aug-Apr, 2023'!Q102</f>
        <v>0</v>
      </c>
      <c r="I1600">
        <f>'Aug-Apr, 2023'!R102</f>
        <v>14</v>
      </c>
      <c r="J1600">
        <f>G1600*Parameters!$B$2*Parameters!$B$5</f>
        <v>59.614799999999995</v>
      </c>
      <c r="K1600">
        <f>H1600*Parameters!$B$3*Parameters!$B$6</f>
        <v>0</v>
      </c>
      <c r="L1600">
        <f>I1600*Parameters!$B$4*Parameters!$B$7</f>
        <v>113.34960000000001</v>
      </c>
      <c r="M1600">
        <f t="shared" si="24"/>
        <v>172.96440000000001</v>
      </c>
      <c r="N1600">
        <v>2800</v>
      </c>
      <c r="O1600">
        <v>0</v>
      </c>
      <c r="P1600">
        <v>0</v>
      </c>
      <c r="Q1600">
        <v>4200</v>
      </c>
    </row>
    <row r="1601" spans="1:17">
      <c r="A1601" t="s">
        <v>126</v>
      </c>
      <c r="B1601" t="s">
        <v>65</v>
      </c>
      <c r="C1601">
        <v>6</v>
      </c>
      <c r="D1601">
        <v>2022</v>
      </c>
      <c r="E1601" s="49" t="s">
        <v>3</v>
      </c>
      <c r="F1601" s="49" t="s">
        <v>163</v>
      </c>
      <c r="G1601">
        <f>'Aug-Apr, 2023'!O103+'Aug-Apr, 2023'!P103</f>
        <v>35</v>
      </c>
      <c r="H1601">
        <f>'Aug-Apr, 2023'!Q103</f>
        <v>0</v>
      </c>
      <c r="I1601">
        <f>'Aug-Apr, 2023'!R103</f>
        <v>0</v>
      </c>
      <c r="J1601">
        <f>G1601*Parameters!$B$2*Parameters!$B$5</f>
        <v>74.518499999999989</v>
      </c>
      <c r="K1601">
        <f>H1601*Parameters!$B$3*Parameters!$B$6</f>
        <v>0</v>
      </c>
      <c r="L1601">
        <f>I1601*Parameters!$B$4*Parameters!$B$7</f>
        <v>0</v>
      </c>
      <c r="M1601">
        <f t="shared" si="24"/>
        <v>74.518499999999989</v>
      </c>
      <c r="N1601">
        <v>3500</v>
      </c>
      <c r="O1601">
        <v>0</v>
      </c>
      <c r="P1601">
        <v>0</v>
      </c>
      <c r="Q1601">
        <v>0</v>
      </c>
    </row>
    <row r="1602" spans="1:17">
      <c r="A1602" t="s">
        <v>16</v>
      </c>
      <c r="B1602" t="s">
        <v>17</v>
      </c>
      <c r="C1602">
        <v>8</v>
      </c>
      <c r="D1602">
        <v>2022</v>
      </c>
      <c r="E1602" s="49" t="s">
        <v>144</v>
      </c>
      <c r="F1602" s="49" t="s">
        <v>163</v>
      </c>
      <c r="G1602">
        <f>'Aug-Apr, 2023'!W4+'Aug-Apr, 2023'!X4</f>
        <v>50</v>
      </c>
      <c r="H1602">
        <f>'Aug-Apr, 2023'!Y4</f>
        <v>0</v>
      </c>
      <c r="I1602">
        <f>'Aug-Apr, 2023'!Z4</f>
        <v>19</v>
      </c>
      <c r="J1602">
        <f>G1602*Parameters!$B$2*Parameters!$B$5</f>
        <v>106.45499999999998</v>
      </c>
      <c r="K1602">
        <f>H1602*Parameters!$B$3*Parameters!$B$6</f>
        <v>0</v>
      </c>
      <c r="L1602">
        <f>I1602*Parameters!$B$4*Parameters!$B$7</f>
        <v>153.83160000000001</v>
      </c>
      <c r="M1602">
        <f t="shared" si="24"/>
        <v>260.28660000000002</v>
      </c>
      <c r="N1602">
        <v>5000</v>
      </c>
      <c r="O1602">
        <v>0</v>
      </c>
      <c r="P1602">
        <v>0</v>
      </c>
      <c r="Q1602">
        <v>5700</v>
      </c>
    </row>
    <row r="1603" spans="1:17">
      <c r="A1603" t="s">
        <v>18</v>
      </c>
      <c r="B1603" t="s">
        <v>19</v>
      </c>
      <c r="C1603">
        <v>7</v>
      </c>
      <c r="D1603">
        <v>2022</v>
      </c>
      <c r="E1603" s="49" t="s">
        <v>144</v>
      </c>
      <c r="F1603" s="49" t="s">
        <v>163</v>
      </c>
      <c r="G1603">
        <f>'Aug-Apr, 2023'!W5+'Aug-Apr, 2023'!X5</f>
        <v>48</v>
      </c>
      <c r="H1603">
        <f>'Aug-Apr, 2023'!Y5</f>
        <v>0</v>
      </c>
      <c r="I1603">
        <f>'Aug-Apr, 2023'!Z5</f>
        <v>11</v>
      </c>
      <c r="J1603">
        <f>G1603*Parameters!$B$2*Parameters!$B$5</f>
        <v>102.19679999999998</v>
      </c>
      <c r="K1603">
        <f>H1603*Parameters!$B$3*Parameters!$B$6</f>
        <v>0</v>
      </c>
      <c r="L1603">
        <f>I1603*Parameters!$B$4*Parameters!$B$7</f>
        <v>89.060400000000016</v>
      </c>
      <c r="M1603">
        <f t="shared" ref="M1603:M1666" si="25">SUM(J1603:L1603)</f>
        <v>191.25720000000001</v>
      </c>
      <c r="N1603">
        <v>4800</v>
      </c>
      <c r="O1603">
        <v>0</v>
      </c>
      <c r="P1603">
        <v>0</v>
      </c>
      <c r="Q1603">
        <v>3300</v>
      </c>
    </row>
    <row r="1604" spans="1:17">
      <c r="A1604" t="s">
        <v>20</v>
      </c>
      <c r="B1604" t="s">
        <v>21</v>
      </c>
      <c r="C1604">
        <v>10</v>
      </c>
      <c r="D1604">
        <v>2022</v>
      </c>
      <c r="E1604" s="49" t="s">
        <v>144</v>
      </c>
      <c r="F1604" s="49" t="s">
        <v>163</v>
      </c>
      <c r="G1604">
        <f>'Aug-Apr, 2023'!W6+'Aug-Apr, 2023'!X6</f>
        <v>50</v>
      </c>
      <c r="H1604">
        <f>'Aug-Apr, 2023'!Y6</f>
        <v>0</v>
      </c>
      <c r="I1604">
        <f>'Aug-Apr, 2023'!Z6</f>
        <v>18</v>
      </c>
      <c r="J1604">
        <f>G1604*Parameters!$B$2*Parameters!$B$5</f>
        <v>106.45499999999998</v>
      </c>
      <c r="K1604">
        <f>H1604*Parameters!$B$3*Parameters!$B$6</f>
        <v>0</v>
      </c>
      <c r="L1604">
        <f>I1604*Parameters!$B$4*Parameters!$B$7</f>
        <v>145.73520000000002</v>
      </c>
      <c r="M1604">
        <f t="shared" si="25"/>
        <v>252.1902</v>
      </c>
      <c r="N1604">
        <v>5000</v>
      </c>
      <c r="O1604">
        <v>0</v>
      </c>
      <c r="P1604">
        <v>0</v>
      </c>
      <c r="Q1604">
        <v>5400</v>
      </c>
    </row>
    <row r="1605" spans="1:17">
      <c r="A1605" t="s">
        <v>22</v>
      </c>
      <c r="B1605" t="s">
        <v>19</v>
      </c>
      <c r="C1605">
        <v>7</v>
      </c>
      <c r="D1605">
        <v>2022</v>
      </c>
      <c r="E1605" s="49" t="s">
        <v>144</v>
      </c>
      <c r="F1605" s="49" t="s">
        <v>163</v>
      </c>
      <c r="G1605">
        <f>'Aug-Apr, 2023'!W7+'Aug-Apr, 2023'!X7</f>
        <v>45</v>
      </c>
      <c r="H1605">
        <f>'Aug-Apr, 2023'!Y7</f>
        <v>0</v>
      </c>
      <c r="I1605">
        <f>'Aug-Apr, 2023'!Z7</f>
        <v>13</v>
      </c>
      <c r="J1605">
        <f>G1605*Parameters!$B$2*Parameters!$B$5</f>
        <v>95.809499999999986</v>
      </c>
      <c r="K1605">
        <f>H1605*Parameters!$B$3*Parameters!$B$6</f>
        <v>0</v>
      </c>
      <c r="L1605">
        <f>I1605*Parameters!$B$4*Parameters!$B$7</f>
        <v>105.25320000000001</v>
      </c>
      <c r="M1605">
        <f t="shared" si="25"/>
        <v>201.06270000000001</v>
      </c>
      <c r="N1605">
        <v>4500</v>
      </c>
      <c r="O1605">
        <v>0</v>
      </c>
      <c r="P1605">
        <v>0</v>
      </c>
      <c r="Q1605">
        <v>3900</v>
      </c>
    </row>
    <row r="1606" spans="1:17">
      <c r="A1606" t="s">
        <v>23</v>
      </c>
      <c r="B1606" t="s">
        <v>24</v>
      </c>
      <c r="C1606">
        <v>4</v>
      </c>
      <c r="D1606">
        <v>2022</v>
      </c>
      <c r="E1606" s="49" t="s">
        <v>144</v>
      </c>
      <c r="F1606" s="49" t="s">
        <v>163</v>
      </c>
      <c r="G1606">
        <f>'Aug-Apr, 2023'!W8+'Aug-Apr, 2023'!X8</f>
        <v>40</v>
      </c>
      <c r="H1606">
        <f>'Aug-Apr, 2023'!Y8</f>
        <v>0</v>
      </c>
      <c r="I1606">
        <f>'Aug-Apr, 2023'!Z8</f>
        <v>20</v>
      </c>
      <c r="J1606">
        <f>G1606*Parameters!$B$2*Parameters!$B$5</f>
        <v>85.163999999999987</v>
      </c>
      <c r="K1606">
        <f>H1606*Parameters!$B$3*Parameters!$B$6</f>
        <v>0</v>
      </c>
      <c r="L1606">
        <f>I1606*Parameters!$B$4*Parameters!$B$7</f>
        <v>161.928</v>
      </c>
      <c r="M1606">
        <f t="shared" si="25"/>
        <v>247.09199999999998</v>
      </c>
      <c r="N1606">
        <v>4000</v>
      </c>
      <c r="O1606">
        <v>0</v>
      </c>
      <c r="P1606">
        <v>0</v>
      </c>
      <c r="Q1606">
        <v>6000</v>
      </c>
    </row>
    <row r="1607" spans="1:17">
      <c r="A1607" t="s">
        <v>25</v>
      </c>
      <c r="B1607" t="s">
        <v>26</v>
      </c>
      <c r="C1607">
        <v>3</v>
      </c>
      <c r="D1607">
        <v>2022</v>
      </c>
      <c r="E1607" s="49" t="s">
        <v>144</v>
      </c>
      <c r="F1607" s="49" t="s">
        <v>163</v>
      </c>
      <c r="G1607">
        <f>'Aug-Apr, 2023'!W9+'Aug-Apr, 2023'!X9</f>
        <v>32</v>
      </c>
      <c r="H1607">
        <f>'Aug-Apr, 2023'!Y9</f>
        <v>0</v>
      </c>
      <c r="I1607">
        <f>'Aug-Apr, 2023'!Z9</f>
        <v>16</v>
      </c>
      <c r="J1607">
        <f>G1607*Parameters!$B$2*Parameters!$B$5</f>
        <v>68.131199999999993</v>
      </c>
      <c r="K1607">
        <f>H1607*Parameters!$B$3*Parameters!$B$6</f>
        <v>0</v>
      </c>
      <c r="L1607">
        <f>I1607*Parameters!$B$4*Parameters!$B$7</f>
        <v>129.54240000000001</v>
      </c>
      <c r="M1607">
        <f t="shared" si="25"/>
        <v>197.67360000000002</v>
      </c>
      <c r="N1607">
        <v>3200</v>
      </c>
      <c r="O1607">
        <v>0</v>
      </c>
      <c r="P1607">
        <v>0</v>
      </c>
      <c r="Q1607">
        <v>4800</v>
      </c>
    </row>
    <row r="1608" spans="1:17">
      <c r="A1608" t="s">
        <v>27</v>
      </c>
      <c r="B1608" t="s">
        <v>21</v>
      </c>
      <c r="C1608">
        <v>6</v>
      </c>
      <c r="D1608">
        <v>2022</v>
      </c>
      <c r="E1608" s="49" t="s">
        <v>144</v>
      </c>
      <c r="F1608" s="49" t="s">
        <v>163</v>
      </c>
      <c r="G1608">
        <f>'Aug-Apr, 2023'!W10+'Aug-Apr, 2023'!X10</f>
        <v>50</v>
      </c>
      <c r="H1608">
        <f>'Aug-Apr, 2023'!Y10</f>
        <v>0</v>
      </c>
      <c r="I1608">
        <f>'Aug-Apr, 2023'!Z10</f>
        <v>20</v>
      </c>
      <c r="J1608">
        <f>G1608*Parameters!$B$2*Parameters!$B$5</f>
        <v>106.45499999999998</v>
      </c>
      <c r="K1608">
        <f>H1608*Parameters!$B$3*Parameters!$B$6</f>
        <v>0</v>
      </c>
      <c r="L1608">
        <f>I1608*Parameters!$B$4*Parameters!$B$7</f>
        <v>161.928</v>
      </c>
      <c r="M1608">
        <f t="shared" si="25"/>
        <v>268.38299999999998</v>
      </c>
      <c r="N1608">
        <v>5000</v>
      </c>
      <c r="O1608">
        <v>0</v>
      </c>
      <c r="P1608">
        <v>0</v>
      </c>
      <c r="Q1608">
        <v>6000</v>
      </c>
    </row>
    <row r="1609" spans="1:17">
      <c r="A1609" t="s">
        <v>28</v>
      </c>
      <c r="B1609" t="s">
        <v>19</v>
      </c>
      <c r="C1609">
        <v>9</v>
      </c>
      <c r="D1609">
        <v>2022</v>
      </c>
      <c r="E1609" s="49" t="s">
        <v>144</v>
      </c>
      <c r="F1609" s="49" t="s">
        <v>163</v>
      </c>
      <c r="G1609">
        <f>'Aug-Apr, 2023'!W11+'Aug-Apr, 2023'!X11</f>
        <v>44</v>
      </c>
      <c r="H1609">
        <f>'Aug-Apr, 2023'!Y11</f>
        <v>0</v>
      </c>
      <c r="I1609">
        <f>'Aug-Apr, 2023'!Z11</f>
        <v>20</v>
      </c>
      <c r="J1609">
        <f>G1609*Parameters!$B$2*Parameters!$B$5</f>
        <v>93.680399999999992</v>
      </c>
      <c r="K1609">
        <f>H1609*Parameters!$B$3*Parameters!$B$6</f>
        <v>0</v>
      </c>
      <c r="L1609">
        <f>I1609*Parameters!$B$4*Parameters!$B$7</f>
        <v>161.928</v>
      </c>
      <c r="M1609">
        <f t="shared" si="25"/>
        <v>255.60839999999999</v>
      </c>
      <c r="N1609">
        <v>4400</v>
      </c>
      <c r="O1609">
        <v>0</v>
      </c>
      <c r="P1609">
        <v>0</v>
      </c>
      <c r="Q1609">
        <v>6000</v>
      </c>
    </row>
    <row r="1610" spans="1:17">
      <c r="A1610" t="s">
        <v>29</v>
      </c>
      <c r="B1610" t="s">
        <v>24</v>
      </c>
      <c r="C1610">
        <v>4</v>
      </c>
      <c r="D1610">
        <v>2022</v>
      </c>
      <c r="E1610" s="49" t="s">
        <v>144</v>
      </c>
      <c r="F1610" s="49" t="s">
        <v>163</v>
      </c>
      <c r="G1610">
        <f>'Aug-Apr, 2023'!W12+'Aug-Apr, 2023'!X12</f>
        <v>52</v>
      </c>
      <c r="H1610">
        <f>'Aug-Apr, 2023'!Y12</f>
        <v>0</v>
      </c>
      <c r="I1610">
        <f>'Aug-Apr, 2023'!Z12</f>
        <v>12</v>
      </c>
      <c r="J1610">
        <f>G1610*Parameters!$B$2*Parameters!$B$5</f>
        <v>110.71319999999999</v>
      </c>
      <c r="K1610">
        <f>H1610*Parameters!$B$3*Parameters!$B$6</f>
        <v>0</v>
      </c>
      <c r="L1610">
        <f>I1610*Parameters!$B$4*Parameters!$B$7</f>
        <v>97.156800000000018</v>
      </c>
      <c r="M1610">
        <f t="shared" si="25"/>
        <v>207.87</v>
      </c>
      <c r="N1610">
        <v>5200</v>
      </c>
      <c r="O1610">
        <v>0</v>
      </c>
      <c r="P1610">
        <v>0</v>
      </c>
      <c r="Q1610">
        <v>3600</v>
      </c>
    </row>
    <row r="1611" spans="1:17">
      <c r="A1611" t="s">
        <v>30</v>
      </c>
      <c r="B1611" t="s">
        <v>21</v>
      </c>
      <c r="C1611">
        <v>6</v>
      </c>
      <c r="D1611">
        <v>2022</v>
      </c>
      <c r="E1611" s="49" t="s">
        <v>144</v>
      </c>
      <c r="F1611" s="49" t="s">
        <v>163</v>
      </c>
      <c r="G1611">
        <f>'Aug-Apr, 2023'!W13+'Aug-Apr, 2023'!X13</f>
        <v>53</v>
      </c>
      <c r="H1611">
        <f>'Aug-Apr, 2023'!Y13</f>
        <v>0</v>
      </c>
      <c r="I1611">
        <f>'Aug-Apr, 2023'!Z13</f>
        <v>16</v>
      </c>
      <c r="J1611">
        <f>G1611*Parameters!$B$2*Parameters!$B$5</f>
        <v>112.84229999999998</v>
      </c>
      <c r="K1611">
        <f>H1611*Parameters!$B$3*Parameters!$B$6</f>
        <v>0</v>
      </c>
      <c r="L1611">
        <f>I1611*Parameters!$B$4*Parameters!$B$7</f>
        <v>129.54240000000001</v>
      </c>
      <c r="M1611">
        <f t="shared" si="25"/>
        <v>242.38470000000001</v>
      </c>
      <c r="N1611">
        <v>5300</v>
      </c>
      <c r="O1611">
        <v>0</v>
      </c>
      <c r="P1611">
        <v>0</v>
      </c>
      <c r="Q1611">
        <v>4800</v>
      </c>
    </row>
    <row r="1612" spans="1:17">
      <c r="A1612" t="s">
        <v>31</v>
      </c>
      <c r="B1612" t="s">
        <v>32</v>
      </c>
      <c r="C1612">
        <v>4</v>
      </c>
      <c r="D1612">
        <v>2022</v>
      </c>
      <c r="E1612" s="49" t="s">
        <v>144</v>
      </c>
      <c r="F1612" s="49" t="s">
        <v>163</v>
      </c>
      <c r="G1612">
        <f>'Aug-Apr, 2023'!W14+'Aug-Apr, 2023'!X14</f>
        <v>34</v>
      </c>
      <c r="H1612">
        <f>'Aug-Apr, 2023'!Y14</f>
        <v>0</v>
      </c>
      <c r="I1612">
        <f>'Aug-Apr, 2023'!Z14</f>
        <v>20</v>
      </c>
      <c r="J1612">
        <f>G1612*Parameters!$B$2*Parameters!$B$5</f>
        <v>72.389399999999995</v>
      </c>
      <c r="K1612">
        <f>H1612*Parameters!$B$3*Parameters!$B$6</f>
        <v>0</v>
      </c>
      <c r="L1612">
        <f>I1612*Parameters!$B$4*Parameters!$B$7</f>
        <v>161.928</v>
      </c>
      <c r="M1612">
        <f t="shared" si="25"/>
        <v>234.31739999999999</v>
      </c>
      <c r="N1612">
        <v>3400</v>
      </c>
      <c r="O1612">
        <v>0</v>
      </c>
      <c r="P1612">
        <v>0</v>
      </c>
      <c r="Q1612">
        <v>6000</v>
      </c>
    </row>
    <row r="1613" spans="1:17">
      <c r="A1613" t="s">
        <v>33</v>
      </c>
      <c r="B1613" t="s">
        <v>32</v>
      </c>
      <c r="C1613">
        <v>6</v>
      </c>
      <c r="D1613">
        <v>2022</v>
      </c>
      <c r="E1613" s="49" t="s">
        <v>144</v>
      </c>
      <c r="F1613" s="49" t="s">
        <v>163</v>
      </c>
      <c r="G1613">
        <f>'Aug-Apr, 2023'!W15+'Aug-Apr, 2023'!X15</f>
        <v>28</v>
      </c>
      <c r="H1613">
        <f>'Aug-Apr, 2023'!Y15</f>
        <v>0</v>
      </c>
      <c r="I1613">
        <f>'Aug-Apr, 2023'!Z15</f>
        <v>12</v>
      </c>
      <c r="J1613">
        <f>G1613*Parameters!$B$2*Parameters!$B$5</f>
        <v>59.614799999999995</v>
      </c>
      <c r="K1613">
        <f>H1613*Parameters!$B$3*Parameters!$B$6</f>
        <v>0</v>
      </c>
      <c r="L1613">
        <f>I1613*Parameters!$B$4*Parameters!$B$7</f>
        <v>97.156800000000018</v>
      </c>
      <c r="M1613">
        <f t="shared" si="25"/>
        <v>156.77160000000001</v>
      </c>
      <c r="N1613">
        <v>2800</v>
      </c>
      <c r="O1613">
        <v>0</v>
      </c>
      <c r="P1613">
        <v>0</v>
      </c>
      <c r="Q1613">
        <v>3600</v>
      </c>
    </row>
    <row r="1614" spans="1:17">
      <c r="A1614" t="s">
        <v>34</v>
      </c>
      <c r="B1614" t="s">
        <v>21</v>
      </c>
      <c r="C1614">
        <v>9</v>
      </c>
      <c r="D1614">
        <v>2022</v>
      </c>
      <c r="E1614" s="49" t="s">
        <v>144</v>
      </c>
      <c r="F1614" s="49" t="s">
        <v>163</v>
      </c>
      <c r="G1614">
        <f>'Aug-Apr, 2023'!W16+'Aug-Apr, 2023'!X16</f>
        <v>40</v>
      </c>
      <c r="H1614">
        <f>'Aug-Apr, 2023'!Y16</f>
        <v>0</v>
      </c>
      <c r="I1614">
        <f>'Aug-Apr, 2023'!Z16</f>
        <v>18</v>
      </c>
      <c r="J1614">
        <f>G1614*Parameters!$B$2*Parameters!$B$5</f>
        <v>85.163999999999987</v>
      </c>
      <c r="K1614">
        <f>H1614*Parameters!$B$3*Parameters!$B$6</f>
        <v>0</v>
      </c>
      <c r="L1614">
        <f>I1614*Parameters!$B$4*Parameters!$B$7</f>
        <v>145.73520000000002</v>
      </c>
      <c r="M1614">
        <f t="shared" si="25"/>
        <v>230.89920000000001</v>
      </c>
      <c r="N1614">
        <v>4000</v>
      </c>
      <c r="O1614">
        <v>0</v>
      </c>
      <c r="P1614">
        <v>0</v>
      </c>
      <c r="Q1614">
        <v>5400</v>
      </c>
    </row>
    <row r="1615" spans="1:17">
      <c r="A1615" t="s">
        <v>35</v>
      </c>
      <c r="B1615" t="s">
        <v>21</v>
      </c>
      <c r="C1615">
        <v>6</v>
      </c>
      <c r="D1615">
        <v>2022</v>
      </c>
      <c r="E1615" s="49" t="s">
        <v>144</v>
      </c>
      <c r="F1615" s="49" t="s">
        <v>163</v>
      </c>
      <c r="G1615">
        <f>'Aug-Apr, 2023'!W17+'Aug-Apr, 2023'!X17</f>
        <v>32</v>
      </c>
      <c r="H1615">
        <f>'Aug-Apr, 2023'!Y17</f>
        <v>0</v>
      </c>
      <c r="I1615">
        <f>'Aug-Apr, 2023'!Z17</f>
        <v>20</v>
      </c>
      <c r="J1615">
        <f>G1615*Parameters!$B$2*Parameters!$B$5</f>
        <v>68.131199999999993</v>
      </c>
      <c r="K1615">
        <f>H1615*Parameters!$B$3*Parameters!$B$6</f>
        <v>0</v>
      </c>
      <c r="L1615">
        <f>I1615*Parameters!$B$4*Parameters!$B$7</f>
        <v>161.928</v>
      </c>
      <c r="M1615">
        <f t="shared" si="25"/>
        <v>230.05919999999998</v>
      </c>
      <c r="N1615">
        <v>0</v>
      </c>
      <c r="O1615">
        <v>3200</v>
      </c>
      <c r="P1615">
        <v>0</v>
      </c>
      <c r="Q1615">
        <v>6000</v>
      </c>
    </row>
    <row r="1616" spans="1:17">
      <c r="A1616" t="s">
        <v>36</v>
      </c>
      <c r="B1616" t="s">
        <v>21</v>
      </c>
      <c r="C1616">
        <v>12</v>
      </c>
      <c r="D1616">
        <v>2022</v>
      </c>
      <c r="E1616" s="49" t="s">
        <v>144</v>
      </c>
      <c r="F1616" s="49" t="s">
        <v>163</v>
      </c>
      <c r="G1616">
        <f>'Aug-Apr, 2023'!W18+'Aug-Apr, 2023'!X18</f>
        <v>50</v>
      </c>
      <c r="H1616">
        <f>'Aug-Apr, 2023'!Y18</f>
        <v>0</v>
      </c>
      <c r="I1616">
        <f>'Aug-Apr, 2023'!Z18</f>
        <v>12</v>
      </c>
      <c r="J1616">
        <f>G1616*Parameters!$B$2*Parameters!$B$5</f>
        <v>106.45499999999998</v>
      </c>
      <c r="K1616">
        <f>H1616*Parameters!$B$3*Parameters!$B$6</f>
        <v>0</v>
      </c>
      <c r="L1616">
        <f>I1616*Parameters!$B$4*Parameters!$B$7</f>
        <v>97.156800000000018</v>
      </c>
      <c r="M1616">
        <f t="shared" si="25"/>
        <v>203.61180000000002</v>
      </c>
      <c r="N1616">
        <v>5000</v>
      </c>
      <c r="O1616">
        <v>0</v>
      </c>
      <c r="P1616">
        <v>0</v>
      </c>
      <c r="Q1616">
        <v>3600</v>
      </c>
    </row>
    <row r="1617" spans="1:17">
      <c r="A1617" t="s">
        <v>37</v>
      </c>
      <c r="B1617" t="s">
        <v>38</v>
      </c>
      <c r="C1617">
        <v>7</v>
      </c>
      <c r="D1617">
        <v>2022</v>
      </c>
      <c r="E1617" s="49" t="s">
        <v>144</v>
      </c>
      <c r="F1617" s="49" t="s">
        <v>163</v>
      </c>
      <c r="G1617">
        <f>'Aug-Apr, 2023'!W19+'Aug-Apr, 2023'!X19</f>
        <v>30</v>
      </c>
      <c r="H1617">
        <f>'Aug-Apr, 2023'!Y19</f>
        <v>0</v>
      </c>
      <c r="I1617">
        <f>'Aug-Apr, 2023'!Z19</f>
        <v>20</v>
      </c>
      <c r="J1617">
        <f>G1617*Parameters!$B$2*Parameters!$B$5</f>
        <v>63.87299999999999</v>
      </c>
      <c r="K1617">
        <f>H1617*Parameters!$B$3*Parameters!$B$6</f>
        <v>0</v>
      </c>
      <c r="L1617">
        <f>I1617*Parameters!$B$4*Parameters!$B$7</f>
        <v>161.928</v>
      </c>
      <c r="M1617">
        <f t="shared" si="25"/>
        <v>225.80099999999999</v>
      </c>
      <c r="N1617">
        <v>3000</v>
      </c>
      <c r="O1617">
        <v>0</v>
      </c>
      <c r="P1617">
        <v>0</v>
      </c>
      <c r="Q1617">
        <v>6000</v>
      </c>
    </row>
    <row r="1618" spans="1:17">
      <c r="A1618" t="s">
        <v>39</v>
      </c>
      <c r="B1618" t="s">
        <v>40</v>
      </c>
      <c r="C1618">
        <v>6</v>
      </c>
      <c r="D1618">
        <v>2022</v>
      </c>
      <c r="E1618" s="49" t="s">
        <v>144</v>
      </c>
      <c r="F1618" s="49" t="s">
        <v>163</v>
      </c>
      <c r="G1618">
        <f>'Aug-Apr, 2023'!W20+'Aug-Apr, 2023'!X20</f>
        <v>75</v>
      </c>
      <c r="H1618">
        <f>'Aug-Apr, 2023'!Y20</f>
        <v>0</v>
      </c>
      <c r="I1618">
        <f>'Aug-Apr, 2023'!Z20</f>
        <v>12</v>
      </c>
      <c r="J1618">
        <f>G1618*Parameters!$B$2*Parameters!$B$5</f>
        <v>159.68249999999998</v>
      </c>
      <c r="K1618">
        <f>H1618*Parameters!$B$3*Parameters!$B$6</f>
        <v>0</v>
      </c>
      <c r="L1618">
        <f>I1618*Parameters!$B$4*Parameters!$B$7</f>
        <v>97.156800000000018</v>
      </c>
      <c r="M1618">
        <f t="shared" si="25"/>
        <v>256.83929999999998</v>
      </c>
      <c r="N1618">
        <v>5500</v>
      </c>
      <c r="O1618">
        <v>2000</v>
      </c>
      <c r="P1618">
        <v>0</v>
      </c>
      <c r="Q1618">
        <v>3600</v>
      </c>
    </row>
    <row r="1619" spans="1:17">
      <c r="A1619" t="s">
        <v>41</v>
      </c>
      <c r="B1619" t="s">
        <v>26</v>
      </c>
      <c r="C1619">
        <v>5</v>
      </c>
      <c r="D1619">
        <v>2022</v>
      </c>
      <c r="E1619" s="49" t="s">
        <v>144</v>
      </c>
      <c r="F1619" s="49" t="s">
        <v>163</v>
      </c>
      <c r="G1619">
        <f>'Aug-Apr, 2023'!W21+'Aug-Apr, 2023'!X21</f>
        <v>22</v>
      </c>
      <c r="H1619">
        <f>'Aug-Apr, 2023'!Y21</f>
        <v>0</v>
      </c>
      <c r="I1619">
        <f>'Aug-Apr, 2023'!Z21</f>
        <v>10</v>
      </c>
      <c r="J1619">
        <f>G1619*Parameters!$B$2*Parameters!$B$5</f>
        <v>46.840199999999996</v>
      </c>
      <c r="K1619">
        <f>H1619*Parameters!$B$3*Parameters!$B$6</f>
        <v>0</v>
      </c>
      <c r="L1619">
        <f>I1619*Parameters!$B$4*Parameters!$B$7</f>
        <v>80.963999999999999</v>
      </c>
      <c r="M1619">
        <f t="shared" si="25"/>
        <v>127.80419999999999</v>
      </c>
      <c r="N1619">
        <v>2200</v>
      </c>
      <c r="O1619">
        <v>0</v>
      </c>
      <c r="P1619">
        <v>0</v>
      </c>
      <c r="Q1619">
        <v>3000</v>
      </c>
    </row>
    <row r="1620" spans="1:17">
      <c r="A1620" t="s">
        <v>42</v>
      </c>
      <c r="B1620" t="s">
        <v>24</v>
      </c>
      <c r="C1620">
        <v>5</v>
      </c>
      <c r="D1620">
        <v>2022</v>
      </c>
      <c r="E1620" s="49" t="s">
        <v>144</v>
      </c>
      <c r="F1620" s="49" t="s">
        <v>163</v>
      </c>
      <c r="G1620">
        <f>'Aug-Apr, 2023'!W22+'Aug-Apr, 2023'!X22</f>
        <v>44</v>
      </c>
      <c r="H1620">
        <f>'Aug-Apr, 2023'!Y22</f>
        <v>0</v>
      </c>
      <c r="I1620">
        <f>'Aug-Apr, 2023'!Z22</f>
        <v>20</v>
      </c>
      <c r="J1620">
        <f>G1620*Parameters!$B$2*Parameters!$B$5</f>
        <v>93.680399999999992</v>
      </c>
      <c r="K1620">
        <f>H1620*Parameters!$B$3*Parameters!$B$6</f>
        <v>0</v>
      </c>
      <c r="L1620">
        <f>I1620*Parameters!$B$4*Parameters!$B$7</f>
        <v>161.928</v>
      </c>
      <c r="M1620">
        <f t="shared" si="25"/>
        <v>255.60839999999999</v>
      </c>
      <c r="N1620">
        <v>4400</v>
      </c>
      <c r="O1620">
        <v>0</v>
      </c>
      <c r="P1620">
        <v>0</v>
      </c>
      <c r="Q1620">
        <v>6000</v>
      </c>
    </row>
    <row r="1621" spans="1:17">
      <c r="A1621" t="s">
        <v>43</v>
      </c>
      <c r="B1621" t="s">
        <v>19</v>
      </c>
      <c r="C1621">
        <v>8</v>
      </c>
      <c r="D1621">
        <v>2022</v>
      </c>
      <c r="E1621" s="49" t="s">
        <v>144</v>
      </c>
      <c r="F1621" s="49" t="s">
        <v>163</v>
      </c>
      <c r="G1621">
        <f>'Aug-Apr, 2023'!W23+'Aug-Apr, 2023'!X23</f>
        <v>30</v>
      </c>
      <c r="H1621">
        <f>'Aug-Apr, 2023'!Y23</f>
        <v>0</v>
      </c>
      <c r="I1621">
        <f>'Aug-Apr, 2023'!Z23</f>
        <v>18</v>
      </c>
      <c r="J1621">
        <f>G1621*Parameters!$B$2*Parameters!$B$5</f>
        <v>63.87299999999999</v>
      </c>
      <c r="K1621">
        <f>H1621*Parameters!$B$3*Parameters!$B$6</f>
        <v>0</v>
      </c>
      <c r="L1621">
        <f>I1621*Parameters!$B$4*Parameters!$B$7</f>
        <v>145.73520000000002</v>
      </c>
      <c r="M1621">
        <f t="shared" si="25"/>
        <v>209.60820000000001</v>
      </c>
      <c r="N1621">
        <v>3000</v>
      </c>
      <c r="O1621">
        <v>0</v>
      </c>
      <c r="P1621">
        <v>0</v>
      </c>
      <c r="Q1621">
        <v>5400</v>
      </c>
    </row>
    <row r="1622" spans="1:17">
      <c r="A1622" t="s">
        <v>44</v>
      </c>
      <c r="B1622" t="s">
        <v>40</v>
      </c>
      <c r="C1622">
        <v>10</v>
      </c>
      <c r="D1622">
        <v>2022</v>
      </c>
      <c r="E1622" s="49" t="s">
        <v>144</v>
      </c>
      <c r="F1622" s="49" t="s">
        <v>163</v>
      </c>
      <c r="G1622">
        <f>'Aug-Apr, 2023'!W24+'Aug-Apr, 2023'!X24</f>
        <v>55</v>
      </c>
      <c r="H1622">
        <f>'Aug-Apr, 2023'!Y24</f>
        <v>0</v>
      </c>
      <c r="I1622">
        <f>'Aug-Apr, 2023'!Z24</f>
        <v>4</v>
      </c>
      <c r="J1622">
        <f>G1622*Parameters!$B$2*Parameters!$B$5</f>
        <v>117.10049999999998</v>
      </c>
      <c r="K1622">
        <f>H1622*Parameters!$B$3*Parameters!$B$6</f>
        <v>0</v>
      </c>
      <c r="L1622">
        <f>I1622*Parameters!$B$4*Parameters!$B$7</f>
        <v>32.385600000000004</v>
      </c>
      <c r="M1622">
        <f t="shared" si="25"/>
        <v>149.48609999999999</v>
      </c>
      <c r="N1622">
        <v>5500</v>
      </c>
      <c r="O1622">
        <v>0</v>
      </c>
      <c r="P1622">
        <v>0</v>
      </c>
      <c r="Q1622">
        <v>1200</v>
      </c>
    </row>
    <row r="1623" spans="1:17">
      <c r="A1623" t="s">
        <v>45</v>
      </c>
      <c r="B1623" t="s">
        <v>24</v>
      </c>
      <c r="C1623">
        <v>8</v>
      </c>
      <c r="D1623">
        <v>2022</v>
      </c>
      <c r="E1623" s="49" t="s">
        <v>144</v>
      </c>
      <c r="F1623" s="49" t="s">
        <v>163</v>
      </c>
      <c r="G1623">
        <f>'Aug-Apr, 2023'!W25+'Aug-Apr, 2023'!X25</f>
        <v>50</v>
      </c>
      <c r="H1623">
        <f>'Aug-Apr, 2023'!Y25</f>
        <v>0</v>
      </c>
      <c r="I1623">
        <f>'Aug-Apr, 2023'!Z25</f>
        <v>15</v>
      </c>
      <c r="J1623">
        <f>G1623*Parameters!$B$2*Parameters!$B$5</f>
        <v>106.45499999999998</v>
      </c>
      <c r="K1623">
        <f>H1623*Parameters!$B$3*Parameters!$B$6</f>
        <v>0</v>
      </c>
      <c r="L1623">
        <f>I1623*Parameters!$B$4*Parameters!$B$7</f>
        <v>121.44600000000001</v>
      </c>
      <c r="M1623">
        <f t="shared" si="25"/>
        <v>227.90100000000001</v>
      </c>
      <c r="N1623">
        <v>5000</v>
      </c>
      <c r="O1623">
        <v>0</v>
      </c>
      <c r="P1623">
        <v>0</v>
      </c>
      <c r="Q1623">
        <v>4500</v>
      </c>
    </row>
    <row r="1624" spans="1:17">
      <c r="A1624" t="s">
        <v>46</v>
      </c>
      <c r="B1624" t="s">
        <v>24</v>
      </c>
      <c r="C1624">
        <v>4</v>
      </c>
      <c r="D1624">
        <v>2022</v>
      </c>
      <c r="E1624" s="49" t="s">
        <v>144</v>
      </c>
      <c r="F1624" s="49" t="s">
        <v>163</v>
      </c>
      <c r="G1624">
        <f>'Aug-Apr, 2023'!W26+'Aug-Apr, 2023'!X26</f>
        <v>44</v>
      </c>
      <c r="H1624">
        <f>'Aug-Apr, 2023'!Y26</f>
        <v>0</v>
      </c>
      <c r="I1624">
        <f>'Aug-Apr, 2023'!Z26</f>
        <v>10</v>
      </c>
      <c r="J1624">
        <f>G1624*Parameters!$B$2*Parameters!$B$5</f>
        <v>93.680399999999992</v>
      </c>
      <c r="K1624">
        <f>H1624*Parameters!$B$3*Parameters!$B$6</f>
        <v>0</v>
      </c>
      <c r="L1624">
        <f>I1624*Parameters!$B$4*Parameters!$B$7</f>
        <v>80.963999999999999</v>
      </c>
      <c r="M1624">
        <f t="shared" si="25"/>
        <v>174.64439999999999</v>
      </c>
      <c r="N1624">
        <v>4400</v>
      </c>
      <c r="O1624">
        <v>0</v>
      </c>
      <c r="P1624">
        <v>0</v>
      </c>
      <c r="Q1624">
        <v>3000</v>
      </c>
    </row>
    <row r="1625" spans="1:17">
      <c r="A1625" t="s">
        <v>47</v>
      </c>
      <c r="B1625" t="s">
        <v>19</v>
      </c>
      <c r="C1625">
        <v>6</v>
      </c>
      <c r="D1625">
        <v>2022</v>
      </c>
      <c r="E1625" s="49" t="s">
        <v>144</v>
      </c>
      <c r="F1625" s="49" t="s">
        <v>163</v>
      </c>
      <c r="G1625">
        <f>'Aug-Apr, 2023'!W27+'Aug-Apr, 2023'!X27</f>
        <v>35</v>
      </c>
      <c r="H1625">
        <f>'Aug-Apr, 2023'!Y27</f>
        <v>0</v>
      </c>
      <c r="I1625">
        <f>'Aug-Apr, 2023'!Z27</f>
        <v>10</v>
      </c>
      <c r="J1625">
        <f>G1625*Parameters!$B$2*Parameters!$B$5</f>
        <v>74.518499999999989</v>
      </c>
      <c r="K1625">
        <f>H1625*Parameters!$B$3*Parameters!$B$6</f>
        <v>0</v>
      </c>
      <c r="L1625">
        <f>I1625*Parameters!$B$4*Parameters!$B$7</f>
        <v>80.963999999999999</v>
      </c>
      <c r="M1625">
        <f t="shared" si="25"/>
        <v>155.48249999999999</v>
      </c>
      <c r="N1625">
        <v>3500</v>
      </c>
      <c r="O1625">
        <v>0</v>
      </c>
      <c r="P1625">
        <v>0</v>
      </c>
      <c r="Q1625">
        <v>3000</v>
      </c>
    </row>
    <row r="1626" spans="1:17">
      <c r="A1626" t="s">
        <v>48</v>
      </c>
      <c r="B1626" t="s">
        <v>24</v>
      </c>
      <c r="C1626">
        <v>4</v>
      </c>
      <c r="D1626">
        <v>2022</v>
      </c>
      <c r="E1626" s="49" t="s">
        <v>144</v>
      </c>
      <c r="F1626" s="49" t="s">
        <v>163</v>
      </c>
      <c r="G1626">
        <f>'Aug-Apr, 2023'!W28+'Aug-Apr, 2023'!X28</f>
        <v>22</v>
      </c>
      <c r="H1626">
        <f>'Aug-Apr, 2023'!Y28</f>
        <v>0</v>
      </c>
      <c r="I1626">
        <f>'Aug-Apr, 2023'!Z28</f>
        <v>20</v>
      </c>
      <c r="J1626">
        <f>G1626*Parameters!$B$2*Parameters!$B$5</f>
        <v>46.840199999999996</v>
      </c>
      <c r="K1626">
        <f>H1626*Parameters!$B$3*Parameters!$B$6</f>
        <v>0</v>
      </c>
      <c r="L1626">
        <f>I1626*Parameters!$B$4*Parameters!$B$7</f>
        <v>161.928</v>
      </c>
      <c r="M1626">
        <f t="shared" si="25"/>
        <v>208.76819999999998</v>
      </c>
      <c r="N1626">
        <v>2200</v>
      </c>
      <c r="O1626">
        <v>0</v>
      </c>
      <c r="P1626">
        <v>0</v>
      </c>
      <c r="Q1626">
        <v>6000</v>
      </c>
    </row>
    <row r="1627" spans="1:17">
      <c r="A1627" t="s">
        <v>49</v>
      </c>
      <c r="B1627" t="s">
        <v>38</v>
      </c>
      <c r="C1627">
        <v>2</v>
      </c>
      <c r="D1627">
        <v>2022</v>
      </c>
      <c r="E1627" s="49" t="s">
        <v>144</v>
      </c>
      <c r="F1627" s="49" t="s">
        <v>163</v>
      </c>
      <c r="G1627">
        <f>'Aug-Apr, 2023'!W29+'Aug-Apr, 2023'!X29</f>
        <v>30</v>
      </c>
      <c r="H1627">
        <f>'Aug-Apr, 2023'!Y29</f>
        <v>0</v>
      </c>
      <c r="I1627">
        <f>'Aug-Apr, 2023'!Z29</f>
        <v>12</v>
      </c>
      <c r="J1627">
        <f>G1627*Parameters!$B$2*Parameters!$B$5</f>
        <v>63.87299999999999</v>
      </c>
      <c r="K1627">
        <f>H1627*Parameters!$B$3*Parameters!$B$6</f>
        <v>0</v>
      </c>
      <c r="L1627">
        <f>I1627*Parameters!$B$4*Parameters!$B$7</f>
        <v>97.156800000000018</v>
      </c>
      <c r="M1627">
        <f t="shared" si="25"/>
        <v>161.02980000000002</v>
      </c>
      <c r="N1627">
        <v>3000</v>
      </c>
      <c r="O1627">
        <v>0</v>
      </c>
      <c r="P1627">
        <v>0</v>
      </c>
      <c r="Q1627">
        <v>3600</v>
      </c>
    </row>
    <row r="1628" spans="1:17">
      <c r="A1628" t="s">
        <v>50</v>
      </c>
      <c r="B1628" t="s">
        <v>19</v>
      </c>
      <c r="C1628">
        <v>8</v>
      </c>
      <c r="D1628">
        <v>2022</v>
      </c>
      <c r="E1628" s="49" t="s">
        <v>144</v>
      </c>
      <c r="F1628" s="49" t="s">
        <v>163</v>
      </c>
      <c r="G1628">
        <f>'Aug-Apr, 2023'!W30+'Aug-Apr, 2023'!X30</f>
        <v>32</v>
      </c>
      <c r="H1628">
        <f>'Aug-Apr, 2023'!Y30</f>
        <v>0</v>
      </c>
      <c r="I1628">
        <f>'Aug-Apr, 2023'!Z30</f>
        <v>10</v>
      </c>
      <c r="J1628">
        <f>G1628*Parameters!$B$2*Parameters!$B$5</f>
        <v>68.131199999999993</v>
      </c>
      <c r="K1628">
        <f>H1628*Parameters!$B$3*Parameters!$B$6</f>
        <v>0</v>
      </c>
      <c r="L1628">
        <f>I1628*Parameters!$B$4*Parameters!$B$7</f>
        <v>80.963999999999999</v>
      </c>
      <c r="M1628">
        <f t="shared" si="25"/>
        <v>149.09519999999998</v>
      </c>
      <c r="N1628">
        <v>3200</v>
      </c>
      <c r="O1628">
        <v>0</v>
      </c>
      <c r="P1628">
        <v>0</v>
      </c>
      <c r="Q1628">
        <v>3000</v>
      </c>
    </row>
    <row r="1629" spans="1:17">
      <c r="A1629" t="s">
        <v>51</v>
      </c>
      <c r="B1629" t="s">
        <v>19</v>
      </c>
      <c r="C1629">
        <v>6</v>
      </c>
      <c r="D1629">
        <v>2022</v>
      </c>
      <c r="E1629" s="49" t="s">
        <v>144</v>
      </c>
      <c r="F1629" s="49" t="s">
        <v>163</v>
      </c>
      <c r="G1629">
        <f>'Aug-Apr, 2023'!W31+'Aug-Apr, 2023'!X31</f>
        <v>18</v>
      </c>
      <c r="H1629">
        <f>'Aug-Apr, 2023'!Y31</f>
        <v>0</v>
      </c>
      <c r="I1629">
        <f>'Aug-Apr, 2023'!Z31</f>
        <v>20</v>
      </c>
      <c r="J1629">
        <f>G1629*Parameters!$B$2*Parameters!$B$5</f>
        <v>38.323799999999999</v>
      </c>
      <c r="K1629">
        <f>H1629*Parameters!$B$3*Parameters!$B$6</f>
        <v>0</v>
      </c>
      <c r="L1629">
        <f>I1629*Parameters!$B$4*Parameters!$B$7</f>
        <v>161.928</v>
      </c>
      <c r="M1629">
        <f t="shared" si="25"/>
        <v>200.2518</v>
      </c>
      <c r="N1629">
        <v>1800</v>
      </c>
      <c r="O1629">
        <v>0</v>
      </c>
      <c r="P1629">
        <v>0</v>
      </c>
      <c r="Q1629">
        <v>6000</v>
      </c>
    </row>
    <row r="1630" spans="1:17">
      <c r="A1630" t="s">
        <v>52</v>
      </c>
      <c r="B1630" t="s">
        <v>38</v>
      </c>
      <c r="C1630">
        <v>12</v>
      </c>
      <c r="D1630">
        <v>2022</v>
      </c>
      <c r="E1630" s="49" t="s">
        <v>144</v>
      </c>
      <c r="F1630" s="49" t="s">
        <v>163</v>
      </c>
      <c r="G1630">
        <f>'Aug-Apr, 2023'!W32+'Aug-Apr, 2023'!X32</f>
        <v>55</v>
      </c>
      <c r="H1630">
        <f>'Aug-Apr, 2023'!Y32</f>
        <v>0</v>
      </c>
      <c r="I1630">
        <f>'Aug-Apr, 2023'!Z32</f>
        <v>12</v>
      </c>
      <c r="J1630">
        <f>G1630*Parameters!$B$2*Parameters!$B$5</f>
        <v>117.10049999999998</v>
      </c>
      <c r="K1630">
        <f>H1630*Parameters!$B$3*Parameters!$B$6</f>
        <v>0</v>
      </c>
      <c r="L1630">
        <f>I1630*Parameters!$B$4*Parameters!$B$7</f>
        <v>97.156800000000018</v>
      </c>
      <c r="M1630">
        <f t="shared" si="25"/>
        <v>214.25729999999999</v>
      </c>
      <c r="N1630">
        <v>5500</v>
      </c>
      <c r="O1630">
        <v>0</v>
      </c>
      <c r="P1630">
        <v>0</v>
      </c>
      <c r="Q1630">
        <v>3600</v>
      </c>
    </row>
    <row r="1631" spans="1:17">
      <c r="A1631" t="s">
        <v>53</v>
      </c>
      <c r="B1631" t="s">
        <v>40</v>
      </c>
      <c r="C1631">
        <v>8</v>
      </c>
      <c r="D1631">
        <v>2022</v>
      </c>
      <c r="E1631" s="49" t="s">
        <v>144</v>
      </c>
      <c r="F1631" s="49" t="s">
        <v>163</v>
      </c>
      <c r="G1631">
        <f>'Aug-Apr, 2023'!W33+'Aug-Apr, 2023'!X33</f>
        <v>33</v>
      </c>
      <c r="H1631">
        <f>'Aug-Apr, 2023'!Y33</f>
        <v>0</v>
      </c>
      <c r="I1631">
        <f>'Aug-Apr, 2023'!Z33</f>
        <v>18</v>
      </c>
      <c r="J1631">
        <f>G1631*Parameters!$B$2*Parameters!$B$5</f>
        <v>70.260300000000001</v>
      </c>
      <c r="K1631">
        <f>H1631*Parameters!$B$3*Parameters!$B$6</f>
        <v>0</v>
      </c>
      <c r="L1631">
        <f>I1631*Parameters!$B$4*Parameters!$B$7</f>
        <v>145.73520000000002</v>
      </c>
      <c r="M1631">
        <f t="shared" si="25"/>
        <v>215.99550000000002</v>
      </c>
      <c r="N1631">
        <v>3300</v>
      </c>
      <c r="O1631">
        <v>0</v>
      </c>
      <c r="P1631">
        <v>0</v>
      </c>
      <c r="Q1631">
        <v>5400</v>
      </c>
    </row>
    <row r="1632" spans="1:17">
      <c r="A1632" t="s">
        <v>54</v>
      </c>
      <c r="B1632" t="s">
        <v>40</v>
      </c>
      <c r="C1632">
        <v>6</v>
      </c>
      <c r="D1632">
        <v>2022</v>
      </c>
      <c r="E1632" s="49" t="s">
        <v>144</v>
      </c>
      <c r="F1632" s="49" t="s">
        <v>163</v>
      </c>
      <c r="G1632">
        <f>'Aug-Apr, 2023'!W34+'Aug-Apr, 2023'!X34</f>
        <v>35</v>
      </c>
      <c r="H1632">
        <f>'Aug-Apr, 2023'!Y34</f>
        <v>0</v>
      </c>
      <c r="I1632">
        <f>'Aug-Apr, 2023'!Z34</f>
        <v>16</v>
      </c>
      <c r="J1632">
        <f>G1632*Parameters!$B$2*Parameters!$B$5</f>
        <v>74.518499999999989</v>
      </c>
      <c r="K1632">
        <f>H1632*Parameters!$B$3*Parameters!$B$6</f>
        <v>0</v>
      </c>
      <c r="L1632">
        <f>I1632*Parameters!$B$4*Parameters!$B$7</f>
        <v>129.54240000000001</v>
      </c>
      <c r="M1632">
        <f t="shared" si="25"/>
        <v>204.0609</v>
      </c>
      <c r="N1632">
        <v>3500</v>
      </c>
      <c r="O1632">
        <v>0</v>
      </c>
      <c r="P1632">
        <v>0</v>
      </c>
      <c r="Q1632">
        <v>4800</v>
      </c>
    </row>
    <row r="1633" spans="1:17">
      <c r="A1633" t="s">
        <v>55</v>
      </c>
      <c r="B1633" t="s">
        <v>56</v>
      </c>
      <c r="C1633">
        <v>4</v>
      </c>
      <c r="D1633">
        <v>2022</v>
      </c>
      <c r="E1633" s="49" t="s">
        <v>144</v>
      </c>
      <c r="F1633" s="49" t="s">
        <v>163</v>
      </c>
      <c r="G1633">
        <f>'Aug-Apr, 2023'!W35+'Aug-Apr, 2023'!X35</f>
        <v>44</v>
      </c>
      <c r="H1633">
        <f>'Aug-Apr, 2023'!Y35</f>
        <v>0</v>
      </c>
      <c r="I1633">
        <f>'Aug-Apr, 2023'!Z35</f>
        <v>20</v>
      </c>
      <c r="J1633">
        <f>G1633*Parameters!$B$2*Parameters!$B$5</f>
        <v>93.680399999999992</v>
      </c>
      <c r="K1633">
        <f>H1633*Parameters!$B$3*Parameters!$B$6</f>
        <v>0</v>
      </c>
      <c r="L1633">
        <f>I1633*Parameters!$B$4*Parameters!$B$7</f>
        <v>161.928</v>
      </c>
      <c r="M1633">
        <f t="shared" si="25"/>
        <v>255.60839999999999</v>
      </c>
      <c r="N1633">
        <v>4400</v>
      </c>
      <c r="O1633">
        <v>0</v>
      </c>
      <c r="P1633">
        <v>0</v>
      </c>
      <c r="Q1633">
        <v>6000</v>
      </c>
    </row>
    <row r="1634" spans="1:17">
      <c r="A1634" t="s">
        <v>57</v>
      </c>
      <c r="B1634" t="s">
        <v>40</v>
      </c>
      <c r="C1634">
        <v>4</v>
      </c>
      <c r="D1634">
        <v>2022</v>
      </c>
      <c r="E1634" s="49" t="s">
        <v>144</v>
      </c>
      <c r="F1634" s="49" t="s">
        <v>163</v>
      </c>
      <c r="G1634">
        <f>'Aug-Apr, 2023'!W36+'Aug-Apr, 2023'!X36</f>
        <v>55</v>
      </c>
      <c r="H1634">
        <f>'Aug-Apr, 2023'!Y36</f>
        <v>0</v>
      </c>
      <c r="I1634">
        <f>'Aug-Apr, 2023'!Z36</f>
        <v>10</v>
      </c>
      <c r="J1634">
        <f>G1634*Parameters!$B$2*Parameters!$B$5</f>
        <v>117.10049999999998</v>
      </c>
      <c r="K1634">
        <f>H1634*Parameters!$B$3*Parameters!$B$6</f>
        <v>0</v>
      </c>
      <c r="L1634">
        <f>I1634*Parameters!$B$4*Parameters!$B$7</f>
        <v>80.963999999999999</v>
      </c>
      <c r="M1634">
        <f t="shared" si="25"/>
        <v>198.06449999999998</v>
      </c>
      <c r="N1634">
        <v>5500</v>
      </c>
      <c r="O1634">
        <v>0</v>
      </c>
      <c r="P1634">
        <v>0</v>
      </c>
      <c r="Q1634">
        <v>3000</v>
      </c>
    </row>
    <row r="1635" spans="1:17">
      <c r="A1635" t="s">
        <v>58</v>
      </c>
      <c r="B1635" t="s">
        <v>26</v>
      </c>
      <c r="C1635">
        <v>6</v>
      </c>
      <c r="D1635">
        <v>2022</v>
      </c>
      <c r="E1635" s="49" t="s">
        <v>144</v>
      </c>
      <c r="F1635" s="49" t="s">
        <v>163</v>
      </c>
      <c r="G1635">
        <f>'Aug-Apr, 2023'!W37+'Aug-Apr, 2023'!X37</f>
        <v>40</v>
      </c>
      <c r="H1635">
        <f>'Aug-Apr, 2023'!Y37</f>
        <v>0</v>
      </c>
      <c r="I1635">
        <f>'Aug-Apr, 2023'!Z37</f>
        <v>6</v>
      </c>
      <c r="J1635">
        <f>G1635*Parameters!$B$2*Parameters!$B$5</f>
        <v>85.163999999999987</v>
      </c>
      <c r="K1635">
        <f>H1635*Parameters!$B$3*Parameters!$B$6</f>
        <v>0</v>
      </c>
      <c r="L1635">
        <f>I1635*Parameters!$B$4*Parameters!$B$7</f>
        <v>48.578400000000009</v>
      </c>
      <c r="M1635">
        <f t="shared" si="25"/>
        <v>133.7424</v>
      </c>
      <c r="N1635">
        <v>4000</v>
      </c>
      <c r="O1635">
        <v>0</v>
      </c>
      <c r="P1635">
        <v>0</v>
      </c>
      <c r="Q1635">
        <v>1800</v>
      </c>
    </row>
    <row r="1636" spans="1:17">
      <c r="A1636" t="s">
        <v>59</v>
      </c>
      <c r="B1636" t="s">
        <v>26</v>
      </c>
      <c r="C1636">
        <v>7</v>
      </c>
      <c r="D1636">
        <v>2022</v>
      </c>
      <c r="E1636" s="49" t="s">
        <v>144</v>
      </c>
      <c r="F1636" s="49" t="s">
        <v>163</v>
      </c>
      <c r="G1636">
        <f>'Aug-Apr, 2023'!W38+'Aug-Apr, 2023'!X38</f>
        <v>50</v>
      </c>
      <c r="H1636">
        <f>'Aug-Apr, 2023'!Y38</f>
        <v>0</v>
      </c>
      <c r="I1636">
        <f>'Aug-Apr, 2023'!Z38</f>
        <v>20</v>
      </c>
      <c r="J1636">
        <f>G1636*Parameters!$B$2*Parameters!$B$5</f>
        <v>106.45499999999998</v>
      </c>
      <c r="K1636">
        <f>H1636*Parameters!$B$3*Parameters!$B$6</f>
        <v>0</v>
      </c>
      <c r="L1636">
        <f>I1636*Parameters!$B$4*Parameters!$B$7</f>
        <v>161.928</v>
      </c>
      <c r="M1636">
        <f t="shared" si="25"/>
        <v>268.38299999999998</v>
      </c>
      <c r="N1636">
        <v>5000</v>
      </c>
      <c r="O1636">
        <v>0</v>
      </c>
      <c r="P1636">
        <v>0</v>
      </c>
      <c r="Q1636">
        <v>6000</v>
      </c>
    </row>
    <row r="1637" spans="1:17">
      <c r="A1637" t="s">
        <v>60</v>
      </c>
      <c r="B1637" t="s">
        <v>26</v>
      </c>
      <c r="C1637">
        <v>8</v>
      </c>
      <c r="D1637">
        <v>2022</v>
      </c>
      <c r="E1637" s="49" t="s">
        <v>144</v>
      </c>
      <c r="F1637" s="49" t="s">
        <v>163</v>
      </c>
      <c r="G1637">
        <f>'Aug-Apr, 2023'!W39+'Aug-Apr, 2023'!X39</f>
        <v>35</v>
      </c>
      <c r="H1637">
        <f>'Aug-Apr, 2023'!Y39</f>
        <v>0</v>
      </c>
      <c r="I1637">
        <f>'Aug-Apr, 2023'!Z39</f>
        <v>20</v>
      </c>
      <c r="J1637">
        <f>G1637*Parameters!$B$2*Parameters!$B$5</f>
        <v>74.518499999999989</v>
      </c>
      <c r="K1637">
        <f>H1637*Parameters!$B$3*Parameters!$B$6</f>
        <v>0</v>
      </c>
      <c r="L1637">
        <f>I1637*Parameters!$B$4*Parameters!$B$7</f>
        <v>161.928</v>
      </c>
      <c r="M1637">
        <f t="shared" si="25"/>
        <v>236.44649999999999</v>
      </c>
      <c r="N1637">
        <v>3500</v>
      </c>
      <c r="O1637">
        <v>0</v>
      </c>
      <c r="P1637">
        <v>0</v>
      </c>
      <c r="Q1637">
        <v>6000</v>
      </c>
    </row>
    <row r="1638" spans="1:17">
      <c r="A1638" t="s">
        <v>61</v>
      </c>
      <c r="B1638" t="s">
        <v>56</v>
      </c>
      <c r="C1638">
        <v>5</v>
      </c>
      <c r="D1638">
        <v>2022</v>
      </c>
      <c r="E1638" s="49" t="s">
        <v>144</v>
      </c>
      <c r="F1638" s="49" t="s">
        <v>163</v>
      </c>
      <c r="G1638">
        <f>'Aug-Apr, 2023'!W40+'Aug-Apr, 2023'!X40</f>
        <v>40</v>
      </c>
      <c r="H1638">
        <f>'Aug-Apr, 2023'!Y40</f>
        <v>0</v>
      </c>
      <c r="I1638">
        <f>'Aug-Apr, 2023'!Z40</f>
        <v>8</v>
      </c>
      <c r="J1638">
        <f>G1638*Parameters!$B$2*Parameters!$B$5</f>
        <v>85.163999999999987</v>
      </c>
      <c r="K1638">
        <f>H1638*Parameters!$B$3*Parameters!$B$6</f>
        <v>0</v>
      </c>
      <c r="L1638">
        <f>I1638*Parameters!$B$4*Parameters!$B$7</f>
        <v>64.771200000000007</v>
      </c>
      <c r="M1638">
        <f t="shared" si="25"/>
        <v>149.93520000000001</v>
      </c>
      <c r="N1638">
        <v>4000</v>
      </c>
      <c r="O1638">
        <v>0</v>
      </c>
      <c r="P1638">
        <v>0</v>
      </c>
      <c r="Q1638">
        <v>2400</v>
      </c>
    </row>
    <row r="1639" spans="1:17">
      <c r="A1639" t="s">
        <v>62</v>
      </c>
      <c r="B1639" t="s">
        <v>21</v>
      </c>
      <c r="C1639">
        <v>6</v>
      </c>
      <c r="D1639">
        <v>2022</v>
      </c>
      <c r="E1639" s="49" t="s">
        <v>144</v>
      </c>
      <c r="F1639" s="49" t="s">
        <v>163</v>
      </c>
      <c r="G1639">
        <f>'Aug-Apr, 2023'!W41+'Aug-Apr, 2023'!X41</f>
        <v>42</v>
      </c>
      <c r="H1639">
        <f>'Aug-Apr, 2023'!Y41</f>
        <v>0</v>
      </c>
      <c r="I1639">
        <f>'Aug-Apr, 2023'!Z41</f>
        <v>20</v>
      </c>
      <c r="J1639">
        <f>G1639*Parameters!$B$2*Parameters!$B$5</f>
        <v>89.422199999999975</v>
      </c>
      <c r="K1639">
        <f>H1639*Parameters!$B$3*Parameters!$B$6</f>
        <v>0</v>
      </c>
      <c r="L1639">
        <f>I1639*Parameters!$B$4*Parameters!$B$7</f>
        <v>161.928</v>
      </c>
      <c r="M1639">
        <f t="shared" si="25"/>
        <v>251.35019999999997</v>
      </c>
      <c r="N1639">
        <v>4200</v>
      </c>
      <c r="O1639">
        <v>0</v>
      </c>
      <c r="P1639">
        <v>0</v>
      </c>
      <c r="Q1639">
        <v>6000</v>
      </c>
    </row>
    <row r="1640" spans="1:17">
      <c r="A1640" t="s">
        <v>63</v>
      </c>
      <c r="B1640" t="s">
        <v>21</v>
      </c>
      <c r="C1640">
        <v>9</v>
      </c>
      <c r="D1640">
        <v>2022</v>
      </c>
      <c r="E1640" s="49" t="s">
        <v>144</v>
      </c>
      <c r="F1640" s="49" t="s">
        <v>163</v>
      </c>
      <c r="G1640">
        <f>'Aug-Apr, 2023'!W42+'Aug-Apr, 2023'!X42</f>
        <v>50</v>
      </c>
      <c r="H1640">
        <f>'Aug-Apr, 2023'!Y42</f>
        <v>0</v>
      </c>
      <c r="I1640">
        <f>'Aug-Apr, 2023'!Z42</f>
        <v>20</v>
      </c>
      <c r="J1640">
        <f>G1640*Parameters!$B$2*Parameters!$B$5</f>
        <v>106.45499999999998</v>
      </c>
      <c r="K1640">
        <f>H1640*Parameters!$B$3*Parameters!$B$6</f>
        <v>0</v>
      </c>
      <c r="L1640">
        <f>I1640*Parameters!$B$4*Parameters!$B$7</f>
        <v>161.928</v>
      </c>
      <c r="M1640">
        <f t="shared" si="25"/>
        <v>268.38299999999998</v>
      </c>
      <c r="N1640">
        <v>5000</v>
      </c>
      <c r="O1640">
        <v>0</v>
      </c>
      <c r="P1640">
        <v>0</v>
      </c>
      <c r="Q1640">
        <v>6000</v>
      </c>
    </row>
    <row r="1641" spans="1:17">
      <c r="A1641" t="s">
        <v>64</v>
      </c>
      <c r="B1641" t="s">
        <v>65</v>
      </c>
      <c r="C1641">
        <v>3</v>
      </c>
      <c r="D1641">
        <v>2022</v>
      </c>
      <c r="E1641" s="49" t="s">
        <v>144</v>
      </c>
      <c r="F1641" s="49" t="s">
        <v>163</v>
      </c>
      <c r="G1641">
        <f>'Aug-Apr, 2023'!W43+'Aug-Apr, 2023'!X43</f>
        <v>75</v>
      </c>
      <c r="H1641">
        <f>'Aug-Apr, 2023'!Y43</f>
        <v>0</v>
      </c>
      <c r="I1641">
        <f>'Aug-Apr, 2023'!Z43</f>
        <v>15</v>
      </c>
      <c r="J1641">
        <f>G1641*Parameters!$B$2*Parameters!$B$5</f>
        <v>159.68249999999998</v>
      </c>
      <c r="K1641">
        <f>H1641*Parameters!$B$3*Parameters!$B$6</f>
        <v>0</v>
      </c>
      <c r="L1641">
        <f>I1641*Parameters!$B$4*Parameters!$B$7</f>
        <v>121.44600000000001</v>
      </c>
      <c r="M1641">
        <f t="shared" si="25"/>
        <v>281.12849999999997</v>
      </c>
      <c r="N1641">
        <v>3500</v>
      </c>
      <c r="O1641">
        <v>4000</v>
      </c>
      <c r="P1641">
        <v>0</v>
      </c>
      <c r="Q1641">
        <v>4500</v>
      </c>
    </row>
    <row r="1642" spans="1:17">
      <c r="A1642" t="s">
        <v>66</v>
      </c>
      <c r="B1642" t="s">
        <v>24</v>
      </c>
      <c r="C1642">
        <v>4</v>
      </c>
      <c r="D1642">
        <v>2022</v>
      </c>
      <c r="E1642" s="49" t="s">
        <v>144</v>
      </c>
      <c r="F1642" s="49" t="s">
        <v>163</v>
      </c>
      <c r="G1642">
        <f>'Aug-Apr, 2023'!W44+'Aug-Apr, 2023'!X44</f>
        <v>44</v>
      </c>
      <c r="H1642">
        <f>'Aug-Apr, 2023'!Y44</f>
        <v>0</v>
      </c>
      <c r="I1642">
        <f>'Aug-Apr, 2023'!Z44</f>
        <v>20</v>
      </c>
      <c r="J1642">
        <f>G1642*Parameters!$B$2*Parameters!$B$5</f>
        <v>93.680399999999992</v>
      </c>
      <c r="K1642">
        <f>H1642*Parameters!$B$3*Parameters!$B$6</f>
        <v>0</v>
      </c>
      <c r="L1642">
        <f>I1642*Parameters!$B$4*Parameters!$B$7</f>
        <v>161.928</v>
      </c>
      <c r="M1642">
        <f t="shared" si="25"/>
        <v>255.60839999999999</v>
      </c>
      <c r="N1642">
        <v>4400</v>
      </c>
      <c r="O1642">
        <v>0</v>
      </c>
      <c r="P1642">
        <v>0</v>
      </c>
      <c r="Q1642">
        <v>6000</v>
      </c>
    </row>
    <row r="1643" spans="1:17">
      <c r="A1643" t="s">
        <v>67</v>
      </c>
      <c r="B1643" t="s">
        <v>56</v>
      </c>
      <c r="C1643">
        <v>6</v>
      </c>
      <c r="D1643">
        <v>2022</v>
      </c>
      <c r="E1643" s="49" t="s">
        <v>144</v>
      </c>
      <c r="F1643" s="49" t="s">
        <v>163</v>
      </c>
      <c r="G1643">
        <f>'Aug-Apr, 2023'!W45+'Aug-Apr, 2023'!X45</f>
        <v>30</v>
      </c>
      <c r="H1643">
        <f>'Aug-Apr, 2023'!Y45</f>
        <v>0</v>
      </c>
      <c r="I1643">
        <f>'Aug-Apr, 2023'!Z45</f>
        <v>20</v>
      </c>
      <c r="J1643">
        <f>G1643*Parameters!$B$2*Parameters!$B$5</f>
        <v>63.87299999999999</v>
      </c>
      <c r="K1643">
        <f>H1643*Parameters!$B$3*Parameters!$B$6</f>
        <v>0</v>
      </c>
      <c r="L1643">
        <f>I1643*Parameters!$B$4*Parameters!$B$7</f>
        <v>161.928</v>
      </c>
      <c r="M1643">
        <f t="shared" si="25"/>
        <v>225.80099999999999</v>
      </c>
      <c r="N1643">
        <v>3000</v>
      </c>
      <c r="O1643">
        <v>0</v>
      </c>
      <c r="P1643">
        <v>0</v>
      </c>
      <c r="Q1643">
        <v>6000</v>
      </c>
    </row>
    <row r="1644" spans="1:17">
      <c r="A1644" t="s">
        <v>68</v>
      </c>
      <c r="B1644" t="s">
        <v>21</v>
      </c>
      <c r="C1644">
        <v>4</v>
      </c>
      <c r="D1644">
        <v>2022</v>
      </c>
      <c r="E1644" s="49" t="s">
        <v>144</v>
      </c>
      <c r="F1644" s="49" t="s">
        <v>163</v>
      </c>
      <c r="G1644">
        <f>'Aug-Apr, 2023'!W46+'Aug-Apr, 2023'!X46</f>
        <v>45</v>
      </c>
      <c r="H1644">
        <f>'Aug-Apr, 2023'!Y46</f>
        <v>0</v>
      </c>
      <c r="I1644">
        <f>'Aug-Apr, 2023'!Z46</f>
        <v>15</v>
      </c>
      <c r="J1644">
        <f>G1644*Parameters!$B$2*Parameters!$B$5</f>
        <v>95.809499999999986</v>
      </c>
      <c r="K1644">
        <f>H1644*Parameters!$B$3*Parameters!$B$6</f>
        <v>0</v>
      </c>
      <c r="L1644">
        <f>I1644*Parameters!$B$4*Parameters!$B$7</f>
        <v>121.44600000000001</v>
      </c>
      <c r="M1644">
        <f t="shared" si="25"/>
        <v>217.25549999999998</v>
      </c>
      <c r="N1644">
        <v>4500</v>
      </c>
      <c r="O1644">
        <v>0</v>
      </c>
      <c r="P1644">
        <v>0</v>
      </c>
      <c r="Q1644">
        <v>4500</v>
      </c>
    </row>
    <row r="1645" spans="1:17">
      <c r="A1645" t="s">
        <v>69</v>
      </c>
      <c r="B1645" t="s">
        <v>24</v>
      </c>
      <c r="C1645">
        <v>6</v>
      </c>
      <c r="D1645">
        <v>2022</v>
      </c>
      <c r="E1645" s="49" t="s">
        <v>144</v>
      </c>
      <c r="F1645" s="49" t="s">
        <v>163</v>
      </c>
      <c r="G1645">
        <f>'Aug-Apr, 2023'!W47+'Aug-Apr, 2023'!X47</f>
        <v>45</v>
      </c>
      <c r="H1645">
        <f>'Aug-Apr, 2023'!Y47</f>
        <v>0</v>
      </c>
      <c r="I1645">
        <f>'Aug-Apr, 2023'!Z47</f>
        <v>15</v>
      </c>
      <c r="J1645">
        <f>G1645*Parameters!$B$2*Parameters!$B$5</f>
        <v>95.809499999999986</v>
      </c>
      <c r="K1645">
        <f>H1645*Parameters!$B$3*Parameters!$B$6</f>
        <v>0</v>
      </c>
      <c r="L1645">
        <f>I1645*Parameters!$B$4*Parameters!$B$7</f>
        <v>121.44600000000001</v>
      </c>
      <c r="M1645">
        <f t="shared" si="25"/>
        <v>217.25549999999998</v>
      </c>
      <c r="N1645">
        <v>4500</v>
      </c>
      <c r="O1645">
        <v>0</v>
      </c>
      <c r="P1645">
        <v>0</v>
      </c>
      <c r="Q1645">
        <v>4500</v>
      </c>
    </row>
    <row r="1646" spans="1:17">
      <c r="A1646" t="s">
        <v>70</v>
      </c>
      <c r="B1646" t="s">
        <v>26</v>
      </c>
      <c r="C1646">
        <v>6</v>
      </c>
      <c r="D1646">
        <v>2022</v>
      </c>
      <c r="E1646" s="49" t="s">
        <v>144</v>
      </c>
      <c r="F1646" s="49" t="s">
        <v>163</v>
      </c>
      <c r="G1646">
        <f>'Aug-Apr, 2023'!W48+'Aug-Apr, 2023'!X48</f>
        <v>31</v>
      </c>
      <c r="H1646">
        <f>'Aug-Apr, 2023'!Y48</f>
        <v>0</v>
      </c>
      <c r="I1646">
        <f>'Aug-Apr, 2023'!Z48</f>
        <v>20</v>
      </c>
      <c r="J1646">
        <f>G1646*Parameters!$B$2*Parameters!$B$5</f>
        <v>66.002099999999984</v>
      </c>
      <c r="K1646">
        <f>H1646*Parameters!$B$3*Parameters!$B$6</f>
        <v>0</v>
      </c>
      <c r="L1646">
        <f>I1646*Parameters!$B$4*Parameters!$B$7</f>
        <v>161.928</v>
      </c>
      <c r="M1646">
        <f t="shared" si="25"/>
        <v>227.93009999999998</v>
      </c>
      <c r="N1646">
        <v>3100</v>
      </c>
      <c r="O1646">
        <v>0</v>
      </c>
      <c r="P1646">
        <v>0</v>
      </c>
      <c r="Q1646">
        <v>6000</v>
      </c>
    </row>
    <row r="1647" spans="1:17">
      <c r="A1647" t="s">
        <v>71</v>
      </c>
      <c r="B1647" t="s">
        <v>26</v>
      </c>
      <c r="C1647">
        <v>5</v>
      </c>
      <c r="D1647">
        <v>2022</v>
      </c>
      <c r="E1647" s="49" t="s">
        <v>144</v>
      </c>
      <c r="F1647" s="49" t="s">
        <v>163</v>
      </c>
      <c r="G1647">
        <f>'Aug-Apr, 2023'!W49+'Aug-Apr, 2023'!X49</f>
        <v>40</v>
      </c>
      <c r="H1647">
        <f>'Aug-Apr, 2023'!Y49</f>
        <v>0</v>
      </c>
      <c r="I1647">
        <f>'Aug-Apr, 2023'!Z49</f>
        <v>18</v>
      </c>
      <c r="J1647">
        <f>G1647*Parameters!$B$2*Parameters!$B$5</f>
        <v>85.163999999999987</v>
      </c>
      <c r="K1647">
        <f>H1647*Parameters!$B$3*Parameters!$B$6</f>
        <v>0</v>
      </c>
      <c r="L1647">
        <f>I1647*Parameters!$B$4*Parameters!$B$7</f>
        <v>145.73520000000002</v>
      </c>
      <c r="M1647">
        <f t="shared" si="25"/>
        <v>230.89920000000001</v>
      </c>
      <c r="N1647">
        <v>4000</v>
      </c>
      <c r="O1647">
        <v>0</v>
      </c>
      <c r="P1647">
        <v>0</v>
      </c>
      <c r="Q1647">
        <v>5400</v>
      </c>
    </row>
    <row r="1648" spans="1:17">
      <c r="A1648" t="s">
        <v>72</v>
      </c>
      <c r="B1648" t="s">
        <v>26</v>
      </c>
      <c r="C1648">
        <v>8</v>
      </c>
      <c r="D1648">
        <v>2022</v>
      </c>
      <c r="E1648" s="49" t="s">
        <v>144</v>
      </c>
      <c r="F1648" s="49" t="s">
        <v>163</v>
      </c>
      <c r="G1648">
        <f>'Aug-Apr, 2023'!W50+'Aug-Apr, 2023'!X50</f>
        <v>38</v>
      </c>
      <c r="H1648">
        <f>'Aug-Apr, 2023'!Y50</f>
        <v>0</v>
      </c>
      <c r="I1648">
        <f>'Aug-Apr, 2023'!Z50</f>
        <v>12</v>
      </c>
      <c r="J1648">
        <f>G1648*Parameters!$B$2*Parameters!$B$5</f>
        <v>80.905799999999985</v>
      </c>
      <c r="K1648">
        <f>H1648*Parameters!$B$3*Parameters!$B$6</f>
        <v>0</v>
      </c>
      <c r="L1648">
        <f>I1648*Parameters!$B$4*Parameters!$B$7</f>
        <v>97.156800000000018</v>
      </c>
      <c r="M1648">
        <f t="shared" si="25"/>
        <v>178.0626</v>
      </c>
      <c r="N1648">
        <v>3800</v>
      </c>
      <c r="O1648">
        <v>0</v>
      </c>
      <c r="P1648">
        <v>0</v>
      </c>
      <c r="Q1648">
        <v>3600</v>
      </c>
    </row>
    <row r="1649" spans="1:17">
      <c r="A1649" t="s">
        <v>73</v>
      </c>
      <c r="B1649" t="s">
        <v>17</v>
      </c>
      <c r="C1649">
        <v>4</v>
      </c>
      <c r="D1649">
        <v>2022</v>
      </c>
      <c r="E1649" s="49" t="s">
        <v>144</v>
      </c>
      <c r="F1649" s="49" t="s">
        <v>163</v>
      </c>
      <c r="G1649">
        <f>'Aug-Apr, 2023'!W51+'Aug-Apr, 2023'!X51</f>
        <v>45</v>
      </c>
      <c r="H1649">
        <f>'Aug-Apr, 2023'!Y51</f>
        <v>0</v>
      </c>
      <c r="I1649">
        <f>'Aug-Apr, 2023'!Z51</f>
        <v>10</v>
      </c>
      <c r="J1649">
        <f>G1649*Parameters!$B$2*Parameters!$B$5</f>
        <v>95.809499999999986</v>
      </c>
      <c r="K1649">
        <f>H1649*Parameters!$B$3*Parameters!$B$6</f>
        <v>0</v>
      </c>
      <c r="L1649">
        <f>I1649*Parameters!$B$4*Parameters!$B$7</f>
        <v>80.963999999999999</v>
      </c>
      <c r="M1649">
        <f t="shared" si="25"/>
        <v>176.77349999999998</v>
      </c>
      <c r="N1649">
        <v>4500</v>
      </c>
      <c r="O1649">
        <v>0</v>
      </c>
      <c r="P1649">
        <v>0</v>
      </c>
      <c r="Q1649">
        <v>3000</v>
      </c>
    </row>
    <row r="1650" spans="1:17">
      <c r="A1650" t="s">
        <v>74</v>
      </c>
      <c r="B1650" t="s">
        <v>65</v>
      </c>
      <c r="C1650">
        <v>8</v>
      </c>
      <c r="D1650">
        <v>2022</v>
      </c>
      <c r="E1650" s="49" t="s">
        <v>144</v>
      </c>
      <c r="F1650" s="49" t="s">
        <v>163</v>
      </c>
      <c r="G1650">
        <f>'Aug-Apr, 2023'!W52+'Aug-Apr, 2023'!X52</f>
        <v>38</v>
      </c>
      <c r="H1650">
        <f>'Aug-Apr, 2023'!Y52</f>
        <v>0</v>
      </c>
      <c r="I1650">
        <f>'Aug-Apr, 2023'!Z52</f>
        <v>10</v>
      </c>
      <c r="J1650">
        <f>G1650*Parameters!$B$2*Parameters!$B$5</f>
        <v>80.905799999999985</v>
      </c>
      <c r="K1650">
        <f>H1650*Parameters!$B$3*Parameters!$B$6</f>
        <v>0</v>
      </c>
      <c r="L1650">
        <f>I1650*Parameters!$B$4*Parameters!$B$7</f>
        <v>80.963999999999999</v>
      </c>
      <c r="M1650">
        <f t="shared" si="25"/>
        <v>161.8698</v>
      </c>
      <c r="N1650">
        <v>2200</v>
      </c>
      <c r="O1650">
        <v>1600</v>
      </c>
      <c r="P1650">
        <v>0</v>
      </c>
      <c r="Q1650">
        <v>3000</v>
      </c>
    </row>
    <row r="1651" spans="1:17">
      <c r="A1651" t="s">
        <v>75</v>
      </c>
      <c r="B1651" t="s">
        <v>24</v>
      </c>
      <c r="C1651">
        <v>4</v>
      </c>
      <c r="D1651">
        <v>2022</v>
      </c>
      <c r="E1651" s="49" t="s">
        <v>144</v>
      </c>
      <c r="F1651" s="49" t="s">
        <v>163</v>
      </c>
      <c r="G1651">
        <f>'Aug-Apr, 2023'!W53+'Aug-Apr, 2023'!X53</f>
        <v>33</v>
      </c>
      <c r="H1651">
        <f>'Aug-Apr, 2023'!Y53</f>
        <v>0</v>
      </c>
      <c r="I1651">
        <f>'Aug-Apr, 2023'!Z53</f>
        <v>20</v>
      </c>
      <c r="J1651">
        <f>G1651*Parameters!$B$2*Parameters!$B$5</f>
        <v>70.260300000000001</v>
      </c>
      <c r="K1651">
        <f>H1651*Parameters!$B$3*Parameters!$B$6</f>
        <v>0</v>
      </c>
      <c r="L1651">
        <f>I1651*Parameters!$B$4*Parameters!$B$7</f>
        <v>161.928</v>
      </c>
      <c r="M1651">
        <f t="shared" si="25"/>
        <v>232.1883</v>
      </c>
      <c r="N1651">
        <v>3300</v>
      </c>
      <c r="O1651">
        <v>0</v>
      </c>
      <c r="P1651">
        <v>0</v>
      </c>
      <c r="Q1651">
        <v>6000</v>
      </c>
    </row>
    <row r="1652" spans="1:17">
      <c r="A1652" t="s">
        <v>76</v>
      </c>
      <c r="B1652" t="s">
        <v>56</v>
      </c>
      <c r="C1652">
        <v>4</v>
      </c>
      <c r="D1652">
        <v>2022</v>
      </c>
      <c r="E1652" s="49" t="s">
        <v>144</v>
      </c>
      <c r="F1652" s="49" t="s">
        <v>163</v>
      </c>
      <c r="G1652">
        <f>'Aug-Apr, 2023'!W54+'Aug-Apr, 2023'!X54</f>
        <v>30</v>
      </c>
      <c r="H1652">
        <f>'Aug-Apr, 2023'!Y54</f>
        <v>0</v>
      </c>
      <c r="I1652">
        <f>'Aug-Apr, 2023'!Z54</f>
        <v>15</v>
      </c>
      <c r="J1652">
        <f>G1652*Parameters!$B$2*Parameters!$B$5</f>
        <v>63.87299999999999</v>
      </c>
      <c r="K1652">
        <f>H1652*Parameters!$B$3*Parameters!$B$6</f>
        <v>0</v>
      </c>
      <c r="L1652">
        <f>I1652*Parameters!$B$4*Parameters!$B$7</f>
        <v>121.44600000000001</v>
      </c>
      <c r="M1652">
        <f t="shared" si="25"/>
        <v>185.31900000000002</v>
      </c>
      <c r="N1652">
        <v>3000</v>
      </c>
      <c r="O1652">
        <v>0</v>
      </c>
      <c r="P1652">
        <v>0</v>
      </c>
      <c r="Q1652">
        <v>4500</v>
      </c>
    </row>
    <row r="1653" spans="1:17">
      <c r="A1653" t="s">
        <v>77</v>
      </c>
      <c r="B1653" t="s">
        <v>40</v>
      </c>
      <c r="C1653">
        <v>12</v>
      </c>
      <c r="D1653">
        <v>2022</v>
      </c>
      <c r="E1653" s="49" t="s">
        <v>144</v>
      </c>
      <c r="F1653" s="49" t="s">
        <v>163</v>
      </c>
      <c r="G1653">
        <f>'Aug-Apr, 2023'!W55+'Aug-Apr, 2023'!X55</f>
        <v>35</v>
      </c>
      <c r="H1653">
        <f>'Aug-Apr, 2023'!Y55</f>
        <v>0</v>
      </c>
      <c r="I1653">
        <f>'Aug-Apr, 2023'!Z55</f>
        <v>14</v>
      </c>
      <c r="J1653">
        <f>G1653*Parameters!$B$2*Parameters!$B$5</f>
        <v>74.518499999999989</v>
      </c>
      <c r="K1653">
        <f>H1653*Parameters!$B$3*Parameters!$B$6</f>
        <v>0</v>
      </c>
      <c r="L1653">
        <f>I1653*Parameters!$B$4*Parameters!$B$7</f>
        <v>113.34960000000001</v>
      </c>
      <c r="M1653">
        <f t="shared" si="25"/>
        <v>187.8681</v>
      </c>
      <c r="N1653">
        <v>3500</v>
      </c>
      <c r="O1653">
        <v>0</v>
      </c>
      <c r="P1653">
        <v>0</v>
      </c>
      <c r="Q1653">
        <v>4200</v>
      </c>
    </row>
    <row r="1654" spans="1:17">
      <c r="A1654" t="s">
        <v>78</v>
      </c>
      <c r="B1654" t="s">
        <v>32</v>
      </c>
      <c r="C1654">
        <v>6</v>
      </c>
      <c r="D1654">
        <v>2022</v>
      </c>
      <c r="E1654" s="49" t="s">
        <v>144</v>
      </c>
      <c r="F1654" s="49" t="s">
        <v>163</v>
      </c>
      <c r="G1654">
        <f>'Aug-Apr, 2023'!W56+'Aug-Apr, 2023'!X56</f>
        <v>38</v>
      </c>
      <c r="H1654">
        <f>'Aug-Apr, 2023'!Y56</f>
        <v>0</v>
      </c>
      <c r="I1654">
        <f>'Aug-Apr, 2023'!Z56</f>
        <v>8</v>
      </c>
      <c r="J1654">
        <f>G1654*Parameters!$B$2*Parameters!$B$5</f>
        <v>80.905799999999985</v>
      </c>
      <c r="K1654">
        <f>H1654*Parameters!$B$3*Parameters!$B$6</f>
        <v>0</v>
      </c>
      <c r="L1654">
        <f>I1654*Parameters!$B$4*Parameters!$B$7</f>
        <v>64.771200000000007</v>
      </c>
      <c r="M1654">
        <f t="shared" si="25"/>
        <v>145.67699999999999</v>
      </c>
      <c r="N1654">
        <v>3800</v>
      </c>
      <c r="O1654">
        <v>0</v>
      </c>
      <c r="P1654">
        <v>0</v>
      </c>
      <c r="Q1654">
        <v>2400</v>
      </c>
    </row>
    <row r="1655" spans="1:17">
      <c r="A1655" t="s">
        <v>79</v>
      </c>
      <c r="B1655" t="s">
        <v>40</v>
      </c>
      <c r="C1655">
        <v>4</v>
      </c>
      <c r="D1655">
        <v>2022</v>
      </c>
      <c r="E1655" s="49" t="s">
        <v>144</v>
      </c>
      <c r="F1655" s="49" t="s">
        <v>163</v>
      </c>
      <c r="G1655">
        <f>'Aug-Apr, 2023'!W57+'Aug-Apr, 2023'!X57</f>
        <v>50</v>
      </c>
      <c r="H1655">
        <f>'Aug-Apr, 2023'!Y57</f>
        <v>0</v>
      </c>
      <c r="I1655">
        <f>'Aug-Apr, 2023'!Z57</f>
        <v>6</v>
      </c>
      <c r="J1655">
        <f>G1655*Parameters!$B$2*Parameters!$B$5</f>
        <v>106.45499999999998</v>
      </c>
      <c r="K1655">
        <f>H1655*Parameters!$B$3*Parameters!$B$6</f>
        <v>0</v>
      </c>
      <c r="L1655">
        <f>I1655*Parameters!$B$4*Parameters!$B$7</f>
        <v>48.578400000000009</v>
      </c>
      <c r="M1655">
        <f t="shared" si="25"/>
        <v>155.0334</v>
      </c>
      <c r="N1655">
        <v>5000</v>
      </c>
      <c r="O1655">
        <v>0</v>
      </c>
      <c r="P1655">
        <v>0</v>
      </c>
      <c r="Q1655">
        <v>1800</v>
      </c>
    </row>
    <row r="1656" spans="1:17">
      <c r="A1656" t="s">
        <v>80</v>
      </c>
      <c r="B1656" t="s">
        <v>26</v>
      </c>
      <c r="C1656">
        <v>7</v>
      </c>
      <c r="D1656">
        <v>2022</v>
      </c>
      <c r="E1656" s="49" t="s">
        <v>144</v>
      </c>
      <c r="F1656" s="49" t="s">
        <v>163</v>
      </c>
      <c r="G1656">
        <f>'Aug-Apr, 2023'!W58+'Aug-Apr, 2023'!X58</f>
        <v>46</v>
      </c>
      <c r="H1656">
        <f>'Aug-Apr, 2023'!Y58</f>
        <v>0</v>
      </c>
      <c r="I1656">
        <f>'Aug-Apr, 2023'!Z58</f>
        <v>8</v>
      </c>
      <c r="J1656">
        <f>G1656*Parameters!$B$2*Parameters!$B$5</f>
        <v>97.938599999999994</v>
      </c>
      <c r="K1656">
        <f>H1656*Parameters!$B$3*Parameters!$B$6</f>
        <v>0</v>
      </c>
      <c r="L1656">
        <f>I1656*Parameters!$B$4*Parameters!$B$7</f>
        <v>64.771200000000007</v>
      </c>
      <c r="M1656">
        <f t="shared" si="25"/>
        <v>162.7098</v>
      </c>
      <c r="N1656">
        <v>4600</v>
      </c>
      <c r="O1656">
        <v>0</v>
      </c>
      <c r="P1656">
        <v>0</v>
      </c>
      <c r="Q1656">
        <v>2400</v>
      </c>
    </row>
    <row r="1657" spans="1:17">
      <c r="A1657" t="s">
        <v>81</v>
      </c>
      <c r="B1657" t="s">
        <v>24</v>
      </c>
      <c r="C1657">
        <v>6</v>
      </c>
      <c r="D1657">
        <v>2022</v>
      </c>
      <c r="E1657" s="49" t="s">
        <v>144</v>
      </c>
      <c r="F1657" s="49" t="s">
        <v>163</v>
      </c>
      <c r="G1657">
        <f>'Aug-Apr, 2023'!W59+'Aug-Apr, 2023'!X59</f>
        <v>40</v>
      </c>
      <c r="H1657">
        <f>'Aug-Apr, 2023'!Y59</f>
        <v>0</v>
      </c>
      <c r="I1657">
        <f>'Aug-Apr, 2023'!Z59</f>
        <v>20</v>
      </c>
      <c r="J1657">
        <f>G1657*Parameters!$B$2*Parameters!$B$5</f>
        <v>85.163999999999987</v>
      </c>
      <c r="K1657">
        <f>H1657*Parameters!$B$3*Parameters!$B$6</f>
        <v>0</v>
      </c>
      <c r="L1657">
        <f>I1657*Parameters!$B$4*Parameters!$B$7</f>
        <v>161.928</v>
      </c>
      <c r="M1657">
        <f t="shared" si="25"/>
        <v>247.09199999999998</v>
      </c>
      <c r="N1657">
        <v>4000</v>
      </c>
      <c r="O1657">
        <v>0</v>
      </c>
      <c r="P1657">
        <v>0</v>
      </c>
      <c r="Q1657">
        <v>6000</v>
      </c>
    </row>
    <row r="1658" spans="1:17">
      <c r="A1658" t="s">
        <v>82</v>
      </c>
      <c r="B1658" t="s">
        <v>83</v>
      </c>
      <c r="C1658">
        <v>4</v>
      </c>
      <c r="D1658">
        <v>2022</v>
      </c>
      <c r="E1658" s="49" t="s">
        <v>144</v>
      </c>
      <c r="F1658" s="49" t="s">
        <v>163</v>
      </c>
      <c r="G1658">
        <f>'Aug-Apr, 2023'!W60+'Aug-Apr, 2023'!X60</f>
        <v>50</v>
      </c>
      <c r="H1658">
        <f>'Aug-Apr, 2023'!Y60</f>
        <v>0</v>
      </c>
      <c r="I1658">
        <f>'Aug-Apr, 2023'!Z60</f>
        <v>8</v>
      </c>
      <c r="J1658">
        <f>G1658*Parameters!$B$2*Parameters!$B$5</f>
        <v>106.45499999999998</v>
      </c>
      <c r="K1658">
        <f>H1658*Parameters!$B$3*Parameters!$B$6</f>
        <v>0</v>
      </c>
      <c r="L1658">
        <f>I1658*Parameters!$B$4*Parameters!$B$7</f>
        <v>64.771200000000007</v>
      </c>
      <c r="M1658">
        <f t="shared" si="25"/>
        <v>171.22620000000001</v>
      </c>
      <c r="N1658">
        <v>5000</v>
      </c>
      <c r="O1658">
        <v>0</v>
      </c>
      <c r="P1658">
        <v>0</v>
      </c>
      <c r="Q1658">
        <v>2400</v>
      </c>
    </row>
    <row r="1659" spans="1:17">
      <c r="A1659" t="s">
        <v>84</v>
      </c>
      <c r="B1659" t="s">
        <v>26</v>
      </c>
      <c r="C1659">
        <v>7</v>
      </c>
      <c r="D1659">
        <v>2022</v>
      </c>
      <c r="E1659" s="49" t="s">
        <v>144</v>
      </c>
      <c r="F1659" s="49" t="s">
        <v>163</v>
      </c>
      <c r="G1659">
        <f>'Aug-Apr, 2023'!W61+'Aug-Apr, 2023'!X61</f>
        <v>45</v>
      </c>
      <c r="H1659">
        <f>'Aug-Apr, 2023'!Y61</f>
        <v>0</v>
      </c>
      <c r="I1659">
        <f>'Aug-Apr, 2023'!Z61</f>
        <v>4</v>
      </c>
      <c r="J1659">
        <f>G1659*Parameters!$B$2*Parameters!$B$5</f>
        <v>95.809499999999986</v>
      </c>
      <c r="K1659">
        <f>H1659*Parameters!$B$3*Parameters!$B$6</f>
        <v>0</v>
      </c>
      <c r="L1659">
        <f>I1659*Parameters!$B$4*Parameters!$B$7</f>
        <v>32.385600000000004</v>
      </c>
      <c r="M1659">
        <f t="shared" si="25"/>
        <v>128.1951</v>
      </c>
      <c r="N1659">
        <v>4500</v>
      </c>
      <c r="O1659">
        <v>0</v>
      </c>
      <c r="P1659">
        <v>0</v>
      </c>
      <c r="Q1659">
        <v>1200</v>
      </c>
    </row>
    <row r="1660" spans="1:17">
      <c r="A1660" t="s">
        <v>85</v>
      </c>
      <c r="B1660" t="s">
        <v>24</v>
      </c>
      <c r="C1660">
        <v>6</v>
      </c>
      <c r="D1660">
        <v>2022</v>
      </c>
      <c r="E1660" s="49" t="s">
        <v>144</v>
      </c>
      <c r="F1660" s="49" t="s">
        <v>163</v>
      </c>
      <c r="G1660">
        <f>'Aug-Apr, 2023'!W62+'Aug-Apr, 2023'!X62</f>
        <v>28</v>
      </c>
      <c r="H1660">
        <f>'Aug-Apr, 2023'!Y62</f>
        <v>0</v>
      </c>
      <c r="I1660">
        <f>'Aug-Apr, 2023'!Z62</f>
        <v>20</v>
      </c>
      <c r="J1660">
        <f>G1660*Parameters!$B$2*Parameters!$B$5</f>
        <v>59.614799999999995</v>
      </c>
      <c r="K1660">
        <f>H1660*Parameters!$B$3*Parameters!$B$6</f>
        <v>0</v>
      </c>
      <c r="L1660">
        <f>I1660*Parameters!$B$4*Parameters!$B$7</f>
        <v>161.928</v>
      </c>
      <c r="M1660">
        <f t="shared" si="25"/>
        <v>221.5428</v>
      </c>
      <c r="N1660">
        <v>2800</v>
      </c>
      <c r="O1660">
        <v>0</v>
      </c>
      <c r="P1660">
        <v>0</v>
      </c>
      <c r="Q1660">
        <v>6000</v>
      </c>
    </row>
    <row r="1661" spans="1:17">
      <c r="A1661" t="s">
        <v>86</v>
      </c>
      <c r="B1661" t="s">
        <v>32</v>
      </c>
      <c r="C1661">
        <v>4</v>
      </c>
      <c r="D1661">
        <v>2022</v>
      </c>
      <c r="E1661" s="49" t="s">
        <v>144</v>
      </c>
      <c r="F1661" s="49" t="s">
        <v>163</v>
      </c>
      <c r="G1661">
        <f>'Aug-Apr, 2023'!W63+'Aug-Apr, 2023'!X63</f>
        <v>33</v>
      </c>
      <c r="H1661">
        <f>'Aug-Apr, 2023'!Y63</f>
        <v>0</v>
      </c>
      <c r="I1661">
        <f>'Aug-Apr, 2023'!Z63</f>
        <v>10</v>
      </c>
      <c r="J1661">
        <f>G1661*Parameters!$B$2*Parameters!$B$5</f>
        <v>70.260300000000001</v>
      </c>
      <c r="K1661">
        <f>H1661*Parameters!$B$3*Parameters!$B$6</f>
        <v>0</v>
      </c>
      <c r="L1661">
        <f>I1661*Parameters!$B$4*Parameters!$B$7</f>
        <v>80.963999999999999</v>
      </c>
      <c r="M1661">
        <f t="shared" si="25"/>
        <v>151.2243</v>
      </c>
      <c r="N1661">
        <v>3300</v>
      </c>
      <c r="O1661">
        <v>0</v>
      </c>
      <c r="P1661">
        <v>0</v>
      </c>
      <c r="Q1661">
        <v>3000</v>
      </c>
    </row>
    <row r="1662" spans="1:17">
      <c r="A1662" t="s">
        <v>87</v>
      </c>
      <c r="B1662" t="s">
        <v>32</v>
      </c>
      <c r="C1662">
        <v>8</v>
      </c>
      <c r="D1662">
        <v>2022</v>
      </c>
      <c r="E1662" s="49" t="s">
        <v>144</v>
      </c>
      <c r="F1662" s="49" t="s">
        <v>163</v>
      </c>
      <c r="G1662">
        <f>'Aug-Apr, 2023'!W64+'Aug-Apr, 2023'!X64</f>
        <v>30</v>
      </c>
      <c r="H1662">
        <f>'Aug-Apr, 2023'!Y64</f>
        <v>0</v>
      </c>
      <c r="I1662">
        <f>'Aug-Apr, 2023'!Z64</f>
        <v>20</v>
      </c>
      <c r="J1662">
        <f>G1662*Parameters!$B$2*Parameters!$B$5</f>
        <v>63.87299999999999</v>
      </c>
      <c r="K1662">
        <f>H1662*Parameters!$B$3*Parameters!$B$6</f>
        <v>0</v>
      </c>
      <c r="L1662">
        <f>I1662*Parameters!$B$4*Parameters!$B$7</f>
        <v>161.928</v>
      </c>
      <c r="M1662">
        <f t="shared" si="25"/>
        <v>225.80099999999999</v>
      </c>
      <c r="N1662">
        <v>3000</v>
      </c>
      <c r="O1662">
        <v>0</v>
      </c>
      <c r="P1662">
        <v>0</v>
      </c>
      <c r="Q1662">
        <v>6000</v>
      </c>
    </row>
    <row r="1663" spans="1:17">
      <c r="A1663" t="s">
        <v>88</v>
      </c>
      <c r="B1663" t="s">
        <v>32</v>
      </c>
      <c r="C1663">
        <v>7</v>
      </c>
      <c r="D1663">
        <v>2022</v>
      </c>
      <c r="E1663" s="49" t="s">
        <v>144</v>
      </c>
      <c r="F1663" s="49" t="s">
        <v>163</v>
      </c>
      <c r="G1663">
        <f>'Aug-Apr, 2023'!W65+'Aug-Apr, 2023'!X65</f>
        <v>35</v>
      </c>
      <c r="H1663">
        <f>'Aug-Apr, 2023'!Y65</f>
        <v>0</v>
      </c>
      <c r="I1663">
        <f>'Aug-Apr, 2023'!Z65</f>
        <v>20</v>
      </c>
      <c r="J1663">
        <f>G1663*Parameters!$B$2*Parameters!$B$5</f>
        <v>74.518499999999989</v>
      </c>
      <c r="K1663">
        <f>H1663*Parameters!$B$3*Parameters!$B$6</f>
        <v>0</v>
      </c>
      <c r="L1663">
        <f>I1663*Parameters!$B$4*Parameters!$B$7</f>
        <v>161.928</v>
      </c>
      <c r="M1663">
        <f t="shared" si="25"/>
        <v>236.44649999999999</v>
      </c>
      <c r="N1663">
        <v>3500</v>
      </c>
      <c r="O1663">
        <v>0</v>
      </c>
      <c r="P1663">
        <v>0</v>
      </c>
      <c r="Q1663">
        <v>6000</v>
      </c>
    </row>
    <row r="1664" spans="1:17">
      <c r="A1664" t="s">
        <v>89</v>
      </c>
      <c r="B1664" t="s">
        <v>65</v>
      </c>
      <c r="C1664">
        <v>8</v>
      </c>
      <c r="D1664">
        <v>2022</v>
      </c>
      <c r="E1664" s="49" t="s">
        <v>144</v>
      </c>
      <c r="F1664" s="49" t="s">
        <v>163</v>
      </c>
      <c r="G1664">
        <f>'Aug-Apr, 2023'!W66+'Aug-Apr, 2023'!X66</f>
        <v>40</v>
      </c>
      <c r="H1664">
        <f>'Aug-Apr, 2023'!Y66</f>
        <v>0</v>
      </c>
      <c r="I1664">
        <f>'Aug-Apr, 2023'!Z66</f>
        <v>14</v>
      </c>
      <c r="J1664">
        <f>G1664*Parameters!$B$2*Parameters!$B$5</f>
        <v>85.163999999999987</v>
      </c>
      <c r="K1664">
        <f>H1664*Parameters!$B$3*Parameters!$B$6</f>
        <v>0</v>
      </c>
      <c r="L1664">
        <f>I1664*Parameters!$B$4*Parameters!$B$7</f>
        <v>113.34960000000001</v>
      </c>
      <c r="M1664">
        <f t="shared" si="25"/>
        <v>198.5136</v>
      </c>
      <c r="N1664">
        <v>4000</v>
      </c>
      <c r="O1664">
        <v>0</v>
      </c>
      <c r="P1664">
        <v>0</v>
      </c>
      <c r="Q1664">
        <v>4200</v>
      </c>
    </row>
    <row r="1665" spans="1:17">
      <c r="A1665" t="s">
        <v>90</v>
      </c>
      <c r="B1665" t="s">
        <v>32</v>
      </c>
      <c r="C1665">
        <v>6</v>
      </c>
      <c r="D1665">
        <v>2022</v>
      </c>
      <c r="E1665" s="49" t="s">
        <v>144</v>
      </c>
      <c r="F1665" s="49" t="s">
        <v>163</v>
      </c>
      <c r="G1665">
        <f>'Aug-Apr, 2023'!W67+'Aug-Apr, 2023'!X67</f>
        <v>42</v>
      </c>
      <c r="H1665">
        <f>'Aug-Apr, 2023'!Y67</f>
        <v>0</v>
      </c>
      <c r="I1665">
        <f>'Aug-Apr, 2023'!Z67</f>
        <v>20</v>
      </c>
      <c r="J1665">
        <f>G1665*Parameters!$B$2*Parameters!$B$5</f>
        <v>89.422199999999975</v>
      </c>
      <c r="K1665">
        <f>H1665*Parameters!$B$3*Parameters!$B$6</f>
        <v>0</v>
      </c>
      <c r="L1665">
        <f>I1665*Parameters!$B$4*Parameters!$B$7</f>
        <v>161.928</v>
      </c>
      <c r="M1665">
        <f t="shared" si="25"/>
        <v>251.35019999999997</v>
      </c>
      <c r="N1665">
        <v>4200</v>
      </c>
      <c r="O1665">
        <v>0</v>
      </c>
      <c r="P1665">
        <v>0</v>
      </c>
      <c r="Q1665">
        <v>6000</v>
      </c>
    </row>
    <row r="1666" spans="1:17">
      <c r="A1666" t="s">
        <v>91</v>
      </c>
      <c r="B1666" t="s">
        <v>24</v>
      </c>
      <c r="C1666">
        <v>6</v>
      </c>
      <c r="D1666">
        <v>2022</v>
      </c>
      <c r="E1666" s="49" t="s">
        <v>144</v>
      </c>
      <c r="F1666" s="49" t="s">
        <v>163</v>
      </c>
      <c r="G1666">
        <f>'Aug-Apr, 2023'!W68+'Aug-Apr, 2023'!X68</f>
        <v>30</v>
      </c>
      <c r="H1666">
        <f>'Aug-Apr, 2023'!Y68</f>
        <v>0</v>
      </c>
      <c r="I1666">
        <f>'Aug-Apr, 2023'!Z68</f>
        <v>20</v>
      </c>
      <c r="J1666">
        <f>G1666*Parameters!$B$2*Parameters!$B$5</f>
        <v>63.87299999999999</v>
      </c>
      <c r="K1666">
        <f>H1666*Parameters!$B$3*Parameters!$B$6</f>
        <v>0</v>
      </c>
      <c r="L1666">
        <f>I1666*Parameters!$B$4*Parameters!$B$7</f>
        <v>161.928</v>
      </c>
      <c r="M1666">
        <f t="shared" si="25"/>
        <v>225.80099999999999</v>
      </c>
      <c r="N1666">
        <v>3000</v>
      </c>
      <c r="O1666">
        <v>0</v>
      </c>
      <c r="P1666">
        <v>0</v>
      </c>
      <c r="Q1666">
        <v>6000</v>
      </c>
    </row>
    <row r="1667" spans="1:17">
      <c r="A1667" t="s">
        <v>92</v>
      </c>
      <c r="B1667" t="s">
        <v>17</v>
      </c>
      <c r="C1667">
        <v>4</v>
      </c>
      <c r="D1667">
        <v>2022</v>
      </c>
      <c r="E1667" s="49" t="s">
        <v>144</v>
      </c>
      <c r="F1667" s="49" t="s">
        <v>163</v>
      </c>
      <c r="G1667">
        <f>'Aug-Apr, 2023'!W69+'Aug-Apr, 2023'!X69</f>
        <v>56</v>
      </c>
      <c r="H1667">
        <f>'Aug-Apr, 2023'!Y69</f>
        <v>0</v>
      </c>
      <c r="I1667">
        <f>'Aug-Apr, 2023'!Z69</f>
        <v>14</v>
      </c>
      <c r="J1667">
        <f>G1667*Parameters!$B$2*Parameters!$B$5</f>
        <v>119.22959999999999</v>
      </c>
      <c r="K1667">
        <f>H1667*Parameters!$B$3*Parameters!$B$6</f>
        <v>0</v>
      </c>
      <c r="L1667">
        <f>I1667*Parameters!$B$4*Parameters!$B$7</f>
        <v>113.34960000000001</v>
      </c>
      <c r="M1667">
        <f t="shared" ref="M1667:M1730" si="26">SUM(J1667:L1667)</f>
        <v>232.57920000000001</v>
      </c>
      <c r="N1667">
        <v>4600</v>
      </c>
      <c r="O1667">
        <v>1000</v>
      </c>
      <c r="P1667">
        <v>0</v>
      </c>
      <c r="Q1667">
        <v>4200</v>
      </c>
    </row>
    <row r="1668" spans="1:17">
      <c r="A1668" t="s">
        <v>93</v>
      </c>
      <c r="B1668" t="s">
        <v>19</v>
      </c>
      <c r="C1668">
        <v>7</v>
      </c>
      <c r="D1668">
        <v>2022</v>
      </c>
      <c r="E1668" s="49" t="s">
        <v>144</v>
      </c>
      <c r="F1668" s="49" t="s">
        <v>163</v>
      </c>
      <c r="G1668">
        <f>'Aug-Apr, 2023'!W70+'Aug-Apr, 2023'!X70</f>
        <v>52</v>
      </c>
      <c r="H1668">
        <f>'Aug-Apr, 2023'!Y70</f>
        <v>0</v>
      </c>
      <c r="I1668">
        <f>'Aug-Apr, 2023'!Z70</f>
        <v>15</v>
      </c>
      <c r="J1668">
        <f>G1668*Parameters!$B$2*Parameters!$B$5</f>
        <v>110.71319999999999</v>
      </c>
      <c r="K1668">
        <f>H1668*Parameters!$B$3*Parameters!$B$6</f>
        <v>0</v>
      </c>
      <c r="L1668">
        <f>I1668*Parameters!$B$4*Parameters!$B$7</f>
        <v>121.44600000000001</v>
      </c>
      <c r="M1668">
        <f t="shared" si="26"/>
        <v>232.1592</v>
      </c>
      <c r="N1668">
        <v>5200</v>
      </c>
      <c r="O1668">
        <v>0</v>
      </c>
      <c r="P1668">
        <v>0</v>
      </c>
      <c r="Q1668">
        <v>4500</v>
      </c>
    </row>
    <row r="1669" spans="1:17">
      <c r="A1669" t="s">
        <v>94</v>
      </c>
      <c r="B1669" t="s">
        <v>19</v>
      </c>
      <c r="C1669">
        <v>6</v>
      </c>
      <c r="D1669">
        <v>2022</v>
      </c>
      <c r="E1669" s="49" t="s">
        <v>144</v>
      </c>
      <c r="F1669" s="49" t="s">
        <v>163</v>
      </c>
      <c r="G1669">
        <f>'Aug-Apr, 2023'!W71+'Aug-Apr, 2023'!X71</f>
        <v>60</v>
      </c>
      <c r="H1669">
        <f>'Aug-Apr, 2023'!Y71</f>
        <v>0</v>
      </c>
      <c r="I1669">
        <f>'Aug-Apr, 2023'!Z71</f>
        <v>8</v>
      </c>
      <c r="J1669">
        <f>G1669*Parameters!$B$2*Parameters!$B$5</f>
        <v>127.74599999999998</v>
      </c>
      <c r="K1669">
        <f>H1669*Parameters!$B$3*Parameters!$B$6</f>
        <v>0</v>
      </c>
      <c r="L1669">
        <f>I1669*Parameters!$B$4*Parameters!$B$7</f>
        <v>64.771200000000007</v>
      </c>
      <c r="M1669">
        <f t="shared" si="26"/>
        <v>192.5172</v>
      </c>
      <c r="N1669">
        <v>6000</v>
      </c>
      <c r="O1669">
        <v>0</v>
      </c>
      <c r="P1669">
        <v>0</v>
      </c>
      <c r="Q1669">
        <v>2400</v>
      </c>
    </row>
    <row r="1670" spans="1:17">
      <c r="A1670" t="s">
        <v>95</v>
      </c>
      <c r="B1670" t="s">
        <v>26</v>
      </c>
      <c r="C1670">
        <v>8</v>
      </c>
      <c r="D1670">
        <v>2022</v>
      </c>
      <c r="E1670" s="49" t="s">
        <v>144</v>
      </c>
      <c r="F1670" s="49" t="s">
        <v>163</v>
      </c>
      <c r="G1670">
        <f>'Aug-Apr, 2023'!W72+'Aug-Apr, 2023'!X72</f>
        <v>48</v>
      </c>
      <c r="H1670">
        <f>'Aug-Apr, 2023'!Y72</f>
        <v>0</v>
      </c>
      <c r="I1670">
        <f>'Aug-Apr, 2023'!Z72</f>
        <v>12</v>
      </c>
      <c r="J1670">
        <f>G1670*Parameters!$B$2*Parameters!$B$5</f>
        <v>102.19679999999998</v>
      </c>
      <c r="K1670">
        <f>H1670*Parameters!$B$3*Parameters!$B$6</f>
        <v>0</v>
      </c>
      <c r="L1670">
        <f>I1670*Parameters!$B$4*Parameters!$B$7</f>
        <v>97.156800000000018</v>
      </c>
      <c r="M1670">
        <f t="shared" si="26"/>
        <v>199.3536</v>
      </c>
      <c r="N1670">
        <v>4800</v>
      </c>
      <c r="O1670">
        <v>0</v>
      </c>
      <c r="P1670">
        <v>0</v>
      </c>
      <c r="Q1670">
        <v>3600</v>
      </c>
    </row>
    <row r="1671" spans="1:17">
      <c r="A1671" t="s">
        <v>96</v>
      </c>
      <c r="B1671" t="s">
        <v>19</v>
      </c>
      <c r="C1671">
        <v>8</v>
      </c>
      <c r="D1671">
        <v>2022</v>
      </c>
      <c r="E1671" s="49" t="s">
        <v>144</v>
      </c>
      <c r="F1671" s="49" t="s">
        <v>163</v>
      </c>
      <c r="G1671">
        <f>'Aug-Apr, 2023'!W73+'Aug-Apr, 2023'!X73</f>
        <v>35</v>
      </c>
      <c r="H1671">
        <f>'Aug-Apr, 2023'!Y73</f>
        <v>0</v>
      </c>
      <c r="I1671">
        <f>'Aug-Apr, 2023'!Z73</f>
        <v>10</v>
      </c>
      <c r="J1671">
        <f>G1671*Parameters!$B$2*Parameters!$B$5</f>
        <v>74.518499999999989</v>
      </c>
      <c r="K1671">
        <f>H1671*Parameters!$B$3*Parameters!$B$6</f>
        <v>0</v>
      </c>
      <c r="L1671">
        <f>I1671*Parameters!$B$4*Parameters!$B$7</f>
        <v>80.963999999999999</v>
      </c>
      <c r="M1671">
        <f t="shared" si="26"/>
        <v>155.48249999999999</v>
      </c>
      <c r="N1671">
        <v>3500</v>
      </c>
      <c r="O1671">
        <v>0</v>
      </c>
      <c r="P1671">
        <v>0</v>
      </c>
      <c r="Q1671">
        <v>3000</v>
      </c>
    </row>
    <row r="1672" spans="1:17">
      <c r="A1672" t="s">
        <v>97</v>
      </c>
      <c r="B1672" t="s">
        <v>17</v>
      </c>
      <c r="C1672">
        <v>4</v>
      </c>
      <c r="D1672">
        <v>2022</v>
      </c>
      <c r="E1672" s="49" t="s">
        <v>144</v>
      </c>
      <c r="F1672" s="49" t="s">
        <v>163</v>
      </c>
      <c r="G1672">
        <f>'Aug-Apr, 2023'!W74+'Aug-Apr, 2023'!X74</f>
        <v>32</v>
      </c>
      <c r="H1672">
        <f>'Aug-Apr, 2023'!Y74</f>
        <v>0</v>
      </c>
      <c r="I1672">
        <f>'Aug-Apr, 2023'!Z74</f>
        <v>18</v>
      </c>
      <c r="J1672">
        <f>G1672*Parameters!$B$2*Parameters!$B$5</f>
        <v>68.131199999999993</v>
      </c>
      <c r="K1672">
        <f>H1672*Parameters!$B$3*Parameters!$B$6</f>
        <v>0</v>
      </c>
      <c r="L1672">
        <f>I1672*Parameters!$B$4*Parameters!$B$7</f>
        <v>145.73520000000002</v>
      </c>
      <c r="M1672">
        <f t="shared" si="26"/>
        <v>213.8664</v>
      </c>
      <c r="N1672">
        <v>3200</v>
      </c>
      <c r="O1672">
        <v>0</v>
      </c>
      <c r="P1672">
        <v>0</v>
      </c>
      <c r="Q1672">
        <v>5400</v>
      </c>
    </row>
    <row r="1673" spans="1:17">
      <c r="A1673" t="s">
        <v>98</v>
      </c>
      <c r="B1673" t="s">
        <v>65</v>
      </c>
      <c r="C1673">
        <v>5</v>
      </c>
      <c r="D1673">
        <v>2022</v>
      </c>
      <c r="E1673" s="49" t="s">
        <v>144</v>
      </c>
      <c r="F1673" s="49" t="s">
        <v>163</v>
      </c>
      <c r="G1673">
        <f>'Aug-Apr, 2023'!W75+'Aug-Apr, 2023'!X75</f>
        <v>28</v>
      </c>
      <c r="H1673">
        <f>'Aug-Apr, 2023'!Y75</f>
        <v>0</v>
      </c>
      <c r="I1673">
        <f>'Aug-Apr, 2023'!Z75</f>
        <v>12</v>
      </c>
      <c r="J1673">
        <f>G1673*Parameters!$B$2*Parameters!$B$5</f>
        <v>59.614799999999995</v>
      </c>
      <c r="K1673">
        <f>H1673*Parameters!$B$3*Parameters!$B$6</f>
        <v>0</v>
      </c>
      <c r="L1673">
        <f>I1673*Parameters!$B$4*Parameters!$B$7</f>
        <v>97.156800000000018</v>
      </c>
      <c r="M1673">
        <f t="shared" si="26"/>
        <v>156.77160000000001</v>
      </c>
      <c r="N1673">
        <v>2200</v>
      </c>
      <c r="O1673">
        <v>600</v>
      </c>
      <c r="P1673">
        <v>0</v>
      </c>
      <c r="Q1673">
        <v>3600</v>
      </c>
    </row>
    <row r="1674" spans="1:17">
      <c r="A1674" t="s">
        <v>99</v>
      </c>
      <c r="B1674" t="s">
        <v>32</v>
      </c>
      <c r="C1674">
        <v>9</v>
      </c>
      <c r="D1674">
        <v>2022</v>
      </c>
      <c r="E1674" s="49" t="s">
        <v>144</v>
      </c>
      <c r="F1674" s="49" t="s">
        <v>163</v>
      </c>
      <c r="G1674">
        <f>'Aug-Apr, 2023'!W76+'Aug-Apr, 2023'!X76</f>
        <v>40</v>
      </c>
      <c r="H1674">
        <f>'Aug-Apr, 2023'!Y76</f>
        <v>0</v>
      </c>
      <c r="I1674">
        <f>'Aug-Apr, 2023'!Z76</f>
        <v>8</v>
      </c>
      <c r="J1674">
        <f>G1674*Parameters!$B$2*Parameters!$B$5</f>
        <v>85.163999999999987</v>
      </c>
      <c r="K1674">
        <f>H1674*Parameters!$B$3*Parameters!$B$6</f>
        <v>0</v>
      </c>
      <c r="L1674">
        <f>I1674*Parameters!$B$4*Parameters!$B$7</f>
        <v>64.771200000000007</v>
      </c>
      <c r="M1674">
        <f t="shared" si="26"/>
        <v>149.93520000000001</v>
      </c>
      <c r="N1674">
        <v>4000</v>
      </c>
      <c r="O1674">
        <v>0</v>
      </c>
      <c r="P1674">
        <v>0</v>
      </c>
      <c r="Q1674">
        <v>2400</v>
      </c>
    </row>
    <row r="1675" spans="1:17">
      <c r="A1675" t="s">
        <v>100</v>
      </c>
      <c r="B1675" t="s">
        <v>40</v>
      </c>
      <c r="C1675">
        <v>8</v>
      </c>
      <c r="D1675">
        <v>2022</v>
      </c>
      <c r="E1675" s="49" t="s">
        <v>144</v>
      </c>
      <c r="F1675" s="49" t="s">
        <v>163</v>
      </c>
      <c r="G1675">
        <f>'Aug-Apr, 2023'!W77+'Aug-Apr, 2023'!X77</f>
        <v>30</v>
      </c>
      <c r="H1675">
        <f>'Aug-Apr, 2023'!Y77</f>
        <v>0</v>
      </c>
      <c r="I1675">
        <f>'Aug-Apr, 2023'!Z77</f>
        <v>6</v>
      </c>
      <c r="J1675">
        <f>G1675*Parameters!$B$2*Parameters!$B$5</f>
        <v>63.87299999999999</v>
      </c>
      <c r="K1675">
        <f>H1675*Parameters!$B$3*Parameters!$B$6</f>
        <v>0</v>
      </c>
      <c r="L1675">
        <f>I1675*Parameters!$B$4*Parameters!$B$7</f>
        <v>48.578400000000009</v>
      </c>
      <c r="M1675">
        <f t="shared" si="26"/>
        <v>112.45140000000001</v>
      </c>
      <c r="N1675">
        <v>3000</v>
      </c>
      <c r="O1675">
        <v>0</v>
      </c>
      <c r="P1675">
        <v>0</v>
      </c>
      <c r="Q1675">
        <v>1800</v>
      </c>
    </row>
    <row r="1676" spans="1:17">
      <c r="A1676" t="s">
        <v>101</v>
      </c>
      <c r="B1676" t="s">
        <v>38</v>
      </c>
      <c r="C1676">
        <v>5</v>
      </c>
      <c r="D1676">
        <v>2022</v>
      </c>
      <c r="E1676" s="49" t="s">
        <v>144</v>
      </c>
      <c r="F1676" s="49" t="s">
        <v>163</v>
      </c>
      <c r="G1676">
        <f>'Aug-Apr, 2023'!W78+'Aug-Apr, 2023'!X78</f>
        <v>38</v>
      </c>
      <c r="H1676">
        <f>'Aug-Apr, 2023'!Y78</f>
        <v>0</v>
      </c>
      <c r="I1676">
        <f>'Aug-Apr, 2023'!Z78</f>
        <v>18</v>
      </c>
      <c r="J1676">
        <f>G1676*Parameters!$B$2*Parameters!$B$5</f>
        <v>80.905799999999985</v>
      </c>
      <c r="K1676">
        <f>H1676*Parameters!$B$3*Parameters!$B$6</f>
        <v>0</v>
      </c>
      <c r="L1676">
        <f>I1676*Parameters!$B$4*Parameters!$B$7</f>
        <v>145.73520000000002</v>
      </c>
      <c r="M1676">
        <f t="shared" si="26"/>
        <v>226.64100000000002</v>
      </c>
      <c r="N1676">
        <v>3800</v>
      </c>
      <c r="O1676">
        <v>0</v>
      </c>
      <c r="P1676">
        <v>0</v>
      </c>
      <c r="Q1676">
        <v>5400</v>
      </c>
    </row>
    <row r="1677" spans="1:17">
      <c r="A1677" t="s">
        <v>102</v>
      </c>
      <c r="B1677" t="s">
        <v>17</v>
      </c>
      <c r="C1677">
        <v>4</v>
      </c>
      <c r="D1677">
        <v>2022</v>
      </c>
      <c r="E1677" s="49" t="s">
        <v>144</v>
      </c>
      <c r="F1677" s="49" t="s">
        <v>163</v>
      </c>
      <c r="G1677">
        <f>'Aug-Apr, 2023'!W79+'Aug-Apr, 2023'!X79</f>
        <v>50</v>
      </c>
      <c r="H1677">
        <f>'Aug-Apr, 2023'!Y79</f>
        <v>0</v>
      </c>
      <c r="I1677">
        <f>'Aug-Apr, 2023'!Z79</f>
        <v>3</v>
      </c>
      <c r="J1677">
        <f>G1677*Parameters!$B$2*Parameters!$B$5</f>
        <v>106.45499999999998</v>
      </c>
      <c r="K1677">
        <f>H1677*Parameters!$B$3*Parameters!$B$6</f>
        <v>0</v>
      </c>
      <c r="L1677">
        <f>I1677*Parameters!$B$4*Parameters!$B$7</f>
        <v>24.289200000000005</v>
      </c>
      <c r="M1677">
        <f t="shared" si="26"/>
        <v>130.74419999999998</v>
      </c>
      <c r="N1677">
        <v>5000</v>
      </c>
      <c r="O1677">
        <v>0</v>
      </c>
      <c r="P1677">
        <v>0</v>
      </c>
      <c r="Q1677">
        <v>900</v>
      </c>
    </row>
    <row r="1678" spans="1:17">
      <c r="A1678" t="s">
        <v>103</v>
      </c>
      <c r="B1678" t="s">
        <v>26</v>
      </c>
      <c r="C1678">
        <v>6</v>
      </c>
      <c r="D1678">
        <v>2022</v>
      </c>
      <c r="E1678" s="49" t="s">
        <v>144</v>
      </c>
      <c r="F1678" s="49" t="s">
        <v>163</v>
      </c>
      <c r="G1678">
        <f>'Aug-Apr, 2023'!W80+'Aug-Apr, 2023'!X80</f>
        <v>30</v>
      </c>
      <c r="H1678">
        <f>'Aug-Apr, 2023'!Y80</f>
        <v>0</v>
      </c>
      <c r="I1678">
        <f>'Aug-Apr, 2023'!Z80</f>
        <v>16</v>
      </c>
      <c r="J1678">
        <f>G1678*Parameters!$B$2*Parameters!$B$5</f>
        <v>63.87299999999999</v>
      </c>
      <c r="K1678">
        <f>H1678*Parameters!$B$3*Parameters!$B$6</f>
        <v>0</v>
      </c>
      <c r="L1678">
        <f>I1678*Parameters!$B$4*Parameters!$B$7</f>
        <v>129.54240000000001</v>
      </c>
      <c r="M1678">
        <f t="shared" si="26"/>
        <v>193.41540000000001</v>
      </c>
      <c r="N1678">
        <v>3000</v>
      </c>
      <c r="O1678">
        <v>0</v>
      </c>
      <c r="P1678">
        <v>0</v>
      </c>
      <c r="Q1678">
        <v>4800</v>
      </c>
    </row>
    <row r="1679" spans="1:17">
      <c r="A1679" t="s">
        <v>104</v>
      </c>
      <c r="B1679" t="s">
        <v>26</v>
      </c>
      <c r="C1679">
        <v>7</v>
      </c>
      <c r="D1679">
        <v>2022</v>
      </c>
      <c r="E1679" s="49" t="s">
        <v>144</v>
      </c>
      <c r="F1679" s="49" t="s">
        <v>163</v>
      </c>
      <c r="G1679">
        <f>'Aug-Apr, 2023'!W81+'Aug-Apr, 2023'!X81</f>
        <v>36</v>
      </c>
      <c r="H1679">
        <f>'Aug-Apr, 2023'!Y81</f>
        <v>0</v>
      </c>
      <c r="I1679">
        <f>'Aug-Apr, 2023'!Z81</f>
        <v>12</v>
      </c>
      <c r="J1679">
        <f>G1679*Parameters!$B$2*Parameters!$B$5</f>
        <v>76.647599999999997</v>
      </c>
      <c r="K1679">
        <f>H1679*Parameters!$B$3*Parameters!$B$6</f>
        <v>0</v>
      </c>
      <c r="L1679">
        <f>I1679*Parameters!$B$4*Parameters!$B$7</f>
        <v>97.156800000000018</v>
      </c>
      <c r="M1679">
        <f t="shared" si="26"/>
        <v>173.80440000000002</v>
      </c>
      <c r="N1679">
        <v>3600</v>
      </c>
      <c r="O1679">
        <v>0</v>
      </c>
      <c r="P1679">
        <v>0</v>
      </c>
      <c r="Q1679">
        <v>3600</v>
      </c>
    </row>
    <row r="1680" spans="1:17">
      <c r="A1680" t="s">
        <v>105</v>
      </c>
      <c r="B1680" t="s">
        <v>21</v>
      </c>
      <c r="C1680">
        <v>5</v>
      </c>
      <c r="D1680">
        <v>2022</v>
      </c>
      <c r="E1680" s="49" t="s">
        <v>144</v>
      </c>
      <c r="F1680" s="49" t="s">
        <v>163</v>
      </c>
      <c r="G1680">
        <f>'Aug-Apr, 2023'!W82+'Aug-Apr, 2023'!X82</f>
        <v>40</v>
      </c>
      <c r="H1680">
        <f>'Aug-Apr, 2023'!Y82</f>
        <v>0</v>
      </c>
      <c r="I1680">
        <f>'Aug-Apr, 2023'!Z82</f>
        <v>20</v>
      </c>
      <c r="J1680">
        <f>G1680*Parameters!$B$2*Parameters!$B$5</f>
        <v>85.163999999999987</v>
      </c>
      <c r="K1680">
        <f>H1680*Parameters!$B$3*Parameters!$B$6</f>
        <v>0</v>
      </c>
      <c r="L1680">
        <f>I1680*Parameters!$B$4*Parameters!$B$7</f>
        <v>161.928</v>
      </c>
      <c r="M1680">
        <f t="shared" si="26"/>
        <v>247.09199999999998</v>
      </c>
      <c r="N1680">
        <v>4000</v>
      </c>
      <c r="O1680">
        <v>0</v>
      </c>
      <c r="P1680">
        <v>0</v>
      </c>
      <c r="Q1680">
        <v>6000</v>
      </c>
    </row>
    <row r="1681" spans="1:17">
      <c r="A1681" t="s">
        <v>106</v>
      </c>
      <c r="B1681" t="s">
        <v>24</v>
      </c>
      <c r="C1681">
        <v>6</v>
      </c>
      <c r="D1681">
        <v>2022</v>
      </c>
      <c r="E1681" s="49" t="s">
        <v>144</v>
      </c>
      <c r="F1681" s="49" t="s">
        <v>163</v>
      </c>
      <c r="G1681">
        <f>'Aug-Apr, 2023'!W83+'Aug-Apr, 2023'!X83</f>
        <v>42</v>
      </c>
      <c r="H1681">
        <f>'Aug-Apr, 2023'!Y83</f>
        <v>0</v>
      </c>
      <c r="I1681">
        <f>'Aug-Apr, 2023'!Z83</f>
        <v>10</v>
      </c>
      <c r="J1681">
        <f>G1681*Parameters!$B$2*Parameters!$B$5</f>
        <v>89.422199999999975</v>
      </c>
      <c r="K1681">
        <f>H1681*Parameters!$B$3*Parameters!$B$6</f>
        <v>0</v>
      </c>
      <c r="L1681">
        <f>I1681*Parameters!$B$4*Parameters!$B$7</f>
        <v>80.963999999999999</v>
      </c>
      <c r="M1681">
        <f t="shared" si="26"/>
        <v>170.38619999999997</v>
      </c>
      <c r="N1681">
        <v>4200</v>
      </c>
      <c r="O1681">
        <v>0</v>
      </c>
      <c r="P1681">
        <v>0</v>
      </c>
      <c r="Q1681">
        <v>3000</v>
      </c>
    </row>
    <row r="1682" spans="1:17">
      <c r="A1682" t="s">
        <v>107</v>
      </c>
      <c r="B1682" t="s">
        <v>21</v>
      </c>
      <c r="C1682">
        <v>4</v>
      </c>
      <c r="D1682">
        <v>2022</v>
      </c>
      <c r="E1682" s="49" t="s">
        <v>144</v>
      </c>
      <c r="F1682" s="49" t="s">
        <v>163</v>
      </c>
      <c r="G1682">
        <f>'Aug-Apr, 2023'!W84+'Aug-Apr, 2023'!X84</f>
        <v>32</v>
      </c>
      <c r="H1682">
        <f>'Aug-Apr, 2023'!Y84</f>
        <v>0</v>
      </c>
      <c r="I1682">
        <f>'Aug-Apr, 2023'!Z84</f>
        <v>0</v>
      </c>
      <c r="J1682">
        <f>G1682*Parameters!$B$2*Parameters!$B$5</f>
        <v>68.131199999999993</v>
      </c>
      <c r="K1682">
        <f>H1682*Parameters!$B$3*Parameters!$B$6</f>
        <v>0</v>
      </c>
      <c r="L1682">
        <f>I1682*Parameters!$B$4*Parameters!$B$7</f>
        <v>0</v>
      </c>
      <c r="M1682">
        <f t="shared" si="26"/>
        <v>68.131199999999993</v>
      </c>
      <c r="N1682">
        <v>3200</v>
      </c>
      <c r="O1682">
        <v>0</v>
      </c>
      <c r="P1682">
        <v>0</v>
      </c>
      <c r="Q1682">
        <v>0</v>
      </c>
    </row>
    <row r="1683" spans="1:17">
      <c r="A1683" t="s">
        <v>108</v>
      </c>
      <c r="B1683" t="s">
        <v>24</v>
      </c>
      <c r="C1683">
        <v>5</v>
      </c>
      <c r="D1683">
        <v>2022</v>
      </c>
      <c r="E1683" s="49" t="s">
        <v>144</v>
      </c>
      <c r="F1683" s="49" t="s">
        <v>163</v>
      </c>
      <c r="G1683">
        <f>'Aug-Apr, 2023'!W85+'Aug-Apr, 2023'!X85</f>
        <v>43</v>
      </c>
      <c r="H1683">
        <f>'Aug-Apr, 2023'!Y85</f>
        <v>0</v>
      </c>
      <c r="I1683">
        <f>'Aug-Apr, 2023'!Z85</f>
        <v>18</v>
      </c>
      <c r="J1683">
        <f>G1683*Parameters!$B$2*Parameters!$B$5</f>
        <v>91.551299999999983</v>
      </c>
      <c r="K1683">
        <f>H1683*Parameters!$B$3*Parameters!$B$6</f>
        <v>0</v>
      </c>
      <c r="L1683">
        <f>I1683*Parameters!$B$4*Parameters!$B$7</f>
        <v>145.73520000000002</v>
      </c>
      <c r="M1683">
        <f t="shared" si="26"/>
        <v>237.28649999999999</v>
      </c>
      <c r="N1683">
        <v>4300</v>
      </c>
      <c r="O1683">
        <v>0</v>
      </c>
      <c r="P1683">
        <v>0</v>
      </c>
      <c r="Q1683">
        <v>5400</v>
      </c>
    </row>
    <row r="1684" spans="1:17">
      <c r="A1684" t="s">
        <v>109</v>
      </c>
      <c r="B1684" t="s">
        <v>32</v>
      </c>
      <c r="C1684">
        <v>6</v>
      </c>
      <c r="D1684">
        <v>2022</v>
      </c>
      <c r="E1684" s="49" t="s">
        <v>144</v>
      </c>
      <c r="F1684" s="49" t="s">
        <v>163</v>
      </c>
      <c r="G1684">
        <f>'Aug-Apr, 2023'!W86+'Aug-Apr, 2023'!X86</f>
        <v>36</v>
      </c>
      <c r="H1684">
        <f>'Aug-Apr, 2023'!Y86</f>
        <v>0</v>
      </c>
      <c r="I1684">
        <f>'Aug-Apr, 2023'!Z86</f>
        <v>6</v>
      </c>
      <c r="J1684">
        <f>G1684*Parameters!$B$2*Parameters!$B$5</f>
        <v>76.647599999999997</v>
      </c>
      <c r="K1684">
        <f>H1684*Parameters!$B$3*Parameters!$B$6</f>
        <v>0</v>
      </c>
      <c r="L1684">
        <f>I1684*Parameters!$B$4*Parameters!$B$7</f>
        <v>48.578400000000009</v>
      </c>
      <c r="M1684">
        <f t="shared" si="26"/>
        <v>125.226</v>
      </c>
      <c r="N1684">
        <v>3600</v>
      </c>
      <c r="O1684">
        <v>0</v>
      </c>
      <c r="P1684">
        <v>0</v>
      </c>
      <c r="Q1684">
        <v>1800</v>
      </c>
    </row>
    <row r="1685" spans="1:17">
      <c r="A1685" t="s">
        <v>110</v>
      </c>
      <c r="B1685" t="s">
        <v>21</v>
      </c>
      <c r="C1685">
        <v>3</v>
      </c>
      <c r="D1685">
        <v>2022</v>
      </c>
      <c r="E1685" s="49" t="s">
        <v>144</v>
      </c>
      <c r="F1685" s="49" t="s">
        <v>163</v>
      </c>
      <c r="G1685">
        <f>'Aug-Apr, 2023'!W87+'Aug-Apr, 2023'!X87</f>
        <v>32</v>
      </c>
      <c r="H1685">
        <f>'Aug-Apr, 2023'!Y87</f>
        <v>0</v>
      </c>
      <c r="I1685">
        <f>'Aug-Apr, 2023'!Z87</f>
        <v>11</v>
      </c>
      <c r="J1685">
        <f>G1685*Parameters!$B$2*Parameters!$B$5</f>
        <v>68.131199999999993</v>
      </c>
      <c r="K1685">
        <f>H1685*Parameters!$B$3*Parameters!$B$6</f>
        <v>0</v>
      </c>
      <c r="L1685">
        <f>I1685*Parameters!$B$4*Parameters!$B$7</f>
        <v>89.060400000000016</v>
      </c>
      <c r="M1685">
        <f t="shared" si="26"/>
        <v>157.19159999999999</v>
      </c>
      <c r="N1685">
        <v>3200</v>
      </c>
      <c r="O1685">
        <v>0</v>
      </c>
      <c r="P1685">
        <v>0</v>
      </c>
      <c r="Q1685">
        <v>3300</v>
      </c>
    </row>
    <row r="1686" spans="1:17">
      <c r="A1686" t="s">
        <v>111</v>
      </c>
      <c r="B1686" t="s">
        <v>26</v>
      </c>
      <c r="C1686">
        <v>6</v>
      </c>
      <c r="D1686">
        <v>2022</v>
      </c>
      <c r="E1686" s="49" t="s">
        <v>144</v>
      </c>
      <c r="F1686" s="49" t="s">
        <v>163</v>
      </c>
      <c r="G1686">
        <f>'Aug-Apr, 2023'!W88+'Aug-Apr, 2023'!X88</f>
        <v>34</v>
      </c>
      <c r="H1686">
        <f>'Aug-Apr, 2023'!Y88</f>
        <v>0</v>
      </c>
      <c r="I1686">
        <f>'Aug-Apr, 2023'!Z88</f>
        <v>12</v>
      </c>
      <c r="J1686">
        <f>G1686*Parameters!$B$2*Parameters!$B$5</f>
        <v>72.389399999999995</v>
      </c>
      <c r="K1686">
        <f>H1686*Parameters!$B$3*Parameters!$B$6</f>
        <v>0</v>
      </c>
      <c r="L1686">
        <f>I1686*Parameters!$B$4*Parameters!$B$7</f>
        <v>97.156800000000018</v>
      </c>
      <c r="M1686">
        <f t="shared" si="26"/>
        <v>169.5462</v>
      </c>
      <c r="N1686">
        <v>3400</v>
      </c>
      <c r="O1686">
        <v>0</v>
      </c>
      <c r="P1686">
        <v>0</v>
      </c>
      <c r="Q1686">
        <v>3600</v>
      </c>
    </row>
    <row r="1687" spans="1:17">
      <c r="A1687" t="s">
        <v>112</v>
      </c>
      <c r="B1687" t="s">
        <v>19</v>
      </c>
      <c r="C1687">
        <v>7</v>
      </c>
      <c r="D1687">
        <v>2022</v>
      </c>
      <c r="E1687" s="49" t="s">
        <v>144</v>
      </c>
      <c r="F1687" s="49" t="s">
        <v>163</v>
      </c>
      <c r="G1687">
        <f>'Aug-Apr, 2023'!W89+'Aug-Apr, 2023'!X89</f>
        <v>68</v>
      </c>
      <c r="H1687">
        <f>'Aug-Apr, 2023'!Y89</f>
        <v>0</v>
      </c>
      <c r="I1687">
        <f>'Aug-Apr, 2023'!Z89</f>
        <v>12</v>
      </c>
      <c r="J1687">
        <f>G1687*Parameters!$B$2*Parameters!$B$5</f>
        <v>144.77879999999999</v>
      </c>
      <c r="K1687">
        <f>H1687*Parameters!$B$3*Parameters!$B$6</f>
        <v>0</v>
      </c>
      <c r="L1687">
        <f>I1687*Parameters!$B$4*Parameters!$B$7</f>
        <v>97.156800000000018</v>
      </c>
      <c r="M1687">
        <f t="shared" si="26"/>
        <v>241.93560000000002</v>
      </c>
      <c r="N1687">
        <v>3800</v>
      </c>
      <c r="O1687">
        <v>3000</v>
      </c>
      <c r="P1687">
        <v>0</v>
      </c>
      <c r="Q1687">
        <v>3600</v>
      </c>
    </row>
    <row r="1688" spans="1:17">
      <c r="A1688" t="s">
        <v>113</v>
      </c>
      <c r="B1688" t="s">
        <v>26</v>
      </c>
      <c r="C1688">
        <v>4</v>
      </c>
      <c r="D1688">
        <v>2022</v>
      </c>
      <c r="E1688" s="49" t="s">
        <v>144</v>
      </c>
      <c r="F1688" s="49" t="s">
        <v>163</v>
      </c>
      <c r="G1688">
        <f>'Aug-Apr, 2023'!W90+'Aug-Apr, 2023'!X90</f>
        <v>35</v>
      </c>
      <c r="H1688">
        <f>'Aug-Apr, 2023'!Y90</f>
        <v>0</v>
      </c>
      <c r="I1688">
        <f>'Aug-Apr, 2023'!Z90</f>
        <v>8</v>
      </c>
      <c r="J1688">
        <f>G1688*Parameters!$B$2*Parameters!$B$5</f>
        <v>74.518499999999989</v>
      </c>
      <c r="K1688">
        <f>H1688*Parameters!$B$3*Parameters!$B$6</f>
        <v>0</v>
      </c>
      <c r="L1688">
        <f>I1688*Parameters!$B$4*Parameters!$B$7</f>
        <v>64.771200000000007</v>
      </c>
      <c r="M1688">
        <f t="shared" si="26"/>
        <v>139.28969999999998</v>
      </c>
      <c r="N1688">
        <v>3500</v>
      </c>
      <c r="O1688">
        <v>0</v>
      </c>
      <c r="P1688">
        <v>0</v>
      </c>
      <c r="Q1688">
        <v>2400</v>
      </c>
    </row>
    <row r="1689" spans="1:17">
      <c r="A1689" t="s">
        <v>114</v>
      </c>
      <c r="B1689" t="s">
        <v>65</v>
      </c>
      <c r="C1689">
        <v>8</v>
      </c>
      <c r="D1689">
        <v>2022</v>
      </c>
      <c r="E1689" s="49" t="s">
        <v>144</v>
      </c>
      <c r="F1689" s="49" t="s">
        <v>163</v>
      </c>
      <c r="G1689">
        <f>'Aug-Apr, 2023'!W91+'Aug-Apr, 2023'!X91</f>
        <v>28</v>
      </c>
      <c r="H1689">
        <f>'Aug-Apr, 2023'!Y91</f>
        <v>0</v>
      </c>
      <c r="I1689">
        <f>'Aug-Apr, 2023'!Z91</f>
        <v>12</v>
      </c>
      <c r="J1689">
        <f>G1689*Parameters!$B$2*Parameters!$B$5</f>
        <v>59.614799999999995</v>
      </c>
      <c r="K1689">
        <f>H1689*Parameters!$B$3*Parameters!$B$6</f>
        <v>0</v>
      </c>
      <c r="L1689">
        <f>I1689*Parameters!$B$4*Parameters!$B$7</f>
        <v>97.156800000000018</v>
      </c>
      <c r="M1689">
        <f t="shared" si="26"/>
        <v>156.77160000000001</v>
      </c>
      <c r="N1689">
        <v>2800</v>
      </c>
      <c r="O1689">
        <v>0</v>
      </c>
      <c r="P1689">
        <v>0</v>
      </c>
      <c r="Q1689">
        <v>3600</v>
      </c>
    </row>
    <row r="1690" spans="1:17">
      <c r="A1690" t="s">
        <v>115</v>
      </c>
      <c r="B1690" t="s">
        <v>19</v>
      </c>
      <c r="C1690">
        <v>8</v>
      </c>
      <c r="D1690">
        <v>2022</v>
      </c>
      <c r="E1690" s="49" t="s">
        <v>144</v>
      </c>
      <c r="F1690" s="49" t="s">
        <v>163</v>
      </c>
      <c r="G1690">
        <f>'Aug-Apr, 2023'!W92+'Aug-Apr, 2023'!X92</f>
        <v>32</v>
      </c>
      <c r="H1690">
        <f>'Aug-Apr, 2023'!Y92</f>
        <v>0</v>
      </c>
      <c r="I1690">
        <f>'Aug-Apr, 2023'!Z92</f>
        <v>15</v>
      </c>
      <c r="J1690">
        <f>G1690*Parameters!$B$2*Parameters!$B$5</f>
        <v>68.131199999999993</v>
      </c>
      <c r="K1690">
        <f>H1690*Parameters!$B$3*Parameters!$B$6</f>
        <v>0</v>
      </c>
      <c r="L1690">
        <f>I1690*Parameters!$B$4*Parameters!$B$7</f>
        <v>121.44600000000001</v>
      </c>
      <c r="M1690">
        <f t="shared" si="26"/>
        <v>189.5772</v>
      </c>
      <c r="N1690">
        <v>3200</v>
      </c>
      <c r="O1690">
        <v>0</v>
      </c>
      <c r="P1690">
        <v>0</v>
      </c>
      <c r="Q1690">
        <v>4500</v>
      </c>
    </row>
    <row r="1691" spans="1:17">
      <c r="A1691" t="s">
        <v>116</v>
      </c>
      <c r="B1691" t="s">
        <v>21</v>
      </c>
      <c r="C1691">
        <v>4</v>
      </c>
      <c r="D1691">
        <v>2022</v>
      </c>
      <c r="E1691" s="49" t="s">
        <v>144</v>
      </c>
      <c r="F1691" s="49" t="s">
        <v>163</v>
      </c>
      <c r="G1691">
        <f>'Aug-Apr, 2023'!W93+'Aug-Apr, 2023'!X93</f>
        <v>50</v>
      </c>
      <c r="H1691">
        <f>'Aug-Apr, 2023'!Y93</f>
        <v>0</v>
      </c>
      <c r="I1691">
        <f>'Aug-Apr, 2023'!Z93</f>
        <v>0</v>
      </c>
      <c r="J1691">
        <f>G1691*Parameters!$B$2*Parameters!$B$5</f>
        <v>106.45499999999998</v>
      </c>
      <c r="K1691">
        <f>H1691*Parameters!$B$3*Parameters!$B$6</f>
        <v>0</v>
      </c>
      <c r="L1691">
        <f>I1691*Parameters!$B$4*Parameters!$B$7</f>
        <v>0</v>
      </c>
      <c r="M1691">
        <f t="shared" si="26"/>
        <v>106.45499999999998</v>
      </c>
      <c r="N1691">
        <v>5000</v>
      </c>
      <c r="O1691">
        <v>0</v>
      </c>
      <c r="P1691">
        <v>0</v>
      </c>
      <c r="Q1691">
        <v>0</v>
      </c>
    </row>
    <row r="1692" spans="1:17">
      <c r="A1692" t="s">
        <v>117</v>
      </c>
      <c r="B1692" t="s">
        <v>17</v>
      </c>
      <c r="C1692">
        <v>9</v>
      </c>
      <c r="D1692">
        <v>2022</v>
      </c>
      <c r="E1692" s="49" t="s">
        <v>144</v>
      </c>
      <c r="F1692" s="49" t="s">
        <v>163</v>
      </c>
      <c r="G1692">
        <f>'Aug-Apr, 2023'!W94+'Aug-Apr, 2023'!X94</f>
        <v>32</v>
      </c>
      <c r="H1692">
        <f>'Aug-Apr, 2023'!Y94</f>
        <v>0</v>
      </c>
      <c r="I1692">
        <f>'Aug-Apr, 2023'!Z94</f>
        <v>6</v>
      </c>
      <c r="J1692">
        <f>G1692*Parameters!$B$2*Parameters!$B$5</f>
        <v>68.131199999999993</v>
      </c>
      <c r="K1692">
        <f>H1692*Parameters!$B$3*Parameters!$B$6</f>
        <v>0</v>
      </c>
      <c r="L1692">
        <f>I1692*Parameters!$B$4*Parameters!$B$7</f>
        <v>48.578400000000009</v>
      </c>
      <c r="M1692">
        <f t="shared" si="26"/>
        <v>116.70959999999999</v>
      </c>
      <c r="N1692">
        <v>3200</v>
      </c>
      <c r="O1692">
        <v>0</v>
      </c>
      <c r="P1692">
        <v>0</v>
      </c>
      <c r="Q1692">
        <v>1800</v>
      </c>
    </row>
    <row r="1693" spans="1:17">
      <c r="A1693" t="s">
        <v>118</v>
      </c>
      <c r="B1693" t="s">
        <v>19</v>
      </c>
      <c r="C1693">
        <v>4</v>
      </c>
      <c r="D1693">
        <v>2022</v>
      </c>
      <c r="E1693" s="49" t="s">
        <v>144</v>
      </c>
      <c r="F1693" s="49" t="s">
        <v>163</v>
      </c>
      <c r="G1693">
        <f>'Aug-Apr, 2023'!W95+'Aug-Apr, 2023'!X95</f>
        <v>30</v>
      </c>
      <c r="H1693">
        <f>'Aug-Apr, 2023'!Y95</f>
        <v>0</v>
      </c>
      <c r="I1693">
        <f>'Aug-Apr, 2023'!Z95</f>
        <v>7</v>
      </c>
      <c r="J1693">
        <f>G1693*Parameters!$B$2*Parameters!$B$5</f>
        <v>63.87299999999999</v>
      </c>
      <c r="K1693">
        <f>H1693*Parameters!$B$3*Parameters!$B$6</f>
        <v>0</v>
      </c>
      <c r="L1693">
        <f>I1693*Parameters!$B$4*Parameters!$B$7</f>
        <v>56.674800000000005</v>
      </c>
      <c r="M1693">
        <f t="shared" si="26"/>
        <v>120.5478</v>
      </c>
      <c r="N1693">
        <v>3000</v>
      </c>
      <c r="O1693">
        <v>0</v>
      </c>
      <c r="P1693">
        <v>0</v>
      </c>
      <c r="Q1693">
        <v>2100</v>
      </c>
    </row>
    <row r="1694" spans="1:17">
      <c r="A1694" t="s">
        <v>119</v>
      </c>
      <c r="B1694" t="s">
        <v>40</v>
      </c>
      <c r="C1694">
        <v>6</v>
      </c>
      <c r="D1694">
        <v>2022</v>
      </c>
      <c r="E1694" s="49" t="s">
        <v>144</v>
      </c>
      <c r="F1694" s="49" t="s">
        <v>163</v>
      </c>
      <c r="G1694">
        <f>'Aug-Apr, 2023'!W96+'Aug-Apr, 2023'!X96</f>
        <v>42</v>
      </c>
      <c r="H1694">
        <f>'Aug-Apr, 2023'!Y96</f>
        <v>0</v>
      </c>
      <c r="I1694">
        <f>'Aug-Apr, 2023'!Z96</f>
        <v>15</v>
      </c>
      <c r="J1694">
        <f>G1694*Parameters!$B$2*Parameters!$B$5</f>
        <v>89.422199999999975</v>
      </c>
      <c r="K1694">
        <f>H1694*Parameters!$B$3*Parameters!$B$6</f>
        <v>0</v>
      </c>
      <c r="L1694">
        <f>I1694*Parameters!$B$4*Parameters!$B$7</f>
        <v>121.44600000000001</v>
      </c>
      <c r="M1694">
        <f t="shared" si="26"/>
        <v>210.8682</v>
      </c>
      <c r="N1694">
        <v>0</v>
      </c>
      <c r="O1694">
        <v>4200</v>
      </c>
      <c r="P1694">
        <v>0</v>
      </c>
      <c r="Q1694">
        <v>4500</v>
      </c>
    </row>
    <row r="1695" spans="1:17">
      <c r="A1695" t="s">
        <v>120</v>
      </c>
      <c r="B1695" t="s">
        <v>32</v>
      </c>
      <c r="C1695">
        <v>8</v>
      </c>
      <c r="D1695">
        <v>2022</v>
      </c>
      <c r="E1695" s="49" t="s">
        <v>144</v>
      </c>
      <c r="F1695" s="49" t="s">
        <v>163</v>
      </c>
      <c r="G1695">
        <f>'Aug-Apr, 2023'!W97+'Aug-Apr, 2023'!X97</f>
        <v>50</v>
      </c>
      <c r="H1695">
        <f>'Aug-Apr, 2023'!Y97</f>
        <v>0</v>
      </c>
      <c r="I1695">
        <f>'Aug-Apr, 2023'!Z97</f>
        <v>0</v>
      </c>
      <c r="J1695">
        <f>G1695*Parameters!$B$2*Parameters!$B$5</f>
        <v>106.45499999999998</v>
      </c>
      <c r="K1695">
        <f>H1695*Parameters!$B$3*Parameters!$B$6</f>
        <v>0</v>
      </c>
      <c r="L1695">
        <f>I1695*Parameters!$B$4*Parameters!$B$7</f>
        <v>0</v>
      </c>
      <c r="M1695">
        <f t="shared" si="26"/>
        <v>106.45499999999998</v>
      </c>
      <c r="N1695">
        <v>5000</v>
      </c>
      <c r="O1695">
        <v>0</v>
      </c>
      <c r="P1695">
        <v>0</v>
      </c>
      <c r="Q1695">
        <v>0</v>
      </c>
    </row>
    <row r="1696" spans="1:17">
      <c r="A1696" t="s">
        <v>121</v>
      </c>
      <c r="B1696" t="s">
        <v>24</v>
      </c>
      <c r="C1696">
        <v>5</v>
      </c>
      <c r="D1696">
        <v>2022</v>
      </c>
      <c r="E1696" s="49" t="s">
        <v>144</v>
      </c>
      <c r="F1696" s="49" t="s">
        <v>163</v>
      </c>
      <c r="G1696">
        <f>'Aug-Apr, 2023'!W98+'Aug-Apr, 2023'!X98</f>
        <v>30</v>
      </c>
      <c r="H1696">
        <f>'Aug-Apr, 2023'!Y98</f>
        <v>0</v>
      </c>
      <c r="I1696">
        <f>'Aug-Apr, 2023'!Z98</f>
        <v>10</v>
      </c>
      <c r="J1696">
        <f>G1696*Parameters!$B$2*Parameters!$B$5</f>
        <v>63.87299999999999</v>
      </c>
      <c r="K1696">
        <f>H1696*Parameters!$B$3*Parameters!$B$6</f>
        <v>0</v>
      </c>
      <c r="L1696">
        <f>I1696*Parameters!$B$4*Parameters!$B$7</f>
        <v>80.963999999999999</v>
      </c>
      <c r="M1696">
        <f t="shared" si="26"/>
        <v>144.83699999999999</v>
      </c>
      <c r="N1696">
        <v>3000</v>
      </c>
      <c r="O1696">
        <v>0</v>
      </c>
      <c r="P1696">
        <v>0</v>
      </c>
      <c r="Q1696">
        <v>3000</v>
      </c>
    </row>
    <row r="1697" spans="1:17">
      <c r="A1697" t="s">
        <v>122</v>
      </c>
      <c r="B1697" t="s">
        <v>26</v>
      </c>
      <c r="C1697">
        <v>6</v>
      </c>
      <c r="D1697">
        <v>2022</v>
      </c>
      <c r="E1697" s="49" t="s">
        <v>144</v>
      </c>
      <c r="F1697" s="49" t="s">
        <v>163</v>
      </c>
      <c r="G1697">
        <f>'Aug-Apr, 2023'!W99+'Aug-Apr, 2023'!X99</f>
        <v>32</v>
      </c>
      <c r="H1697">
        <f>'Aug-Apr, 2023'!Y99</f>
        <v>0</v>
      </c>
      <c r="I1697">
        <f>'Aug-Apr, 2023'!Z99</f>
        <v>7</v>
      </c>
      <c r="J1697">
        <f>G1697*Parameters!$B$2*Parameters!$B$5</f>
        <v>68.131199999999993</v>
      </c>
      <c r="K1697">
        <f>H1697*Parameters!$B$3*Parameters!$B$6</f>
        <v>0</v>
      </c>
      <c r="L1697">
        <f>I1697*Parameters!$B$4*Parameters!$B$7</f>
        <v>56.674800000000005</v>
      </c>
      <c r="M1697">
        <f t="shared" si="26"/>
        <v>124.806</v>
      </c>
      <c r="N1697">
        <v>3200</v>
      </c>
      <c r="O1697">
        <v>0</v>
      </c>
      <c r="P1697">
        <v>0</v>
      </c>
      <c r="Q1697">
        <v>2100</v>
      </c>
    </row>
    <row r="1698" spans="1:17">
      <c r="A1698" t="s">
        <v>123</v>
      </c>
      <c r="B1698" t="s">
        <v>19</v>
      </c>
      <c r="C1698">
        <v>8</v>
      </c>
      <c r="D1698">
        <v>2022</v>
      </c>
      <c r="E1698" s="49" t="s">
        <v>144</v>
      </c>
      <c r="F1698" s="49" t="s">
        <v>163</v>
      </c>
      <c r="G1698">
        <f>'Aug-Apr, 2023'!W100+'Aug-Apr, 2023'!X100</f>
        <v>25</v>
      </c>
      <c r="H1698">
        <f>'Aug-Apr, 2023'!Y100</f>
        <v>0</v>
      </c>
      <c r="I1698">
        <f>'Aug-Apr, 2023'!Z100</f>
        <v>8</v>
      </c>
      <c r="J1698">
        <f>G1698*Parameters!$B$2*Parameters!$B$5</f>
        <v>53.227499999999992</v>
      </c>
      <c r="K1698">
        <f>H1698*Parameters!$B$3*Parameters!$B$6</f>
        <v>0</v>
      </c>
      <c r="L1698">
        <f>I1698*Parameters!$B$4*Parameters!$B$7</f>
        <v>64.771200000000007</v>
      </c>
      <c r="M1698">
        <f t="shared" si="26"/>
        <v>117.9987</v>
      </c>
      <c r="N1698">
        <v>2500</v>
      </c>
      <c r="O1698">
        <v>0</v>
      </c>
      <c r="P1698">
        <v>0</v>
      </c>
      <c r="Q1698">
        <v>2400</v>
      </c>
    </row>
    <row r="1699" spans="1:17">
      <c r="A1699" t="s">
        <v>124</v>
      </c>
      <c r="B1699" t="s">
        <v>56</v>
      </c>
      <c r="C1699">
        <v>9</v>
      </c>
      <c r="D1699">
        <v>2022</v>
      </c>
      <c r="E1699" s="49" t="s">
        <v>144</v>
      </c>
      <c r="F1699" s="49" t="s">
        <v>163</v>
      </c>
      <c r="G1699">
        <f>'Aug-Apr, 2023'!W101+'Aug-Apr, 2023'!X101</f>
        <v>30</v>
      </c>
      <c r="H1699">
        <f>'Aug-Apr, 2023'!Y101</f>
        <v>0</v>
      </c>
      <c r="I1699">
        <f>'Aug-Apr, 2023'!Z101</f>
        <v>20</v>
      </c>
      <c r="J1699">
        <f>G1699*Parameters!$B$2*Parameters!$B$5</f>
        <v>63.87299999999999</v>
      </c>
      <c r="K1699">
        <f>H1699*Parameters!$B$3*Parameters!$B$6</f>
        <v>0</v>
      </c>
      <c r="L1699">
        <f>I1699*Parameters!$B$4*Parameters!$B$7</f>
        <v>161.928</v>
      </c>
      <c r="M1699">
        <f t="shared" si="26"/>
        <v>225.80099999999999</v>
      </c>
      <c r="N1699">
        <v>3000</v>
      </c>
      <c r="O1699">
        <v>0</v>
      </c>
      <c r="P1699">
        <v>0</v>
      </c>
      <c r="Q1699">
        <v>6000</v>
      </c>
    </row>
    <row r="1700" spans="1:17">
      <c r="A1700" t="s">
        <v>125</v>
      </c>
      <c r="B1700" t="s">
        <v>65</v>
      </c>
      <c r="C1700">
        <v>7</v>
      </c>
      <c r="D1700">
        <v>2022</v>
      </c>
      <c r="E1700" s="49" t="s">
        <v>144</v>
      </c>
      <c r="F1700" s="49" t="s">
        <v>163</v>
      </c>
      <c r="G1700">
        <f>'Aug-Apr, 2023'!W102+'Aug-Apr, 2023'!X102</f>
        <v>28</v>
      </c>
      <c r="H1700">
        <f>'Aug-Apr, 2023'!Y102</f>
        <v>0</v>
      </c>
      <c r="I1700">
        <f>'Aug-Apr, 2023'!Z102</f>
        <v>14</v>
      </c>
      <c r="J1700">
        <f>G1700*Parameters!$B$2*Parameters!$B$5</f>
        <v>59.614799999999995</v>
      </c>
      <c r="K1700">
        <f>H1700*Parameters!$B$3*Parameters!$B$6</f>
        <v>0</v>
      </c>
      <c r="L1700">
        <f>I1700*Parameters!$B$4*Parameters!$B$7</f>
        <v>113.34960000000001</v>
      </c>
      <c r="M1700">
        <f t="shared" si="26"/>
        <v>172.96440000000001</v>
      </c>
      <c r="N1700">
        <v>2800</v>
      </c>
      <c r="O1700">
        <v>0</v>
      </c>
      <c r="P1700">
        <v>0</v>
      </c>
      <c r="Q1700">
        <v>4200</v>
      </c>
    </row>
    <row r="1701" spans="1:17">
      <c r="A1701" t="s">
        <v>126</v>
      </c>
      <c r="B1701" t="s">
        <v>65</v>
      </c>
      <c r="C1701">
        <v>6</v>
      </c>
      <c r="D1701">
        <v>2022</v>
      </c>
      <c r="E1701" s="49" t="s">
        <v>144</v>
      </c>
      <c r="F1701" s="49" t="s">
        <v>163</v>
      </c>
      <c r="G1701">
        <f>'Aug-Apr, 2023'!W103+'Aug-Apr, 2023'!X103</f>
        <v>34</v>
      </c>
      <c r="H1701">
        <f>'Aug-Apr, 2023'!Y103</f>
        <v>0</v>
      </c>
      <c r="I1701">
        <f>'Aug-Apr, 2023'!Z103</f>
        <v>0</v>
      </c>
      <c r="J1701">
        <f>G1701*Parameters!$B$2*Parameters!$B$5</f>
        <v>72.389399999999995</v>
      </c>
      <c r="K1701">
        <f>H1701*Parameters!$B$3*Parameters!$B$6</f>
        <v>0</v>
      </c>
      <c r="L1701">
        <f>I1701*Parameters!$B$4*Parameters!$B$7</f>
        <v>0</v>
      </c>
      <c r="M1701">
        <f t="shared" si="26"/>
        <v>72.389399999999995</v>
      </c>
      <c r="N1701">
        <v>3400</v>
      </c>
      <c r="O1701">
        <v>0</v>
      </c>
      <c r="P1701">
        <v>0</v>
      </c>
      <c r="Q1701">
        <v>0</v>
      </c>
    </row>
    <row r="1702" spans="1:17">
      <c r="A1702" t="s">
        <v>16</v>
      </c>
      <c r="B1702" t="s">
        <v>17</v>
      </c>
      <c r="C1702">
        <v>8</v>
      </c>
      <c r="D1702">
        <v>2022</v>
      </c>
      <c r="E1702" s="49" t="s">
        <v>145</v>
      </c>
      <c r="F1702" s="49" t="s">
        <v>163</v>
      </c>
      <c r="G1702">
        <f>'Aug-Apr, 2023'!AE4+'Aug-Apr, 2023'!AF4</f>
        <v>50</v>
      </c>
      <c r="H1702">
        <f>'Aug-Apr, 2023'!AG4</f>
        <v>0</v>
      </c>
      <c r="I1702">
        <f>'Aug-Apr, 2023'!AH4</f>
        <v>19</v>
      </c>
      <c r="J1702">
        <f>G1702*Parameters!$B$2*Parameters!$B$5</f>
        <v>106.45499999999998</v>
      </c>
      <c r="K1702">
        <f>H1702*Parameters!$B$3*Parameters!$B$6</f>
        <v>0</v>
      </c>
      <c r="L1702">
        <f>I1702*Parameters!$B$4*Parameters!$B$7</f>
        <v>153.83160000000001</v>
      </c>
      <c r="M1702">
        <f t="shared" si="26"/>
        <v>260.28660000000002</v>
      </c>
      <c r="N1702">
        <v>5000</v>
      </c>
      <c r="O1702">
        <v>0</v>
      </c>
      <c r="P1702">
        <v>0</v>
      </c>
      <c r="Q1702">
        <v>5700</v>
      </c>
    </row>
    <row r="1703" spans="1:17">
      <c r="A1703" t="s">
        <v>18</v>
      </c>
      <c r="B1703" t="s">
        <v>19</v>
      </c>
      <c r="C1703">
        <v>7</v>
      </c>
      <c r="D1703">
        <v>2022</v>
      </c>
      <c r="E1703" s="49" t="s">
        <v>145</v>
      </c>
      <c r="F1703" s="49" t="s">
        <v>163</v>
      </c>
      <c r="G1703">
        <f>'Aug-Apr, 2023'!AE5+'Aug-Apr, 2023'!AF5</f>
        <v>50</v>
      </c>
      <c r="H1703">
        <f>'Aug-Apr, 2023'!AG5</f>
        <v>0</v>
      </c>
      <c r="I1703">
        <f>'Aug-Apr, 2023'!AH5</f>
        <v>12</v>
      </c>
      <c r="J1703">
        <f>G1703*Parameters!$B$2*Parameters!$B$5</f>
        <v>106.45499999999998</v>
      </c>
      <c r="K1703">
        <f>H1703*Parameters!$B$3*Parameters!$B$6</f>
        <v>0</v>
      </c>
      <c r="L1703">
        <f>I1703*Parameters!$B$4*Parameters!$B$7</f>
        <v>97.156800000000018</v>
      </c>
      <c r="M1703">
        <f t="shared" si="26"/>
        <v>203.61180000000002</v>
      </c>
      <c r="N1703">
        <v>5000</v>
      </c>
      <c r="O1703">
        <v>0</v>
      </c>
      <c r="P1703">
        <v>0</v>
      </c>
      <c r="Q1703">
        <v>3600</v>
      </c>
    </row>
    <row r="1704" spans="1:17">
      <c r="A1704" t="s">
        <v>20</v>
      </c>
      <c r="B1704" t="s">
        <v>21</v>
      </c>
      <c r="C1704">
        <v>10</v>
      </c>
      <c r="D1704">
        <v>2022</v>
      </c>
      <c r="E1704" s="49" t="s">
        <v>145</v>
      </c>
      <c r="F1704" s="49" t="s">
        <v>163</v>
      </c>
      <c r="G1704">
        <f>'Aug-Apr, 2023'!AE6+'Aug-Apr, 2023'!AF6</f>
        <v>48</v>
      </c>
      <c r="H1704">
        <f>'Aug-Apr, 2023'!AG6</f>
        <v>0</v>
      </c>
      <c r="I1704">
        <f>'Aug-Apr, 2023'!AH6</f>
        <v>11</v>
      </c>
      <c r="J1704">
        <f>G1704*Parameters!$B$2*Parameters!$B$5</f>
        <v>102.19679999999998</v>
      </c>
      <c r="K1704">
        <f>H1704*Parameters!$B$3*Parameters!$B$6</f>
        <v>0</v>
      </c>
      <c r="L1704">
        <f>I1704*Parameters!$B$4*Parameters!$B$7</f>
        <v>89.060400000000016</v>
      </c>
      <c r="M1704">
        <f t="shared" si="26"/>
        <v>191.25720000000001</v>
      </c>
      <c r="N1704">
        <v>4800</v>
      </c>
      <c r="O1704">
        <v>0</v>
      </c>
      <c r="P1704">
        <v>0</v>
      </c>
      <c r="Q1704">
        <v>3300</v>
      </c>
    </row>
    <row r="1705" spans="1:17">
      <c r="A1705" t="s">
        <v>22</v>
      </c>
      <c r="B1705" t="s">
        <v>19</v>
      </c>
      <c r="C1705">
        <v>7</v>
      </c>
      <c r="D1705">
        <v>2022</v>
      </c>
      <c r="E1705" s="49" t="s">
        <v>145</v>
      </c>
      <c r="F1705" s="49" t="s">
        <v>163</v>
      </c>
      <c r="G1705">
        <f>'Aug-Apr, 2023'!AE7+'Aug-Apr, 2023'!AF7</f>
        <v>61</v>
      </c>
      <c r="H1705">
        <f>'Aug-Apr, 2023'!AG7</f>
        <v>0</v>
      </c>
      <c r="I1705">
        <f>'Aug-Apr, 2023'!AH7</f>
        <v>18</v>
      </c>
      <c r="J1705">
        <f>G1705*Parameters!$B$2*Parameters!$B$5</f>
        <v>129.8751</v>
      </c>
      <c r="K1705">
        <f>H1705*Parameters!$B$3*Parameters!$B$6</f>
        <v>0</v>
      </c>
      <c r="L1705">
        <f>I1705*Parameters!$B$4*Parameters!$B$7</f>
        <v>145.73520000000002</v>
      </c>
      <c r="M1705">
        <f t="shared" si="26"/>
        <v>275.61030000000005</v>
      </c>
      <c r="N1705">
        <v>6100</v>
      </c>
      <c r="O1705">
        <v>0</v>
      </c>
      <c r="P1705">
        <v>0</v>
      </c>
      <c r="Q1705">
        <v>5400</v>
      </c>
    </row>
    <row r="1706" spans="1:17">
      <c r="A1706" t="s">
        <v>23</v>
      </c>
      <c r="B1706" t="s">
        <v>24</v>
      </c>
      <c r="C1706">
        <v>4</v>
      </c>
      <c r="D1706">
        <v>2022</v>
      </c>
      <c r="E1706" s="49" t="s">
        <v>145</v>
      </c>
      <c r="F1706" s="49" t="s">
        <v>163</v>
      </c>
      <c r="G1706">
        <f>'Aug-Apr, 2023'!AE8+'Aug-Apr, 2023'!AF8</f>
        <v>41</v>
      </c>
      <c r="H1706">
        <f>'Aug-Apr, 2023'!AG8</f>
        <v>0</v>
      </c>
      <c r="I1706">
        <f>'Aug-Apr, 2023'!AH8</f>
        <v>20</v>
      </c>
      <c r="J1706">
        <f>G1706*Parameters!$B$2*Parameters!$B$5</f>
        <v>87.293099999999995</v>
      </c>
      <c r="K1706">
        <f>H1706*Parameters!$B$3*Parameters!$B$6</f>
        <v>0</v>
      </c>
      <c r="L1706">
        <f>I1706*Parameters!$B$4*Parameters!$B$7</f>
        <v>161.928</v>
      </c>
      <c r="M1706">
        <f t="shared" si="26"/>
        <v>249.22109999999998</v>
      </c>
      <c r="N1706">
        <v>4100</v>
      </c>
      <c r="O1706">
        <v>0</v>
      </c>
      <c r="P1706">
        <v>0</v>
      </c>
      <c r="Q1706">
        <v>6000</v>
      </c>
    </row>
    <row r="1707" spans="1:17">
      <c r="A1707" t="s">
        <v>25</v>
      </c>
      <c r="B1707" t="s">
        <v>26</v>
      </c>
      <c r="C1707">
        <v>3</v>
      </c>
      <c r="D1707">
        <v>2022</v>
      </c>
      <c r="E1707" s="49" t="s">
        <v>145</v>
      </c>
      <c r="F1707" s="49" t="s">
        <v>163</v>
      </c>
      <c r="G1707">
        <f>'Aug-Apr, 2023'!AE9+'Aug-Apr, 2023'!AF9</f>
        <v>33</v>
      </c>
      <c r="H1707">
        <f>'Aug-Apr, 2023'!AG9</f>
        <v>0</v>
      </c>
      <c r="I1707">
        <f>'Aug-Apr, 2023'!AH9</f>
        <v>18</v>
      </c>
      <c r="J1707">
        <f>G1707*Parameters!$B$2*Parameters!$B$5</f>
        <v>70.260300000000001</v>
      </c>
      <c r="K1707">
        <f>H1707*Parameters!$B$3*Parameters!$B$6</f>
        <v>0</v>
      </c>
      <c r="L1707">
        <f>I1707*Parameters!$B$4*Parameters!$B$7</f>
        <v>145.73520000000002</v>
      </c>
      <c r="M1707">
        <f t="shared" si="26"/>
        <v>215.99550000000002</v>
      </c>
      <c r="N1707">
        <v>3300</v>
      </c>
      <c r="O1707">
        <v>0</v>
      </c>
      <c r="P1707">
        <v>0</v>
      </c>
      <c r="Q1707">
        <v>5400</v>
      </c>
    </row>
    <row r="1708" spans="1:17">
      <c r="A1708" t="s">
        <v>27</v>
      </c>
      <c r="B1708" t="s">
        <v>21</v>
      </c>
      <c r="C1708">
        <v>6</v>
      </c>
      <c r="D1708">
        <v>2022</v>
      </c>
      <c r="E1708" s="49" t="s">
        <v>145</v>
      </c>
      <c r="F1708" s="49" t="s">
        <v>163</v>
      </c>
      <c r="G1708">
        <f>'Aug-Apr, 2023'!AE10+'Aug-Apr, 2023'!AF10</f>
        <v>48</v>
      </c>
      <c r="H1708">
        <f>'Aug-Apr, 2023'!AG10</f>
        <v>0</v>
      </c>
      <c r="I1708">
        <f>'Aug-Apr, 2023'!AH10</f>
        <v>20</v>
      </c>
      <c r="J1708">
        <f>G1708*Parameters!$B$2*Parameters!$B$5</f>
        <v>102.19679999999998</v>
      </c>
      <c r="K1708">
        <f>H1708*Parameters!$B$3*Parameters!$B$6</f>
        <v>0</v>
      </c>
      <c r="L1708">
        <f>I1708*Parameters!$B$4*Parameters!$B$7</f>
        <v>161.928</v>
      </c>
      <c r="M1708">
        <f t="shared" si="26"/>
        <v>264.12479999999999</v>
      </c>
      <c r="N1708">
        <v>4800</v>
      </c>
      <c r="O1708">
        <v>0</v>
      </c>
      <c r="P1708">
        <v>0</v>
      </c>
      <c r="Q1708">
        <v>6000</v>
      </c>
    </row>
    <row r="1709" spans="1:17">
      <c r="A1709" t="s">
        <v>28</v>
      </c>
      <c r="B1709" t="s">
        <v>19</v>
      </c>
      <c r="C1709">
        <v>9</v>
      </c>
      <c r="D1709">
        <v>2022</v>
      </c>
      <c r="E1709" s="49" t="s">
        <v>145</v>
      </c>
      <c r="F1709" s="49" t="s">
        <v>163</v>
      </c>
      <c r="G1709">
        <f>'Aug-Apr, 2023'!AE11+'Aug-Apr, 2023'!AF11</f>
        <v>52</v>
      </c>
      <c r="H1709">
        <f>'Aug-Apr, 2023'!AG11</f>
        <v>0</v>
      </c>
      <c r="I1709">
        <f>'Aug-Apr, 2023'!AH11</f>
        <v>18</v>
      </c>
      <c r="J1709">
        <f>G1709*Parameters!$B$2*Parameters!$B$5</f>
        <v>110.71319999999999</v>
      </c>
      <c r="K1709">
        <f>H1709*Parameters!$B$3*Parameters!$B$6</f>
        <v>0</v>
      </c>
      <c r="L1709">
        <f>I1709*Parameters!$B$4*Parameters!$B$7</f>
        <v>145.73520000000002</v>
      </c>
      <c r="M1709">
        <f t="shared" si="26"/>
        <v>256.44839999999999</v>
      </c>
      <c r="N1709">
        <v>5200</v>
      </c>
      <c r="O1709">
        <v>0</v>
      </c>
      <c r="P1709">
        <v>0</v>
      </c>
      <c r="Q1709">
        <v>5400</v>
      </c>
    </row>
    <row r="1710" spans="1:17">
      <c r="A1710" t="s">
        <v>29</v>
      </c>
      <c r="B1710" t="s">
        <v>24</v>
      </c>
      <c r="C1710">
        <v>4</v>
      </c>
      <c r="D1710">
        <v>2022</v>
      </c>
      <c r="E1710" s="49" t="s">
        <v>145</v>
      </c>
      <c r="F1710" s="49" t="s">
        <v>163</v>
      </c>
      <c r="G1710">
        <f>'Aug-Apr, 2023'!AE12+'Aug-Apr, 2023'!AF12</f>
        <v>46</v>
      </c>
      <c r="H1710">
        <f>'Aug-Apr, 2023'!AG12</f>
        <v>0</v>
      </c>
      <c r="I1710">
        <f>'Aug-Apr, 2023'!AH12</f>
        <v>16</v>
      </c>
      <c r="J1710">
        <f>G1710*Parameters!$B$2*Parameters!$B$5</f>
        <v>97.938599999999994</v>
      </c>
      <c r="K1710">
        <f>H1710*Parameters!$B$3*Parameters!$B$6</f>
        <v>0</v>
      </c>
      <c r="L1710">
        <f>I1710*Parameters!$B$4*Parameters!$B$7</f>
        <v>129.54240000000001</v>
      </c>
      <c r="M1710">
        <f t="shared" si="26"/>
        <v>227.48099999999999</v>
      </c>
      <c r="N1710">
        <v>4600</v>
      </c>
      <c r="O1710">
        <v>0</v>
      </c>
      <c r="P1710">
        <v>0</v>
      </c>
      <c r="Q1710">
        <v>4800</v>
      </c>
    </row>
    <row r="1711" spans="1:17">
      <c r="A1711" t="s">
        <v>30</v>
      </c>
      <c r="B1711" t="s">
        <v>21</v>
      </c>
      <c r="C1711">
        <v>6</v>
      </c>
      <c r="D1711">
        <v>2022</v>
      </c>
      <c r="E1711" s="49" t="s">
        <v>145</v>
      </c>
      <c r="F1711" s="49" t="s">
        <v>163</v>
      </c>
      <c r="G1711">
        <f>'Aug-Apr, 2023'!AE13+'Aug-Apr, 2023'!AF13</f>
        <v>56</v>
      </c>
      <c r="H1711">
        <f>'Aug-Apr, 2023'!AG13</f>
        <v>0</v>
      </c>
      <c r="I1711">
        <f>'Aug-Apr, 2023'!AH13</f>
        <v>15</v>
      </c>
      <c r="J1711">
        <f>G1711*Parameters!$B$2*Parameters!$B$5</f>
        <v>119.22959999999999</v>
      </c>
      <c r="K1711">
        <f>H1711*Parameters!$B$3*Parameters!$B$6</f>
        <v>0</v>
      </c>
      <c r="L1711">
        <f>I1711*Parameters!$B$4*Parameters!$B$7</f>
        <v>121.44600000000001</v>
      </c>
      <c r="M1711">
        <f t="shared" si="26"/>
        <v>240.6756</v>
      </c>
      <c r="N1711">
        <v>5600</v>
      </c>
      <c r="O1711">
        <v>0</v>
      </c>
      <c r="P1711">
        <v>0</v>
      </c>
      <c r="Q1711">
        <v>4500</v>
      </c>
    </row>
    <row r="1712" spans="1:17">
      <c r="A1712" t="s">
        <v>31</v>
      </c>
      <c r="B1712" t="s">
        <v>32</v>
      </c>
      <c r="C1712">
        <v>4</v>
      </c>
      <c r="D1712">
        <v>2022</v>
      </c>
      <c r="E1712" s="49" t="s">
        <v>145</v>
      </c>
      <c r="F1712" s="49" t="s">
        <v>163</v>
      </c>
      <c r="G1712">
        <f>'Aug-Apr, 2023'!AE14+'Aug-Apr, 2023'!AF14</f>
        <v>43</v>
      </c>
      <c r="H1712">
        <f>'Aug-Apr, 2023'!AG14</f>
        <v>0</v>
      </c>
      <c r="I1712">
        <f>'Aug-Apr, 2023'!AH14</f>
        <v>16</v>
      </c>
      <c r="J1712">
        <f>G1712*Parameters!$B$2*Parameters!$B$5</f>
        <v>91.551299999999983</v>
      </c>
      <c r="K1712">
        <f>H1712*Parameters!$B$3*Parameters!$B$6</f>
        <v>0</v>
      </c>
      <c r="L1712">
        <f>I1712*Parameters!$B$4*Parameters!$B$7</f>
        <v>129.54240000000001</v>
      </c>
      <c r="M1712">
        <f t="shared" si="26"/>
        <v>221.09370000000001</v>
      </c>
      <c r="N1712">
        <v>4300</v>
      </c>
      <c r="O1712">
        <v>0</v>
      </c>
      <c r="P1712">
        <v>0</v>
      </c>
      <c r="Q1712">
        <v>4800</v>
      </c>
    </row>
    <row r="1713" spans="1:17">
      <c r="A1713" t="s">
        <v>33</v>
      </c>
      <c r="B1713" t="s">
        <v>32</v>
      </c>
      <c r="C1713">
        <v>6</v>
      </c>
      <c r="D1713">
        <v>2022</v>
      </c>
      <c r="E1713" s="49" t="s">
        <v>145</v>
      </c>
      <c r="F1713" s="49" t="s">
        <v>163</v>
      </c>
      <c r="G1713">
        <f>'Aug-Apr, 2023'!AE15+'Aug-Apr, 2023'!AF15</f>
        <v>30</v>
      </c>
      <c r="H1713">
        <f>'Aug-Apr, 2023'!AG15</f>
        <v>0</v>
      </c>
      <c r="I1713">
        <f>'Aug-Apr, 2023'!AH15</f>
        <v>14</v>
      </c>
      <c r="J1713">
        <f>G1713*Parameters!$B$2*Parameters!$B$5</f>
        <v>63.87299999999999</v>
      </c>
      <c r="K1713">
        <f>H1713*Parameters!$B$3*Parameters!$B$6</f>
        <v>0</v>
      </c>
      <c r="L1713">
        <f>I1713*Parameters!$B$4*Parameters!$B$7</f>
        <v>113.34960000000001</v>
      </c>
      <c r="M1713">
        <f t="shared" si="26"/>
        <v>177.2226</v>
      </c>
      <c r="N1713">
        <v>3000</v>
      </c>
      <c r="O1713">
        <v>0</v>
      </c>
      <c r="P1713">
        <v>0</v>
      </c>
      <c r="Q1713">
        <v>4200</v>
      </c>
    </row>
    <row r="1714" spans="1:17">
      <c r="A1714" t="s">
        <v>34</v>
      </c>
      <c r="B1714" t="s">
        <v>21</v>
      </c>
      <c r="C1714">
        <v>9</v>
      </c>
      <c r="D1714">
        <v>2022</v>
      </c>
      <c r="E1714" s="49" t="s">
        <v>145</v>
      </c>
      <c r="F1714" s="49" t="s">
        <v>163</v>
      </c>
      <c r="G1714">
        <f>'Aug-Apr, 2023'!AE16+'Aug-Apr, 2023'!AF16</f>
        <v>41</v>
      </c>
      <c r="H1714">
        <f>'Aug-Apr, 2023'!AG16</f>
        <v>0</v>
      </c>
      <c r="I1714">
        <f>'Aug-Apr, 2023'!AH16</f>
        <v>20</v>
      </c>
      <c r="J1714">
        <f>G1714*Parameters!$B$2*Parameters!$B$5</f>
        <v>87.293099999999995</v>
      </c>
      <c r="K1714">
        <f>H1714*Parameters!$B$3*Parameters!$B$6</f>
        <v>0</v>
      </c>
      <c r="L1714">
        <f>I1714*Parameters!$B$4*Parameters!$B$7</f>
        <v>161.928</v>
      </c>
      <c r="M1714">
        <f t="shared" si="26"/>
        <v>249.22109999999998</v>
      </c>
      <c r="N1714">
        <v>4100</v>
      </c>
      <c r="O1714">
        <v>0</v>
      </c>
      <c r="P1714">
        <v>0</v>
      </c>
      <c r="Q1714">
        <v>6000</v>
      </c>
    </row>
    <row r="1715" spans="1:17">
      <c r="A1715" t="s">
        <v>35</v>
      </c>
      <c r="B1715" t="s">
        <v>21</v>
      </c>
      <c r="C1715">
        <v>6</v>
      </c>
      <c r="D1715">
        <v>2022</v>
      </c>
      <c r="E1715" s="49" t="s">
        <v>145</v>
      </c>
      <c r="F1715" s="49" t="s">
        <v>163</v>
      </c>
      <c r="G1715">
        <f>'Aug-Apr, 2023'!AE17+'Aug-Apr, 2023'!AF17</f>
        <v>32</v>
      </c>
      <c r="H1715">
        <f>'Aug-Apr, 2023'!AG17</f>
        <v>0</v>
      </c>
      <c r="I1715">
        <f>'Aug-Apr, 2023'!AH17</f>
        <v>20</v>
      </c>
      <c r="J1715">
        <f>G1715*Parameters!$B$2*Parameters!$B$5</f>
        <v>68.131199999999993</v>
      </c>
      <c r="K1715">
        <f>H1715*Parameters!$B$3*Parameters!$B$6</f>
        <v>0</v>
      </c>
      <c r="L1715">
        <f>I1715*Parameters!$B$4*Parameters!$B$7</f>
        <v>161.928</v>
      </c>
      <c r="M1715">
        <f t="shared" si="26"/>
        <v>230.05919999999998</v>
      </c>
      <c r="N1715">
        <v>0</v>
      </c>
      <c r="O1715">
        <v>3200</v>
      </c>
      <c r="P1715">
        <v>0</v>
      </c>
      <c r="Q1715">
        <v>6000</v>
      </c>
    </row>
    <row r="1716" spans="1:17">
      <c r="A1716" t="s">
        <v>36</v>
      </c>
      <c r="B1716" t="s">
        <v>21</v>
      </c>
      <c r="C1716">
        <v>12</v>
      </c>
      <c r="D1716">
        <v>2022</v>
      </c>
      <c r="E1716" s="49" t="s">
        <v>145</v>
      </c>
      <c r="F1716" s="49" t="s">
        <v>163</v>
      </c>
      <c r="G1716">
        <f>'Aug-Apr, 2023'!AE18+'Aug-Apr, 2023'!AF18</f>
        <v>50</v>
      </c>
      <c r="H1716">
        <f>'Aug-Apr, 2023'!AG18</f>
        <v>0</v>
      </c>
      <c r="I1716">
        <f>'Aug-Apr, 2023'!AH18</f>
        <v>12</v>
      </c>
      <c r="J1716">
        <f>G1716*Parameters!$B$2*Parameters!$B$5</f>
        <v>106.45499999999998</v>
      </c>
      <c r="K1716">
        <f>H1716*Parameters!$B$3*Parameters!$B$6</f>
        <v>0</v>
      </c>
      <c r="L1716">
        <f>I1716*Parameters!$B$4*Parameters!$B$7</f>
        <v>97.156800000000018</v>
      </c>
      <c r="M1716">
        <f t="shared" si="26"/>
        <v>203.61180000000002</v>
      </c>
      <c r="N1716">
        <v>5000</v>
      </c>
      <c r="O1716">
        <v>0</v>
      </c>
      <c r="P1716">
        <v>0</v>
      </c>
      <c r="Q1716">
        <v>3600</v>
      </c>
    </row>
    <row r="1717" spans="1:17">
      <c r="A1717" t="s">
        <v>37</v>
      </c>
      <c r="B1717" t="s">
        <v>38</v>
      </c>
      <c r="C1717">
        <v>7</v>
      </c>
      <c r="D1717">
        <v>2022</v>
      </c>
      <c r="E1717" s="49" t="s">
        <v>145</v>
      </c>
      <c r="F1717" s="49" t="s">
        <v>163</v>
      </c>
      <c r="G1717">
        <f>'Aug-Apr, 2023'!AE19+'Aug-Apr, 2023'!AF19</f>
        <v>26</v>
      </c>
      <c r="H1717">
        <f>'Aug-Apr, 2023'!AG19</f>
        <v>0</v>
      </c>
      <c r="I1717">
        <f>'Aug-Apr, 2023'!AH19</f>
        <v>20</v>
      </c>
      <c r="J1717">
        <f>G1717*Parameters!$B$2*Parameters!$B$5</f>
        <v>55.356599999999993</v>
      </c>
      <c r="K1717">
        <f>H1717*Parameters!$B$3*Parameters!$B$6</f>
        <v>0</v>
      </c>
      <c r="L1717">
        <f>I1717*Parameters!$B$4*Parameters!$B$7</f>
        <v>161.928</v>
      </c>
      <c r="M1717">
        <f t="shared" si="26"/>
        <v>217.28459999999998</v>
      </c>
      <c r="N1717">
        <v>2600</v>
      </c>
      <c r="O1717">
        <v>0</v>
      </c>
      <c r="P1717">
        <v>0</v>
      </c>
      <c r="Q1717">
        <v>6000</v>
      </c>
    </row>
    <row r="1718" spans="1:17">
      <c r="A1718" t="s">
        <v>39</v>
      </c>
      <c r="B1718" t="s">
        <v>40</v>
      </c>
      <c r="C1718">
        <v>6</v>
      </c>
      <c r="D1718">
        <v>2022</v>
      </c>
      <c r="E1718" s="49" t="s">
        <v>145</v>
      </c>
      <c r="F1718" s="49" t="s">
        <v>163</v>
      </c>
      <c r="G1718">
        <f>'Aug-Apr, 2023'!AE20+'Aug-Apr, 2023'!AF20</f>
        <v>75</v>
      </c>
      <c r="H1718">
        <f>'Aug-Apr, 2023'!AG20</f>
        <v>0</v>
      </c>
      <c r="I1718">
        <f>'Aug-Apr, 2023'!AH20</f>
        <v>10</v>
      </c>
      <c r="J1718">
        <f>G1718*Parameters!$B$2*Parameters!$B$5</f>
        <v>159.68249999999998</v>
      </c>
      <c r="K1718">
        <f>H1718*Parameters!$B$3*Parameters!$B$6</f>
        <v>0</v>
      </c>
      <c r="L1718">
        <f>I1718*Parameters!$B$4*Parameters!$B$7</f>
        <v>80.963999999999999</v>
      </c>
      <c r="M1718">
        <f t="shared" si="26"/>
        <v>240.64649999999997</v>
      </c>
      <c r="N1718">
        <v>5500</v>
      </c>
      <c r="O1718">
        <v>2000</v>
      </c>
      <c r="P1718">
        <v>0</v>
      </c>
      <c r="Q1718">
        <v>3000</v>
      </c>
    </row>
    <row r="1719" spans="1:17">
      <c r="A1719" t="s">
        <v>41</v>
      </c>
      <c r="B1719" t="s">
        <v>26</v>
      </c>
      <c r="C1719">
        <v>5</v>
      </c>
      <c r="D1719">
        <v>2022</v>
      </c>
      <c r="E1719" s="49" t="s">
        <v>145</v>
      </c>
      <c r="F1719" s="49" t="s">
        <v>163</v>
      </c>
      <c r="G1719">
        <f>'Aug-Apr, 2023'!AE21+'Aug-Apr, 2023'!AF21</f>
        <v>28</v>
      </c>
      <c r="H1719">
        <f>'Aug-Apr, 2023'!AG21</f>
        <v>0</v>
      </c>
      <c r="I1719">
        <f>'Aug-Apr, 2023'!AH21</f>
        <v>12</v>
      </c>
      <c r="J1719">
        <f>G1719*Parameters!$B$2*Parameters!$B$5</f>
        <v>59.614799999999995</v>
      </c>
      <c r="K1719">
        <f>H1719*Parameters!$B$3*Parameters!$B$6</f>
        <v>0</v>
      </c>
      <c r="L1719">
        <f>I1719*Parameters!$B$4*Parameters!$B$7</f>
        <v>97.156800000000018</v>
      </c>
      <c r="M1719">
        <f t="shared" si="26"/>
        <v>156.77160000000001</v>
      </c>
      <c r="N1719">
        <v>2800</v>
      </c>
      <c r="O1719">
        <v>0</v>
      </c>
      <c r="P1719">
        <v>0</v>
      </c>
      <c r="Q1719">
        <v>3600</v>
      </c>
    </row>
    <row r="1720" spans="1:17">
      <c r="A1720" t="s">
        <v>42</v>
      </c>
      <c r="B1720" t="s">
        <v>24</v>
      </c>
      <c r="C1720">
        <v>5</v>
      </c>
      <c r="D1720">
        <v>2022</v>
      </c>
      <c r="E1720" s="49" t="s">
        <v>145</v>
      </c>
      <c r="F1720" s="49" t="s">
        <v>163</v>
      </c>
      <c r="G1720">
        <f>'Aug-Apr, 2023'!AE22+'Aug-Apr, 2023'!AF22</f>
        <v>45</v>
      </c>
      <c r="H1720">
        <f>'Aug-Apr, 2023'!AG22</f>
        <v>0</v>
      </c>
      <c r="I1720">
        <f>'Aug-Apr, 2023'!AH22</f>
        <v>20</v>
      </c>
      <c r="J1720">
        <f>G1720*Parameters!$B$2*Parameters!$B$5</f>
        <v>95.809499999999986</v>
      </c>
      <c r="K1720">
        <f>H1720*Parameters!$B$3*Parameters!$B$6</f>
        <v>0</v>
      </c>
      <c r="L1720">
        <f>I1720*Parameters!$B$4*Parameters!$B$7</f>
        <v>161.928</v>
      </c>
      <c r="M1720">
        <f t="shared" si="26"/>
        <v>257.73749999999995</v>
      </c>
      <c r="N1720">
        <v>4500</v>
      </c>
      <c r="O1720">
        <v>0</v>
      </c>
      <c r="P1720">
        <v>0</v>
      </c>
      <c r="Q1720">
        <v>6000</v>
      </c>
    </row>
    <row r="1721" spans="1:17">
      <c r="A1721" t="s">
        <v>43</v>
      </c>
      <c r="B1721" t="s">
        <v>19</v>
      </c>
      <c r="C1721">
        <v>8</v>
      </c>
      <c r="D1721">
        <v>2022</v>
      </c>
      <c r="E1721" s="49" t="s">
        <v>145</v>
      </c>
      <c r="F1721" s="49" t="s">
        <v>163</v>
      </c>
      <c r="G1721">
        <f>'Aug-Apr, 2023'!AE23+'Aug-Apr, 2023'!AF23</f>
        <v>32</v>
      </c>
      <c r="H1721">
        <f>'Aug-Apr, 2023'!AG23</f>
        <v>0</v>
      </c>
      <c r="I1721">
        <f>'Aug-Apr, 2023'!AH23</f>
        <v>19</v>
      </c>
      <c r="J1721">
        <f>G1721*Parameters!$B$2*Parameters!$B$5</f>
        <v>68.131199999999993</v>
      </c>
      <c r="K1721">
        <f>H1721*Parameters!$B$3*Parameters!$B$6</f>
        <v>0</v>
      </c>
      <c r="L1721">
        <f>I1721*Parameters!$B$4*Parameters!$B$7</f>
        <v>153.83160000000001</v>
      </c>
      <c r="M1721">
        <f t="shared" si="26"/>
        <v>221.96280000000002</v>
      </c>
      <c r="N1721">
        <v>3200</v>
      </c>
      <c r="O1721">
        <v>0</v>
      </c>
      <c r="P1721">
        <v>0</v>
      </c>
      <c r="Q1721">
        <v>5700</v>
      </c>
    </row>
    <row r="1722" spans="1:17">
      <c r="A1722" t="s">
        <v>44</v>
      </c>
      <c r="B1722" t="s">
        <v>40</v>
      </c>
      <c r="C1722">
        <v>10</v>
      </c>
      <c r="D1722">
        <v>2022</v>
      </c>
      <c r="E1722" s="49" t="s">
        <v>145</v>
      </c>
      <c r="F1722" s="49" t="s">
        <v>163</v>
      </c>
      <c r="G1722">
        <f>'Aug-Apr, 2023'!AE24+'Aug-Apr, 2023'!AF24</f>
        <v>52</v>
      </c>
      <c r="H1722">
        <f>'Aug-Apr, 2023'!AG24</f>
        <v>0</v>
      </c>
      <c r="I1722">
        <f>'Aug-Apr, 2023'!AH24</f>
        <v>6</v>
      </c>
      <c r="J1722">
        <f>G1722*Parameters!$B$2*Parameters!$B$5</f>
        <v>110.71319999999999</v>
      </c>
      <c r="K1722">
        <f>H1722*Parameters!$B$3*Parameters!$B$6</f>
        <v>0</v>
      </c>
      <c r="L1722">
        <f>I1722*Parameters!$B$4*Parameters!$B$7</f>
        <v>48.578400000000009</v>
      </c>
      <c r="M1722">
        <f t="shared" si="26"/>
        <v>159.29159999999999</v>
      </c>
      <c r="N1722">
        <v>5200</v>
      </c>
      <c r="O1722">
        <v>0</v>
      </c>
      <c r="P1722">
        <v>0</v>
      </c>
      <c r="Q1722">
        <v>1800</v>
      </c>
    </row>
    <row r="1723" spans="1:17">
      <c r="A1723" t="s">
        <v>45</v>
      </c>
      <c r="B1723" t="s">
        <v>24</v>
      </c>
      <c r="C1723">
        <v>8</v>
      </c>
      <c r="D1723">
        <v>2022</v>
      </c>
      <c r="E1723" s="49" t="s">
        <v>145</v>
      </c>
      <c r="F1723" s="49" t="s">
        <v>163</v>
      </c>
      <c r="G1723">
        <f>'Aug-Apr, 2023'!AE25+'Aug-Apr, 2023'!AF25</f>
        <v>48</v>
      </c>
      <c r="H1723">
        <f>'Aug-Apr, 2023'!AG25</f>
        <v>0</v>
      </c>
      <c r="I1723">
        <f>'Aug-Apr, 2023'!AH25</f>
        <v>16</v>
      </c>
      <c r="J1723">
        <f>G1723*Parameters!$B$2*Parameters!$B$5</f>
        <v>102.19679999999998</v>
      </c>
      <c r="K1723">
        <f>H1723*Parameters!$B$3*Parameters!$B$6</f>
        <v>0</v>
      </c>
      <c r="L1723">
        <f>I1723*Parameters!$B$4*Parameters!$B$7</f>
        <v>129.54240000000001</v>
      </c>
      <c r="M1723">
        <f t="shared" si="26"/>
        <v>231.73919999999998</v>
      </c>
      <c r="N1723">
        <v>4800</v>
      </c>
      <c r="O1723">
        <v>0</v>
      </c>
      <c r="P1723">
        <v>0</v>
      </c>
      <c r="Q1723">
        <v>4800</v>
      </c>
    </row>
    <row r="1724" spans="1:17">
      <c r="A1724" t="s">
        <v>46</v>
      </c>
      <c r="B1724" t="s">
        <v>24</v>
      </c>
      <c r="C1724">
        <v>4</v>
      </c>
      <c r="D1724">
        <v>2022</v>
      </c>
      <c r="E1724" s="49" t="s">
        <v>145</v>
      </c>
      <c r="F1724" s="49" t="s">
        <v>163</v>
      </c>
      <c r="G1724">
        <f>'Aug-Apr, 2023'!AE26+'Aug-Apr, 2023'!AF26</f>
        <v>44</v>
      </c>
      <c r="H1724">
        <f>'Aug-Apr, 2023'!AG26</f>
        <v>0</v>
      </c>
      <c r="I1724">
        <f>'Aug-Apr, 2023'!AH26</f>
        <v>10</v>
      </c>
      <c r="J1724">
        <f>G1724*Parameters!$B$2*Parameters!$B$5</f>
        <v>93.680399999999992</v>
      </c>
      <c r="K1724">
        <f>H1724*Parameters!$B$3*Parameters!$B$6</f>
        <v>0</v>
      </c>
      <c r="L1724">
        <f>I1724*Parameters!$B$4*Parameters!$B$7</f>
        <v>80.963999999999999</v>
      </c>
      <c r="M1724">
        <f t="shared" si="26"/>
        <v>174.64439999999999</v>
      </c>
      <c r="N1724">
        <v>4400</v>
      </c>
      <c r="O1724">
        <v>0</v>
      </c>
      <c r="P1724">
        <v>0</v>
      </c>
      <c r="Q1724">
        <v>3000</v>
      </c>
    </row>
    <row r="1725" spans="1:17">
      <c r="A1725" t="s">
        <v>47</v>
      </c>
      <c r="B1725" t="s">
        <v>19</v>
      </c>
      <c r="C1725">
        <v>6</v>
      </c>
      <c r="D1725">
        <v>2022</v>
      </c>
      <c r="E1725" s="49" t="s">
        <v>145</v>
      </c>
      <c r="F1725" s="49" t="s">
        <v>163</v>
      </c>
      <c r="G1725">
        <f>'Aug-Apr, 2023'!AE27+'Aug-Apr, 2023'!AF27</f>
        <v>36</v>
      </c>
      <c r="H1725">
        <f>'Aug-Apr, 2023'!AG27</f>
        <v>0</v>
      </c>
      <c r="I1725">
        <f>'Aug-Apr, 2023'!AH27</f>
        <v>12</v>
      </c>
      <c r="J1725">
        <f>G1725*Parameters!$B$2*Parameters!$B$5</f>
        <v>76.647599999999997</v>
      </c>
      <c r="K1725">
        <f>H1725*Parameters!$B$3*Parameters!$B$6</f>
        <v>0</v>
      </c>
      <c r="L1725">
        <f>I1725*Parameters!$B$4*Parameters!$B$7</f>
        <v>97.156800000000018</v>
      </c>
      <c r="M1725">
        <f t="shared" si="26"/>
        <v>173.80440000000002</v>
      </c>
      <c r="N1725">
        <v>3600</v>
      </c>
      <c r="O1725">
        <v>0</v>
      </c>
      <c r="P1725">
        <v>0</v>
      </c>
      <c r="Q1725">
        <v>3600</v>
      </c>
    </row>
    <row r="1726" spans="1:17">
      <c r="A1726" t="s">
        <v>48</v>
      </c>
      <c r="B1726" t="s">
        <v>24</v>
      </c>
      <c r="C1726">
        <v>4</v>
      </c>
      <c r="D1726">
        <v>2022</v>
      </c>
      <c r="E1726" s="49" t="s">
        <v>145</v>
      </c>
      <c r="F1726" s="49" t="s">
        <v>163</v>
      </c>
      <c r="G1726">
        <f>'Aug-Apr, 2023'!AE28+'Aug-Apr, 2023'!AF28</f>
        <v>22</v>
      </c>
      <c r="H1726">
        <f>'Aug-Apr, 2023'!AG28</f>
        <v>0</v>
      </c>
      <c r="I1726">
        <f>'Aug-Apr, 2023'!AH28</f>
        <v>20</v>
      </c>
      <c r="J1726">
        <f>G1726*Parameters!$B$2*Parameters!$B$5</f>
        <v>46.840199999999996</v>
      </c>
      <c r="K1726">
        <f>H1726*Parameters!$B$3*Parameters!$B$6</f>
        <v>0</v>
      </c>
      <c r="L1726">
        <f>I1726*Parameters!$B$4*Parameters!$B$7</f>
        <v>161.928</v>
      </c>
      <c r="M1726">
        <f t="shared" si="26"/>
        <v>208.76819999999998</v>
      </c>
      <c r="N1726">
        <v>2200</v>
      </c>
      <c r="O1726">
        <v>0</v>
      </c>
      <c r="P1726">
        <v>0</v>
      </c>
      <c r="Q1726">
        <v>6000</v>
      </c>
    </row>
    <row r="1727" spans="1:17">
      <c r="A1727" t="s">
        <v>49</v>
      </c>
      <c r="B1727" t="s">
        <v>38</v>
      </c>
      <c r="C1727">
        <v>2</v>
      </c>
      <c r="D1727">
        <v>2022</v>
      </c>
      <c r="E1727" s="49" t="s">
        <v>145</v>
      </c>
      <c r="F1727" s="49" t="s">
        <v>163</v>
      </c>
      <c r="G1727">
        <f>'Aug-Apr, 2023'!AE29+'Aug-Apr, 2023'!AF29</f>
        <v>28</v>
      </c>
      <c r="H1727">
        <f>'Aug-Apr, 2023'!AG29</f>
        <v>0</v>
      </c>
      <c r="I1727">
        <f>'Aug-Apr, 2023'!AH29</f>
        <v>12</v>
      </c>
      <c r="J1727">
        <f>G1727*Parameters!$B$2*Parameters!$B$5</f>
        <v>59.614799999999995</v>
      </c>
      <c r="K1727">
        <f>H1727*Parameters!$B$3*Parameters!$B$6</f>
        <v>0</v>
      </c>
      <c r="L1727">
        <f>I1727*Parameters!$B$4*Parameters!$B$7</f>
        <v>97.156800000000018</v>
      </c>
      <c r="M1727">
        <f t="shared" si="26"/>
        <v>156.77160000000001</v>
      </c>
      <c r="N1727">
        <v>2800</v>
      </c>
      <c r="O1727">
        <v>0</v>
      </c>
      <c r="P1727">
        <v>0</v>
      </c>
      <c r="Q1727">
        <v>3600</v>
      </c>
    </row>
    <row r="1728" spans="1:17">
      <c r="A1728" t="s">
        <v>50</v>
      </c>
      <c r="B1728" t="s">
        <v>19</v>
      </c>
      <c r="C1728">
        <v>8</v>
      </c>
      <c r="D1728">
        <v>2022</v>
      </c>
      <c r="E1728" s="49" t="s">
        <v>145</v>
      </c>
      <c r="F1728" s="49" t="s">
        <v>163</v>
      </c>
      <c r="G1728">
        <f>'Aug-Apr, 2023'!AE30+'Aug-Apr, 2023'!AF30</f>
        <v>40</v>
      </c>
      <c r="H1728">
        <f>'Aug-Apr, 2023'!AG30</f>
        <v>0</v>
      </c>
      <c r="I1728">
        <f>'Aug-Apr, 2023'!AH30</f>
        <v>11</v>
      </c>
      <c r="J1728">
        <f>G1728*Parameters!$B$2*Parameters!$B$5</f>
        <v>85.163999999999987</v>
      </c>
      <c r="K1728">
        <f>H1728*Parameters!$B$3*Parameters!$B$6</f>
        <v>0</v>
      </c>
      <c r="L1728">
        <f>I1728*Parameters!$B$4*Parameters!$B$7</f>
        <v>89.060400000000016</v>
      </c>
      <c r="M1728">
        <f t="shared" si="26"/>
        <v>174.2244</v>
      </c>
      <c r="N1728">
        <v>4000</v>
      </c>
      <c r="O1728">
        <v>0</v>
      </c>
      <c r="P1728">
        <v>0</v>
      </c>
      <c r="Q1728">
        <v>3300</v>
      </c>
    </row>
    <row r="1729" spans="1:17">
      <c r="A1729" t="s">
        <v>51</v>
      </c>
      <c r="B1729" t="s">
        <v>19</v>
      </c>
      <c r="C1729">
        <v>6</v>
      </c>
      <c r="D1729">
        <v>2022</v>
      </c>
      <c r="E1729" s="49" t="s">
        <v>145</v>
      </c>
      <c r="F1729" s="49" t="s">
        <v>163</v>
      </c>
      <c r="G1729">
        <f>'Aug-Apr, 2023'!AE31+'Aug-Apr, 2023'!AF31</f>
        <v>20</v>
      </c>
      <c r="H1729">
        <f>'Aug-Apr, 2023'!AG31</f>
        <v>0</v>
      </c>
      <c r="I1729">
        <f>'Aug-Apr, 2023'!AH31</f>
        <v>20</v>
      </c>
      <c r="J1729">
        <f>G1729*Parameters!$B$2*Parameters!$B$5</f>
        <v>42.581999999999994</v>
      </c>
      <c r="K1729">
        <f>H1729*Parameters!$B$3*Parameters!$B$6</f>
        <v>0</v>
      </c>
      <c r="L1729">
        <f>I1729*Parameters!$B$4*Parameters!$B$7</f>
        <v>161.928</v>
      </c>
      <c r="M1729">
        <f t="shared" si="26"/>
        <v>204.51</v>
      </c>
      <c r="N1729">
        <v>2000</v>
      </c>
      <c r="O1729">
        <v>0</v>
      </c>
      <c r="P1729">
        <v>0</v>
      </c>
      <c r="Q1729">
        <v>6000</v>
      </c>
    </row>
    <row r="1730" spans="1:17">
      <c r="A1730" t="s">
        <v>52</v>
      </c>
      <c r="B1730" t="s">
        <v>38</v>
      </c>
      <c r="C1730">
        <v>12</v>
      </c>
      <c r="D1730">
        <v>2022</v>
      </c>
      <c r="E1730" s="49" t="s">
        <v>145</v>
      </c>
      <c r="F1730" s="49" t="s">
        <v>163</v>
      </c>
      <c r="G1730">
        <f>'Aug-Apr, 2023'!AE32+'Aug-Apr, 2023'!AF32</f>
        <v>46</v>
      </c>
      <c r="H1730">
        <f>'Aug-Apr, 2023'!AG32</f>
        <v>0</v>
      </c>
      <c r="I1730">
        <f>'Aug-Apr, 2023'!AH32</f>
        <v>13</v>
      </c>
      <c r="J1730">
        <f>G1730*Parameters!$B$2*Parameters!$B$5</f>
        <v>97.938599999999994</v>
      </c>
      <c r="K1730">
        <f>H1730*Parameters!$B$3*Parameters!$B$6</f>
        <v>0</v>
      </c>
      <c r="L1730">
        <f>I1730*Parameters!$B$4*Parameters!$B$7</f>
        <v>105.25320000000001</v>
      </c>
      <c r="M1730">
        <f t="shared" si="26"/>
        <v>203.1918</v>
      </c>
      <c r="N1730">
        <v>4600</v>
      </c>
      <c r="O1730">
        <v>0</v>
      </c>
      <c r="P1730">
        <v>0</v>
      </c>
      <c r="Q1730">
        <v>3900</v>
      </c>
    </row>
    <row r="1731" spans="1:17">
      <c r="A1731" t="s">
        <v>53</v>
      </c>
      <c r="B1731" t="s">
        <v>40</v>
      </c>
      <c r="C1731">
        <v>8</v>
      </c>
      <c r="D1731">
        <v>2022</v>
      </c>
      <c r="E1731" s="49" t="s">
        <v>145</v>
      </c>
      <c r="F1731" s="49" t="s">
        <v>163</v>
      </c>
      <c r="G1731">
        <f>'Aug-Apr, 2023'!AE33+'Aug-Apr, 2023'!AF33</f>
        <v>33</v>
      </c>
      <c r="H1731">
        <f>'Aug-Apr, 2023'!AG33</f>
        <v>0</v>
      </c>
      <c r="I1731">
        <f>'Aug-Apr, 2023'!AH33</f>
        <v>18</v>
      </c>
      <c r="J1731">
        <f>G1731*Parameters!$B$2*Parameters!$B$5</f>
        <v>70.260300000000001</v>
      </c>
      <c r="K1731">
        <f>H1731*Parameters!$B$3*Parameters!$B$6</f>
        <v>0</v>
      </c>
      <c r="L1731">
        <f>I1731*Parameters!$B$4*Parameters!$B$7</f>
        <v>145.73520000000002</v>
      </c>
      <c r="M1731">
        <f t="shared" ref="M1731:M1794" si="27">SUM(J1731:L1731)</f>
        <v>215.99550000000002</v>
      </c>
      <c r="N1731">
        <v>3300</v>
      </c>
      <c r="O1731">
        <v>0</v>
      </c>
      <c r="P1731">
        <v>0</v>
      </c>
      <c r="Q1731">
        <v>5400</v>
      </c>
    </row>
    <row r="1732" spans="1:17">
      <c r="A1732" t="s">
        <v>54</v>
      </c>
      <c r="B1732" t="s">
        <v>40</v>
      </c>
      <c r="C1732">
        <v>6</v>
      </c>
      <c r="D1732">
        <v>2022</v>
      </c>
      <c r="E1732" s="49" t="s">
        <v>145</v>
      </c>
      <c r="F1732" s="49" t="s">
        <v>163</v>
      </c>
      <c r="G1732">
        <f>'Aug-Apr, 2023'!AE34+'Aug-Apr, 2023'!AF34</f>
        <v>35</v>
      </c>
      <c r="H1732">
        <f>'Aug-Apr, 2023'!AG34</f>
        <v>0</v>
      </c>
      <c r="I1732">
        <f>'Aug-Apr, 2023'!AH34</f>
        <v>16</v>
      </c>
      <c r="J1732">
        <f>G1732*Parameters!$B$2*Parameters!$B$5</f>
        <v>74.518499999999989</v>
      </c>
      <c r="K1732">
        <f>H1732*Parameters!$B$3*Parameters!$B$6</f>
        <v>0</v>
      </c>
      <c r="L1732">
        <f>I1732*Parameters!$B$4*Parameters!$B$7</f>
        <v>129.54240000000001</v>
      </c>
      <c r="M1732">
        <f t="shared" si="27"/>
        <v>204.0609</v>
      </c>
      <c r="N1732">
        <v>3500</v>
      </c>
      <c r="O1732">
        <v>0</v>
      </c>
      <c r="P1732">
        <v>0</v>
      </c>
      <c r="Q1732">
        <v>4800</v>
      </c>
    </row>
    <row r="1733" spans="1:17">
      <c r="A1733" t="s">
        <v>55</v>
      </c>
      <c r="B1733" t="s">
        <v>56</v>
      </c>
      <c r="C1733">
        <v>4</v>
      </c>
      <c r="D1733">
        <v>2022</v>
      </c>
      <c r="E1733" s="49" t="s">
        <v>145</v>
      </c>
      <c r="F1733" s="49" t="s">
        <v>163</v>
      </c>
      <c r="G1733">
        <f>'Aug-Apr, 2023'!AE35+'Aug-Apr, 2023'!AF35</f>
        <v>44</v>
      </c>
      <c r="H1733">
        <f>'Aug-Apr, 2023'!AG35</f>
        <v>0</v>
      </c>
      <c r="I1733">
        <f>'Aug-Apr, 2023'!AH35</f>
        <v>20</v>
      </c>
      <c r="J1733">
        <f>G1733*Parameters!$B$2*Parameters!$B$5</f>
        <v>93.680399999999992</v>
      </c>
      <c r="K1733">
        <f>H1733*Parameters!$B$3*Parameters!$B$6</f>
        <v>0</v>
      </c>
      <c r="L1733">
        <f>I1733*Parameters!$B$4*Parameters!$B$7</f>
        <v>161.928</v>
      </c>
      <c r="M1733">
        <f t="shared" si="27"/>
        <v>255.60839999999999</v>
      </c>
      <c r="N1733">
        <v>4400</v>
      </c>
      <c r="O1733">
        <v>0</v>
      </c>
      <c r="P1733">
        <v>0</v>
      </c>
      <c r="Q1733">
        <v>6000</v>
      </c>
    </row>
    <row r="1734" spans="1:17">
      <c r="A1734" t="s">
        <v>57</v>
      </c>
      <c r="B1734" t="s">
        <v>40</v>
      </c>
      <c r="C1734">
        <v>4</v>
      </c>
      <c r="D1734">
        <v>2022</v>
      </c>
      <c r="E1734" s="49" t="s">
        <v>145</v>
      </c>
      <c r="F1734" s="49" t="s">
        <v>163</v>
      </c>
      <c r="G1734">
        <f>'Aug-Apr, 2023'!AE36+'Aug-Apr, 2023'!AF36</f>
        <v>55</v>
      </c>
      <c r="H1734">
        <f>'Aug-Apr, 2023'!AG36</f>
        <v>0</v>
      </c>
      <c r="I1734">
        <f>'Aug-Apr, 2023'!AH36</f>
        <v>10</v>
      </c>
      <c r="J1734">
        <f>G1734*Parameters!$B$2*Parameters!$B$5</f>
        <v>117.10049999999998</v>
      </c>
      <c r="K1734">
        <f>H1734*Parameters!$B$3*Parameters!$B$6</f>
        <v>0</v>
      </c>
      <c r="L1734">
        <f>I1734*Parameters!$B$4*Parameters!$B$7</f>
        <v>80.963999999999999</v>
      </c>
      <c r="M1734">
        <f t="shared" si="27"/>
        <v>198.06449999999998</v>
      </c>
      <c r="N1734">
        <v>5500</v>
      </c>
      <c r="O1734">
        <v>0</v>
      </c>
      <c r="P1734">
        <v>0</v>
      </c>
      <c r="Q1734">
        <v>3000</v>
      </c>
    </row>
    <row r="1735" spans="1:17">
      <c r="A1735" t="s">
        <v>58</v>
      </c>
      <c r="B1735" t="s">
        <v>26</v>
      </c>
      <c r="C1735">
        <v>6</v>
      </c>
      <c r="D1735">
        <v>2022</v>
      </c>
      <c r="E1735" s="49" t="s">
        <v>145</v>
      </c>
      <c r="F1735" s="49" t="s">
        <v>163</v>
      </c>
      <c r="G1735">
        <f>'Aug-Apr, 2023'!AE37+'Aug-Apr, 2023'!AF37</f>
        <v>40</v>
      </c>
      <c r="H1735">
        <f>'Aug-Apr, 2023'!AG37</f>
        <v>0</v>
      </c>
      <c r="I1735">
        <f>'Aug-Apr, 2023'!AH37</f>
        <v>6</v>
      </c>
      <c r="J1735">
        <f>G1735*Parameters!$B$2*Parameters!$B$5</f>
        <v>85.163999999999987</v>
      </c>
      <c r="K1735">
        <f>H1735*Parameters!$B$3*Parameters!$B$6</f>
        <v>0</v>
      </c>
      <c r="L1735">
        <f>I1735*Parameters!$B$4*Parameters!$B$7</f>
        <v>48.578400000000009</v>
      </c>
      <c r="M1735">
        <f t="shared" si="27"/>
        <v>133.7424</v>
      </c>
      <c r="N1735">
        <v>4000</v>
      </c>
      <c r="O1735">
        <v>0</v>
      </c>
      <c r="P1735">
        <v>0</v>
      </c>
      <c r="Q1735">
        <v>1800</v>
      </c>
    </row>
    <row r="1736" spans="1:17">
      <c r="A1736" t="s">
        <v>59</v>
      </c>
      <c r="B1736" t="s">
        <v>26</v>
      </c>
      <c r="C1736">
        <v>7</v>
      </c>
      <c r="D1736">
        <v>2022</v>
      </c>
      <c r="E1736" s="49" t="s">
        <v>145</v>
      </c>
      <c r="F1736" s="49" t="s">
        <v>163</v>
      </c>
      <c r="G1736">
        <f>'Aug-Apr, 2023'!AE38+'Aug-Apr, 2023'!AF38</f>
        <v>50</v>
      </c>
      <c r="H1736">
        <f>'Aug-Apr, 2023'!AG38</f>
        <v>0</v>
      </c>
      <c r="I1736">
        <f>'Aug-Apr, 2023'!AH38</f>
        <v>20</v>
      </c>
      <c r="J1736">
        <f>G1736*Parameters!$B$2*Parameters!$B$5</f>
        <v>106.45499999999998</v>
      </c>
      <c r="K1736">
        <f>H1736*Parameters!$B$3*Parameters!$B$6</f>
        <v>0</v>
      </c>
      <c r="L1736">
        <f>I1736*Parameters!$B$4*Parameters!$B$7</f>
        <v>161.928</v>
      </c>
      <c r="M1736">
        <f t="shared" si="27"/>
        <v>268.38299999999998</v>
      </c>
      <c r="N1736">
        <v>5000</v>
      </c>
      <c r="O1736">
        <v>0</v>
      </c>
      <c r="P1736">
        <v>0</v>
      </c>
      <c r="Q1736">
        <v>6000</v>
      </c>
    </row>
    <row r="1737" spans="1:17">
      <c r="A1737" t="s">
        <v>60</v>
      </c>
      <c r="B1737" t="s">
        <v>26</v>
      </c>
      <c r="C1737">
        <v>8</v>
      </c>
      <c r="D1737">
        <v>2022</v>
      </c>
      <c r="E1737" s="49" t="s">
        <v>145</v>
      </c>
      <c r="F1737" s="49" t="s">
        <v>163</v>
      </c>
      <c r="G1737">
        <f>'Aug-Apr, 2023'!AE39+'Aug-Apr, 2023'!AF39</f>
        <v>35</v>
      </c>
      <c r="H1737">
        <f>'Aug-Apr, 2023'!AG39</f>
        <v>0</v>
      </c>
      <c r="I1737">
        <f>'Aug-Apr, 2023'!AH39</f>
        <v>20</v>
      </c>
      <c r="J1737">
        <f>G1737*Parameters!$B$2*Parameters!$B$5</f>
        <v>74.518499999999989</v>
      </c>
      <c r="K1737">
        <f>H1737*Parameters!$B$3*Parameters!$B$6</f>
        <v>0</v>
      </c>
      <c r="L1737">
        <f>I1737*Parameters!$B$4*Parameters!$B$7</f>
        <v>161.928</v>
      </c>
      <c r="M1737">
        <f t="shared" si="27"/>
        <v>236.44649999999999</v>
      </c>
      <c r="N1737">
        <v>3500</v>
      </c>
      <c r="O1737">
        <v>0</v>
      </c>
      <c r="P1737">
        <v>0</v>
      </c>
      <c r="Q1737">
        <v>6000</v>
      </c>
    </row>
    <row r="1738" spans="1:17">
      <c r="A1738" t="s">
        <v>61</v>
      </c>
      <c r="B1738" t="s">
        <v>56</v>
      </c>
      <c r="C1738">
        <v>5</v>
      </c>
      <c r="D1738">
        <v>2022</v>
      </c>
      <c r="E1738" s="49" t="s">
        <v>145</v>
      </c>
      <c r="F1738" s="49" t="s">
        <v>163</v>
      </c>
      <c r="G1738">
        <f>'Aug-Apr, 2023'!AE40+'Aug-Apr, 2023'!AF40</f>
        <v>40</v>
      </c>
      <c r="H1738">
        <f>'Aug-Apr, 2023'!AG40</f>
        <v>0</v>
      </c>
      <c r="I1738">
        <f>'Aug-Apr, 2023'!AH40</f>
        <v>20</v>
      </c>
      <c r="J1738">
        <f>G1738*Parameters!$B$2*Parameters!$B$5</f>
        <v>85.163999999999987</v>
      </c>
      <c r="K1738">
        <f>H1738*Parameters!$B$3*Parameters!$B$6</f>
        <v>0</v>
      </c>
      <c r="L1738">
        <f>I1738*Parameters!$B$4*Parameters!$B$7</f>
        <v>161.928</v>
      </c>
      <c r="M1738">
        <f t="shared" si="27"/>
        <v>247.09199999999998</v>
      </c>
      <c r="N1738">
        <v>4000</v>
      </c>
      <c r="O1738">
        <v>0</v>
      </c>
      <c r="P1738">
        <v>0</v>
      </c>
      <c r="Q1738">
        <v>6000</v>
      </c>
    </row>
    <row r="1739" spans="1:17">
      <c r="A1739" t="s">
        <v>62</v>
      </c>
      <c r="B1739" t="s">
        <v>21</v>
      </c>
      <c r="C1739">
        <v>6</v>
      </c>
      <c r="D1739">
        <v>2022</v>
      </c>
      <c r="E1739" s="49" t="s">
        <v>145</v>
      </c>
      <c r="F1739" s="49" t="s">
        <v>163</v>
      </c>
      <c r="G1739">
        <f>'Aug-Apr, 2023'!AE41+'Aug-Apr, 2023'!AF41</f>
        <v>42</v>
      </c>
      <c r="H1739">
        <f>'Aug-Apr, 2023'!AG41</f>
        <v>0</v>
      </c>
      <c r="I1739">
        <f>'Aug-Apr, 2023'!AH41</f>
        <v>20</v>
      </c>
      <c r="J1739">
        <f>G1739*Parameters!$B$2*Parameters!$B$5</f>
        <v>89.422199999999975</v>
      </c>
      <c r="K1739">
        <f>H1739*Parameters!$B$3*Parameters!$B$6</f>
        <v>0</v>
      </c>
      <c r="L1739">
        <f>I1739*Parameters!$B$4*Parameters!$B$7</f>
        <v>161.928</v>
      </c>
      <c r="M1739">
        <f t="shared" si="27"/>
        <v>251.35019999999997</v>
      </c>
      <c r="N1739">
        <v>4200</v>
      </c>
      <c r="O1739">
        <v>0</v>
      </c>
      <c r="P1739">
        <v>0</v>
      </c>
      <c r="Q1739">
        <v>6000</v>
      </c>
    </row>
    <row r="1740" spans="1:17">
      <c r="A1740" t="s">
        <v>63</v>
      </c>
      <c r="B1740" t="s">
        <v>21</v>
      </c>
      <c r="C1740">
        <v>9</v>
      </c>
      <c r="D1740">
        <v>2022</v>
      </c>
      <c r="E1740" s="49" t="s">
        <v>145</v>
      </c>
      <c r="F1740" s="49" t="s">
        <v>163</v>
      </c>
      <c r="G1740">
        <f>'Aug-Apr, 2023'!AE42+'Aug-Apr, 2023'!AF42</f>
        <v>50</v>
      </c>
      <c r="H1740">
        <f>'Aug-Apr, 2023'!AG42</f>
        <v>0</v>
      </c>
      <c r="I1740">
        <f>'Aug-Apr, 2023'!AH42</f>
        <v>18</v>
      </c>
      <c r="J1740">
        <f>G1740*Parameters!$B$2*Parameters!$B$5</f>
        <v>106.45499999999998</v>
      </c>
      <c r="K1740">
        <f>H1740*Parameters!$B$3*Parameters!$B$6</f>
        <v>0</v>
      </c>
      <c r="L1740">
        <f>I1740*Parameters!$B$4*Parameters!$B$7</f>
        <v>145.73520000000002</v>
      </c>
      <c r="M1740">
        <f t="shared" si="27"/>
        <v>252.1902</v>
      </c>
      <c r="N1740">
        <v>5000</v>
      </c>
      <c r="O1740">
        <v>0</v>
      </c>
      <c r="P1740">
        <v>0</v>
      </c>
      <c r="Q1740">
        <v>5400</v>
      </c>
    </row>
    <row r="1741" spans="1:17">
      <c r="A1741" t="s">
        <v>64</v>
      </c>
      <c r="B1741" t="s">
        <v>65</v>
      </c>
      <c r="C1741">
        <v>3</v>
      </c>
      <c r="D1741">
        <v>2022</v>
      </c>
      <c r="E1741" s="49" t="s">
        <v>145</v>
      </c>
      <c r="F1741" s="49" t="s">
        <v>163</v>
      </c>
      <c r="G1741">
        <f>'Aug-Apr, 2023'!AE43+'Aug-Apr, 2023'!AF43</f>
        <v>76</v>
      </c>
      <c r="H1741">
        <f>'Aug-Apr, 2023'!AG43</f>
        <v>0</v>
      </c>
      <c r="I1741">
        <f>'Aug-Apr, 2023'!AH43</f>
        <v>16</v>
      </c>
      <c r="J1741">
        <f>G1741*Parameters!$B$2*Parameters!$B$5</f>
        <v>161.81159999999997</v>
      </c>
      <c r="K1741">
        <f>H1741*Parameters!$B$3*Parameters!$B$6</f>
        <v>0</v>
      </c>
      <c r="L1741">
        <f>I1741*Parameters!$B$4*Parameters!$B$7</f>
        <v>129.54240000000001</v>
      </c>
      <c r="M1741">
        <f t="shared" si="27"/>
        <v>291.35399999999998</v>
      </c>
      <c r="N1741">
        <v>3600</v>
      </c>
      <c r="O1741">
        <v>4000</v>
      </c>
      <c r="P1741">
        <v>0</v>
      </c>
      <c r="Q1741">
        <v>4800</v>
      </c>
    </row>
    <row r="1742" spans="1:17">
      <c r="A1742" t="s">
        <v>66</v>
      </c>
      <c r="B1742" t="s">
        <v>24</v>
      </c>
      <c r="C1742">
        <v>4</v>
      </c>
      <c r="D1742">
        <v>2022</v>
      </c>
      <c r="E1742" s="49" t="s">
        <v>145</v>
      </c>
      <c r="F1742" s="49" t="s">
        <v>163</v>
      </c>
      <c r="G1742">
        <f>'Aug-Apr, 2023'!AE44+'Aug-Apr, 2023'!AF44</f>
        <v>44</v>
      </c>
      <c r="H1742">
        <f>'Aug-Apr, 2023'!AG44</f>
        <v>0</v>
      </c>
      <c r="I1742">
        <f>'Aug-Apr, 2023'!AH44</f>
        <v>20</v>
      </c>
      <c r="J1742">
        <f>G1742*Parameters!$B$2*Parameters!$B$5</f>
        <v>93.680399999999992</v>
      </c>
      <c r="K1742">
        <f>H1742*Parameters!$B$3*Parameters!$B$6</f>
        <v>0</v>
      </c>
      <c r="L1742">
        <f>I1742*Parameters!$B$4*Parameters!$B$7</f>
        <v>161.928</v>
      </c>
      <c r="M1742">
        <f t="shared" si="27"/>
        <v>255.60839999999999</v>
      </c>
      <c r="N1742">
        <v>4400</v>
      </c>
      <c r="O1742">
        <v>0</v>
      </c>
      <c r="P1742">
        <v>0</v>
      </c>
      <c r="Q1742">
        <v>6000</v>
      </c>
    </row>
    <row r="1743" spans="1:17">
      <c r="A1743" t="s">
        <v>67</v>
      </c>
      <c r="B1743" t="s">
        <v>56</v>
      </c>
      <c r="C1743">
        <v>6</v>
      </c>
      <c r="D1743">
        <v>2022</v>
      </c>
      <c r="E1743" s="49" t="s">
        <v>145</v>
      </c>
      <c r="F1743" s="49" t="s">
        <v>163</v>
      </c>
      <c r="G1743">
        <f>'Aug-Apr, 2023'!AE45+'Aug-Apr, 2023'!AF45</f>
        <v>30</v>
      </c>
      <c r="H1743">
        <f>'Aug-Apr, 2023'!AG45</f>
        <v>0</v>
      </c>
      <c r="I1743">
        <f>'Aug-Apr, 2023'!AH45</f>
        <v>20</v>
      </c>
      <c r="J1743">
        <f>G1743*Parameters!$B$2*Parameters!$B$5</f>
        <v>63.87299999999999</v>
      </c>
      <c r="K1743">
        <f>H1743*Parameters!$B$3*Parameters!$B$6</f>
        <v>0</v>
      </c>
      <c r="L1743">
        <f>I1743*Parameters!$B$4*Parameters!$B$7</f>
        <v>161.928</v>
      </c>
      <c r="M1743">
        <f t="shared" si="27"/>
        <v>225.80099999999999</v>
      </c>
      <c r="N1743">
        <v>3000</v>
      </c>
      <c r="O1743">
        <v>0</v>
      </c>
      <c r="P1743">
        <v>0</v>
      </c>
      <c r="Q1743">
        <v>6000</v>
      </c>
    </row>
    <row r="1744" spans="1:17">
      <c r="A1744" t="s">
        <v>68</v>
      </c>
      <c r="B1744" t="s">
        <v>21</v>
      </c>
      <c r="C1744">
        <v>4</v>
      </c>
      <c r="D1744">
        <v>2022</v>
      </c>
      <c r="E1744" s="49" t="s">
        <v>145</v>
      </c>
      <c r="F1744" s="49" t="s">
        <v>163</v>
      </c>
      <c r="G1744">
        <f>'Aug-Apr, 2023'!AE46+'Aug-Apr, 2023'!AF46</f>
        <v>43</v>
      </c>
      <c r="H1744">
        <f>'Aug-Apr, 2023'!AG46</f>
        <v>0</v>
      </c>
      <c r="I1744">
        <f>'Aug-Apr, 2023'!AH46</f>
        <v>12</v>
      </c>
      <c r="J1744">
        <f>G1744*Parameters!$B$2*Parameters!$B$5</f>
        <v>91.551299999999983</v>
      </c>
      <c r="K1744">
        <f>H1744*Parameters!$B$3*Parameters!$B$6</f>
        <v>0</v>
      </c>
      <c r="L1744">
        <f>I1744*Parameters!$B$4*Parameters!$B$7</f>
        <v>97.156800000000018</v>
      </c>
      <c r="M1744">
        <f t="shared" si="27"/>
        <v>188.7081</v>
      </c>
      <c r="N1744">
        <v>4300</v>
      </c>
      <c r="O1744">
        <v>0</v>
      </c>
      <c r="P1744">
        <v>0</v>
      </c>
      <c r="Q1744">
        <v>3600</v>
      </c>
    </row>
    <row r="1745" spans="1:17">
      <c r="A1745" t="s">
        <v>69</v>
      </c>
      <c r="B1745" t="s">
        <v>24</v>
      </c>
      <c r="C1745">
        <v>6</v>
      </c>
      <c r="D1745">
        <v>2022</v>
      </c>
      <c r="E1745" s="49" t="s">
        <v>145</v>
      </c>
      <c r="F1745" s="49" t="s">
        <v>163</v>
      </c>
      <c r="G1745">
        <f>'Aug-Apr, 2023'!AE47+'Aug-Apr, 2023'!AF47</f>
        <v>50</v>
      </c>
      <c r="H1745">
        <f>'Aug-Apr, 2023'!AG47</f>
        <v>0</v>
      </c>
      <c r="I1745">
        <f>'Aug-Apr, 2023'!AH47</f>
        <v>15</v>
      </c>
      <c r="J1745">
        <f>G1745*Parameters!$B$2*Parameters!$B$5</f>
        <v>106.45499999999998</v>
      </c>
      <c r="K1745">
        <f>H1745*Parameters!$B$3*Parameters!$B$6</f>
        <v>0</v>
      </c>
      <c r="L1745">
        <f>I1745*Parameters!$B$4*Parameters!$B$7</f>
        <v>121.44600000000001</v>
      </c>
      <c r="M1745">
        <f t="shared" si="27"/>
        <v>227.90100000000001</v>
      </c>
      <c r="N1745">
        <v>5000</v>
      </c>
      <c r="O1745">
        <v>0</v>
      </c>
      <c r="P1745">
        <v>0</v>
      </c>
      <c r="Q1745">
        <v>4500</v>
      </c>
    </row>
    <row r="1746" spans="1:17">
      <c r="A1746" t="s">
        <v>70</v>
      </c>
      <c r="B1746" t="s">
        <v>26</v>
      </c>
      <c r="C1746">
        <v>6</v>
      </c>
      <c r="D1746">
        <v>2022</v>
      </c>
      <c r="E1746" s="49" t="s">
        <v>145</v>
      </c>
      <c r="F1746" s="49" t="s">
        <v>163</v>
      </c>
      <c r="G1746">
        <f>'Aug-Apr, 2023'!AE48+'Aug-Apr, 2023'!AF48</f>
        <v>35</v>
      </c>
      <c r="H1746">
        <f>'Aug-Apr, 2023'!AG48</f>
        <v>0</v>
      </c>
      <c r="I1746">
        <f>'Aug-Apr, 2023'!AH48</f>
        <v>18</v>
      </c>
      <c r="J1746">
        <f>G1746*Parameters!$B$2*Parameters!$B$5</f>
        <v>74.518499999999989</v>
      </c>
      <c r="K1746">
        <f>H1746*Parameters!$B$3*Parameters!$B$6</f>
        <v>0</v>
      </c>
      <c r="L1746">
        <f>I1746*Parameters!$B$4*Parameters!$B$7</f>
        <v>145.73520000000002</v>
      </c>
      <c r="M1746">
        <f t="shared" si="27"/>
        <v>220.25370000000001</v>
      </c>
      <c r="N1746">
        <v>3500</v>
      </c>
      <c r="O1746">
        <v>0</v>
      </c>
      <c r="P1746">
        <v>0</v>
      </c>
      <c r="Q1746">
        <v>5400</v>
      </c>
    </row>
    <row r="1747" spans="1:17">
      <c r="A1747" t="s">
        <v>71</v>
      </c>
      <c r="B1747" t="s">
        <v>26</v>
      </c>
      <c r="C1747">
        <v>5</v>
      </c>
      <c r="D1747">
        <v>2022</v>
      </c>
      <c r="E1747" s="49" t="s">
        <v>145</v>
      </c>
      <c r="F1747" s="49" t="s">
        <v>163</v>
      </c>
      <c r="G1747">
        <f>'Aug-Apr, 2023'!AE49+'Aug-Apr, 2023'!AF49</f>
        <v>42</v>
      </c>
      <c r="H1747">
        <f>'Aug-Apr, 2023'!AG49</f>
        <v>0</v>
      </c>
      <c r="I1747">
        <f>'Aug-Apr, 2023'!AH49</f>
        <v>18</v>
      </c>
      <c r="J1747">
        <f>G1747*Parameters!$B$2*Parameters!$B$5</f>
        <v>89.422199999999975</v>
      </c>
      <c r="K1747">
        <f>H1747*Parameters!$B$3*Parameters!$B$6</f>
        <v>0</v>
      </c>
      <c r="L1747">
        <f>I1747*Parameters!$B$4*Parameters!$B$7</f>
        <v>145.73520000000002</v>
      </c>
      <c r="M1747">
        <f t="shared" si="27"/>
        <v>235.1574</v>
      </c>
      <c r="N1747">
        <v>4200</v>
      </c>
      <c r="O1747">
        <v>0</v>
      </c>
      <c r="P1747">
        <v>0</v>
      </c>
      <c r="Q1747">
        <v>5400</v>
      </c>
    </row>
    <row r="1748" spans="1:17">
      <c r="A1748" t="s">
        <v>72</v>
      </c>
      <c r="B1748" t="s">
        <v>26</v>
      </c>
      <c r="C1748">
        <v>8</v>
      </c>
      <c r="D1748">
        <v>2022</v>
      </c>
      <c r="E1748" s="49" t="s">
        <v>145</v>
      </c>
      <c r="F1748" s="49" t="s">
        <v>163</v>
      </c>
      <c r="G1748">
        <f>'Aug-Apr, 2023'!AE50+'Aug-Apr, 2023'!AF50</f>
        <v>30</v>
      </c>
      <c r="H1748">
        <f>'Aug-Apr, 2023'!AG50</f>
        <v>0</v>
      </c>
      <c r="I1748">
        <f>'Aug-Apr, 2023'!AH50</f>
        <v>15</v>
      </c>
      <c r="J1748">
        <f>G1748*Parameters!$B$2*Parameters!$B$5</f>
        <v>63.87299999999999</v>
      </c>
      <c r="K1748">
        <f>H1748*Parameters!$B$3*Parameters!$B$6</f>
        <v>0</v>
      </c>
      <c r="L1748">
        <f>I1748*Parameters!$B$4*Parameters!$B$7</f>
        <v>121.44600000000001</v>
      </c>
      <c r="M1748">
        <f t="shared" si="27"/>
        <v>185.31900000000002</v>
      </c>
      <c r="N1748">
        <v>3000</v>
      </c>
      <c r="O1748">
        <v>0</v>
      </c>
      <c r="P1748">
        <v>0</v>
      </c>
      <c r="Q1748">
        <v>4500</v>
      </c>
    </row>
    <row r="1749" spans="1:17">
      <c r="A1749" t="s">
        <v>73</v>
      </c>
      <c r="B1749" t="s">
        <v>17</v>
      </c>
      <c r="C1749">
        <v>4</v>
      </c>
      <c r="D1749">
        <v>2022</v>
      </c>
      <c r="E1749" s="49" t="s">
        <v>145</v>
      </c>
      <c r="F1749" s="49" t="s">
        <v>163</v>
      </c>
      <c r="G1749">
        <f>'Aug-Apr, 2023'!AE51+'Aug-Apr, 2023'!AF51</f>
        <v>46</v>
      </c>
      <c r="H1749">
        <f>'Aug-Apr, 2023'!AG51</f>
        <v>0</v>
      </c>
      <c r="I1749">
        <f>'Aug-Apr, 2023'!AH51</f>
        <v>20</v>
      </c>
      <c r="J1749">
        <f>G1749*Parameters!$B$2*Parameters!$B$5</f>
        <v>97.938599999999994</v>
      </c>
      <c r="K1749">
        <f>H1749*Parameters!$B$3*Parameters!$B$6</f>
        <v>0</v>
      </c>
      <c r="L1749">
        <f>I1749*Parameters!$B$4*Parameters!$B$7</f>
        <v>161.928</v>
      </c>
      <c r="M1749">
        <f t="shared" si="27"/>
        <v>259.86660000000001</v>
      </c>
      <c r="N1749">
        <v>4600</v>
      </c>
      <c r="O1749">
        <v>0</v>
      </c>
      <c r="P1749">
        <v>0</v>
      </c>
      <c r="Q1749">
        <v>6000</v>
      </c>
    </row>
    <row r="1750" spans="1:17">
      <c r="A1750" t="s">
        <v>74</v>
      </c>
      <c r="B1750" t="s">
        <v>65</v>
      </c>
      <c r="C1750">
        <v>8</v>
      </c>
      <c r="D1750">
        <v>2022</v>
      </c>
      <c r="E1750" s="49" t="s">
        <v>145</v>
      </c>
      <c r="F1750" s="49" t="s">
        <v>163</v>
      </c>
      <c r="G1750">
        <f>'Aug-Apr, 2023'!AE52+'Aug-Apr, 2023'!AF52</f>
        <v>40</v>
      </c>
      <c r="H1750">
        <f>'Aug-Apr, 2023'!AG52</f>
        <v>0</v>
      </c>
      <c r="I1750">
        <f>'Aug-Apr, 2023'!AH52</f>
        <v>12</v>
      </c>
      <c r="J1750">
        <f>G1750*Parameters!$B$2*Parameters!$B$5</f>
        <v>85.163999999999987</v>
      </c>
      <c r="K1750">
        <f>H1750*Parameters!$B$3*Parameters!$B$6</f>
        <v>0</v>
      </c>
      <c r="L1750">
        <f>I1750*Parameters!$B$4*Parameters!$B$7</f>
        <v>97.156800000000018</v>
      </c>
      <c r="M1750">
        <f t="shared" si="27"/>
        <v>182.32080000000002</v>
      </c>
      <c r="N1750">
        <v>2400</v>
      </c>
      <c r="O1750">
        <v>1600</v>
      </c>
      <c r="P1750">
        <v>0</v>
      </c>
      <c r="Q1750">
        <v>3600</v>
      </c>
    </row>
    <row r="1751" spans="1:17">
      <c r="A1751" t="s">
        <v>75</v>
      </c>
      <c r="B1751" t="s">
        <v>24</v>
      </c>
      <c r="C1751">
        <v>4</v>
      </c>
      <c r="D1751">
        <v>2022</v>
      </c>
      <c r="E1751" s="49" t="s">
        <v>145</v>
      </c>
      <c r="F1751" s="49" t="s">
        <v>163</v>
      </c>
      <c r="G1751">
        <f>'Aug-Apr, 2023'!AE53+'Aug-Apr, 2023'!AF53</f>
        <v>35</v>
      </c>
      <c r="H1751">
        <f>'Aug-Apr, 2023'!AG53</f>
        <v>0</v>
      </c>
      <c r="I1751">
        <f>'Aug-Apr, 2023'!AH53</f>
        <v>20</v>
      </c>
      <c r="J1751">
        <f>G1751*Parameters!$B$2*Parameters!$B$5</f>
        <v>74.518499999999989</v>
      </c>
      <c r="K1751">
        <f>H1751*Parameters!$B$3*Parameters!$B$6</f>
        <v>0</v>
      </c>
      <c r="L1751">
        <f>I1751*Parameters!$B$4*Parameters!$B$7</f>
        <v>161.928</v>
      </c>
      <c r="M1751">
        <f t="shared" si="27"/>
        <v>236.44649999999999</v>
      </c>
      <c r="N1751">
        <v>3500</v>
      </c>
      <c r="O1751">
        <v>0</v>
      </c>
      <c r="P1751">
        <v>0</v>
      </c>
      <c r="Q1751">
        <v>6000</v>
      </c>
    </row>
    <row r="1752" spans="1:17">
      <c r="A1752" t="s">
        <v>76</v>
      </c>
      <c r="B1752" t="s">
        <v>56</v>
      </c>
      <c r="C1752">
        <v>4</v>
      </c>
      <c r="D1752">
        <v>2022</v>
      </c>
      <c r="E1752" s="49" t="s">
        <v>145</v>
      </c>
      <c r="F1752" s="49" t="s">
        <v>163</v>
      </c>
      <c r="G1752">
        <f>'Aug-Apr, 2023'!AE54+'Aug-Apr, 2023'!AF54</f>
        <v>31</v>
      </c>
      <c r="H1752">
        <f>'Aug-Apr, 2023'!AG54</f>
        <v>0</v>
      </c>
      <c r="I1752">
        <f>'Aug-Apr, 2023'!AH54</f>
        <v>16</v>
      </c>
      <c r="J1752">
        <f>G1752*Parameters!$B$2*Parameters!$B$5</f>
        <v>66.002099999999984</v>
      </c>
      <c r="K1752">
        <f>H1752*Parameters!$B$3*Parameters!$B$6</f>
        <v>0</v>
      </c>
      <c r="L1752">
        <f>I1752*Parameters!$B$4*Parameters!$B$7</f>
        <v>129.54240000000001</v>
      </c>
      <c r="M1752">
        <f t="shared" si="27"/>
        <v>195.5445</v>
      </c>
      <c r="N1752">
        <v>3100</v>
      </c>
      <c r="O1752">
        <v>0</v>
      </c>
      <c r="P1752">
        <v>0</v>
      </c>
      <c r="Q1752">
        <v>4800</v>
      </c>
    </row>
    <row r="1753" spans="1:17">
      <c r="A1753" t="s">
        <v>77</v>
      </c>
      <c r="B1753" t="s">
        <v>40</v>
      </c>
      <c r="C1753">
        <v>12</v>
      </c>
      <c r="D1753">
        <v>2022</v>
      </c>
      <c r="E1753" s="49" t="s">
        <v>145</v>
      </c>
      <c r="F1753" s="49" t="s">
        <v>163</v>
      </c>
      <c r="G1753">
        <f>'Aug-Apr, 2023'!AE55+'Aug-Apr, 2023'!AF55</f>
        <v>35</v>
      </c>
      <c r="H1753">
        <f>'Aug-Apr, 2023'!AG55</f>
        <v>0</v>
      </c>
      <c r="I1753">
        <f>'Aug-Apr, 2023'!AH55</f>
        <v>14</v>
      </c>
      <c r="J1753">
        <f>G1753*Parameters!$B$2*Parameters!$B$5</f>
        <v>74.518499999999989</v>
      </c>
      <c r="K1753">
        <f>H1753*Parameters!$B$3*Parameters!$B$6</f>
        <v>0</v>
      </c>
      <c r="L1753">
        <f>I1753*Parameters!$B$4*Parameters!$B$7</f>
        <v>113.34960000000001</v>
      </c>
      <c r="M1753">
        <f t="shared" si="27"/>
        <v>187.8681</v>
      </c>
      <c r="N1753">
        <v>3500</v>
      </c>
      <c r="O1753">
        <v>0</v>
      </c>
      <c r="P1753">
        <v>0</v>
      </c>
      <c r="Q1753">
        <v>4200</v>
      </c>
    </row>
    <row r="1754" spans="1:17">
      <c r="A1754" t="s">
        <v>78</v>
      </c>
      <c r="B1754" t="s">
        <v>32</v>
      </c>
      <c r="C1754">
        <v>6</v>
      </c>
      <c r="D1754">
        <v>2022</v>
      </c>
      <c r="E1754" s="49" t="s">
        <v>145</v>
      </c>
      <c r="F1754" s="49" t="s">
        <v>163</v>
      </c>
      <c r="G1754">
        <f>'Aug-Apr, 2023'!AE56+'Aug-Apr, 2023'!AF56</f>
        <v>40</v>
      </c>
      <c r="H1754">
        <f>'Aug-Apr, 2023'!AG56</f>
        <v>0</v>
      </c>
      <c r="I1754">
        <f>'Aug-Apr, 2023'!AH56</f>
        <v>10</v>
      </c>
      <c r="J1754">
        <f>G1754*Parameters!$B$2*Parameters!$B$5</f>
        <v>85.163999999999987</v>
      </c>
      <c r="K1754">
        <f>H1754*Parameters!$B$3*Parameters!$B$6</f>
        <v>0</v>
      </c>
      <c r="L1754">
        <f>I1754*Parameters!$B$4*Parameters!$B$7</f>
        <v>80.963999999999999</v>
      </c>
      <c r="M1754">
        <f t="shared" si="27"/>
        <v>166.12799999999999</v>
      </c>
      <c r="N1754">
        <v>4000</v>
      </c>
      <c r="O1754">
        <v>0</v>
      </c>
      <c r="P1754">
        <v>0</v>
      </c>
      <c r="Q1754">
        <v>3000</v>
      </c>
    </row>
    <row r="1755" spans="1:17">
      <c r="A1755" t="s">
        <v>79</v>
      </c>
      <c r="B1755" t="s">
        <v>40</v>
      </c>
      <c r="C1755">
        <v>4</v>
      </c>
      <c r="D1755">
        <v>2022</v>
      </c>
      <c r="E1755" s="49" t="s">
        <v>145</v>
      </c>
      <c r="F1755" s="49" t="s">
        <v>163</v>
      </c>
      <c r="G1755">
        <f>'Aug-Apr, 2023'!AE57+'Aug-Apr, 2023'!AF57</f>
        <v>50</v>
      </c>
      <c r="H1755">
        <f>'Aug-Apr, 2023'!AG57</f>
        <v>0</v>
      </c>
      <c r="I1755">
        <f>'Aug-Apr, 2023'!AH57</f>
        <v>6</v>
      </c>
      <c r="J1755">
        <f>G1755*Parameters!$B$2*Parameters!$B$5</f>
        <v>106.45499999999998</v>
      </c>
      <c r="K1755">
        <f>H1755*Parameters!$B$3*Parameters!$B$6</f>
        <v>0</v>
      </c>
      <c r="L1755">
        <f>I1755*Parameters!$B$4*Parameters!$B$7</f>
        <v>48.578400000000009</v>
      </c>
      <c r="M1755">
        <f t="shared" si="27"/>
        <v>155.0334</v>
      </c>
      <c r="N1755">
        <v>5000</v>
      </c>
      <c r="O1755">
        <v>0</v>
      </c>
      <c r="P1755">
        <v>0</v>
      </c>
      <c r="Q1755">
        <v>1800</v>
      </c>
    </row>
    <row r="1756" spans="1:17">
      <c r="A1756" t="s">
        <v>80</v>
      </c>
      <c r="B1756" t="s">
        <v>26</v>
      </c>
      <c r="C1756">
        <v>7</v>
      </c>
      <c r="D1756">
        <v>2022</v>
      </c>
      <c r="E1756" s="49" t="s">
        <v>145</v>
      </c>
      <c r="F1756" s="49" t="s">
        <v>163</v>
      </c>
      <c r="G1756">
        <f>'Aug-Apr, 2023'!AE58+'Aug-Apr, 2023'!AF58</f>
        <v>46</v>
      </c>
      <c r="H1756">
        <f>'Aug-Apr, 2023'!AG58</f>
        <v>0</v>
      </c>
      <c r="I1756">
        <f>'Aug-Apr, 2023'!AH58</f>
        <v>8</v>
      </c>
      <c r="J1756">
        <f>G1756*Parameters!$B$2*Parameters!$B$5</f>
        <v>97.938599999999994</v>
      </c>
      <c r="K1756">
        <f>H1756*Parameters!$B$3*Parameters!$B$6</f>
        <v>0</v>
      </c>
      <c r="L1756">
        <f>I1756*Parameters!$B$4*Parameters!$B$7</f>
        <v>64.771200000000007</v>
      </c>
      <c r="M1756">
        <f t="shared" si="27"/>
        <v>162.7098</v>
      </c>
      <c r="N1756">
        <v>4600</v>
      </c>
      <c r="O1756">
        <v>0</v>
      </c>
      <c r="P1756">
        <v>0</v>
      </c>
      <c r="Q1756">
        <v>2400</v>
      </c>
    </row>
    <row r="1757" spans="1:17">
      <c r="A1757" t="s">
        <v>81</v>
      </c>
      <c r="B1757" t="s">
        <v>24</v>
      </c>
      <c r="C1757">
        <v>6</v>
      </c>
      <c r="D1757">
        <v>2022</v>
      </c>
      <c r="E1757" s="49" t="s">
        <v>145</v>
      </c>
      <c r="F1757" s="49" t="s">
        <v>163</v>
      </c>
      <c r="G1757">
        <f>'Aug-Apr, 2023'!AE59+'Aug-Apr, 2023'!AF59</f>
        <v>41</v>
      </c>
      <c r="H1757">
        <f>'Aug-Apr, 2023'!AG59</f>
        <v>0</v>
      </c>
      <c r="I1757">
        <f>'Aug-Apr, 2023'!AH59</f>
        <v>20</v>
      </c>
      <c r="J1757">
        <f>G1757*Parameters!$B$2*Parameters!$B$5</f>
        <v>87.293099999999995</v>
      </c>
      <c r="K1757">
        <f>H1757*Parameters!$B$3*Parameters!$B$6</f>
        <v>0</v>
      </c>
      <c r="L1757">
        <f>I1757*Parameters!$B$4*Parameters!$B$7</f>
        <v>161.928</v>
      </c>
      <c r="M1757">
        <f t="shared" si="27"/>
        <v>249.22109999999998</v>
      </c>
      <c r="N1757">
        <v>4100</v>
      </c>
      <c r="O1757">
        <v>0</v>
      </c>
      <c r="P1757">
        <v>0</v>
      </c>
      <c r="Q1757">
        <v>6000</v>
      </c>
    </row>
    <row r="1758" spans="1:17">
      <c r="A1758" t="s">
        <v>82</v>
      </c>
      <c r="B1758" t="s">
        <v>83</v>
      </c>
      <c r="C1758">
        <v>4</v>
      </c>
      <c r="D1758">
        <v>2022</v>
      </c>
      <c r="E1758" s="49" t="s">
        <v>145</v>
      </c>
      <c r="F1758" s="49" t="s">
        <v>163</v>
      </c>
      <c r="G1758">
        <f>'Aug-Apr, 2023'!AE60+'Aug-Apr, 2023'!AF60</f>
        <v>48</v>
      </c>
      <c r="H1758">
        <f>'Aug-Apr, 2023'!AG60</f>
        <v>0</v>
      </c>
      <c r="I1758">
        <f>'Aug-Apr, 2023'!AH60</f>
        <v>12</v>
      </c>
      <c r="J1758">
        <f>G1758*Parameters!$B$2*Parameters!$B$5</f>
        <v>102.19679999999998</v>
      </c>
      <c r="K1758">
        <f>H1758*Parameters!$B$3*Parameters!$B$6</f>
        <v>0</v>
      </c>
      <c r="L1758">
        <f>I1758*Parameters!$B$4*Parameters!$B$7</f>
        <v>97.156800000000018</v>
      </c>
      <c r="M1758">
        <f t="shared" si="27"/>
        <v>199.3536</v>
      </c>
      <c r="N1758">
        <v>4800</v>
      </c>
      <c r="O1758">
        <v>0</v>
      </c>
      <c r="P1758">
        <v>0</v>
      </c>
      <c r="Q1758">
        <v>3600</v>
      </c>
    </row>
    <row r="1759" spans="1:17">
      <c r="A1759" t="s">
        <v>84</v>
      </c>
      <c r="B1759" t="s">
        <v>26</v>
      </c>
      <c r="C1759">
        <v>7</v>
      </c>
      <c r="D1759">
        <v>2022</v>
      </c>
      <c r="E1759" s="49" t="s">
        <v>145</v>
      </c>
      <c r="F1759" s="49" t="s">
        <v>163</v>
      </c>
      <c r="G1759">
        <f>'Aug-Apr, 2023'!AE61+'Aug-Apr, 2023'!AF61</f>
        <v>44</v>
      </c>
      <c r="H1759">
        <f>'Aug-Apr, 2023'!AG61</f>
        <v>0</v>
      </c>
      <c r="I1759">
        <f>'Aug-Apr, 2023'!AH61</f>
        <v>8</v>
      </c>
      <c r="J1759">
        <f>G1759*Parameters!$B$2*Parameters!$B$5</f>
        <v>93.680399999999992</v>
      </c>
      <c r="K1759">
        <f>H1759*Parameters!$B$3*Parameters!$B$6</f>
        <v>0</v>
      </c>
      <c r="L1759">
        <f>I1759*Parameters!$B$4*Parameters!$B$7</f>
        <v>64.771200000000007</v>
      </c>
      <c r="M1759">
        <f t="shared" si="27"/>
        <v>158.45159999999998</v>
      </c>
      <c r="N1759">
        <v>4400</v>
      </c>
      <c r="O1759">
        <v>0</v>
      </c>
      <c r="P1759">
        <v>0</v>
      </c>
      <c r="Q1759">
        <v>2400</v>
      </c>
    </row>
    <row r="1760" spans="1:17">
      <c r="A1760" t="s">
        <v>85</v>
      </c>
      <c r="B1760" t="s">
        <v>24</v>
      </c>
      <c r="C1760">
        <v>6</v>
      </c>
      <c r="D1760">
        <v>2022</v>
      </c>
      <c r="E1760" s="49" t="s">
        <v>145</v>
      </c>
      <c r="F1760" s="49" t="s">
        <v>163</v>
      </c>
      <c r="G1760">
        <f>'Aug-Apr, 2023'!AE62+'Aug-Apr, 2023'!AF62</f>
        <v>32</v>
      </c>
      <c r="H1760">
        <f>'Aug-Apr, 2023'!AG62</f>
        <v>0</v>
      </c>
      <c r="I1760">
        <f>'Aug-Apr, 2023'!AH62</f>
        <v>20</v>
      </c>
      <c r="J1760">
        <f>G1760*Parameters!$B$2*Parameters!$B$5</f>
        <v>68.131199999999993</v>
      </c>
      <c r="K1760">
        <f>H1760*Parameters!$B$3*Parameters!$B$6</f>
        <v>0</v>
      </c>
      <c r="L1760">
        <f>I1760*Parameters!$B$4*Parameters!$B$7</f>
        <v>161.928</v>
      </c>
      <c r="M1760">
        <f t="shared" si="27"/>
        <v>230.05919999999998</v>
      </c>
      <c r="N1760">
        <v>3200</v>
      </c>
      <c r="O1760">
        <v>0</v>
      </c>
      <c r="P1760">
        <v>0</v>
      </c>
      <c r="Q1760">
        <v>6000</v>
      </c>
    </row>
    <row r="1761" spans="1:17">
      <c r="A1761" t="s">
        <v>86</v>
      </c>
      <c r="B1761" t="s">
        <v>32</v>
      </c>
      <c r="C1761">
        <v>4</v>
      </c>
      <c r="D1761">
        <v>2022</v>
      </c>
      <c r="E1761" s="49" t="s">
        <v>145</v>
      </c>
      <c r="F1761" s="49" t="s">
        <v>163</v>
      </c>
      <c r="G1761">
        <f>'Aug-Apr, 2023'!AE63+'Aug-Apr, 2023'!AF63</f>
        <v>32</v>
      </c>
      <c r="H1761">
        <f>'Aug-Apr, 2023'!AG63</f>
        <v>0</v>
      </c>
      <c r="I1761">
        <f>'Aug-Apr, 2023'!AH63</f>
        <v>12</v>
      </c>
      <c r="J1761">
        <f>G1761*Parameters!$B$2*Parameters!$B$5</f>
        <v>68.131199999999993</v>
      </c>
      <c r="K1761">
        <f>H1761*Parameters!$B$3*Parameters!$B$6</f>
        <v>0</v>
      </c>
      <c r="L1761">
        <f>I1761*Parameters!$B$4*Parameters!$B$7</f>
        <v>97.156800000000018</v>
      </c>
      <c r="M1761">
        <f t="shared" si="27"/>
        <v>165.28800000000001</v>
      </c>
      <c r="N1761">
        <v>3200</v>
      </c>
      <c r="O1761">
        <v>0</v>
      </c>
      <c r="P1761">
        <v>0</v>
      </c>
      <c r="Q1761">
        <v>3600</v>
      </c>
    </row>
    <row r="1762" spans="1:17">
      <c r="A1762" t="s">
        <v>87</v>
      </c>
      <c r="B1762" t="s">
        <v>32</v>
      </c>
      <c r="C1762">
        <v>8</v>
      </c>
      <c r="D1762">
        <v>2022</v>
      </c>
      <c r="E1762" s="49" t="s">
        <v>145</v>
      </c>
      <c r="F1762" s="49" t="s">
        <v>163</v>
      </c>
      <c r="G1762">
        <f>'Aug-Apr, 2023'!AE64+'Aug-Apr, 2023'!AF64</f>
        <v>31</v>
      </c>
      <c r="H1762">
        <f>'Aug-Apr, 2023'!AG64</f>
        <v>0</v>
      </c>
      <c r="I1762">
        <f>'Aug-Apr, 2023'!AH64</f>
        <v>20</v>
      </c>
      <c r="J1762">
        <f>G1762*Parameters!$B$2*Parameters!$B$5</f>
        <v>66.002099999999984</v>
      </c>
      <c r="K1762">
        <f>H1762*Parameters!$B$3*Parameters!$B$6</f>
        <v>0</v>
      </c>
      <c r="L1762">
        <f>I1762*Parameters!$B$4*Parameters!$B$7</f>
        <v>161.928</v>
      </c>
      <c r="M1762">
        <f t="shared" si="27"/>
        <v>227.93009999999998</v>
      </c>
      <c r="N1762">
        <v>3100</v>
      </c>
      <c r="O1762">
        <v>0</v>
      </c>
      <c r="P1762">
        <v>0</v>
      </c>
      <c r="Q1762">
        <v>6000</v>
      </c>
    </row>
    <row r="1763" spans="1:17">
      <c r="A1763" t="s">
        <v>88</v>
      </c>
      <c r="B1763" t="s">
        <v>32</v>
      </c>
      <c r="C1763">
        <v>7</v>
      </c>
      <c r="D1763">
        <v>2022</v>
      </c>
      <c r="E1763" s="49" t="s">
        <v>145</v>
      </c>
      <c r="F1763" s="49" t="s">
        <v>163</v>
      </c>
      <c r="G1763">
        <f>'Aug-Apr, 2023'!AE65+'Aug-Apr, 2023'!AF65</f>
        <v>36</v>
      </c>
      <c r="H1763">
        <f>'Aug-Apr, 2023'!AG65</f>
        <v>0</v>
      </c>
      <c r="I1763">
        <f>'Aug-Apr, 2023'!AH65</f>
        <v>20</v>
      </c>
      <c r="J1763">
        <f>G1763*Parameters!$B$2*Parameters!$B$5</f>
        <v>76.647599999999997</v>
      </c>
      <c r="K1763">
        <f>H1763*Parameters!$B$3*Parameters!$B$6</f>
        <v>0</v>
      </c>
      <c r="L1763">
        <f>I1763*Parameters!$B$4*Parameters!$B$7</f>
        <v>161.928</v>
      </c>
      <c r="M1763">
        <f t="shared" si="27"/>
        <v>238.57560000000001</v>
      </c>
      <c r="N1763">
        <v>3600</v>
      </c>
      <c r="O1763">
        <v>0</v>
      </c>
      <c r="P1763">
        <v>0</v>
      </c>
      <c r="Q1763">
        <v>6000</v>
      </c>
    </row>
    <row r="1764" spans="1:17">
      <c r="A1764" t="s">
        <v>89</v>
      </c>
      <c r="B1764" t="s">
        <v>65</v>
      </c>
      <c r="C1764">
        <v>8</v>
      </c>
      <c r="D1764">
        <v>2022</v>
      </c>
      <c r="E1764" s="49" t="s">
        <v>145</v>
      </c>
      <c r="F1764" s="49" t="s">
        <v>163</v>
      </c>
      <c r="G1764">
        <f>'Aug-Apr, 2023'!AE66+'Aug-Apr, 2023'!AF66</f>
        <v>40</v>
      </c>
      <c r="H1764">
        <f>'Aug-Apr, 2023'!AG66</f>
        <v>0</v>
      </c>
      <c r="I1764">
        <f>'Aug-Apr, 2023'!AH66</f>
        <v>14</v>
      </c>
      <c r="J1764">
        <f>G1764*Parameters!$B$2*Parameters!$B$5</f>
        <v>85.163999999999987</v>
      </c>
      <c r="K1764">
        <f>H1764*Parameters!$B$3*Parameters!$B$6</f>
        <v>0</v>
      </c>
      <c r="L1764">
        <f>I1764*Parameters!$B$4*Parameters!$B$7</f>
        <v>113.34960000000001</v>
      </c>
      <c r="M1764">
        <f t="shared" si="27"/>
        <v>198.5136</v>
      </c>
      <c r="N1764">
        <v>4000</v>
      </c>
      <c r="O1764">
        <v>0</v>
      </c>
      <c r="P1764">
        <v>0</v>
      </c>
      <c r="Q1764">
        <v>4200</v>
      </c>
    </row>
    <row r="1765" spans="1:17">
      <c r="A1765" t="s">
        <v>90</v>
      </c>
      <c r="B1765" t="s">
        <v>32</v>
      </c>
      <c r="C1765">
        <v>6</v>
      </c>
      <c r="D1765">
        <v>2022</v>
      </c>
      <c r="E1765" s="49" t="s">
        <v>145</v>
      </c>
      <c r="F1765" s="49" t="s">
        <v>163</v>
      </c>
      <c r="G1765">
        <f>'Aug-Apr, 2023'!AE67+'Aug-Apr, 2023'!AF67</f>
        <v>42</v>
      </c>
      <c r="H1765">
        <f>'Aug-Apr, 2023'!AG67</f>
        <v>0</v>
      </c>
      <c r="I1765">
        <f>'Aug-Apr, 2023'!AH67</f>
        <v>20</v>
      </c>
      <c r="J1765">
        <f>G1765*Parameters!$B$2*Parameters!$B$5</f>
        <v>89.422199999999975</v>
      </c>
      <c r="K1765">
        <f>H1765*Parameters!$B$3*Parameters!$B$6</f>
        <v>0</v>
      </c>
      <c r="L1765">
        <f>I1765*Parameters!$B$4*Parameters!$B$7</f>
        <v>161.928</v>
      </c>
      <c r="M1765">
        <f t="shared" si="27"/>
        <v>251.35019999999997</v>
      </c>
      <c r="N1765">
        <v>4200</v>
      </c>
      <c r="O1765">
        <v>0</v>
      </c>
      <c r="P1765">
        <v>0</v>
      </c>
      <c r="Q1765">
        <v>6000</v>
      </c>
    </row>
    <row r="1766" spans="1:17">
      <c r="A1766" t="s">
        <v>91</v>
      </c>
      <c r="B1766" t="s">
        <v>24</v>
      </c>
      <c r="C1766">
        <v>6</v>
      </c>
      <c r="D1766">
        <v>2022</v>
      </c>
      <c r="E1766" s="49" t="s">
        <v>145</v>
      </c>
      <c r="F1766" s="49" t="s">
        <v>163</v>
      </c>
      <c r="G1766">
        <f>'Aug-Apr, 2023'!AE68+'Aug-Apr, 2023'!AF68</f>
        <v>30</v>
      </c>
      <c r="H1766">
        <f>'Aug-Apr, 2023'!AG68</f>
        <v>0</v>
      </c>
      <c r="I1766">
        <f>'Aug-Apr, 2023'!AH68</f>
        <v>20</v>
      </c>
      <c r="J1766">
        <f>G1766*Parameters!$B$2*Parameters!$B$5</f>
        <v>63.87299999999999</v>
      </c>
      <c r="K1766">
        <f>H1766*Parameters!$B$3*Parameters!$B$6</f>
        <v>0</v>
      </c>
      <c r="L1766">
        <f>I1766*Parameters!$B$4*Parameters!$B$7</f>
        <v>161.928</v>
      </c>
      <c r="M1766">
        <f t="shared" si="27"/>
        <v>225.80099999999999</v>
      </c>
      <c r="N1766">
        <v>3000</v>
      </c>
      <c r="O1766">
        <v>0</v>
      </c>
      <c r="P1766">
        <v>0</v>
      </c>
      <c r="Q1766">
        <v>6000</v>
      </c>
    </row>
    <row r="1767" spans="1:17">
      <c r="A1767" t="s">
        <v>92</v>
      </c>
      <c r="B1767" t="s">
        <v>17</v>
      </c>
      <c r="C1767">
        <v>4</v>
      </c>
      <c r="D1767">
        <v>2022</v>
      </c>
      <c r="E1767" s="49" t="s">
        <v>145</v>
      </c>
      <c r="F1767" s="49" t="s">
        <v>163</v>
      </c>
      <c r="G1767">
        <f>'Aug-Apr, 2023'!AE69+'Aug-Apr, 2023'!AF69</f>
        <v>56</v>
      </c>
      <c r="H1767">
        <f>'Aug-Apr, 2023'!AG69</f>
        <v>0</v>
      </c>
      <c r="I1767">
        <f>'Aug-Apr, 2023'!AH69</f>
        <v>20</v>
      </c>
      <c r="J1767">
        <f>G1767*Parameters!$B$2*Parameters!$B$5</f>
        <v>119.22959999999999</v>
      </c>
      <c r="K1767">
        <f>H1767*Parameters!$B$3*Parameters!$B$6</f>
        <v>0</v>
      </c>
      <c r="L1767">
        <f>I1767*Parameters!$B$4*Parameters!$B$7</f>
        <v>161.928</v>
      </c>
      <c r="M1767">
        <f t="shared" si="27"/>
        <v>281.1576</v>
      </c>
      <c r="N1767">
        <v>4600</v>
      </c>
      <c r="O1767">
        <v>1000</v>
      </c>
      <c r="P1767">
        <v>0</v>
      </c>
      <c r="Q1767">
        <v>6000</v>
      </c>
    </row>
    <row r="1768" spans="1:17">
      <c r="A1768" t="s">
        <v>93</v>
      </c>
      <c r="B1768" t="s">
        <v>19</v>
      </c>
      <c r="C1768">
        <v>7</v>
      </c>
      <c r="D1768">
        <v>2022</v>
      </c>
      <c r="E1768" s="49" t="s">
        <v>145</v>
      </c>
      <c r="F1768" s="49" t="s">
        <v>163</v>
      </c>
      <c r="G1768">
        <f>'Aug-Apr, 2023'!AE70+'Aug-Apr, 2023'!AF70</f>
        <v>52</v>
      </c>
      <c r="H1768">
        <f>'Aug-Apr, 2023'!AG70</f>
        <v>0</v>
      </c>
      <c r="I1768">
        <f>'Aug-Apr, 2023'!AH70</f>
        <v>18</v>
      </c>
      <c r="J1768">
        <f>G1768*Parameters!$B$2*Parameters!$B$5</f>
        <v>110.71319999999999</v>
      </c>
      <c r="K1768">
        <f>H1768*Parameters!$B$3*Parameters!$B$6</f>
        <v>0</v>
      </c>
      <c r="L1768">
        <f>I1768*Parameters!$B$4*Parameters!$B$7</f>
        <v>145.73520000000002</v>
      </c>
      <c r="M1768">
        <f t="shared" si="27"/>
        <v>256.44839999999999</v>
      </c>
      <c r="N1768">
        <v>5200</v>
      </c>
      <c r="O1768">
        <v>0</v>
      </c>
      <c r="P1768">
        <v>0</v>
      </c>
      <c r="Q1768">
        <v>5400</v>
      </c>
    </row>
    <row r="1769" spans="1:17">
      <c r="A1769" t="s">
        <v>94</v>
      </c>
      <c r="B1769" t="s">
        <v>19</v>
      </c>
      <c r="C1769">
        <v>6</v>
      </c>
      <c r="D1769">
        <v>2022</v>
      </c>
      <c r="E1769" s="49" t="s">
        <v>145</v>
      </c>
      <c r="F1769" s="49" t="s">
        <v>163</v>
      </c>
      <c r="G1769">
        <f>'Aug-Apr, 2023'!AE71+'Aug-Apr, 2023'!AF71</f>
        <v>60</v>
      </c>
      <c r="H1769">
        <f>'Aug-Apr, 2023'!AG71</f>
        <v>0</v>
      </c>
      <c r="I1769">
        <f>'Aug-Apr, 2023'!AH71</f>
        <v>10</v>
      </c>
      <c r="J1769">
        <f>G1769*Parameters!$B$2*Parameters!$B$5</f>
        <v>127.74599999999998</v>
      </c>
      <c r="K1769">
        <f>H1769*Parameters!$B$3*Parameters!$B$6</f>
        <v>0</v>
      </c>
      <c r="L1769">
        <f>I1769*Parameters!$B$4*Parameters!$B$7</f>
        <v>80.963999999999999</v>
      </c>
      <c r="M1769">
        <f t="shared" si="27"/>
        <v>208.70999999999998</v>
      </c>
      <c r="N1769">
        <v>6000</v>
      </c>
      <c r="O1769">
        <v>0</v>
      </c>
      <c r="P1769">
        <v>0</v>
      </c>
      <c r="Q1769">
        <v>3000</v>
      </c>
    </row>
    <row r="1770" spans="1:17">
      <c r="A1770" t="s">
        <v>95</v>
      </c>
      <c r="B1770" t="s">
        <v>26</v>
      </c>
      <c r="C1770">
        <v>8</v>
      </c>
      <c r="D1770">
        <v>2022</v>
      </c>
      <c r="E1770" s="49" t="s">
        <v>145</v>
      </c>
      <c r="F1770" s="49" t="s">
        <v>163</v>
      </c>
      <c r="G1770">
        <f>'Aug-Apr, 2023'!AE72+'Aug-Apr, 2023'!AF72</f>
        <v>52</v>
      </c>
      <c r="H1770">
        <f>'Aug-Apr, 2023'!AG72</f>
        <v>0</v>
      </c>
      <c r="I1770">
        <f>'Aug-Apr, 2023'!AH72</f>
        <v>14</v>
      </c>
      <c r="J1770">
        <f>G1770*Parameters!$B$2*Parameters!$B$5</f>
        <v>110.71319999999999</v>
      </c>
      <c r="K1770">
        <f>H1770*Parameters!$B$3*Parameters!$B$6</f>
        <v>0</v>
      </c>
      <c r="L1770">
        <f>I1770*Parameters!$B$4*Parameters!$B$7</f>
        <v>113.34960000000001</v>
      </c>
      <c r="M1770">
        <f t="shared" si="27"/>
        <v>224.06279999999998</v>
      </c>
      <c r="N1770">
        <v>5200</v>
      </c>
      <c r="O1770">
        <v>0</v>
      </c>
      <c r="P1770">
        <v>0</v>
      </c>
      <c r="Q1770">
        <v>4200</v>
      </c>
    </row>
    <row r="1771" spans="1:17">
      <c r="A1771" t="s">
        <v>96</v>
      </c>
      <c r="B1771" t="s">
        <v>19</v>
      </c>
      <c r="C1771">
        <v>8</v>
      </c>
      <c r="D1771">
        <v>2022</v>
      </c>
      <c r="E1771" s="49" t="s">
        <v>145</v>
      </c>
      <c r="F1771" s="49" t="s">
        <v>163</v>
      </c>
      <c r="G1771">
        <f>'Aug-Apr, 2023'!AE73+'Aug-Apr, 2023'!AF73</f>
        <v>35</v>
      </c>
      <c r="H1771">
        <f>'Aug-Apr, 2023'!AG73</f>
        <v>0</v>
      </c>
      <c r="I1771">
        <f>'Aug-Apr, 2023'!AH73</f>
        <v>12</v>
      </c>
      <c r="J1771">
        <f>G1771*Parameters!$B$2*Parameters!$B$5</f>
        <v>74.518499999999989</v>
      </c>
      <c r="K1771">
        <f>H1771*Parameters!$B$3*Parameters!$B$6</f>
        <v>0</v>
      </c>
      <c r="L1771">
        <f>I1771*Parameters!$B$4*Parameters!$B$7</f>
        <v>97.156800000000018</v>
      </c>
      <c r="M1771">
        <f t="shared" si="27"/>
        <v>171.67529999999999</v>
      </c>
      <c r="N1771">
        <v>3500</v>
      </c>
      <c r="O1771">
        <v>0</v>
      </c>
      <c r="P1771">
        <v>0</v>
      </c>
      <c r="Q1771">
        <v>3600</v>
      </c>
    </row>
    <row r="1772" spans="1:17">
      <c r="A1772" t="s">
        <v>97</v>
      </c>
      <c r="B1772" t="s">
        <v>17</v>
      </c>
      <c r="C1772">
        <v>4</v>
      </c>
      <c r="D1772">
        <v>2022</v>
      </c>
      <c r="E1772" s="49" t="s">
        <v>145</v>
      </c>
      <c r="F1772" s="49" t="s">
        <v>163</v>
      </c>
      <c r="G1772">
        <f>'Aug-Apr, 2023'!AE74+'Aug-Apr, 2023'!AF74</f>
        <v>32</v>
      </c>
      <c r="H1772">
        <f>'Aug-Apr, 2023'!AG74</f>
        <v>0</v>
      </c>
      <c r="I1772">
        <f>'Aug-Apr, 2023'!AH74</f>
        <v>18</v>
      </c>
      <c r="J1772">
        <f>G1772*Parameters!$B$2*Parameters!$B$5</f>
        <v>68.131199999999993</v>
      </c>
      <c r="K1772">
        <f>H1772*Parameters!$B$3*Parameters!$B$6</f>
        <v>0</v>
      </c>
      <c r="L1772">
        <f>I1772*Parameters!$B$4*Parameters!$B$7</f>
        <v>145.73520000000002</v>
      </c>
      <c r="M1772">
        <f t="shared" si="27"/>
        <v>213.8664</v>
      </c>
      <c r="N1772">
        <v>3200</v>
      </c>
      <c r="O1772">
        <v>0</v>
      </c>
      <c r="P1772">
        <v>0</v>
      </c>
      <c r="Q1772">
        <v>5400</v>
      </c>
    </row>
    <row r="1773" spans="1:17">
      <c r="A1773" t="s">
        <v>98</v>
      </c>
      <c r="B1773" t="s">
        <v>65</v>
      </c>
      <c r="C1773">
        <v>5</v>
      </c>
      <c r="D1773">
        <v>2022</v>
      </c>
      <c r="E1773" s="49" t="s">
        <v>145</v>
      </c>
      <c r="F1773" s="49" t="s">
        <v>163</v>
      </c>
      <c r="G1773">
        <f>'Aug-Apr, 2023'!AE75+'Aug-Apr, 2023'!AF75</f>
        <v>40</v>
      </c>
      <c r="H1773">
        <f>'Aug-Apr, 2023'!AG75</f>
        <v>0</v>
      </c>
      <c r="I1773">
        <f>'Aug-Apr, 2023'!AH75</f>
        <v>15</v>
      </c>
      <c r="J1773">
        <f>G1773*Parameters!$B$2*Parameters!$B$5</f>
        <v>85.163999999999987</v>
      </c>
      <c r="K1773">
        <f>H1773*Parameters!$B$3*Parameters!$B$6</f>
        <v>0</v>
      </c>
      <c r="L1773">
        <f>I1773*Parameters!$B$4*Parameters!$B$7</f>
        <v>121.44600000000001</v>
      </c>
      <c r="M1773">
        <f t="shared" si="27"/>
        <v>206.61</v>
      </c>
      <c r="N1773">
        <v>3400</v>
      </c>
      <c r="O1773">
        <v>600</v>
      </c>
      <c r="P1773">
        <v>0</v>
      </c>
      <c r="Q1773">
        <v>4500</v>
      </c>
    </row>
    <row r="1774" spans="1:17">
      <c r="A1774" t="s">
        <v>99</v>
      </c>
      <c r="B1774" t="s">
        <v>32</v>
      </c>
      <c r="C1774">
        <v>9</v>
      </c>
      <c r="D1774">
        <v>2022</v>
      </c>
      <c r="E1774" s="49" t="s">
        <v>145</v>
      </c>
      <c r="F1774" s="49" t="s">
        <v>163</v>
      </c>
      <c r="G1774">
        <f>'Aug-Apr, 2023'!AE76+'Aug-Apr, 2023'!AF76</f>
        <v>40</v>
      </c>
      <c r="H1774">
        <f>'Aug-Apr, 2023'!AG76</f>
        <v>0</v>
      </c>
      <c r="I1774">
        <f>'Aug-Apr, 2023'!AH76</f>
        <v>8</v>
      </c>
      <c r="J1774">
        <f>G1774*Parameters!$B$2*Parameters!$B$5</f>
        <v>85.163999999999987</v>
      </c>
      <c r="K1774">
        <f>H1774*Parameters!$B$3*Parameters!$B$6</f>
        <v>0</v>
      </c>
      <c r="L1774">
        <f>I1774*Parameters!$B$4*Parameters!$B$7</f>
        <v>64.771200000000007</v>
      </c>
      <c r="M1774">
        <f t="shared" si="27"/>
        <v>149.93520000000001</v>
      </c>
      <c r="N1774">
        <v>4000</v>
      </c>
      <c r="O1774">
        <v>0</v>
      </c>
      <c r="P1774">
        <v>0</v>
      </c>
      <c r="Q1774">
        <v>2400</v>
      </c>
    </row>
    <row r="1775" spans="1:17">
      <c r="A1775" t="s">
        <v>100</v>
      </c>
      <c r="B1775" t="s">
        <v>40</v>
      </c>
      <c r="C1775">
        <v>8</v>
      </c>
      <c r="D1775">
        <v>2022</v>
      </c>
      <c r="E1775" s="49" t="s">
        <v>145</v>
      </c>
      <c r="F1775" s="49" t="s">
        <v>163</v>
      </c>
      <c r="G1775">
        <f>'Aug-Apr, 2023'!AE77+'Aug-Apr, 2023'!AF77</f>
        <v>34</v>
      </c>
      <c r="H1775">
        <f>'Aug-Apr, 2023'!AG77</f>
        <v>0</v>
      </c>
      <c r="I1775">
        <f>'Aug-Apr, 2023'!AH77</f>
        <v>8</v>
      </c>
      <c r="J1775">
        <f>G1775*Parameters!$B$2*Parameters!$B$5</f>
        <v>72.389399999999995</v>
      </c>
      <c r="K1775">
        <f>H1775*Parameters!$B$3*Parameters!$B$6</f>
        <v>0</v>
      </c>
      <c r="L1775">
        <f>I1775*Parameters!$B$4*Parameters!$B$7</f>
        <v>64.771200000000007</v>
      </c>
      <c r="M1775">
        <f t="shared" si="27"/>
        <v>137.16059999999999</v>
      </c>
      <c r="N1775">
        <v>3400</v>
      </c>
      <c r="O1775">
        <v>0</v>
      </c>
      <c r="P1775">
        <v>0</v>
      </c>
      <c r="Q1775">
        <v>2400</v>
      </c>
    </row>
    <row r="1776" spans="1:17">
      <c r="A1776" t="s">
        <v>101</v>
      </c>
      <c r="B1776" t="s">
        <v>38</v>
      </c>
      <c r="C1776">
        <v>5</v>
      </c>
      <c r="D1776">
        <v>2022</v>
      </c>
      <c r="E1776" s="49" t="s">
        <v>145</v>
      </c>
      <c r="F1776" s="49" t="s">
        <v>163</v>
      </c>
      <c r="G1776">
        <f>'Aug-Apr, 2023'!AE78+'Aug-Apr, 2023'!AF78</f>
        <v>40</v>
      </c>
      <c r="H1776">
        <f>'Aug-Apr, 2023'!AG78</f>
        <v>0</v>
      </c>
      <c r="I1776">
        <f>'Aug-Apr, 2023'!AH78</f>
        <v>16</v>
      </c>
      <c r="J1776">
        <f>G1776*Parameters!$B$2*Parameters!$B$5</f>
        <v>85.163999999999987</v>
      </c>
      <c r="K1776">
        <f>H1776*Parameters!$B$3*Parameters!$B$6</f>
        <v>0</v>
      </c>
      <c r="L1776">
        <f>I1776*Parameters!$B$4*Parameters!$B$7</f>
        <v>129.54240000000001</v>
      </c>
      <c r="M1776">
        <f t="shared" si="27"/>
        <v>214.7064</v>
      </c>
      <c r="N1776">
        <v>4000</v>
      </c>
      <c r="O1776">
        <v>0</v>
      </c>
      <c r="P1776">
        <v>0</v>
      </c>
      <c r="Q1776">
        <v>4800</v>
      </c>
    </row>
    <row r="1777" spans="1:17">
      <c r="A1777" t="s">
        <v>102</v>
      </c>
      <c r="B1777" t="s">
        <v>17</v>
      </c>
      <c r="C1777">
        <v>4</v>
      </c>
      <c r="D1777">
        <v>2022</v>
      </c>
      <c r="E1777" s="49" t="s">
        <v>145</v>
      </c>
      <c r="F1777" s="49" t="s">
        <v>163</v>
      </c>
      <c r="G1777">
        <f>'Aug-Apr, 2023'!AE79+'Aug-Apr, 2023'!AF79</f>
        <v>50</v>
      </c>
      <c r="H1777">
        <f>'Aug-Apr, 2023'!AG79</f>
        <v>0</v>
      </c>
      <c r="I1777">
        <f>'Aug-Apr, 2023'!AH79</f>
        <v>6</v>
      </c>
      <c r="J1777">
        <f>G1777*Parameters!$B$2*Parameters!$B$5</f>
        <v>106.45499999999998</v>
      </c>
      <c r="K1777">
        <f>H1777*Parameters!$B$3*Parameters!$B$6</f>
        <v>0</v>
      </c>
      <c r="L1777">
        <f>I1777*Parameters!$B$4*Parameters!$B$7</f>
        <v>48.578400000000009</v>
      </c>
      <c r="M1777">
        <f t="shared" si="27"/>
        <v>155.0334</v>
      </c>
      <c r="N1777">
        <v>5000</v>
      </c>
      <c r="O1777">
        <v>0</v>
      </c>
      <c r="P1777">
        <v>0</v>
      </c>
      <c r="Q1777">
        <v>1800</v>
      </c>
    </row>
    <row r="1778" spans="1:17">
      <c r="A1778" t="s">
        <v>103</v>
      </c>
      <c r="B1778" t="s">
        <v>26</v>
      </c>
      <c r="C1778">
        <v>6</v>
      </c>
      <c r="D1778">
        <v>2022</v>
      </c>
      <c r="E1778" s="49" t="s">
        <v>145</v>
      </c>
      <c r="F1778" s="49" t="s">
        <v>163</v>
      </c>
      <c r="G1778">
        <f>'Aug-Apr, 2023'!AE80+'Aug-Apr, 2023'!AF80</f>
        <v>34</v>
      </c>
      <c r="H1778">
        <f>'Aug-Apr, 2023'!AG80</f>
        <v>0</v>
      </c>
      <c r="I1778">
        <f>'Aug-Apr, 2023'!AH80</f>
        <v>15</v>
      </c>
      <c r="J1778">
        <f>G1778*Parameters!$B$2*Parameters!$B$5</f>
        <v>72.389399999999995</v>
      </c>
      <c r="K1778">
        <f>H1778*Parameters!$B$3*Parameters!$B$6</f>
        <v>0</v>
      </c>
      <c r="L1778">
        <f>I1778*Parameters!$B$4*Parameters!$B$7</f>
        <v>121.44600000000001</v>
      </c>
      <c r="M1778">
        <f t="shared" si="27"/>
        <v>193.83539999999999</v>
      </c>
      <c r="N1778">
        <v>3400</v>
      </c>
      <c r="O1778">
        <v>0</v>
      </c>
      <c r="P1778">
        <v>0</v>
      </c>
      <c r="Q1778">
        <v>4500</v>
      </c>
    </row>
    <row r="1779" spans="1:17">
      <c r="A1779" t="s">
        <v>104</v>
      </c>
      <c r="B1779" t="s">
        <v>26</v>
      </c>
      <c r="C1779">
        <v>7</v>
      </c>
      <c r="D1779">
        <v>2022</v>
      </c>
      <c r="E1779" s="49" t="s">
        <v>145</v>
      </c>
      <c r="F1779" s="49" t="s">
        <v>163</v>
      </c>
      <c r="G1779">
        <f>'Aug-Apr, 2023'!AE81+'Aug-Apr, 2023'!AF81</f>
        <v>36</v>
      </c>
      <c r="H1779">
        <f>'Aug-Apr, 2023'!AG81</f>
        <v>0</v>
      </c>
      <c r="I1779">
        <f>'Aug-Apr, 2023'!AH81</f>
        <v>12</v>
      </c>
      <c r="J1779">
        <f>G1779*Parameters!$B$2*Parameters!$B$5</f>
        <v>76.647599999999997</v>
      </c>
      <c r="K1779">
        <f>H1779*Parameters!$B$3*Parameters!$B$6</f>
        <v>0</v>
      </c>
      <c r="L1779">
        <f>I1779*Parameters!$B$4*Parameters!$B$7</f>
        <v>97.156800000000018</v>
      </c>
      <c r="M1779">
        <f t="shared" si="27"/>
        <v>173.80440000000002</v>
      </c>
      <c r="N1779">
        <v>3600</v>
      </c>
      <c r="O1779">
        <v>0</v>
      </c>
      <c r="P1779">
        <v>0</v>
      </c>
      <c r="Q1779">
        <v>3600</v>
      </c>
    </row>
    <row r="1780" spans="1:17">
      <c r="A1780" t="s">
        <v>105</v>
      </c>
      <c r="B1780" t="s">
        <v>21</v>
      </c>
      <c r="C1780">
        <v>5</v>
      </c>
      <c r="D1780">
        <v>2022</v>
      </c>
      <c r="E1780" s="49" t="s">
        <v>145</v>
      </c>
      <c r="F1780" s="49" t="s">
        <v>163</v>
      </c>
      <c r="G1780">
        <f>'Aug-Apr, 2023'!AE82+'Aug-Apr, 2023'!AF82</f>
        <v>40</v>
      </c>
      <c r="H1780">
        <f>'Aug-Apr, 2023'!AG82</f>
        <v>0</v>
      </c>
      <c r="I1780">
        <f>'Aug-Apr, 2023'!AH82</f>
        <v>16</v>
      </c>
      <c r="J1780">
        <f>G1780*Parameters!$B$2*Parameters!$B$5</f>
        <v>85.163999999999987</v>
      </c>
      <c r="K1780">
        <f>H1780*Parameters!$B$3*Parameters!$B$6</f>
        <v>0</v>
      </c>
      <c r="L1780">
        <f>I1780*Parameters!$B$4*Parameters!$B$7</f>
        <v>129.54240000000001</v>
      </c>
      <c r="M1780">
        <f t="shared" si="27"/>
        <v>214.7064</v>
      </c>
      <c r="N1780">
        <v>4000</v>
      </c>
      <c r="O1780">
        <v>0</v>
      </c>
      <c r="P1780">
        <v>0</v>
      </c>
      <c r="Q1780">
        <v>4800</v>
      </c>
    </row>
    <row r="1781" spans="1:17">
      <c r="A1781" t="s">
        <v>106</v>
      </c>
      <c r="B1781" t="s">
        <v>24</v>
      </c>
      <c r="C1781">
        <v>6</v>
      </c>
      <c r="D1781">
        <v>2022</v>
      </c>
      <c r="E1781" s="49" t="s">
        <v>145</v>
      </c>
      <c r="F1781" s="49" t="s">
        <v>163</v>
      </c>
      <c r="G1781">
        <f>'Aug-Apr, 2023'!AE83+'Aug-Apr, 2023'!AF83</f>
        <v>42</v>
      </c>
      <c r="H1781">
        <f>'Aug-Apr, 2023'!AG83</f>
        <v>0</v>
      </c>
      <c r="I1781">
        <f>'Aug-Apr, 2023'!AH83</f>
        <v>10</v>
      </c>
      <c r="J1781">
        <f>G1781*Parameters!$B$2*Parameters!$B$5</f>
        <v>89.422199999999975</v>
      </c>
      <c r="K1781">
        <f>H1781*Parameters!$B$3*Parameters!$B$6</f>
        <v>0</v>
      </c>
      <c r="L1781">
        <f>I1781*Parameters!$B$4*Parameters!$B$7</f>
        <v>80.963999999999999</v>
      </c>
      <c r="M1781">
        <f t="shared" si="27"/>
        <v>170.38619999999997</v>
      </c>
      <c r="N1781">
        <v>4200</v>
      </c>
      <c r="O1781">
        <v>0</v>
      </c>
      <c r="P1781">
        <v>0</v>
      </c>
      <c r="Q1781">
        <v>3000</v>
      </c>
    </row>
    <row r="1782" spans="1:17">
      <c r="A1782" t="s">
        <v>107</v>
      </c>
      <c r="B1782" t="s">
        <v>21</v>
      </c>
      <c r="C1782">
        <v>4</v>
      </c>
      <c r="D1782">
        <v>2022</v>
      </c>
      <c r="E1782" s="49" t="s">
        <v>145</v>
      </c>
      <c r="F1782" s="49" t="s">
        <v>163</v>
      </c>
      <c r="G1782">
        <f>'Aug-Apr, 2023'!AE84+'Aug-Apr, 2023'!AF84</f>
        <v>45</v>
      </c>
      <c r="H1782">
        <f>'Aug-Apr, 2023'!AG84</f>
        <v>0</v>
      </c>
      <c r="I1782">
        <f>'Aug-Apr, 2023'!AH84</f>
        <v>0</v>
      </c>
      <c r="J1782">
        <f>G1782*Parameters!$B$2*Parameters!$B$5</f>
        <v>95.809499999999986</v>
      </c>
      <c r="K1782">
        <f>H1782*Parameters!$B$3*Parameters!$B$6</f>
        <v>0</v>
      </c>
      <c r="L1782">
        <f>I1782*Parameters!$B$4*Parameters!$B$7</f>
        <v>0</v>
      </c>
      <c r="M1782">
        <f t="shared" si="27"/>
        <v>95.809499999999986</v>
      </c>
      <c r="N1782">
        <v>4500</v>
      </c>
      <c r="O1782">
        <v>0</v>
      </c>
      <c r="P1782">
        <v>0</v>
      </c>
      <c r="Q1782">
        <v>0</v>
      </c>
    </row>
    <row r="1783" spans="1:17">
      <c r="A1783" t="s">
        <v>108</v>
      </c>
      <c r="B1783" t="s">
        <v>24</v>
      </c>
      <c r="C1783">
        <v>5</v>
      </c>
      <c r="D1783">
        <v>2022</v>
      </c>
      <c r="E1783" s="49" t="s">
        <v>145</v>
      </c>
      <c r="F1783" s="49" t="s">
        <v>163</v>
      </c>
      <c r="G1783">
        <f>'Aug-Apr, 2023'!AE85+'Aug-Apr, 2023'!AF85</f>
        <v>43</v>
      </c>
      <c r="H1783">
        <f>'Aug-Apr, 2023'!AG85</f>
        <v>0</v>
      </c>
      <c r="I1783">
        <f>'Aug-Apr, 2023'!AH85</f>
        <v>16</v>
      </c>
      <c r="J1783">
        <f>G1783*Parameters!$B$2*Parameters!$B$5</f>
        <v>91.551299999999983</v>
      </c>
      <c r="K1783">
        <f>H1783*Parameters!$B$3*Parameters!$B$6</f>
        <v>0</v>
      </c>
      <c r="L1783">
        <f>I1783*Parameters!$B$4*Parameters!$B$7</f>
        <v>129.54240000000001</v>
      </c>
      <c r="M1783">
        <f t="shared" si="27"/>
        <v>221.09370000000001</v>
      </c>
      <c r="N1783">
        <v>4300</v>
      </c>
      <c r="O1783">
        <v>0</v>
      </c>
      <c r="P1783">
        <v>0</v>
      </c>
      <c r="Q1783">
        <v>4800</v>
      </c>
    </row>
    <row r="1784" spans="1:17">
      <c r="A1784" t="s">
        <v>109</v>
      </c>
      <c r="B1784" t="s">
        <v>32</v>
      </c>
      <c r="C1784">
        <v>6</v>
      </c>
      <c r="D1784">
        <v>2022</v>
      </c>
      <c r="E1784" s="49" t="s">
        <v>145</v>
      </c>
      <c r="F1784" s="49" t="s">
        <v>163</v>
      </c>
      <c r="G1784">
        <f>'Aug-Apr, 2023'!AE86+'Aug-Apr, 2023'!AF86</f>
        <v>40</v>
      </c>
      <c r="H1784">
        <f>'Aug-Apr, 2023'!AG86</f>
        <v>0</v>
      </c>
      <c r="I1784">
        <f>'Aug-Apr, 2023'!AH86</f>
        <v>0</v>
      </c>
      <c r="J1784">
        <f>G1784*Parameters!$B$2*Parameters!$B$5</f>
        <v>85.163999999999987</v>
      </c>
      <c r="K1784">
        <f>H1784*Parameters!$B$3*Parameters!$B$6</f>
        <v>0</v>
      </c>
      <c r="L1784">
        <f>I1784*Parameters!$B$4*Parameters!$B$7</f>
        <v>0</v>
      </c>
      <c r="M1784">
        <f t="shared" si="27"/>
        <v>85.163999999999987</v>
      </c>
      <c r="N1784">
        <v>4000</v>
      </c>
      <c r="O1784">
        <v>0</v>
      </c>
      <c r="P1784">
        <v>0</v>
      </c>
      <c r="Q1784">
        <v>0</v>
      </c>
    </row>
    <row r="1785" spans="1:17">
      <c r="A1785" t="s">
        <v>110</v>
      </c>
      <c r="B1785" t="s">
        <v>21</v>
      </c>
      <c r="C1785">
        <v>3</v>
      </c>
      <c r="D1785">
        <v>2022</v>
      </c>
      <c r="E1785" s="49" t="s">
        <v>145</v>
      </c>
      <c r="F1785" s="49" t="s">
        <v>163</v>
      </c>
      <c r="G1785">
        <f>'Aug-Apr, 2023'!AE87+'Aug-Apr, 2023'!AF87</f>
        <v>44</v>
      </c>
      <c r="H1785">
        <f>'Aug-Apr, 2023'!AG87</f>
        <v>0</v>
      </c>
      <c r="I1785">
        <f>'Aug-Apr, 2023'!AH87</f>
        <v>12</v>
      </c>
      <c r="J1785">
        <f>G1785*Parameters!$B$2*Parameters!$B$5</f>
        <v>93.680399999999992</v>
      </c>
      <c r="K1785">
        <f>H1785*Parameters!$B$3*Parameters!$B$6</f>
        <v>0</v>
      </c>
      <c r="L1785">
        <f>I1785*Parameters!$B$4*Parameters!$B$7</f>
        <v>97.156800000000018</v>
      </c>
      <c r="M1785">
        <f t="shared" si="27"/>
        <v>190.8372</v>
      </c>
      <c r="N1785">
        <v>4400</v>
      </c>
      <c r="O1785">
        <v>0</v>
      </c>
      <c r="P1785">
        <v>0</v>
      </c>
      <c r="Q1785">
        <v>3600</v>
      </c>
    </row>
    <row r="1786" spans="1:17">
      <c r="A1786" t="s">
        <v>111</v>
      </c>
      <c r="B1786" t="s">
        <v>26</v>
      </c>
      <c r="C1786">
        <v>6</v>
      </c>
      <c r="D1786">
        <v>2022</v>
      </c>
      <c r="E1786" s="49" t="s">
        <v>145</v>
      </c>
      <c r="F1786" s="49" t="s">
        <v>163</v>
      </c>
      <c r="G1786">
        <f>'Aug-Apr, 2023'!AE88+'Aug-Apr, 2023'!AF88</f>
        <v>34</v>
      </c>
      <c r="H1786">
        <f>'Aug-Apr, 2023'!AG88</f>
        <v>0</v>
      </c>
      <c r="I1786">
        <f>'Aug-Apr, 2023'!AH88</f>
        <v>16</v>
      </c>
      <c r="J1786">
        <f>G1786*Parameters!$B$2*Parameters!$B$5</f>
        <v>72.389399999999995</v>
      </c>
      <c r="K1786">
        <f>H1786*Parameters!$B$3*Parameters!$B$6</f>
        <v>0</v>
      </c>
      <c r="L1786">
        <f>I1786*Parameters!$B$4*Parameters!$B$7</f>
        <v>129.54240000000001</v>
      </c>
      <c r="M1786">
        <f t="shared" si="27"/>
        <v>201.93180000000001</v>
      </c>
      <c r="N1786">
        <v>3400</v>
      </c>
      <c r="O1786">
        <v>0</v>
      </c>
      <c r="P1786">
        <v>0</v>
      </c>
      <c r="Q1786">
        <v>4800</v>
      </c>
    </row>
    <row r="1787" spans="1:17">
      <c r="A1787" t="s">
        <v>112</v>
      </c>
      <c r="B1787" t="s">
        <v>19</v>
      </c>
      <c r="C1787">
        <v>7</v>
      </c>
      <c r="D1787">
        <v>2022</v>
      </c>
      <c r="E1787" s="49" t="s">
        <v>145</v>
      </c>
      <c r="F1787" s="49" t="s">
        <v>163</v>
      </c>
      <c r="G1787">
        <f>'Aug-Apr, 2023'!AE89+'Aug-Apr, 2023'!AF89</f>
        <v>68</v>
      </c>
      <c r="H1787">
        <f>'Aug-Apr, 2023'!AG89</f>
        <v>0</v>
      </c>
      <c r="I1787">
        <f>'Aug-Apr, 2023'!AH89</f>
        <v>12</v>
      </c>
      <c r="J1787">
        <f>G1787*Parameters!$B$2*Parameters!$B$5</f>
        <v>144.77879999999999</v>
      </c>
      <c r="K1787">
        <f>H1787*Parameters!$B$3*Parameters!$B$6</f>
        <v>0</v>
      </c>
      <c r="L1787">
        <f>I1787*Parameters!$B$4*Parameters!$B$7</f>
        <v>97.156800000000018</v>
      </c>
      <c r="M1787">
        <f t="shared" si="27"/>
        <v>241.93560000000002</v>
      </c>
      <c r="N1787">
        <v>3800</v>
      </c>
      <c r="O1787">
        <v>3000</v>
      </c>
      <c r="P1787">
        <v>0</v>
      </c>
      <c r="Q1787">
        <v>3600</v>
      </c>
    </row>
    <row r="1788" spans="1:17">
      <c r="A1788" t="s">
        <v>113</v>
      </c>
      <c r="B1788" t="s">
        <v>26</v>
      </c>
      <c r="C1788">
        <v>4</v>
      </c>
      <c r="D1788">
        <v>2022</v>
      </c>
      <c r="E1788" s="49" t="s">
        <v>145</v>
      </c>
      <c r="F1788" s="49" t="s">
        <v>163</v>
      </c>
      <c r="G1788">
        <f>'Aug-Apr, 2023'!AE90+'Aug-Apr, 2023'!AF90</f>
        <v>35</v>
      </c>
      <c r="H1788">
        <f>'Aug-Apr, 2023'!AG90</f>
        <v>0</v>
      </c>
      <c r="I1788">
        <f>'Aug-Apr, 2023'!AH90</f>
        <v>8</v>
      </c>
      <c r="J1788">
        <f>G1788*Parameters!$B$2*Parameters!$B$5</f>
        <v>74.518499999999989</v>
      </c>
      <c r="K1788">
        <f>H1788*Parameters!$B$3*Parameters!$B$6</f>
        <v>0</v>
      </c>
      <c r="L1788">
        <f>I1788*Parameters!$B$4*Parameters!$B$7</f>
        <v>64.771200000000007</v>
      </c>
      <c r="M1788">
        <f t="shared" si="27"/>
        <v>139.28969999999998</v>
      </c>
      <c r="N1788">
        <v>3500</v>
      </c>
      <c r="O1788">
        <v>0</v>
      </c>
      <c r="P1788">
        <v>0</v>
      </c>
      <c r="Q1788">
        <v>2400</v>
      </c>
    </row>
    <row r="1789" spans="1:17">
      <c r="A1789" t="s">
        <v>114</v>
      </c>
      <c r="B1789" t="s">
        <v>65</v>
      </c>
      <c r="C1789">
        <v>8</v>
      </c>
      <c r="D1789">
        <v>2022</v>
      </c>
      <c r="E1789" s="49" t="s">
        <v>145</v>
      </c>
      <c r="F1789" s="49" t="s">
        <v>163</v>
      </c>
      <c r="G1789">
        <f>'Aug-Apr, 2023'!AE91+'Aug-Apr, 2023'!AF91</f>
        <v>30</v>
      </c>
      <c r="H1789">
        <f>'Aug-Apr, 2023'!AG91</f>
        <v>0</v>
      </c>
      <c r="I1789">
        <f>'Aug-Apr, 2023'!AH91</f>
        <v>20</v>
      </c>
      <c r="J1789">
        <f>G1789*Parameters!$B$2*Parameters!$B$5</f>
        <v>63.87299999999999</v>
      </c>
      <c r="K1789">
        <f>H1789*Parameters!$B$3*Parameters!$B$6</f>
        <v>0</v>
      </c>
      <c r="L1789">
        <f>I1789*Parameters!$B$4*Parameters!$B$7</f>
        <v>161.928</v>
      </c>
      <c r="M1789">
        <f t="shared" si="27"/>
        <v>225.80099999999999</v>
      </c>
      <c r="N1789">
        <v>3000</v>
      </c>
      <c r="O1789">
        <v>0</v>
      </c>
      <c r="P1789">
        <v>0</v>
      </c>
      <c r="Q1789">
        <v>6000</v>
      </c>
    </row>
    <row r="1790" spans="1:17">
      <c r="A1790" t="s">
        <v>115</v>
      </c>
      <c r="B1790" t="s">
        <v>19</v>
      </c>
      <c r="C1790">
        <v>8</v>
      </c>
      <c r="D1790">
        <v>2022</v>
      </c>
      <c r="E1790" s="49" t="s">
        <v>145</v>
      </c>
      <c r="F1790" s="49" t="s">
        <v>163</v>
      </c>
      <c r="G1790">
        <f>'Aug-Apr, 2023'!AE92+'Aug-Apr, 2023'!AF92</f>
        <v>36</v>
      </c>
      <c r="H1790">
        <f>'Aug-Apr, 2023'!AG92</f>
        <v>0</v>
      </c>
      <c r="I1790">
        <f>'Aug-Apr, 2023'!AH92</f>
        <v>16</v>
      </c>
      <c r="J1790">
        <f>G1790*Parameters!$B$2*Parameters!$B$5</f>
        <v>76.647599999999997</v>
      </c>
      <c r="K1790">
        <f>H1790*Parameters!$B$3*Parameters!$B$6</f>
        <v>0</v>
      </c>
      <c r="L1790">
        <f>I1790*Parameters!$B$4*Parameters!$B$7</f>
        <v>129.54240000000001</v>
      </c>
      <c r="M1790">
        <f t="shared" si="27"/>
        <v>206.19</v>
      </c>
      <c r="N1790">
        <v>3600</v>
      </c>
      <c r="O1790">
        <v>0</v>
      </c>
      <c r="P1790">
        <v>0</v>
      </c>
      <c r="Q1790">
        <v>4800</v>
      </c>
    </row>
    <row r="1791" spans="1:17">
      <c r="A1791" t="s">
        <v>116</v>
      </c>
      <c r="B1791" t="s">
        <v>21</v>
      </c>
      <c r="C1791">
        <v>4</v>
      </c>
      <c r="D1791">
        <v>2022</v>
      </c>
      <c r="E1791" s="49" t="s">
        <v>145</v>
      </c>
      <c r="F1791" s="49" t="s">
        <v>163</v>
      </c>
      <c r="G1791">
        <f>'Aug-Apr, 2023'!AE93+'Aug-Apr, 2023'!AF93</f>
        <v>55</v>
      </c>
      <c r="H1791">
        <f>'Aug-Apr, 2023'!AG93</f>
        <v>0</v>
      </c>
      <c r="I1791">
        <f>'Aug-Apr, 2023'!AH93</f>
        <v>6</v>
      </c>
      <c r="J1791">
        <f>G1791*Parameters!$B$2*Parameters!$B$5</f>
        <v>117.10049999999998</v>
      </c>
      <c r="K1791">
        <f>H1791*Parameters!$B$3*Parameters!$B$6</f>
        <v>0</v>
      </c>
      <c r="L1791">
        <f>I1791*Parameters!$B$4*Parameters!$B$7</f>
        <v>48.578400000000009</v>
      </c>
      <c r="M1791">
        <f t="shared" si="27"/>
        <v>165.6789</v>
      </c>
      <c r="N1791">
        <v>5500</v>
      </c>
      <c r="O1791">
        <v>0</v>
      </c>
      <c r="P1791">
        <v>0</v>
      </c>
      <c r="Q1791">
        <v>1800</v>
      </c>
    </row>
    <row r="1792" spans="1:17">
      <c r="A1792" t="s">
        <v>117</v>
      </c>
      <c r="B1792" t="s">
        <v>17</v>
      </c>
      <c r="C1792">
        <v>9</v>
      </c>
      <c r="D1792">
        <v>2022</v>
      </c>
      <c r="E1792" s="49" t="s">
        <v>145</v>
      </c>
      <c r="F1792" s="49" t="s">
        <v>163</v>
      </c>
      <c r="G1792">
        <f>'Aug-Apr, 2023'!AE94+'Aug-Apr, 2023'!AF94</f>
        <v>36</v>
      </c>
      <c r="H1792">
        <f>'Aug-Apr, 2023'!AG94</f>
        <v>0</v>
      </c>
      <c r="I1792">
        <f>'Aug-Apr, 2023'!AH94</f>
        <v>8</v>
      </c>
      <c r="J1792">
        <f>G1792*Parameters!$B$2*Parameters!$B$5</f>
        <v>76.647599999999997</v>
      </c>
      <c r="K1792">
        <f>H1792*Parameters!$B$3*Parameters!$B$6</f>
        <v>0</v>
      </c>
      <c r="L1792">
        <f>I1792*Parameters!$B$4*Parameters!$B$7</f>
        <v>64.771200000000007</v>
      </c>
      <c r="M1792">
        <f t="shared" si="27"/>
        <v>141.4188</v>
      </c>
      <c r="N1792">
        <v>3600</v>
      </c>
      <c r="O1792">
        <v>0</v>
      </c>
      <c r="P1792">
        <v>0</v>
      </c>
      <c r="Q1792">
        <v>2400</v>
      </c>
    </row>
    <row r="1793" spans="1:17">
      <c r="A1793" t="s">
        <v>118</v>
      </c>
      <c r="B1793" t="s">
        <v>19</v>
      </c>
      <c r="C1793">
        <v>4</v>
      </c>
      <c r="D1793">
        <v>2022</v>
      </c>
      <c r="E1793" s="49" t="s">
        <v>145</v>
      </c>
      <c r="F1793" s="49" t="s">
        <v>163</v>
      </c>
      <c r="G1793">
        <f>'Aug-Apr, 2023'!AE95+'Aug-Apr, 2023'!AF95</f>
        <v>32</v>
      </c>
      <c r="H1793">
        <f>'Aug-Apr, 2023'!AG95</f>
        <v>0</v>
      </c>
      <c r="I1793">
        <f>'Aug-Apr, 2023'!AH95</f>
        <v>7</v>
      </c>
      <c r="J1793">
        <f>G1793*Parameters!$B$2*Parameters!$B$5</f>
        <v>68.131199999999993</v>
      </c>
      <c r="K1793">
        <f>H1793*Parameters!$B$3*Parameters!$B$6</f>
        <v>0</v>
      </c>
      <c r="L1793">
        <f>I1793*Parameters!$B$4*Parameters!$B$7</f>
        <v>56.674800000000005</v>
      </c>
      <c r="M1793">
        <f t="shared" si="27"/>
        <v>124.806</v>
      </c>
      <c r="N1793">
        <v>3200</v>
      </c>
      <c r="O1793">
        <v>0</v>
      </c>
      <c r="P1793">
        <v>0</v>
      </c>
      <c r="Q1793">
        <v>2100</v>
      </c>
    </row>
    <row r="1794" spans="1:17">
      <c r="A1794" t="s">
        <v>119</v>
      </c>
      <c r="B1794" t="s">
        <v>40</v>
      </c>
      <c r="C1794">
        <v>6</v>
      </c>
      <c r="D1794">
        <v>2022</v>
      </c>
      <c r="E1794" s="49" t="s">
        <v>145</v>
      </c>
      <c r="F1794" s="49" t="s">
        <v>163</v>
      </c>
      <c r="G1794">
        <f>'Aug-Apr, 2023'!AE96+'Aug-Apr, 2023'!AF96</f>
        <v>42</v>
      </c>
      <c r="H1794">
        <f>'Aug-Apr, 2023'!AG96</f>
        <v>0</v>
      </c>
      <c r="I1794">
        <f>'Aug-Apr, 2023'!AH96</f>
        <v>16</v>
      </c>
      <c r="J1794">
        <f>G1794*Parameters!$B$2*Parameters!$B$5</f>
        <v>89.422199999999975</v>
      </c>
      <c r="K1794">
        <f>H1794*Parameters!$B$3*Parameters!$B$6</f>
        <v>0</v>
      </c>
      <c r="L1794">
        <f>I1794*Parameters!$B$4*Parameters!$B$7</f>
        <v>129.54240000000001</v>
      </c>
      <c r="M1794">
        <f t="shared" si="27"/>
        <v>218.96459999999999</v>
      </c>
      <c r="N1794">
        <v>0</v>
      </c>
      <c r="O1794">
        <v>4200</v>
      </c>
      <c r="P1794">
        <v>0</v>
      </c>
      <c r="Q1794">
        <v>4800</v>
      </c>
    </row>
    <row r="1795" spans="1:17">
      <c r="A1795" t="s">
        <v>120</v>
      </c>
      <c r="B1795" t="s">
        <v>32</v>
      </c>
      <c r="C1795">
        <v>8</v>
      </c>
      <c r="D1795">
        <v>2022</v>
      </c>
      <c r="E1795" s="49" t="s">
        <v>145</v>
      </c>
      <c r="F1795" s="49" t="s">
        <v>163</v>
      </c>
      <c r="G1795">
        <f>'Aug-Apr, 2023'!AE97+'Aug-Apr, 2023'!AF97</f>
        <v>50</v>
      </c>
      <c r="H1795">
        <f>'Aug-Apr, 2023'!AG97</f>
        <v>0</v>
      </c>
      <c r="I1795">
        <f>'Aug-Apr, 2023'!AH97</f>
        <v>0</v>
      </c>
      <c r="J1795">
        <f>G1795*Parameters!$B$2*Parameters!$B$5</f>
        <v>106.45499999999998</v>
      </c>
      <c r="K1795">
        <f>H1795*Parameters!$B$3*Parameters!$B$6</f>
        <v>0</v>
      </c>
      <c r="L1795">
        <f>I1795*Parameters!$B$4*Parameters!$B$7</f>
        <v>0</v>
      </c>
      <c r="M1795">
        <f t="shared" ref="M1795:M1858" si="28">SUM(J1795:L1795)</f>
        <v>106.45499999999998</v>
      </c>
      <c r="N1795">
        <v>5000</v>
      </c>
      <c r="O1795">
        <v>0</v>
      </c>
      <c r="P1795">
        <v>0</v>
      </c>
      <c r="Q1795">
        <v>0</v>
      </c>
    </row>
    <row r="1796" spans="1:17">
      <c r="A1796" t="s">
        <v>121</v>
      </c>
      <c r="B1796" t="s">
        <v>24</v>
      </c>
      <c r="C1796">
        <v>5</v>
      </c>
      <c r="D1796">
        <v>2022</v>
      </c>
      <c r="E1796" s="49" t="s">
        <v>145</v>
      </c>
      <c r="F1796" s="49" t="s">
        <v>163</v>
      </c>
      <c r="G1796">
        <f>'Aug-Apr, 2023'!AE98+'Aug-Apr, 2023'!AF98</f>
        <v>40</v>
      </c>
      <c r="H1796">
        <f>'Aug-Apr, 2023'!AG98</f>
        <v>0</v>
      </c>
      <c r="I1796">
        <f>'Aug-Apr, 2023'!AH98</f>
        <v>16</v>
      </c>
      <c r="J1796">
        <f>G1796*Parameters!$B$2*Parameters!$B$5</f>
        <v>85.163999999999987</v>
      </c>
      <c r="K1796">
        <f>H1796*Parameters!$B$3*Parameters!$B$6</f>
        <v>0</v>
      </c>
      <c r="L1796">
        <f>I1796*Parameters!$B$4*Parameters!$B$7</f>
        <v>129.54240000000001</v>
      </c>
      <c r="M1796">
        <f t="shared" si="28"/>
        <v>214.7064</v>
      </c>
      <c r="N1796">
        <v>4000</v>
      </c>
      <c r="O1796">
        <v>0</v>
      </c>
      <c r="P1796">
        <v>0</v>
      </c>
      <c r="Q1796">
        <v>4800</v>
      </c>
    </row>
    <row r="1797" spans="1:17">
      <c r="A1797" t="s">
        <v>122</v>
      </c>
      <c r="B1797" t="s">
        <v>26</v>
      </c>
      <c r="C1797">
        <v>6</v>
      </c>
      <c r="D1797">
        <v>2022</v>
      </c>
      <c r="E1797" s="49" t="s">
        <v>145</v>
      </c>
      <c r="F1797" s="49" t="s">
        <v>163</v>
      </c>
      <c r="G1797">
        <f>'Aug-Apr, 2023'!AE99+'Aug-Apr, 2023'!AF99</f>
        <v>36</v>
      </c>
      <c r="H1797">
        <f>'Aug-Apr, 2023'!AG99</f>
        <v>0</v>
      </c>
      <c r="I1797">
        <f>'Aug-Apr, 2023'!AH99</f>
        <v>9</v>
      </c>
      <c r="J1797">
        <f>G1797*Parameters!$B$2*Parameters!$B$5</f>
        <v>76.647599999999997</v>
      </c>
      <c r="K1797">
        <f>H1797*Parameters!$B$3*Parameters!$B$6</f>
        <v>0</v>
      </c>
      <c r="L1797">
        <f>I1797*Parameters!$B$4*Parameters!$B$7</f>
        <v>72.86760000000001</v>
      </c>
      <c r="M1797">
        <f t="shared" si="28"/>
        <v>149.51519999999999</v>
      </c>
      <c r="N1797">
        <v>3600</v>
      </c>
      <c r="O1797">
        <v>0</v>
      </c>
      <c r="P1797">
        <v>0</v>
      </c>
      <c r="Q1797">
        <v>2700</v>
      </c>
    </row>
    <row r="1798" spans="1:17">
      <c r="A1798" t="s">
        <v>123</v>
      </c>
      <c r="B1798" t="s">
        <v>19</v>
      </c>
      <c r="C1798">
        <v>8</v>
      </c>
      <c r="D1798">
        <v>2022</v>
      </c>
      <c r="E1798" s="49" t="s">
        <v>145</v>
      </c>
      <c r="F1798" s="49" t="s">
        <v>163</v>
      </c>
      <c r="G1798">
        <f>'Aug-Apr, 2023'!AE100+'Aug-Apr, 2023'!AF100</f>
        <v>28</v>
      </c>
      <c r="H1798">
        <f>'Aug-Apr, 2023'!AG100</f>
        <v>0</v>
      </c>
      <c r="I1798">
        <f>'Aug-Apr, 2023'!AH100</f>
        <v>10</v>
      </c>
      <c r="J1798">
        <f>G1798*Parameters!$B$2*Parameters!$B$5</f>
        <v>59.614799999999995</v>
      </c>
      <c r="K1798">
        <f>H1798*Parameters!$B$3*Parameters!$B$6</f>
        <v>0</v>
      </c>
      <c r="L1798">
        <f>I1798*Parameters!$B$4*Parameters!$B$7</f>
        <v>80.963999999999999</v>
      </c>
      <c r="M1798">
        <f t="shared" si="28"/>
        <v>140.5788</v>
      </c>
      <c r="N1798">
        <v>2800</v>
      </c>
      <c r="O1798">
        <v>0</v>
      </c>
      <c r="P1798">
        <v>0</v>
      </c>
      <c r="Q1798">
        <v>3000</v>
      </c>
    </row>
    <row r="1799" spans="1:17">
      <c r="A1799" t="s">
        <v>124</v>
      </c>
      <c r="B1799" t="s">
        <v>56</v>
      </c>
      <c r="C1799">
        <v>9</v>
      </c>
      <c r="D1799">
        <v>2022</v>
      </c>
      <c r="E1799" s="49" t="s">
        <v>145</v>
      </c>
      <c r="F1799" s="49" t="s">
        <v>163</v>
      </c>
      <c r="G1799">
        <f>'Aug-Apr, 2023'!AE101+'Aug-Apr, 2023'!AF101</f>
        <v>30</v>
      </c>
      <c r="H1799">
        <f>'Aug-Apr, 2023'!AG101</f>
        <v>0</v>
      </c>
      <c r="I1799">
        <f>'Aug-Apr, 2023'!AH101</f>
        <v>16</v>
      </c>
      <c r="J1799">
        <f>G1799*Parameters!$B$2*Parameters!$B$5</f>
        <v>63.87299999999999</v>
      </c>
      <c r="K1799">
        <f>H1799*Parameters!$B$3*Parameters!$B$6</f>
        <v>0</v>
      </c>
      <c r="L1799">
        <f>I1799*Parameters!$B$4*Parameters!$B$7</f>
        <v>129.54240000000001</v>
      </c>
      <c r="M1799">
        <f t="shared" si="28"/>
        <v>193.41540000000001</v>
      </c>
      <c r="N1799">
        <v>3000</v>
      </c>
      <c r="O1799">
        <v>0</v>
      </c>
      <c r="P1799">
        <v>0</v>
      </c>
      <c r="Q1799">
        <v>4800</v>
      </c>
    </row>
    <row r="1800" spans="1:17">
      <c r="A1800" t="s">
        <v>125</v>
      </c>
      <c r="B1800" t="s">
        <v>65</v>
      </c>
      <c r="C1800">
        <v>7</v>
      </c>
      <c r="D1800">
        <v>2022</v>
      </c>
      <c r="E1800" s="49" t="s">
        <v>145</v>
      </c>
      <c r="F1800" s="49" t="s">
        <v>163</v>
      </c>
      <c r="G1800">
        <f>'Aug-Apr, 2023'!AE102+'Aug-Apr, 2023'!AF102</f>
        <v>28</v>
      </c>
      <c r="H1800">
        <f>'Aug-Apr, 2023'!AG102</f>
        <v>0</v>
      </c>
      <c r="I1800">
        <f>'Aug-Apr, 2023'!AH102</f>
        <v>20</v>
      </c>
      <c r="J1800">
        <f>G1800*Parameters!$B$2*Parameters!$B$5</f>
        <v>59.614799999999995</v>
      </c>
      <c r="K1800">
        <f>H1800*Parameters!$B$3*Parameters!$B$6</f>
        <v>0</v>
      </c>
      <c r="L1800">
        <f>I1800*Parameters!$B$4*Parameters!$B$7</f>
        <v>161.928</v>
      </c>
      <c r="M1800">
        <f t="shared" si="28"/>
        <v>221.5428</v>
      </c>
      <c r="N1800">
        <v>2800</v>
      </c>
      <c r="O1800">
        <v>0</v>
      </c>
      <c r="P1800">
        <v>0</v>
      </c>
      <c r="Q1800">
        <v>6000</v>
      </c>
    </row>
    <row r="1801" spans="1:17">
      <c r="A1801" t="s">
        <v>126</v>
      </c>
      <c r="B1801" t="s">
        <v>65</v>
      </c>
      <c r="C1801">
        <v>6</v>
      </c>
      <c r="D1801">
        <v>2022</v>
      </c>
      <c r="E1801" s="49" t="s">
        <v>145</v>
      </c>
      <c r="F1801" s="49" t="s">
        <v>163</v>
      </c>
      <c r="G1801">
        <f>'Aug-Apr, 2023'!AE103+'Aug-Apr, 2023'!AF103</f>
        <v>34</v>
      </c>
      <c r="H1801">
        <f>'Aug-Apr, 2023'!AG103</f>
        <v>0</v>
      </c>
      <c r="I1801">
        <f>'Aug-Apr, 2023'!AH103</f>
        <v>0</v>
      </c>
      <c r="J1801">
        <f>G1801*Parameters!$B$2*Parameters!$B$5</f>
        <v>72.389399999999995</v>
      </c>
      <c r="K1801">
        <f>H1801*Parameters!$B$3*Parameters!$B$6</f>
        <v>0</v>
      </c>
      <c r="L1801">
        <f>I1801*Parameters!$B$4*Parameters!$B$7</f>
        <v>0</v>
      </c>
      <c r="M1801">
        <f t="shared" si="28"/>
        <v>72.389399999999995</v>
      </c>
      <c r="N1801">
        <v>3400</v>
      </c>
      <c r="O1801">
        <v>0</v>
      </c>
      <c r="P1801">
        <v>0</v>
      </c>
      <c r="Q1801">
        <v>0</v>
      </c>
    </row>
    <row r="1802" spans="1:17">
      <c r="A1802" t="s">
        <v>16</v>
      </c>
      <c r="B1802" t="s">
        <v>17</v>
      </c>
      <c r="C1802">
        <v>8</v>
      </c>
      <c r="D1802">
        <v>2022</v>
      </c>
      <c r="E1802" s="49" t="s">
        <v>146</v>
      </c>
      <c r="F1802" s="49" t="s">
        <v>163</v>
      </c>
      <c r="G1802">
        <f>'Aug-Apr, 2023'!AM4+'Aug-Apr, 2023'!AN4</f>
        <v>52</v>
      </c>
      <c r="H1802">
        <f>'Aug-Apr, 2023'!AO4</f>
        <v>0</v>
      </c>
      <c r="I1802">
        <f>'Aug-Apr, 2023'!AP4</f>
        <v>20</v>
      </c>
      <c r="J1802">
        <f>G1802*Parameters!$B$2*Parameters!$B$5</f>
        <v>110.71319999999999</v>
      </c>
      <c r="K1802">
        <f>H1802*Parameters!$B$3*Parameters!$B$6</f>
        <v>0</v>
      </c>
      <c r="L1802">
        <f>I1802*Parameters!$B$4*Parameters!$B$7</f>
        <v>161.928</v>
      </c>
      <c r="M1802">
        <f t="shared" si="28"/>
        <v>272.64119999999997</v>
      </c>
      <c r="N1802">
        <v>5200</v>
      </c>
      <c r="O1802">
        <v>0</v>
      </c>
      <c r="P1802">
        <v>0</v>
      </c>
      <c r="Q1802">
        <v>6000</v>
      </c>
    </row>
    <row r="1803" spans="1:17">
      <c r="A1803" t="s">
        <v>18</v>
      </c>
      <c r="B1803" t="s">
        <v>19</v>
      </c>
      <c r="C1803">
        <v>7</v>
      </c>
      <c r="D1803">
        <v>2022</v>
      </c>
      <c r="E1803" s="49" t="s">
        <v>146</v>
      </c>
      <c r="F1803" s="49" t="s">
        <v>163</v>
      </c>
      <c r="G1803">
        <f>'Aug-Apr, 2023'!AM5+'Aug-Apr, 2023'!AN5</f>
        <v>48</v>
      </c>
      <c r="H1803">
        <f>'Aug-Apr, 2023'!AO5</f>
        <v>0</v>
      </c>
      <c r="I1803">
        <f>'Aug-Apr, 2023'!AP5</f>
        <v>10</v>
      </c>
      <c r="J1803">
        <f>G1803*Parameters!$B$2*Parameters!$B$5</f>
        <v>102.19679999999998</v>
      </c>
      <c r="K1803">
        <f>H1803*Parameters!$B$3*Parameters!$B$6</f>
        <v>0</v>
      </c>
      <c r="L1803">
        <f>I1803*Parameters!$B$4*Parameters!$B$7</f>
        <v>80.963999999999999</v>
      </c>
      <c r="M1803">
        <f t="shared" si="28"/>
        <v>183.16079999999999</v>
      </c>
      <c r="N1803">
        <v>4800</v>
      </c>
      <c r="O1803">
        <v>0</v>
      </c>
      <c r="P1803">
        <v>0</v>
      </c>
      <c r="Q1803">
        <v>3000</v>
      </c>
    </row>
    <row r="1804" spans="1:17">
      <c r="A1804" t="s">
        <v>20</v>
      </c>
      <c r="B1804" t="s">
        <v>21</v>
      </c>
      <c r="C1804">
        <v>10</v>
      </c>
      <c r="D1804">
        <v>2022</v>
      </c>
      <c r="E1804" s="49" t="s">
        <v>146</v>
      </c>
      <c r="F1804" s="49" t="s">
        <v>163</v>
      </c>
      <c r="G1804">
        <f>'Aug-Apr, 2023'!AM6+'Aug-Apr, 2023'!AN6</f>
        <v>40</v>
      </c>
      <c r="H1804">
        <f>'Aug-Apr, 2023'!AO6</f>
        <v>0</v>
      </c>
      <c r="I1804">
        <f>'Aug-Apr, 2023'!AP6</f>
        <v>20</v>
      </c>
      <c r="J1804">
        <f>G1804*Parameters!$B$2*Parameters!$B$5</f>
        <v>85.163999999999987</v>
      </c>
      <c r="K1804">
        <f>H1804*Parameters!$B$3*Parameters!$B$6</f>
        <v>0</v>
      </c>
      <c r="L1804">
        <f>I1804*Parameters!$B$4*Parameters!$B$7</f>
        <v>161.928</v>
      </c>
      <c r="M1804">
        <f t="shared" si="28"/>
        <v>247.09199999999998</v>
      </c>
      <c r="N1804">
        <v>4000</v>
      </c>
      <c r="O1804">
        <v>0</v>
      </c>
      <c r="P1804">
        <v>0</v>
      </c>
      <c r="Q1804">
        <v>6000</v>
      </c>
    </row>
    <row r="1805" spans="1:17">
      <c r="A1805" t="s">
        <v>22</v>
      </c>
      <c r="B1805" t="s">
        <v>19</v>
      </c>
      <c r="C1805">
        <v>7</v>
      </c>
      <c r="D1805">
        <v>2022</v>
      </c>
      <c r="E1805" s="49" t="s">
        <v>146</v>
      </c>
      <c r="F1805" s="49" t="s">
        <v>163</v>
      </c>
      <c r="G1805">
        <f>'Aug-Apr, 2023'!AM7+'Aug-Apr, 2023'!AN7</f>
        <v>61</v>
      </c>
      <c r="H1805">
        <f>'Aug-Apr, 2023'!AO7</f>
        <v>0</v>
      </c>
      <c r="I1805">
        <f>'Aug-Apr, 2023'!AP7</f>
        <v>8</v>
      </c>
      <c r="J1805">
        <f>G1805*Parameters!$B$2*Parameters!$B$5</f>
        <v>129.8751</v>
      </c>
      <c r="K1805">
        <f>H1805*Parameters!$B$3*Parameters!$B$6</f>
        <v>0</v>
      </c>
      <c r="L1805">
        <f>I1805*Parameters!$B$4*Parameters!$B$7</f>
        <v>64.771200000000007</v>
      </c>
      <c r="M1805">
        <f t="shared" si="28"/>
        <v>194.6463</v>
      </c>
      <c r="N1805">
        <v>6100</v>
      </c>
      <c r="O1805">
        <v>0</v>
      </c>
      <c r="P1805">
        <v>0</v>
      </c>
      <c r="Q1805">
        <v>2400</v>
      </c>
    </row>
    <row r="1806" spans="1:17">
      <c r="A1806" t="s">
        <v>23</v>
      </c>
      <c r="B1806" t="s">
        <v>24</v>
      </c>
      <c r="C1806">
        <v>4</v>
      </c>
      <c r="D1806">
        <v>2022</v>
      </c>
      <c r="E1806" s="49" t="s">
        <v>146</v>
      </c>
      <c r="F1806" s="49" t="s">
        <v>163</v>
      </c>
      <c r="G1806">
        <f>'Aug-Apr, 2023'!AM8+'Aug-Apr, 2023'!AN8</f>
        <v>44</v>
      </c>
      <c r="H1806">
        <f>'Aug-Apr, 2023'!AO8</f>
        <v>0</v>
      </c>
      <c r="I1806">
        <f>'Aug-Apr, 2023'!AP8</f>
        <v>20</v>
      </c>
      <c r="J1806">
        <f>G1806*Parameters!$B$2*Parameters!$B$5</f>
        <v>93.680399999999992</v>
      </c>
      <c r="K1806">
        <f>H1806*Parameters!$B$3*Parameters!$B$6</f>
        <v>0</v>
      </c>
      <c r="L1806">
        <f>I1806*Parameters!$B$4*Parameters!$B$7</f>
        <v>161.928</v>
      </c>
      <c r="M1806">
        <f t="shared" si="28"/>
        <v>255.60839999999999</v>
      </c>
      <c r="N1806">
        <v>4400</v>
      </c>
      <c r="O1806">
        <v>0</v>
      </c>
      <c r="P1806">
        <v>0</v>
      </c>
      <c r="Q1806">
        <v>6000</v>
      </c>
    </row>
    <row r="1807" spans="1:17">
      <c r="A1807" t="s">
        <v>25</v>
      </c>
      <c r="B1807" t="s">
        <v>26</v>
      </c>
      <c r="C1807">
        <v>3</v>
      </c>
      <c r="D1807">
        <v>2022</v>
      </c>
      <c r="E1807" s="49" t="s">
        <v>146</v>
      </c>
      <c r="F1807" s="49" t="s">
        <v>163</v>
      </c>
      <c r="G1807">
        <f>'Aug-Apr, 2023'!AM9+'Aug-Apr, 2023'!AN9</f>
        <v>34</v>
      </c>
      <c r="H1807">
        <f>'Aug-Apr, 2023'!AO9</f>
        <v>0</v>
      </c>
      <c r="I1807">
        <f>'Aug-Apr, 2023'!AP9</f>
        <v>15</v>
      </c>
      <c r="J1807">
        <f>G1807*Parameters!$B$2*Parameters!$B$5</f>
        <v>72.389399999999995</v>
      </c>
      <c r="K1807">
        <f>H1807*Parameters!$B$3*Parameters!$B$6</f>
        <v>0</v>
      </c>
      <c r="L1807">
        <f>I1807*Parameters!$B$4*Parameters!$B$7</f>
        <v>121.44600000000001</v>
      </c>
      <c r="M1807">
        <f t="shared" si="28"/>
        <v>193.83539999999999</v>
      </c>
      <c r="N1807">
        <v>3400</v>
      </c>
      <c r="O1807">
        <v>0</v>
      </c>
      <c r="P1807">
        <v>0</v>
      </c>
      <c r="Q1807">
        <v>4500</v>
      </c>
    </row>
    <row r="1808" spans="1:17">
      <c r="A1808" t="s">
        <v>27</v>
      </c>
      <c r="B1808" t="s">
        <v>21</v>
      </c>
      <c r="C1808">
        <v>6</v>
      </c>
      <c r="D1808">
        <v>2022</v>
      </c>
      <c r="E1808" s="49" t="s">
        <v>146</v>
      </c>
      <c r="F1808" s="49" t="s">
        <v>163</v>
      </c>
      <c r="G1808">
        <f>'Aug-Apr, 2023'!AM10+'Aug-Apr, 2023'!AN10</f>
        <v>52</v>
      </c>
      <c r="H1808">
        <f>'Aug-Apr, 2023'!AO10</f>
        <v>0</v>
      </c>
      <c r="I1808">
        <f>'Aug-Apr, 2023'!AP10</f>
        <v>20</v>
      </c>
      <c r="J1808">
        <f>G1808*Parameters!$B$2*Parameters!$B$5</f>
        <v>110.71319999999999</v>
      </c>
      <c r="K1808">
        <f>H1808*Parameters!$B$3*Parameters!$B$6</f>
        <v>0</v>
      </c>
      <c r="L1808">
        <f>I1808*Parameters!$B$4*Parameters!$B$7</f>
        <v>161.928</v>
      </c>
      <c r="M1808">
        <f t="shared" si="28"/>
        <v>272.64119999999997</v>
      </c>
      <c r="N1808">
        <v>5200</v>
      </c>
      <c r="O1808">
        <v>0</v>
      </c>
      <c r="P1808">
        <v>0</v>
      </c>
      <c r="Q1808">
        <v>6000</v>
      </c>
    </row>
    <row r="1809" spans="1:17">
      <c r="A1809" t="s">
        <v>28</v>
      </c>
      <c r="B1809" t="s">
        <v>19</v>
      </c>
      <c r="C1809">
        <v>9</v>
      </c>
      <c r="D1809">
        <v>2022</v>
      </c>
      <c r="E1809" s="49" t="s">
        <v>146</v>
      </c>
      <c r="F1809" s="49" t="s">
        <v>163</v>
      </c>
      <c r="G1809">
        <f>'Aug-Apr, 2023'!AM11+'Aug-Apr, 2023'!AN11</f>
        <v>50</v>
      </c>
      <c r="H1809">
        <f>'Aug-Apr, 2023'!AO11</f>
        <v>0</v>
      </c>
      <c r="I1809">
        <f>'Aug-Apr, 2023'!AP11</f>
        <v>15</v>
      </c>
      <c r="J1809">
        <f>G1809*Parameters!$B$2*Parameters!$B$5</f>
        <v>106.45499999999998</v>
      </c>
      <c r="K1809">
        <f>H1809*Parameters!$B$3*Parameters!$B$6</f>
        <v>0</v>
      </c>
      <c r="L1809">
        <f>I1809*Parameters!$B$4*Parameters!$B$7</f>
        <v>121.44600000000001</v>
      </c>
      <c r="M1809">
        <f t="shared" si="28"/>
        <v>227.90100000000001</v>
      </c>
      <c r="N1809">
        <v>5000</v>
      </c>
      <c r="O1809">
        <v>0</v>
      </c>
      <c r="P1809">
        <v>0</v>
      </c>
      <c r="Q1809">
        <v>4500</v>
      </c>
    </row>
    <row r="1810" spans="1:17">
      <c r="A1810" t="s">
        <v>29</v>
      </c>
      <c r="B1810" t="s">
        <v>24</v>
      </c>
      <c r="C1810">
        <v>4</v>
      </c>
      <c r="D1810">
        <v>2022</v>
      </c>
      <c r="E1810" s="49" t="s">
        <v>146</v>
      </c>
      <c r="F1810" s="49" t="s">
        <v>163</v>
      </c>
      <c r="G1810">
        <f>'Aug-Apr, 2023'!AM12+'Aug-Apr, 2023'!AN12</f>
        <v>44</v>
      </c>
      <c r="H1810">
        <f>'Aug-Apr, 2023'!AO12</f>
        <v>0</v>
      </c>
      <c r="I1810">
        <f>'Aug-Apr, 2023'!AP12</f>
        <v>12</v>
      </c>
      <c r="J1810">
        <f>G1810*Parameters!$B$2*Parameters!$B$5</f>
        <v>93.680399999999992</v>
      </c>
      <c r="K1810">
        <f>H1810*Parameters!$B$3*Parameters!$B$6</f>
        <v>0</v>
      </c>
      <c r="L1810">
        <f>I1810*Parameters!$B$4*Parameters!$B$7</f>
        <v>97.156800000000018</v>
      </c>
      <c r="M1810">
        <f t="shared" si="28"/>
        <v>190.8372</v>
      </c>
      <c r="N1810">
        <v>4400</v>
      </c>
      <c r="O1810">
        <v>0</v>
      </c>
      <c r="P1810">
        <v>0</v>
      </c>
      <c r="Q1810">
        <v>3600</v>
      </c>
    </row>
    <row r="1811" spans="1:17">
      <c r="A1811" t="s">
        <v>30</v>
      </c>
      <c r="B1811" t="s">
        <v>21</v>
      </c>
      <c r="C1811">
        <v>6</v>
      </c>
      <c r="D1811">
        <v>2022</v>
      </c>
      <c r="E1811" s="49" t="s">
        <v>146</v>
      </c>
      <c r="F1811" s="49" t="s">
        <v>163</v>
      </c>
      <c r="G1811">
        <f>'Aug-Apr, 2023'!AM13+'Aug-Apr, 2023'!AN13</f>
        <v>32</v>
      </c>
      <c r="H1811">
        <f>'Aug-Apr, 2023'!AO13</f>
        <v>0</v>
      </c>
      <c r="I1811">
        <f>'Aug-Apr, 2023'!AP13</f>
        <v>20</v>
      </c>
      <c r="J1811">
        <f>G1811*Parameters!$B$2*Parameters!$B$5</f>
        <v>68.131199999999993</v>
      </c>
      <c r="K1811">
        <f>H1811*Parameters!$B$3*Parameters!$B$6</f>
        <v>0</v>
      </c>
      <c r="L1811">
        <f>I1811*Parameters!$B$4*Parameters!$B$7</f>
        <v>161.928</v>
      </c>
      <c r="M1811">
        <f t="shared" si="28"/>
        <v>230.05919999999998</v>
      </c>
      <c r="N1811">
        <v>3200</v>
      </c>
      <c r="O1811">
        <v>0</v>
      </c>
      <c r="P1811">
        <v>0</v>
      </c>
      <c r="Q1811">
        <v>6000</v>
      </c>
    </row>
    <row r="1812" spans="1:17">
      <c r="A1812" t="s">
        <v>31</v>
      </c>
      <c r="B1812" t="s">
        <v>32</v>
      </c>
      <c r="C1812">
        <v>4</v>
      </c>
      <c r="D1812">
        <v>2022</v>
      </c>
      <c r="E1812" s="49" t="s">
        <v>146</v>
      </c>
      <c r="F1812" s="49" t="s">
        <v>163</v>
      </c>
      <c r="G1812">
        <f>'Aug-Apr, 2023'!AM14+'Aug-Apr, 2023'!AN14</f>
        <v>50</v>
      </c>
      <c r="H1812">
        <f>'Aug-Apr, 2023'!AO14</f>
        <v>0</v>
      </c>
      <c r="I1812">
        <f>'Aug-Apr, 2023'!AP14</f>
        <v>20</v>
      </c>
      <c r="J1812">
        <f>G1812*Parameters!$B$2*Parameters!$B$5</f>
        <v>106.45499999999998</v>
      </c>
      <c r="K1812">
        <f>H1812*Parameters!$B$3*Parameters!$B$6</f>
        <v>0</v>
      </c>
      <c r="L1812">
        <f>I1812*Parameters!$B$4*Parameters!$B$7</f>
        <v>161.928</v>
      </c>
      <c r="M1812">
        <f t="shared" si="28"/>
        <v>268.38299999999998</v>
      </c>
      <c r="N1812">
        <v>5000</v>
      </c>
      <c r="O1812">
        <v>0</v>
      </c>
      <c r="P1812">
        <v>0</v>
      </c>
      <c r="Q1812">
        <v>6000</v>
      </c>
    </row>
    <row r="1813" spans="1:17">
      <c r="A1813" t="s">
        <v>33</v>
      </c>
      <c r="B1813" t="s">
        <v>32</v>
      </c>
      <c r="C1813">
        <v>6</v>
      </c>
      <c r="D1813">
        <v>2022</v>
      </c>
      <c r="E1813" s="49" t="s">
        <v>146</v>
      </c>
      <c r="F1813" s="49" t="s">
        <v>163</v>
      </c>
      <c r="G1813">
        <f>'Aug-Apr, 2023'!AM15+'Aug-Apr, 2023'!AN15</f>
        <v>31</v>
      </c>
      <c r="H1813">
        <f>'Aug-Apr, 2023'!AO15</f>
        <v>0</v>
      </c>
      <c r="I1813">
        <f>'Aug-Apr, 2023'!AP15</f>
        <v>10</v>
      </c>
      <c r="J1813">
        <f>G1813*Parameters!$B$2*Parameters!$B$5</f>
        <v>66.002099999999984</v>
      </c>
      <c r="K1813">
        <f>H1813*Parameters!$B$3*Parameters!$B$6</f>
        <v>0</v>
      </c>
      <c r="L1813">
        <f>I1813*Parameters!$B$4*Parameters!$B$7</f>
        <v>80.963999999999999</v>
      </c>
      <c r="M1813">
        <f t="shared" si="28"/>
        <v>146.96609999999998</v>
      </c>
      <c r="N1813">
        <v>3100</v>
      </c>
      <c r="O1813">
        <v>0</v>
      </c>
      <c r="P1813">
        <v>0</v>
      </c>
      <c r="Q1813">
        <v>3000</v>
      </c>
    </row>
    <row r="1814" spans="1:17">
      <c r="A1814" t="s">
        <v>34</v>
      </c>
      <c r="B1814" t="s">
        <v>21</v>
      </c>
      <c r="C1814">
        <v>9</v>
      </c>
      <c r="D1814">
        <v>2022</v>
      </c>
      <c r="E1814" s="49" t="s">
        <v>146</v>
      </c>
      <c r="F1814" s="49" t="s">
        <v>163</v>
      </c>
      <c r="G1814">
        <f>'Aug-Apr, 2023'!AM16+'Aug-Apr, 2023'!AN16</f>
        <v>40</v>
      </c>
      <c r="H1814">
        <f>'Aug-Apr, 2023'!AO16</f>
        <v>0</v>
      </c>
      <c r="I1814">
        <f>'Aug-Apr, 2023'!AP16</f>
        <v>15</v>
      </c>
      <c r="J1814">
        <f>G1814*Parameters!$B$2*Parameters!$B$5</f>
        <v>85.163999999999987</v>
      </c>
      <c r="K1814">
        <f>H1814*Parameters!$B$3*Parameters!$B$6</f>
        <v>0</v>
      </c>
      <c r="L1814">
        <f>I1814*Parameters!$B$4*Parameters!$B$7</f>
        <v>121.44600000000001</v>
      </c>
      <c r="M1814">
        <f t="shared" si="28"/>
        <v>206.61</v>
      </c>
      <c r="N1814">
        <v>4000</v>
      </c>
      <c r="O1814">
        <v>0</v>
      </c>
      <c r="P1814">
        <v>0</v>
      </c>
      <c r="Q1814">
        <v>4500</v>
      </c>
    </row>
    <row r="1815" spans="1:17">
      <c r="A1815" t="s">
        <v>35</v>
      </c>
      <c r="B1815" t="s">
        <v>21</v>
      </c>
      <c r="C1815">
        <v>6</v>
      </c>
      <c r="D1815">
        <v>2022</v>
      </c>
      <c r="E1815" s="49" t="s">
        <v>146</v>
      </c>
      <c r="F1815" s="49" t="s">
        <v>163</v>
      </c>
      <c r="G1815">
        <f>'Aug-Apr, 2023'!AM17+'Aug-Apr, 2023'!AN17</f>
        <v>42</v>
      </c>
      <c r="H1815">
        <f>'Aug-Apr, 2023'!AO17</f>
        <v>0</v>
      </c>
      <c r="I1815">
        <f>'Aug-Apr, 2023'!AP17</f>
        <v>18</v>
      </c>
      <c r="J1815">
        <f>G1815*Parameters!$B$2*Parameters!$B$5</f>
        <v>89.422199999999975</v>
      </c>
      <c r="K1815">
        <f>H1815*Parameters!$B$3*Parameters!$B$6</f>
        <v>0</v>
      </c>
      <c r="L1815">
        <f>I1815*Parameters!$B$4*Parameters!$B$7</f>
        <v>145.73520000000002</v>
      </c>
      <c r="M1815">
        <f t="shared" si="28"/>
        <v>235.1574</v>
      </c>
      <c r="N1815">
        <v>1000</v>
      </c>
      <c r="O1815">
        <v>3200</v>
      </c>
      <c r="P1815">
        <v>0</v>
      </c>
      <c r="Q1815">
        <v>5400</v>
      </c>
    </row>
    <row r="1816" spans="1:17">
      <c r="A1816" t="s">
        <v>36</v>
      </c>
      <c r="B1816" t="s">
        <v>21</v>
      </c>
      <c r="C1816">
        <v>12</v>
      </c>
      <c r="D1816">
        <v>2022</v>
      </c>
      <c r="E1816" s="49" t="s">
        <v>146</v>
      </c>
      <c r="F1816" s="49" t="s">
        <v>163</v>
      </c>
      <c r="G1816">
        <f>'Aug-Apr, 2023'!AM18+'Aug-Apr, 2023'!AN18</f>
        <v>30</v>
      </c>
      <c r="H1816">
        <f>'Aug-Apr, 2023'!AO18</f>
        <v>0</v>
      </c>
      <c r="I1816">
        <f>'Aug-Apr, 2023'!AP18</f>
        <v>20</v>
      </c>
      <c r="J1816">
        <f>G1816*Parameters!$B$2*Parameters!$B$5</f>
        <v>63.87299999999999</v>
      </c>
      <c r="K1816">
        <f>H1816*Parameters!$B$3*Parameters!$B$6</f>
        <v>0</v>
      </c>
      <c r="L1816">
        <f>I1816*Parameters!$B$4*Parameters!$B$7</f>
        <v>161.928</v>
      </c>
      <c r="M1816">
        <f t="shared" si="28"/>
        <v>225.80099999999999</v>
      </c>
      <c r="N1816">
        <v>3000</v>
      </c>
      <c r="O1816">
        <v>0</v>
      </c>
      <c r="P1816">
        <v>0</v>
      </c>
      <c r="Q1816">
        <v>6000</v>
      </c>
    </row>
    <row r="1817" spans="1:17">
      <c r="A1817" t="s">
        <v>37</v>
      </c>
      <c r="B1817" t="s">
        <v>38</v>
      </c>
      <c r="C1817">
        <v>7</v>
      </c>
      <c r="D1817">
        <v>2022</v>
      </c>
      <c r="E1817" s="49" t="s">
        <v>146</v>
      </c>
      <c r="F1817" s="49" t="s">
        <v>163</v>
      </c>
      <c r="G1817">
        <f>'Aug-Apr, 2023'!AM19+'Aug-Apr, 2023'!AN19</f>
        <v>42</v>
      </c>
      <c r="H1817">
        <f>'Aug-Apr, 2023'!AO19</f>
        <v>0</v>
      </c>
      <c r="I1817">
        <f>'Aug-Apr, 2023'!AP19</f>
        <v>18</v>
      </c>
      <c r="J1817">
        <f>G1817*Parameters!$B$2*Parameters!$B$5</f>
        <v>89.422199999999975</v>
      </c>
      <c r="K1817">
        <f>H1817*Parameters!$B$3*Parameters!$B$6</f>
        <v>0</v>
      </c>
      <c r="L1817">
        <f>I1817*Parameters!$B$4*Parameters!$B$7</f>
        <v>145.73520000000002</v>
      </c>
      <c r="M1817">
        <f t="shared" si="28"/>
        <v>235.1574</v>
      </c>
      <c r="N1817">
        <v>4200</v>
      </c>
      <c r="O1817">
        <v>0</v>
      </c>
      <c r="P1817">
        <v>0</v>
      </c>
      <c r="Q1817">
        <v>5400</v>
      </c>
    </row>
    <row r="1818" spans="1:17">
      <c r="A1818" t="s">
        <v>39</v>
      </c>
      <c r="B1818" t="s">
        <v>40</v>
      </c>
      <c r="C1818">
        <v>6</v>
      </c>
      <c r="D1818">
        <v>2022</v>
      </c>
      <c r="E1818" s="49" t="s">
        <v>146</v>
      </c>
      <c r="F1818" s="49" t="s">
        <v>163</v>
      </c>
      <c r="G1818">
        <f>'Aug-Apr, 2023'!AM20+'Aug-Apr, 2023'!AN20</f>
        <v>72</v>
      </c>
      <c r="H1818">
        <f>'Aug-Apr, 2023'!AO20</f>
        <v>0</v>
      </c>
      <c r="I1818">
        <f>'Aug-Apr, 2023'!AP20</f>
        <v>12</v>
      </c>
      <c r="J1818">
        <f>G1818*Parameters!$B$2*Parameters!$B$5</f>
        <v>153.29519999999999</v>
      </c>
      <c r="K1818">
        <f>H1818*Parameters!$B$3*Parameters!$B$6</f>
        <v>0</v>
      </c>
      <c r="L1818">
        <f>I1818*Parameters!$B$4*Parameters!$B$7</f>
        <v>97.156800000000018</v>
      </c>
      <c r="M1818">
        <f t="shared" si="28"/>
        <v>250.452</v>
      </c>
      <c r="N1818">
        <v>5400</v>
      </c>
      <c r="O1818">
        <v>1800</v>
      </c>
      <c r="P1818">
        <v>0</v>
      </c>
      <c r="Q1818">
        <v>3600</v>
      </c>
    </row>
    <row r="1819" spans="1:17">
      <c r="A1819" t="s">
        <v>41</v>
      </c>
      <c r="B1819" t="s">
        <v>26</v>
      </c>
      <c r="C1819">
        <v>5</v>
      </c>
      <c r="D1819">
        <v>2022</v>
      </c>
      <c r="E1819" s="49" t="s">
        <v>146</v>
      </c>
      <c r="F1819" s="49" t="s">
        <v>163</v>
      </c>
      <c r="G1819">
        <f>'Aug-Apr, 2023'!AM21+'Aug-Apr, 2023'!AN21</f>
        <v>40</v>
      </c>
      <c r="H1819">
        <f>'Aug-Apr, 2023'!AO21</f>
        <v>0</v>
      </c>
      <c r="I1819">
        <f>'Aug-Apr, 2023'!AP21</f>
        <v>5</v>
      </c>
      <c r="J1819">
        <f>G1819*Parameters!$B$2*Parameters!$B$5</f>
        <v>85.163999999999987</v>
      </c>
      <c r="K1819">
        <f>H1819*Parameters!$B$3*Parameters!$B$6</f>
        <v>0</v>
      </c>
      <c r="L1819">
        <f>I1819*Parameters!$B$4*Parameters!$B$7</f>
        <v>40.481999999999999</v>
      </c>
      <c r="M1819">
        <f t="shared" si="28"/>
        <v>125.64599999999999</v>
      </c>
      <c r="N1819">
        <v>4000</v>
      </c>
      <c r="O1819">
        <v>0</v>
      </c>
      <c r="P1819">
        <v>0</v>
      </c>
      <c r="Q1819">
        <v>1500</v>
      </c>
    </row>
    <row r="1820" spans="1:17">
      <c r="A1820" t="s">
        <v>42</v>
      </c>
      <c r="B1820" t="s">
        <v>24</v>
      </c>
      <c r="C1820">
        <v>5</v>
      </c>
      <c r="D1820">
        <v>2022</v>
      </c>
      <c r="E1820" s="49" t="s">
        <v>146</v>
      </c>
      <c r="F1820" s="49" t="s">
        <v>163</v>
      </c>
      <c r="G1820">
        <f>'Aug-Apr, 2023'!AM22+'Aug-Apr, 2023'!AN22</f>
        <v>30</v>
      </c>
      <c r="H1820">
        <f>'Aug-Apr, 2023'!AO22</f>
        <v>0</v>
      </c>
      <c r="I1820">
        <f>'Aug-Apr, 2023'!AP22</f>
        <v>10</v>
      </c>
      <c r="J1820">
        <f>G1820*Parameters!$B$2*Parameters!$B$5</f>
        <v>63.87299999999999</v>
      </c>
      <c r="K1820">
        <f>H1820*Parameters!$B$3*Parameters!$B$6</f>
        <v>0</v>
      </c>
      <c r="L1820">
        <f>I1820*Parameters!$B$4*Parameters!$B$7</f>
        <v>80.963999999999999</v>
      </c>
      <c r="M1820">
        <f t="shared" si="28"/>
        <v>144.83699999999999</v>
      </c>
      <c r="N1820">
        <v>3000</v>
      </c>
      <c r="O1820">
        <v>0</v>
      </c>
      <c r="P1820">
        <v>0</v>
      </c>
      <c r="Q1820">
        <v>3000</v>
      </c>
    </row>
    <row r="1821" spans="1:17">
      <c r="A1821" t="s">
        <v>43</v>
      </c>
      <c r="B1821" t="s">
        <v>19</v>
      </c>
      <c r="C1821">
        <v>8</v>
      </c>
      <c r="D1821">
        <v>2022</v>
      </c>
      <c r="E1821" s="49" t="s">
        <v>146</v>
      </c>
      <c r="F1821" s="49" t="s">
        <v>163</v>
      </c>
      <c r="G1821">
        <f>'Aug-Apr, 2023'!AM23+'Aug-Apr, 2023'!AN23</f>
        <v>55</v>
      </c>
      <c r="H1821">
        <f>'Aug-Apr, 2023'!AO23</f>
        <v>0</v>
      </c>
      <c r="I1821">
        <f>'Aug-Apr, 2023'!AP23</f>
        <v>20</v>
      </c>
      <c r="J1821">
        <f>G1821*Parameters!$B$2*Parameters!$B$5</f>
        <v>117.10049999999998</v>
      </c>
      <c r="K1821">
        <f>H1821*Parameters!$B$3*Parameters!$B$6</f>
        <v>0</v>
      </c>
      <c r="L1821">
        <f>I1821*Parameters!$B$4*Parameters!$B$7</f>
        <v>161.928</v>
      </c>
      <c r="M1821">
        <f t="shared" si="28"/>
        <v>279.02850000000001</v>
      </c>
      <c r="N1821">
        <v>5500</v>
      </c>
      <c r="O1821">
        <v>0</v>
      </c>
      <c r="P1821">
        <v>0</v>
      </c>
      <c r="Q1821">
        <v>6000</v>
      </c>
    </row>
    <row r="1822" spans="1:17">
      <c r="A1822" t="s">
        <v>44</v>
      </c>
      <c r="B1822" t="s">
        <v>40</v>
      </c>
      <c r="C1822">
        <v>10</v>
      </c>
      <c r="D1822">
        <v>2022</v>
      </c>
      <c r="E1822" s="49" t="s">
        <v>146</v>
      </c>
      <c r="F1822" s="49" t="s">
        <v>163</v>
      </c>
      <c r="G1822">
        <f>'Aug-Apr, 2023'!AM24+'Aug-Apr, 2023'!AN24</f>
        <v>30</v>
      </c>
      <c r="H1822">
        <f>'Aug-Apr, 2023'!AO24</f>
        <v>0</v>
      </c>
      <c r="I1822">
        <f>'Aug-Apr, 2023'!AP24</f>
        <v>15</v>
      </c>
      <c r="J1822">
        <f>G1822*Parameters!$B$2*Parameters!$B$5</f>
        <v>63.87299999999999</v>
      </c>
      <c r="K1822">
        <f>H1822*Parameters!$B$3*Parameters!$B$6</f>
        <v>0</v>
      </c>
      <c r="L1822">
        <f>I1822*Parameters!$B$4*Parameters!$B$7</f>
        <v>121.44600000000001</v>
      </c>
      <c r="M1822">
        <f t="shared" si="28"/>
        <v>185.31900000000002</v>
      </c>
      <c r="N1822">
        <v>3000</v>
      </c>
      <c r="O1822">
        <v>0</v>
      </c>
      <c r="P1822">
        <v>0</v>
      </c>
      <c r="Q1822">
        <v>4500</v>
      </c>
    </row>
    <row r="1823" spans="1:17">
      <c r="A1823" t="s">
        <v>45</v>
      </c>
      <c r="B1823" t="s">
        <v>24</v>
      </c>
      <c r="C1823">
        <v>8</v>
      </c>
      <c r="D1823">
        <v>2022</v>
      </c>
      <c r="E1823" s="49" t="s">
        <v>146</v>
      </c>
      <c r="F1823" s="49" t="s">
        <v>163</v>
      </c>
      <c r="G1823">
        <f>'Aug-Apr, 2023'!AM25+'Aug-Apr, 2023'!AN25</f>
        <v>40</v>
      </c>
      <c r="H1823">
        <f>'Aug-Apr, 2023'!AO25</f>
        <v>0</v>
      </c>
      <c r="I1823">
        <f>'Aug-Apr, 2023'!AP25</f>
        <v>20</v>
      </c>
      <c r="J1823">
        <f>G1823*Parameters!$B$2*Parameters!$B$5</f>
        <v>85.163999999999987</v>
      </c>
      <c r="K1823">
        <f>H1823*Parameters!$B$3*Parameters!$B$6</f>
        <v>0</v>
      </c>
      <c r="L1823">
        <f>I1823*Parameters!$B$4*Parameters!$B$7</f>
        <v>161.928</v>
      </c>
      <c r="M1823">
        <f t="shared" si="28"/>
        <v>247.09199999999998</v>
      </c>
      <c r="N1823">
        <v>4000</v>
      </c>
      <c r="O1823">
        <v>0</v>
      </c>
      <c r="P1823">
        <v>0</v>
      </c>
      <c r="Q1823">
        <v>6000</v>
      </c>
    </row>
    <row r="1824" spans="1:17">
      <c r="A1824" t="s">
        <v>46</v>
      </c>
      <c r="B1824" t="s">
        <v>24</v>
      </c>
      <c r="C1824">
        <v>4</v>
      </c>
      <c r="D1824">
        <v>2022</v>
      </c>
      <c r="E1824" s="49" t="s">
        <v>146</v>
      </c>
      <c r="F1824" s="49" t="s">
        <v>163</v>
      </c>
      <c r="G1824">
        <f>'Aug-Apr, 2023'!AM26+'Aug-Apr, 2023'!AN26</f>
        <v>22</v>
      </c>
      <c r="H1824">
        <f>'Aug-Apr, 2023'!AO26</f>
        <v>0</v>
      </c>
      <c r="I1824">
        <f>'Aug-Apr, 2023'!AP26</f>
        <v>12</v>
      </c>
      <c r="J1824">
        <f>G1824*Parameters!$B$2*Parameters!$B$5</f>
        <v>46.840199999999996</v>
      </c>
      <c r="K1824">
        <f>H1824*Parameters!$B$3*Parameters!$B$6</f>
        <v>0</v>
      </c>
      <c r="L1824">
        <f>I1824*Parameters!$B$4*Parameters!$B$7</f>
        <v>97.156800000000018</v>
      </c>
      <c r="M1824">
        <f t="shared" si="28"/>
        <v>143.99700000000001</v>
      </c>
      <c r="N1824">
        <v>2200</v>
      </c>
      <c r="O1824">
        <v>0</v>
      </c>
      <c r="P1824">
        <v>0</v>
      </c>
      <c r="Q1824">
        <v>3600</v>
      </c>
    </row>
    <row r="1825" spans="1:17">
      <c r="A1825" t="s">
        <v>47</v>
      </c>
      <c r="B1825" t="s">
        <v>19</v>
      </c>
      <c r="C1825">
        <v>6</v>
      </c>
      <c r="D1825">
        <v>2022</v>
      </c>
      <c r="E1825" s="49" t="s">
        <v>146</v>
      </c>
      <c r="F1825" s="49" t="s">
        <v>163</v>
      </c>
      <c r="G1825">
        <f>'Aug-Apr, 2023'!AM27+'Aug-Apr, 2023'!AN27</f>
        <v>36</v>
      </c>
      <c r="H1825">
        <f>'Aug-Apr, 2023'!AO27</f>
        <v>0</v>
      </c>
      <c r="I1825">
        <f>'Aug-Apr, 2023'!AP27</f>
        <v>14</v>
      </c>
      <c r="J1825">
        <f>G1825*Parameters!$B$2*Parameters!$B$5</f>
        <v>76.647599999999997</v>
      </c>
      <c r="K1825">
        <f>H1825*Parameters!$B$3*Parameters!$B$6</f>
        <v>0</v>
      </c>
      <c r="L1825">
        <f>I1825*Parameters!$B$4*Parameters!$B$7</f>
        <v>113.34960000000001</v>
      </c>
      <c r="M1825">
        <f t="shared" si="28"/>
        <v>189.99720000000002</v>
      </c>
      <c r="N1825">
        <v>3600</v>
      </c>
      <c r="O1825">
        <v>0</v>
      </c>
      <c r="P1825">
        <v>0</v>
      </c>
      <c r="Q1825">
        <v>4200</v>
      </c>
    </row>
    <row r="1826" spans="1:17">
      <c r="A1826" t="s">
        <v>48</v>
      </c>
      <c r="B1826" t="s">
        <v>24</v>
      </c>
      <c r="C1826">
        <v>4</v>
      </c>
      <c r="D1826">
        <v>2022</v>
      </c>
      <c r="E1826" s="49" t="s">
        <v>146</v>
      </c>
      <c r="F1826" s="49" t="s">
        <v>163</v>
      </c>
      <c r="G1826">
        <f>'Aug-Apr, 2023'!AM28+'Aug-Apr, 2023'!AN28</f>
        <v>38</v>
      </c>
      <c r="H1826">
        <f>'Aug-Apr, 2023'!AO28</f>
        <v>0</v>
      </c>
      <c r="I1826">
        <f>'Aug-Apr, 2023'!AP28</f>
        <v>18</v>
      </c>
      <c r="J1826">
        <f>G1826*Parameters!$B$2*Parameters!$B$5</f>
        <v>80.905799999999985</v>
      </c>
      <c r="K1826">
        <f>H1826*Parameters!$B$3*Parameters!$B$6</f>
        <v>0</v>
      </c>
      <c r="L1826">
        <f>I1826*Parameters!$B$4*Parameters!$B$7</f>
        <v>145.73520000000002</v>
      </c>
      <c r="M1826">
        <f t="shared" si="28"/>
        <v>226.64100000000002</v>
      </c>
      <c r="N1826">
        <v>3800</v>
      </c>
      <c r="O1826">
        <v>0</v>
      </c>
      <c r="P1826">
        <v>0</v>
      </c>
      <c r="Q1826">
        <v>5400</v>
      </c>
    </row>
    <row r="1827" spans="1:17">
      <c r="A1827" t="s">
        <v>49</v>
      </c>
      <c r="B1827" t="s">
        <v>38</v>
      </c>
      <c r="C1827">
        <v>2</v>
      </c>
      <c r="D1827">
        <v>2022</v>
      </c>
      <c r="E1827" s="49" t="s">
        <v>146</v>
      </c>
      <c r="F1827" s="49" t="s">
        <v>163</v>
      </c>
      <c r="G1827">
        <f>'Aug-Apr, 2023'!AM29+'Aug-Apr, 2023'!AN29</f>
        <v>47</v>
      </c>
      <c r="H1827">
        <f>'Aug-Apr, 2023'!AO29</f>
        <v>0</v>
      </c>
      <c r="I1827">
        <f>'Aug-Apr, 2023'!AP29</f>
        <v>20</v>
      </c>
      <c r="J1827">
        <f>G1827*Parameters!$B$2*Parameters!$B$5</f>
        <v>100.06769999999997</v>
      </c>
      <c r="K1827">
        <f>H1827*Parameters!$B$3*Parameters!$B$6</f>
        <v>0</v>
      </c>
      <c r="L1827">
        <f>I1827*Parameters!$B$4*Parameters!$B$7</f>
        <v>161.928</v>
      </c>
      <c r="M1827">
        <f t="shared" si="28"/>
        <v>261.99569999999994</v>
      </c>
      <c r="N1827">
        <v>4700</v>
      </c>
      <c r="O1827">
        <v>0</v>
      </c>
      <c r="P1827">
        <v>0</v>
      </c>
      <c r="Q1827">
        <v>6000</v>
      </c>
    </row>
    <row r="1828" spans="1:17">
      <c r="A1828" t="s">
        <v>50</v>
      </c>
      <c r="B1828" t="s">
        <v>19</v>
      </c>
      <c r="C1828">
        <v>8</v>
      </c>
      <c r="D1828">
        <v>2022</v>
      </c>
      <c r="E1828" s="49" t="s">
        <v>146</v>
      </c>
      <c r="F1828" s="49" t="s">
        <v>163</v>
      </c>
      <c r="G1828">
        <f>'Aug-Apr, 2023'!AM30+'Aug-Apr, 2023'!AN30</f>
        <v>40</v>
      </c>
      <c r="H1828">
        <f>'Aug-Apr, 2023'!AO30</f>
        <v>0</v>
      </c>
      <c r="I1828">
        <f>'Aug-Apr, 2023'!AP30</f>
        <v>10</v>
      </c>
      <c r="J1828">
        <f>G1828*Parameters!$B$2*Parameters!$B$5</f>
        <v>85.163999999999987</v>
      </c>
      <c r="K1828">
        <f>H1828*Parameters!$B$3*Parameters!$B$6</f>
        <v>0</v>
      </c>
      <c r="L1828">
        <f>I1828*Parameters!$B$4*Parameters!$B$7</f>
        <v>80.963999999999999</v>
      </c>
      <c r="M1828">
        <f t="shared" si="28"/>
        <v>166.12799999999999</v>
      </c>
      <c r="N1828">
        <v>4000</v>
      </c>
      <c r="O1828">
        <v>0</v>
      </c>
      <c r="P1828">
        <v>0</v>
      </c>
      <c r="Q1828">
        <v>3000</v>
      </c>
    </row>
    <row r="1829" spans="1:17">
      <c r="A1829" t="s">
        <v>51</v>
      </c>
      <c r="B1829" t="s">
        <v>19</v>
      </c>
      <c r="C1829">
        <v>6</v>
      </c>
      <c r="D1829">
        <v>2022</v>
      </c>
      <c r="E1829" s="49" t="s">
        <v>146</v>
      </c>
      <c r="F1829" s="49" t="s">
        <v>163</v>
      </c>
      <c r="G1829">
        <f>'Aug-Apr, 2023'!AM31+'Aug-Apr, 2023'!AN31</f>
        <v>30</v>
      </c>
      <c r="H1829">
        <f>'Aug-Apr, 2023'!AO31</f>
        <v>0</v>
      </c>
      <c r="I1829">
        <f>'Aug-Apr, 2023'!AP31</f>
        <v>16</v>
      </c>
      <c r="J1829">
        <f>G1829*Parameters!$B$2*Parameters!$B$5</f>
        <v>63.87299999999999</v>
      </c>
      <c r="K1829">
        <f>H1829*Parameters!$B$3*Parameters!$B$6</f>
        <v>0</v>
      </c>
      <c r="L1829">
        <f>I1829*Parameters!$B$4*Parameters!$B$7</f>
        <v>129.54240000000001</v>
      </c>
      <c r="M1829">
        <f t="shared" si="28"/>
        <v>193.41540000000001</v>
      </c>
      <c r="N1829">
        <v>3000</v>
      </c>
      <c r="O1829">
        <v>0</v>
      </c>
      <c r="P1829">
        <v>0</v>
      </c>
      <c r="Q1829">
        <v>4800</v>
      </c>
    </row>
    <row r="1830" spans="1:17">
      <c r="A1830" t="s">
        <v>52</v>
      </c>
      <c r="B1830" t="s">
        <v>38</v>
      </c>
      <c r="C1830">
        <v>12</v>
      </c>
      <c r="D1830">
        <v>2022</v>
      </c>
      <c r="E1830" s="49" t="s">
        <v>146</v>
      </c>
      <c r="F1830" s="49" t="s">
        <v>163</v>
      </c>
      <c r="G1830">
        <f>'Aug-Apr, 2023'!AM32+'Aug-Apr, 2023'!AN32</f>
        <v>45</v>
      </c>
      <c r="H1830">
        <f>'Aug-Apr, 2023'!AO32</f>
        <v>0</v>
      </c>
      <c r="I1830">
        <f>'Aug-Apr, 2023'!AP32</f>
        <v>15</v>
      </c>
      <c r="J1830">
        <f>G1830*Parameters!$B$2*Parameters!$B$5</f>
        <v>95.809499999999986</v>
      </c>
      <c r="K1830">
        <f>H1830*Parameters!$B$3*Parameters!$B$6</f>
        <v>0</v>
      </c>
      <c r="L1830">
        <f>I1830*Parameters!$B$4*Parameters!$B$7</f>
        <v>121.44600000000001</v>
      </c>
      <c r="M1830">
        <f t="shared" si="28"/>
        <v>217.25549999999998</v>
      </c>
      <c r="N1830">
        <v>4500</v>
      </c>
      <c r="O1830">
        <v>0</v>
      </c>
      <c r="P1830">
        <v>0</v>
      </c>
      <c r="Q1830">
        <v>4500</v>
      </c>
    </row>
    <row r="1831" spans="1:17">
      <c r="A1831" t="s">
        <v>53</v>
      </c>
      <c r="B1831" t="s">
        <v>40</v>
      </c>
      <c r="C1831">
        <v>8</v>
      </c>
      <c r="D1831">
        <v>2022</v>
      </c>
      <c r="E1831" s="49" t="s">
        <v>146</v>
      </c>
      <c r="F1831" s="49" t="s">
        <v>163</v>
      </c>
      <c r="G1831">
        <f>'Aug-Apr, 2023'!AM33+'Aug-Apr, 2023'!AN33</f>
        <v>55</v>
      </c>
      <c r="H1831">
        <f>'Aug-Apr, 2023'!AO33</f>
        <v>0</v>
      </c>
      <c r="I1831">
        <f>'Aug-Apr, 2023'!AP33</f>
        <v>15</v>
      </c>
      <c r="J1831">
        <f>G1831*Parameters!$B$2*Parameters!$B$5</f>
        <v>117.10049999999998</v>
      </c>
      <c r="K1831">
        <f>H1831*Parameters!$B$3*Parameters!$B$6</f>
        <v>0</v>
      </c>
      <c r="L1831">
        <f>I1831*Parameters!$B$4*Parameters!$B$7</f>
        <v>121.44600000000001</v>
      </c>
      <c r="M1831">
        <f t="shared" si="28"/>
        <v>238.54649999999998</v>
      </c>
      <c r="N1831">
        <v>5500</v>
      </c>
      <c r="O1831">
        <v>0</v>
      </c>
      <c r="P1831">
        <v>0</v>
      </c>
      <c r="Q1831">
        <v>4500</v>
      </c>
    </row>
    <row r="1832" spans="1:17">
      <c r="A1832" t="s">
        <v>54</v>
      </c>
      <c r="B1832" t="s">
        <v>40</v>
      </c>
      <c r="C1832">
        <v>6</v>
      </c>
      <c r="D1832">
        <v>2022</v>
      </c>
      <c r="E1832" s="49" t="s">
        <v>146</v>
      </c>
      <c r="F1832" s="49" t="s">
        <v>163</v>
      </c>
      <c r="G1832">
        <f>'Aug-Apr, 2023'!AM34+'Aug-Apr, 2023'!AN34</f>
        <v>50</v>
      </c>
      <c r="H1832">
        <f>'Aug-Apr, 2023'!AO34</f>
        <v>0</v>
      </c>
      <c r="I1832">
        <f>'Aug-Apr, 2023'!AP34</f>
        <v>15</v>
      </c>
      <c r="J1832">
        <f>G1832*Parameters!$B$2*Parameters!$B$5</f>
        <v>106.45499999999998</v>
      </c>
      <c r="K1832">
        <f>H1832*Parameters!$B$3*Parameters!$B$6</f>
        <v>0</v>
      </c>
      <c r="L1832">
        <f>I1832*Parameters!$B$4*Parameters!$B$7</f>
        <v>121.44600000000001</v>
      </c>
      <c r="M1832">
        <f t="shared" si="28"/>
        <v>227.90100000000001</v>
      </c>
      <c r="N1832">
        <v>5000</v>
      </c>
      <c r="O1832">
        <v>0</v>
      </c>
      <c r="P1832">
        <v>0</v>
      </c>
      <c r="Q1832">
        <v>4500</v>
      </c>
    </row>
    <row r="1833" spans="1:17">
      <c r="A1833" t="s">
        <v>55</v>
      </c>
      <c r="B1833" t="s">
        <v>56</v>
      </c>
      <c r="C1833">
        <v>4</v>
      </c>
      <c r="D1833">
        <v>2022</v>
      </c>
      <c r="E1833" s="49" t="s">
        <v>146</v>
      </c>
      <c r="F1833" s="49" t="s">
        <v>163</v>
      </c>
      <c r="G1833">
        <f>'Aug-Apr, 2023'!AM35+'Aug-Apr, 2023'!AN35</f>
        <v>40</v>
      </c>
      <c r="H1833">
        <f>'Aug-Apr, 2023'!AO35</f>
        <v>0</v>
      </c>
      <c r="I1833">
        <f>'Aug-Apr, 2023'!AP35</f>
        <v>20</v>
      </c>
      <c r="J1833">
        <f>G1833*Parameters!$B$2*Parameters!$B$5</f>
        <v>85.163999999999987</v>
      </c>
      <c r="K1833">
        <f>H1833*Parameters!$B$3*Parameters!$B$6</f>
        <v>0</v>
      </c>
      <c r="L1833">
        <f>I1833*Parameters!$B$4*Parameters!$B$7</f>
        <v>161.928</v>
      </c>
      <c r="M1833">
        <f t="shared" si="28"/>
        <v>247.09199999999998</v>
      </c>
      <c r="N1833">
        <v>4000</v>
      </c>
      <c r="O1833">
        <v>0</v>
      </c>
      <c r="P1833">
        <v>0</v>
      </c>
      <c r="Q1833">
        <v>6000</v>
      </c>
    </row>
    <row r="1834" spans="1:17">
      <c r="A1834" t="s">
        <v>57</v>
      </c>
      <c r="B1834" t="s">
        <v>40</v>
      </c>
      <c r="C1834">
        <v>4</v>
      </c>
      <c r="D1834">
        <v>2022</v>
      </c>
      <c r="E1834" s="49" t="s">
        <v>146</v>
      </c>
      <c r="F1834" s="49" t="s">
        <v>163</v>
      </c>
      <c r="G1834">
        <f>'Aug-Apr, 2023'!AM36+'Aug-Apr, 2023'!AN36</f>
        <v>45</v>
      </c>
      <c r="H1834">
        <f>'Aug-Apr, 2023'!AO36</f>
        <v>0</v>
      </c>
      <c r="I1834">
        <f>'Aug-Apr, 2023'!AP36</f>
        <v>20</v>
      </c>
      <c r="J1834">
        <f>G1834*Parameters!$B$2*Parameters!$B$5</f>
        <v>95.809499999999986</v>
      </c>
      <c r="K1834">
        <f>H1834*Parameters!$B$3*Parameters!$B$6</f>
        <v>0</v>
      </c>
      <c r="L1834">
        <f>I1834*Parameters!$B$4*Parameters!$B$7</f>
        <v>161.928</v>
      </c>
      <c r="M1834">
        <f t="shared" si="28"/>
        <v>257.73749999999995</v>
      </c>
      <c r="N1834">
        <v>4500</v>
      </c>
      <c r="O1834">
        <v>0</v>
      </c>
      <c r="P1834">
        <v>0</v>
      </c>
      <c r="Q1834">
        <v>6000</v>
      </c>
    </row>
    <row r="1835" spans="1:17">
      <c r="A1835" t="s">
        <v>58</v>
      </c>
      <c r="B1835" t="s">
        <v>26</v>
      </c>
      <c r="C1835">
        <v>6</v>
      </c>
      <c r="D1835">
        <v>2022</v>
      </c>
      <c r="E1835" s="49" t="s">
        <v>146</v>
      </c>
      <c r="F1835" s="49" t="s">
        <v>163</v>
      </c>
      <c r="G1835">
        <f>'Aug-Apr, 2023'!AM37+'Aug-Apr, 2023'!AN37</f>
        <v>55</v>
      </c>
      <c r="H1835">
        <f>'Aug-Apr, 2023'!AO37</f>
        <v>0</v>
      </c>
      <c r="I1835">
        <f>'Aug-Apr, 2023'!AP37</f>
        <v>20</v>
      </c>
      <c r="J1835">
        <f>G1835*Parameters!$B$2*Parameters!$B$5</f>
        <v>117.10049999999998</v>
      </c>
      <c r="K1835">
        <f>H1835*Parameters!$B$3*Parameters!$B$6</f>
        <v>0</v>
      </c>
      <c r="L1835">
        <f>I1835*Parameters!$B$4*Parameters!$B$7</f>
        <v>161.928</v>
      </c>
      <c r="M1835">
        <f t="shared" si="28"/>
        <v>279.02850000000001</v>
      </c>
      <c r="N1835">
        <v>5500</v>
      </c>
      <c r="O1835">
        <v>0</v>
      </c>
      <c r="P1835">
        <v>0</v>
      </c>
      <c r="Q1835">
        <v>6000</v>
      </c>
    </row>
    <row r="1836" spans="1:17">
      <c r="A1836" t="s">
        <v>59</v>
      </c>
      <c r="B1836" t="s">
        <v>26</v>
      </c>
      <c r="C1836">
        <v>7</v>
      </c>
      <c r="D1836">
        <v>2022</v>
      </c>
      <c r="E1836" s="49" t="s">
        <v>146</v>
      </c>
      <c r="F1836" s="49" t="s">
        <v>163</v>
      </c>
      <c r="G1836">
        <f>'Aug-Apr, 2023'!AM38+'Aug-Apr, 2023'!AN38</f>
        <v>39</v>
      </c>
      <c r="H1836">
        <f>'Aug-Apr, 2023'!AO38</f>
        <v>0</v>
      </c>
      <c r="I1836">
        <f>'Aug-Apr, 2023'!AP38</f>
        <v>16</v>
      </c>
      <c r="J1836">
        <f>G1836*Parameters!$B$2*Parameters!$B$5</f>
        <v>83.034899999999993</v>
      </c>
      <c r="K1836">
        <f>H1836*Parameters!$B$3*Parameters!$B$6</f>
        <v>0</v>
      </c>
      <c r="L1836">
        <f>I1836*Parameters!$B$4*Parameters!$B$7</f>
        <v>129.54240000000001</v>
      </c>
      <c r="M1836">
        <f t="shared" si="28"/>
        <v>212.57730000000001</v>
      </c>
      <c r="N1836">
        <v>3900</v>
      </c>
      <c r="O1836">
        <v>0</v>
      </c>
      <c r="P1836">
        <v>0</v>
      </c>
      <c r="Q1836">
        <v>4800</v>
      </c>
    </row>
    <row r="1837" spans="1:17">
      <c r="A1837" t="s">
        <v>60</v>
      </c>
      <c r="B1837" t="s">
        <v>26</v>
      </c>
      <c r="C1837">
        <v>8</v>
      </c>
      <c r="D1837">
        <v>2022</v>
      </c>
      <c r="E1837" s="49" t="s">
        <v>146</v>
      </c>
      <c r="F1837" s="49" t="s">
        <v>163</v>
      </c>
      <c r="G1837">
        <f>'Aug-Apr, 2023'!AM39+'Aug-Apr, 2023'!AN39</f>
        <v>42</v>
      </c>
      <c r="H1837">
        <f>'Aug-Apr, 2023'!AO39</f>
        <v>0</v>
      </c>
      <c r="I1837">
        <f>'Aug-Apr, 2023'!AP39</f>
        <v>10</v>
      </c>
      <c r="J1837">
        <f>G1837*Parameters!$B$2*Parameters!$B$5</f>
        <v>89.422199999999975</v>
      </c>
      <c r="K1837">
        <f>H1837*Parameters!$B$3*Parameters!$B$6</f>
        <v>0</v>
      </c>
      <c r="L1837">
        <f>I1837*Parameters!$B$4*Parameters!$B$7</f>
        <v>80.963999999999999</v>
      </c>
      <c r="M1837">
        <f t="shared" si="28"/>
        <v>170.38619999999997</v>
      </c>
      <c r="N1837">
        <v>4200</v>
      </c>
      <c r="O1837">
        <v>0</v>
      </c>
      <c r="P1837">
        <v>0</v>
      </c>
      <c r="Q1837">
        <v>3000</v>
      </c>
    </row>
    <row r="1838" spans="1:17">
      <c r="A1838" t="s">
        <v>61</v>
      </c>
      <c r="B1838" t="s">
        <v>56</v>
      </c>
      <c r="C1838">
        <v>5</v>
      </c>
      <c r="D1838">
        <v>2022</v>
      </c>
      <c r="E1838" s="49" t="s">
        <v>146</v>
      </c>
      <c r="F1838" s="49" t="s">
        <v>163</v>
      </c>
      <c r="G1838">
        <f>'Aug-Apr, 2023'!AM40+'Aug-Apr, 2023'!AN40</f>
        <v>60</v>
      </c>
      <c r="H1838">
        <f>'Aug-Apr, 2023'!AO40</f>
        <v>0</v>
      </c>
      <c r="I1838">
        <f>'Aug-Apr, 2023'!AP40</f>
        <v>20</v>
      </c>
      <c r="J1838">
        <f>G1838*Parameters!$B$2*Parameters!$B$5</f>
        <v>127.74599999999998</v>
      </c>
      <c r="K1838">
        <f>H1838*Parameters!$B$3*Parameters!$B$6</f>
        <v>0</v>
      </c>
      <c r="L1838">
        <f>I1838*Parameters!$B$4*Parameters!$B$7</f>
        <v>161.928</v>
      </c>
      <c r="M1838">
        <f t="shared" si="28"/>
        <v>289.67399999999998</v>
      </c>
      <c r="N1838">
        <v>6000</v>
      </c>
      <c r="O1838">
        <v>0</v>
      </c>
      <c r="P1838">
        <v>0</v>
      </c>
      <c r="Q1838">
        <v>6000</v>
      </c>
    </row>
    <row r="1839" spans="1:17">
      <c r="A1839" t="s">
        <v>62</v>
      </c>
      <c r="B1839" t="s">
        <v>21</v>
      </c>
      <c r="C1839">
        <v>6</v>
      </c>
      <c r="D1839">
        <v>2022</v>
      </c>
      <c r="E1839" s="49" t="s">
        <v>146</v>
      </c>
      <c r="F1839" s="49" t="s">
        <v>163</v>
      </c>
      <c r="G1839">
        <f>'Aug-Apr, 2023'!AM41+'Aug-Apr, 2023'!AN41</f>
        <v>42</v>
      </c>
      <c r="H1839">
        <f>'Aug-Apr, 2023'!AO41</f>
        <v>0</v>
      </c>
      <c r="I1839">
        <f>'Aug-Apr, 2023'!AP41</f>
        <v>15</v>
      </c>
      <c r="J1839">
        <f>G1839*Parameters!$B$2*Parameters!$B$5</f>
        <v>89.422199999999975</v>
      </c>
      <c r="K1839">
        <f>H1839*Parameters!$B$3*Parameters!$B$6</f>
        <v>0</v>
      </c>
      <c r="L1839">
        <f>I1839*Parameters!$B$4*Parameters!$B$7</f>
        <v>121.44600000000001</v>
      </c>
      <c r="M1839">
        <f t="shared" si="28"/>
        <v>210.8682</v>
      </c>
      <c r="N1839">
        <v>4200</v>
      </c>
      <c r="O1839">
        <v>0</v>
      </c>
      <c r="P1839">
        <v>0</v>
      </c>
      <c r="Q1839">
        <v>4500</v>
      </c>
    </row>
    <row r="1840" spans="1:17">
      <c r="A1840" t="s">
        <v>63</v>
      </c>
      <c r="B1840" t="s">
        <v>21</v>
      </c>
      <c r="C1840">
        <v>9</v>
      </c>
      <c r="D1840">
        <v>2022</v>
      </c>
      <c r="E1840" s="49" t="s">
        <v>146</v>
      </c>
      <c r="F1840" s="49" t="s">
        <v>163</v>
      </c>
      <c r="G1840">
        <f>'Aug-Apr, 2023'!AM42+'Aug-Apr, 2023'!AN42</f>
        <v>52</v>
      </c>
      <c r="H1840">
        <f>'Aug-Apr, 2023'!AO42</f>
        <v>0</v>
      </c>
      <c r="I1840">
        <f>'Aug-Apr, 2023'!AP42</f>
        <v>17</v>
      </c>
      <c r="J1840">
        <f>G1840*Parameters!$B$2*Parameters!$B$5</f>
        <v>110.71319999999999</v>
      </c>
      <c r="K1840">
        <f>H1840*Parameters!$B$3*Parameters!$B$6</f>
        <v>0</v>
      </c>
      <c r="L1840">
        <f>I1840*Parameters!$B$4*Parameters!$B$7</f>
        <v>137.63880000000003</v>
      </c>
      <c r="M1840">
        <f t="shared" si="28"/>
        <v>248.35200000000003</v>
      </c>
      <c r="N1840">
        <v>5200</v>
      </c>
      <c r="O1840">
        <v>0</v>
      </c>
      <c r="P1840">
        <v>0</v>
      </c>
      <c r="Q1840">
        <v>5100</v>
      </c>
    </row>
    <row r="1841" spans="1:17">
      <c r="A1841" t="s">
        <v>64</v>
      </c>
      <c r="B1841" t="s">
        <v>65</v>
      </c>
      <c r="C1841">
        <v>3</v>
      </c>
      <c r="D1841">
        <v>2022</v>
      </c>
      <c r="E1841" s="49" t="s">
        <v>146</v>
      </c>
      <c r="F1841" s="49" t="s">
        <v>163</v>
      </c>
      <c r="G1841">
        <f>'Aug-Apr, 2023'!AM43+'Aug-Apr, 2023'!AN43</f>
        <v>100</v>
      </c>
      <c r="H1841">
        <f>'Aug-Apr, 2023'!AO43</f>
        <v>0</v>
      </c>
      <c r="I1841">
        <f>'Aug-Apr, 2023'!AP43</f>
        <v>0</v>
      </c>
      <c r="J1841">
        <f>G1841*Parameters!$B$2*Parameters!$B$5</f>
        <v>212.90999999999997</v>
      </c>
      <c r="K1841">
        <f>H1841*Parameters!$B$3*Parameters!$B$6</f>
        <v>0</v>
      </c>
      <c r="L1841">
        <f>I1841*Parameters!$B$4*Parameters!$B$7</f>
        <v>0</v>
      </c>
      <c r="M1841">
        <f t="shared" si="28"/>
        <v>212.90999999999997</v>
      </c>
      <c r="N1841">
        <v>4000</v>
      </c>
      <c r="O1841">
        <v>6000</v>
      </c>
      <c r="P1841">
        <v>0</v>
      </c>
      <c r="Q1841">
        <v>0</v>
      </c>
    </row>
    <row r="1842" spans="1:17">
      <c r="A1842" t="s">
        <v>66</v>
      </c>
      <c r="B1842" t="s">
        <v>24</v>
      </c>
      <c r="C1842">
        <v>4</v>
      </c>
      <c r="D1842">
        <v>2022</v>
      </c>
      <c r="E1842" s="49" t="s">
        <v>146</v>
      </c>
      <c r="F1842" s="49" t="s">
        <v>163</v>
      </c>
      <c r="G1842">
        <f>'Aug-Apr, 2023'!AM44+'Aug-Apr, 2023'!AN44</f>
        <v>40</v>
      </c>
      <c r="H1842">
        <f>'Aug-Apr, 2023'!AO44</f>
        <v>0</v>
      </c>
      <c r="I1842">
        <f>'Aug-Apr, 2023'!AP44</f>
        <v>10</v>
      </c>
      <c r="J1842">
        <f>G1842*Parameters!$B$2*Parameters!$B$5</f>
        <v>85.163999999999987</v>
      </c>
      <c r="K1842">
        <f>H1842*Parameters!$B$3*Parameters!$B$6</f>
        <v>0</v>
      </c>
      <c r="L1842">
        <f>I1842*Parameters!$B$4*Parameters!$B$7</f>
        <v>80.963999999999999</v>
      </c>
      <c r="M1842">
        <f t="shared" si="28"/>
        <v>166.12799999999999</v>
      </c>
      <c r="N1842">
        <v>4000</v>
      </c>
      <c r="O1842">
        <v>0</v>
      </c>
      <c r="P1842">
        <v>0</v>
      </c>
      <c r="Q1842">
        <v>3000</v>
      </c>
    </row>
    <row r="1843" spans="1:17">
      <c r="A1843" t="s">
        <v>67</v>
      </c>
      <c r="B1843" t="s">
        <v>56</v>
      </c>
      <c r="C1843">
        <v>6</v>
      </c>
      <c r="D1843">
        <v>2022</v>
      </c>
      <c r="E1843" s="49" t="s">
        <v>146</v>
      </c>
      <c r="F1843" s="49" t="s">
        <v>163</v>
      </c>
      <c r="G1843">
        <f>'Aug-Apr, 2023'!AM45+'Aug-Apr, 2023'!AN45</f>
        <v>45</v>
      </c>
      <c r="H1843">
        <f>'Aug-Apr, 2023'!AO45</f>
        <v>0</v>
      </c>
      <c r="I1843">
        <f>'Aug-Apr, 2023'!AP45</f>
        <v>20</v>
      </c>
      <c r="J1843">
        <f>G1843*Parameters!$B$2*Parameters!$B$5</f>
        <v>95.809499999999986</v>
      </c>
      <c r="K1843">
        <f>H1843*Parameters!$B$3*Parameters!$B$6</f>
        <v>0</v>
      </c>
      <c r="L1843">
        <f>I1843*Parameters!$B$4*Parameters!$B$7</f>
        <v>161.928</v>
      </c>
      <c r="M1843">
        <f t="shared" si="28"/>
        <v>257.73749999999995</v>
      </c>
      <c r="N1843">
        <v>4500</v>
      </c>
      <c r="O1843">
        <v>0</v>
      </c>
      <c r="P1843">
        <v>0</v>
      </c>
      <c r="Q1843">
        <v>6000</v>
      </c>
    </row>
    <row r="1844" spans="1:17">
      <c r="A1844" t="s">
        <v>68</v>
      </c>
      <c r="B1844" t="s">
        <v>21</v>
      </c>
      <c r="C1844">
        <v>4</v>
      </c>
      <c r="D1844">
        <v>2022</v>
      </c>
      <c r="E1844" s="49" t="s">
        <v>146</v>
      </c>
      <c r="F1844" s="49" t="s">
        <v>163</v>
      </c>
      <c r="G1844">
        <f>'Aug-Apr, 2023'!AM46+'Aug-Apr, 2023'!AN46</f>
        <v>38</v>
      </c>
      <c r="H1844">
        <f>'Aug-Apr, 2023'!AO46</f>
        <v>0</v>
      </c>
      <c r="I1844">
        <f>'Aug-Apr, 2023'!AP46</f>
        <v>15</v>
      </c>
      <c r="J1844">
        <f>G1844*Parameters!$B$2*Parameters!$B$5</f>
        <v>80.905799999999985</v>
      </c>
      <c r="K1844">
        <f>H1844*Parameters!$B$3*Parameters!$B$6</f>
        <v>0</v>
      </c>
      <c r="L1844">
        <f>I1844*Parameters!$B$4*Parameters!$B$7</f>
        <v>121.44600000000001</v>
      </c>
      <c r="M1844">
        <f t="shared" si="28"/>
        <v>202.3518</v>
      </c>
      <c r="N1844">
        <v>3800</v>
      </c>
      <c r="O1844">
        <v>0</v>
      </c>
      <c r="P1844">
        <v>0</v>
      </c>
      <c r="Q1844">
        <v>4500</v>
      </c>
    </row>
    <row r="1845" spans="1:17">
      <c r="A1845" t="s">
        <v>69</v>
      </c>
      <c r="B1845" t="s">
        <v>24</v>
      </c>
      <c r="C1845">
        <v>6</v>
      </c>
      <c r="D1845">
        <v>2022</v>
      </c>
      <c r="E1845" s="49" t="s">
        <v>146</v>
      </c>
      <c r="F1845" s="49" t="s">
        <v>163</v>
      </c>
      <c r="G1845">
        <f>'Aug-Apr, 2023'!AM47+'Aug-Apr, 2023'!AN47</f>
        <v>52</v>
      </c>
      <c r="H1845">
        <f>'Aug-Apr, 2023'!AO47</f>
        <v>0</v>
      </c>
      <c r="I1845">
        <f>'Aug-Apr, 2023'!AP47</f>
        <v>8</v>
      </c>
      <c r="J1845">
        <f>G1845*Parameters!$B$2*Parameters!$B$5</f>
        <v>110.71319999999999</v>
      </c>
      <c r="K1845">
        <f>H1845*Parameters!$B$3*Parameters!$B$6</f>
        <v>0</v>
      </c>
      <c r="L1845">
        <f>I1845*Parameters!$B$4*Parameters!$B$7</f>
        <v>64.771200000000007</v>
      </c>
      <c r="M1845">
        <f t="shared" si="28"/>
        <v>175.48439999999999</v>
      </c>
      <c r="N1845">
        <v>5200</v>
      </c>
      <c r="O1845">
        <v>0</v>
      </c>
      <c r="P1845">
        <v>0</v>
      </c>
      <c r="Q1845">
        <v>2400</v>
      </c>
    </row>
    <row r="1846" spans="1:17">
      <c r="A1846" t="s">
        <v>70</v>
      </c>
      <c r="B1846" t="s">
        <v>26</v>
      </c>
      <c r="C1846">
        <v>6</v>
      </c>
      <c r="D1846">
        <v>2022</v>
      </c>
      <c r="E1846" s="49" t="s">
        <v>146</v>
      </c>
      <c r="F1846" s="49" t="s">
        <v>163</v>
      </c>
      <c r="G1846">
        <f>'Aug-Apr, 2023'!AM48+'Aug-Apr, 2023'!AN48</f>
        <v>42</v>
      </c>
      <c r="H1846">
        <f>'Aug-Apr, 2023'!AO48</f>
        <v>0</v>
      </c>
      <c r="I1846">
        <f>'Aug-Apr, 2023'!AP48</f>
        <v>20</v>
      </c>
      <c r="J1846">
        <f>G1846*Parameters!$B$2*Parameters!$B$5</f>
        <v>89.422199999999975</v>
      </c>
      <c r="K1846">
        <f>H1846*Parameters!$B$3*Parameters!$B$6</f>
        <v>0</v>
      </c>
      <c r="L1846">
        <f>I1846*Parameters!$B$4*Parameters!$B$7</f>
        <v>161.928</v>
      </c>
      <c r="M1846">
        <f t="shared" si="28"/>
        <v>251.35019999999997</v>
      </c>
      <c r="N1846">
        <v>4200</v>
      </c>
      <c r="O1846">
        <v>0</v>
      </c>
      <c r="P1846">
        <v>0</v>
      </c>
      <c r="Q1846">
        <v>6000</v>
      </c>
    </row>
    <row r="1847" spans="1:17">
      <c r="A1847" t="s">
        <v>71</v>
      </c>
      <c r="B1847" t="s">
        <v>26</v>
      </c>
      <c r="C1847">
        <v>5</v>
      </c>
      <c r="D1847">
        <v>2022</v>
      </c>
      <c r="E1847" s="49" t="s">
        <v>146</v>
      </c>
      <c r="F1847" s="49" t="s">
        <v>163</v>
      </c>
      <c r="G1847">
        <f>'Aug-Apr, 2023'!AM49+'Aug-Apr, 2023'!AN49</f>
        <v>33</v>
      </c>
      <c r="H1847">
        <f>'Aug-Apr, 2023'!AO49</f>
        <v>0</v>
      </c>
      <c r="I1847">
        <f>'Aug-Apr, 2023'!AP49</f>
        <v>20</v>
      </c>
      <c r="J1847">
        <f>G1847*Parameters!$B$2*Parameters!$B$5</f>
        <v>70.260300000000001</v>
      </c>
      <c r="K1847">
        <f>H1847*Parameters!$B$3*Parameters!$B$6</f>
        <v>0</v>
      </c>
      <c r="L1847">
        <f>I1847*Parameters!$B$4*Parameters!$B$7</f>
        <v>161.928</v>
      </c>
      <c r="M1847">
        <f t="shared" si="28"/>
        <v>232.1883</v>
      </c>
      <c r="N1847">
        <v>3300</v>
      </c>
      <c r="O1847">
        <v>0</v>
      </c>
      <c r="P1847">
        <v>0</v>
      </c>
      <c r="Q1847">
        <v>6000</v>
      </c>
    </row>
    <row r="1848" spans="1:17">
      <c r="A1848" t="s">
        <v>72</v>
      </c>
      <c r="B1848" t="s">
        <v>26</v>
      </c>
      <c r="C1848">
        <v>8</v>
      </c>
      <c r="D1848">
        <v>2022</v>
      </c>
      <c r="E1848" s="49" t="s">
        <v>146</v>
      </c>
      <c r="F1848" s="49" t="s">
        <v>163</v>
      </c>
      <c r="G1848">
        <f>'Aug-Apr, 2023'!AM50+'Aug-Apr, 2023'!AN50</f>
        <v>51</v>
      </c>
      <c r="H1848">
        <f>'Aug-Apr, 2023'!AO50</f>
        <v>0</v>
      </c>
      <c r="I1848">
        <f>'Aug-Apr, 2023'!AP50</f>
        <v>16</v>
      </c>
      <c r="J1848">
        <f>G1848*Parameters!$B$2*Parameters!$B$5</f>
        <v>108.58409999999999</v>
      </c>
      <c r="K1848">
        <f>H1848*Parameters!$B$3*Parameters!$B$6</f>
        <v>0</v>
      </c>
      <c r="L1848">
        <f>I1848*Parameters!$B$4*Parameters!$B$7</f>
        <v>129.54240000000001</v>
      </c>
      <c r="M1848">
        <f t="shared" si="28"/>
        <v>238.12650000000002</v>
      </c>
      <c r="N1848">
        <v>5100</v>
      </c>
      <c r="O1848">
        <v>0</v>
      </c>
      <c r="P1848">
        <v>0</v>
      </c>
      <c r="Q1848">
        <v>4800</v>
      </c>
    </row>
    <row r="1849" spans="1:17">
      <c r="A1849" t="s">
        <v>73</v>
      </c>
      <c r="B1849" t="s">
        <v>17</v>
      </c>
      <c r="C1849">
        <v>4</v>
      </c>
      <c r="D1849">
        <v>2022</v>
      </c>
      <c r="E1849" s="49" t="s">
        <v>146</v>
      </c>
      <c r="F1849" s="49" t="s">
        <v>163</v>
      </c>
      <c r="G1849">
        <f>'Aug-Apr, 2023'!AM51+'Aug-Apr, 2023'!AN51</f>
        <v>48</v>
      </c>
      <c r="H1849">
        <f>'Aug-Apr, 2023'!AO51</f>
        <v>0</v>
      </c>
      <c r="I1849">
        <f>'Aug-Apr, 2023'!AP51</f>
        <v>18</v>
      </c>
      <c r="J1849">
        <f>G1849*Parameters!$B$2*Parameters!$B$5</f>
        <v>102.19679999999998</v>
      </c>
      <c r="K1849">
        <f>H1849*Parameters!$B$3*Parameters!$B$6</f>
        <v>0</v>
      </c>
      <c r="L1849">
        <f>I1849*Parameters!$B$4*Parameters!$B$7</f>
        <v>145.73520000000002</v>
      </c>
      <c r="M1849">
        <f t="shared" si="28"/>
        <v>247.93200000000002</v>
      </c>
      <c r="N1849">
        <v>4800</v>
      </c>
      <c r="O1849">
        <v>0</v>
      </c>
      <c r="P1849">
        <v>0</v>
      </c>
      <c r="Q1849">
        <v>5400</v>
      </c>
    </row>
    <row r="1850" spans="1:17">
      <c r="A1850" t="s">
        <v>74</v>
      </c>
      <c r="B1850" t="s">
        <v>65</v>
      </c>
      <c r="C1850">
        <v>8</v>
      </c>
      <c r="D1850">
        <v>2022</v>
      </c>
      <c r="E1850" s="49" t="s">
        <v>146</v>
      </c>
      <c r="F1850" s="49" t="s">
        <v>163</v>
      </c>
      <c r="G1850">
        <f>'Aug-Apr, 2023'!AM52+'Aug-Apr, 2023'!AN52</f>
        <v>54</v>
      </c>
      <c r="H1850">
        <f>'Aug-Apr, 2023'!AO52</f>
        <v>0</v>
      </c>
      <c r="I1850">
        <f>'Aug-Apr, 2023'!AP52</f>
        <v>0</v>
      </c>
      <c r="J1850">
        <f>G1850*Parameters!$B$2*Parameters!$B$5</f>
        <v>114.97139999999999</v>
      </c>
      <c r="K1850">
        <f>H1850*Parameters!$B$3*Parameters!$B$6</f>
        <v>0</v>
      </c>
      <c r="L1850">
        <f>I1850*Parameters!$B$4*Parameters!$B$7</f>
        <v>0</v>
      </c>
      <c r="M1850">
        <f t="shared" si="28"/>
        <v>114.97139999999999</v>
      </c>
      <c r="N1850">
        <v>3900</v>
      </c>
      <c r="O1850">
        <v>1500</v>
      </c>
      <c r="P1850">
        <v>0</v>
      </c>
      <c r="Q1850">
        <v>0</v>
      </c>
    </row>
    <row r="1851" spans="1:17">
      <c r="A1851" t="s">
        <v>75</v>
      </c>
      <c r="B1851" t="s">
        <v>24</v>
      </c>
      <c r="C1851">
        <v>4</v>
      </c>
      <c r="D1851">
        <v>2022</v>
      </c>
      <c r="E1851" s="49" t="s">
        <v>146</v>
      </c>
      <c r="F1851" s="49" t="s">
        <v>163</v>
      </c>
      <c r="G1851">
        <f>'Aug-Apr, 2023'!AM53+'Aug-Apr, 2023'!AN53</f>
        <v>30</v>
      </c>
      <c r="H1851">
        <f>'Aug-Apr, 2023'!AO53</f>
        <v>0</v>
      </c>
      <c r="I1851">
        <f>'Aug-Apr, 2023'!AP53</f>
        <v>20</v>
      </c>
      <c r="J1851">
        <f>G1851*Parameters!$B$2*Parameters!$B$5</f>
        <v>63.87299999999999</v>
      </c>
      <c r="K1851">
        <f>H1851*Parameters!$B$3*Parameters!$B$6</f>
        <v>0</v>
      </c>
      <c r="L1851">
        <f>I1851*Parameters!$B$4*Parameters!$B$7</f>
        <v>161.928</v>
      </c>
      <c r="M1851">
        <f t="shared" si="28"/>
        <v>225.80099999999999</v>
      </c>
      <c r="N1851">
        <v>3000</v>
      </c>
      <c r="O1851">
        <v>0</v>
      </c>
      <c r="P1851">
        <v>0</v>
      </c>
      <c r="Q1851">
        <v>6000</v>
      </c>
    </row>
    <row r="1852" spans="1:17">
      <c r="A1852" t="s">
        <v>76</v>
      </c>
      <c r="B1852" t="s">
        <v>56</v>
      </c>
      <c r="C1852">
        <v>4</v>
      </c>
      <c r="D1852">
        <v>2022</v>
      </c>
      <c r="E1852" s="49" t="s">
        <v>146</v>
      </c>
      <c r="F1852" s="49" t="s">
        <v>163</v>
      </c>
      <c r="G1852">
        <f>'Aug-Apr, 2023'!AM54+'Aug-Apr, 2023'!AN54</f>
        <v>35</v>
      </c>
      <c r="H1852">
        <f>'Aug-Apr, 2023'!AO54</f>
        <v>0</v>
      </c>
      <c r="I1852">
        <f>'Aug-Apr, 2023'!AP54</f>
        <v>18</v>
      </c>
      <c r="J1852">
        <f>G1852*Parameters!$B$2*Parameters!$B$5</f>
        <v>74.518499999999989</v>
      </c>
      <c r="K1852">
        <f>H1852*Parameters!$B$3*Parameters!$B$6</f>
        <v>0</v>
      </c>
      <c r="L1852">
        <f>I1852*Parameters!$B$4*Parameters!$B$7</f>
        <v>145.73520000000002</v>
      </c>
      <c r="M1852">
        <f t="shared" si="28"/>
        <v>220.25370000000001</v>
      </c>
      <c r="N1852">
        <v>3500</v>
      </c>
      <c r="O1852">
        <v>0</v>
      </c>
      <c r="P1852">
        <v>0</v>
      </c>
      <c r="Q1852">
        <v>5400</v>
      </c>
    </row>
    <row r="1853" spans="1:17">
      <c r="A1853" t="s">
        <v>77</v>
      </c>
      <c r="B1853" t="s">
        <v>40</v>
      </c>
      <c r="C1853">
        <v>12</v>
      </c>
      <c r="D1853">
        <v>2022</v>
      </c>
      <c r="E1853" s="49" t="s">
        <v>146</v>
      </c>
      <c r="F1853" s="49" t="s">
        <v>163</v>
      </c>
      <c r="G1853">
        <f>'Aug-Apr, 2023'!AM55+'Aug-Apr, 2023'!AN55</f>
        <v>42</v>
      </c>
      <c r="H1853">
        <f>'Aug-Apr, 2023'!AO55</f>
        <v>0</v>
      </c>
      <c r="I1853">
        <f>'Aug-Apr, 2023'!AP55</f>
        <v>16</v>
      </c>
      <c r="J1853">
        <f>G1853*Parameters!$B$2*Parameters!$B$5</f>
        <v>89.422199999999975</v>
      </c>
      <c r="K1853">
        <f>H1853*Parameters!$B$3*Parameters!$B$6</f>
        <v>0</v>
      </c>
      <c r="L1853">
        <f>I1853*Parameters!$B$4*Parameters!$B$7</f>
        <v>129.54240000000001</v>
      </c>
      <c r="M1853">
        <f t="shared" si="28"/>
        <v>218.96459999999999</v>
      </c>
      <c r="N1853">
        <v>4200</v>
      </c>
      <c r="O1853">
        <v>0</v>
      </c>
      <c r="P1853">
        <v>0</v>
      </c>
      <c r="Q1853">
        <v>4800</v>
      </c>
    </row>
    <row r="1854" spans="1:17">
      <c r="A1854" t="s">
        <v>78</v>
      </c>
      <c r="B1854" t="s">
        <v>32</v>
      </c>
      <c r="C1854">
        <v>6</v>
      </c>
      <c r="D1854">
        <v>2022</v>
      </c>
      <c r="E1854" s="49" t="s">
        <v>146</v>
      </c>
      <c r="F1854" s="49" t="s">
        <v>163</v>
      </c>
      <c r="G1854">
        <f>'Aug-Apr, 2023'!AM56+'Aug-Apr, 2023'!AN56</f>
        <v>30</v>
      </c>
      <c r="H1854">
        <f>'Aug-Apr, 2023'!AO56</f>
        <v>0</v>
      </c>
      <c r="I1854">
        <f>'Aug-Apr, 2023'!AP56</f>
        <v>18</v>
      </c>
      <c r="J1854">
        <f>G1854*Parameters!$B$2*Parameters!$B$5</f>
        <v>63.87299999999999</v>
      </c>
      <c r="K1854">
        <f>H1854*Parameters!$B$3*Parameters!$B$6</f>
        <v>0</v>
      </c>
      <c r="L1854">
        <f>I1854*Parameters!$B$4*Parameters!$B$7</f>
        <v>145.73520000000002</v>
      </c>
      <c r="M1854">
        <f t="shared" si="28"/>
        <v>209.60820000000001</v>
      </c>
      <c r="N1854">
        <v>3000</v>
      </c>
      <c r="O1854">
        <v>0</v>
      </c>
      <c r="P1854">
        <v>0</v>
      </c>
      <c r="Q1854">
        <v>5400</v>
      </c>
    </row>
    <row r="1855" spans="1:17">
      <c r="A1855" t="s">
        <v>79</v>
      </c>
      <c r="B1855" t="s">
        <v>40</v>
      </c>
      <c r="C1855">
        <v>4</v>
      </c>
      <c r="D1855">
        <v>2022</v>
      </c>
      <c r="E1855" s="49" t="s">
        <v>146</v>
      </c>
      <c r="F1855" s="49" t="s">
        <v>163</v>
      </c>
      <c r="G1855">
        <f>'Aug-Apr, 2023'!AM57+'Aug-Apr, 2023'!AN57</f>
        <v>50</v>
      </c>
      <c r="H1855">
        <f>'Aug-Apr, 2023'!AO57</f>
        <v>0</v>
      </c>
      <c r="I1855">
        <f>'Aug-Apr, 2023'!AP57</f>
        <v>20</v>
      </c>
      <c r="J1855">
        <f>G1855*Parameters!$B$2*Parameters!$B$5</f>
        <v>106.45499999999998</v>
      </c>
      <c r="K1855">
        <f>H1855*Parameters!$B$3*Parameters!$B$6</f>
        <v>0</v>
      </c>
      <c r="L1855">
        <f>I1855*Parameters!$B$4*Parameters!$B$7</f>
        <v>161.928</v>
      </c>
      <c r="M1855">
        <f t="shared" si="28"/>
        <v>268.38299999999998</v>
      </c>
      <c r="N1855">
        <v>5000</v>
      </c>
      <c r="O1855">
        <v>0</v>
      </c>
      <c r="P1855">
        <v>0</v>
      </c>
      <c r="Q1855">
        <v>6000</v>
      </c>
    </row>
    <row r="1856" spans="1:17">
      <c r="A1856" t="s">
        <v>80</v>
      </c>
      <c r="B1856" t="s">
        <v>26</v>
      </c>
      <c r="C1856">
        <v>7</v>
      </c>
      <c r="D1856">
        <v>2022</v>
      </c>
      <c r="E1856" s="49" t="s">
        <v>146</v>
      </c>
      <c r="F1856" s="49" t="s">
        <v>163</v>
      </c>
      <c r="G1856">
        <f>'Aug-Apr, 2023'!AM58+'Aug-Apr, 2023'!AN58</f>
        <v>43</v>
      </c>
      <c r="H1856">
        <f>'Aug-Apr, 2023'!AO58</f>
        <v>0</v>
      </c>
      <c r="I1856">
        <f>'Aug-Apr, 2023'!AP58</f>
        <v>20</v>
      </c>
      <c r="J1856">
        <f>G1856*Parameters!$B$2*Parameters!$B$5</f>
        <v>91.551299999999983</v>
      </c>
      <c r="K1856">
        <f>H1856*Parameters!$B$3*Parameters!$B$6</f>
        <v>0</v>
      </c>
      <c r="L1856">
        <f>I1856*Parameters!$B$4*Parameters!$B$7</f>
        <v>161.928</v>
      </c>
      <c r="M1856">
        <f t="shared" si="28"/>
        <v>253.47929999999997</v>
      </c>
      <c r="N1856">
        <v>4300</v>
      </c>
      <c r="O1856">
        <v>0</v>
      </c>
      <c r="P1856">
        <v>0</v>
      </c>
      <c r="Q1856">
        <v>6000</v>
      </c>
    </row>
    <row r="1857" spans="1:17">
      <c r="A1857" t="s">
        <v>81</v>
      </c>
      <c r="B1857" t="s">
        <v>24</v>
      </c>
      <c r="C1857">
        <v>6</v>
      </c>
      <c r="D1857">
        <v>2022</v>
      </c>
      <c r="E1857" s="49" t="s">
        <v>146</v>
      </c>
      <c r="F1857" s="49" t="s">
        <v>163</v>
      </c>
      <c r="G1857">
        <f>'Aug-Apr, 2023'!AM59+'Aug-Apr, 2023'!AN59</f>
        <v>48</v>
      </c>
      <c r="H1857">
        <f>'Aug-Apr, 2023'!AO59</f>
        <v>0</v>
      </c>
      <c r="I1857">
        <f>'Aug-Apr, 2023'!AP59</f>
        <v>8</v>
      </c>
      <c r="J1857">
        <f>G1857*Parameters!$B$2*Parameters!$B$5</f>
        <v>102.19679999999998</v>
      </c>
      <c r="K1857">
        <f>H1857*Parameters!$B$3*Parameters!$B$6</f>
        <v>0</v>
      </c>
      <c r="L1857">
        <f>I1857*Parameters!$B$4*Parameters!$B$7</f>
        <v>64.771200000000007</v>
      </c>
      <c r="M1857">
        <f t="shared" si="28"/>
        <v>166.96799999999999</v>
      </c>
      <c r="N1857">
        <v>4800</v>
      </c>
      <c r="O1857">
        <v>0</v>
      </c>
      <c r="P1857">
        <v>0</v>
      </c>
      <c r="Q1857">
        <v>2400</v>
      </c>
    </row>
    <row r="1858" spans="1:17">
      <c r="A1858" t="s">
        <v>82</v>
      </c>
      <c r="B1858" t="s">
        <v>83</v>
      </c>
      <c r="C1858">
        <v>4</v>
      </c>
      <c r="D1858">
        <v>2022</v>
      </c>
      <c r="E1858" s="49" t="s">
        <v>146</v>
      </c>
      <c r="F1858" s="49" t="s">
        <v>163</v>
      </c>
      <c r="G1858">
        <f>'Aug-Apr, 2023'!AM60+'Aug-Apr, 2023'!AN60</f>
        <v>30</v>
      </c>
      <c r="H1858">
        <f>'Aug-Apr, 2023'!AO60</f>
        <v>0</v>
      </c>
      <c r="I1858">
        <f>'Aug-Apr, 2023'!AP60</f>
        <v>12</v>
      </c>
      <c r="J1858">
        <f>G1858*Parameters!$B$2*Parameters!$B$5</f>
        <v>63.87299999999999</v>
      </c>
      <c r="K1858">
        <f>H1858*Parameters!$B$3*Parameters!$B$6</f>
        <v>0</v>
      </c>
      <c r="L1858">
        <f>I1858*Parameters!$B$4*Parameters!$B$7</f>
        <v>97.156800000000018</v>
      </c>
      <c r="M1858">
        <f t="shared" si="28"/>
        <v>161.02980000000002</v>
      </c>
      <c r="N1858">
        <v>3000</v>
      </c>
      <c r="O1858">
        <v>0</v>
      </c>
      <c r="P1858">
        <v>0</v>
      </c>
      <c r="Q1858">
        <v>3600</v>
      </c>
    </row>
    <row r="1859" spans="1:17">
      <c r="A1859" t="s">
        <v>84</v>
      </c>
      <c r="B1859" t="s">
        <v>26</v>
      </c>
      <c r="C1859">
        <v>7</v>
      </c>
      <c r="D1859">
        <v>2022</v>
      </c>
      <c r="E1859" s="49" t="s">
        <v>146</v>
      </c>
      <c r="F1859" s="49" t="s">
        <v>163</v>
      </c>
      <c r="G1859">
        <f>'Aug-Apr, 2023'!AM61+'Aug-Apr, 2023'!AN61</f>
        <v>58</v>
      </c>
      <c r="H1859">
        <f>'Aug-Apr, 2023'!AO61</f>
        <v>0</v>
      </c>
      <c r="I1859">
        <f>'Aug-Apr, 2023'!AP61</f>
        <v>8</v>
      </c>
      <c r="J1859">
        <f>G1859*Parameters!$B$2*Parameters!$B$5</f>
        <v>123.48779999999998</v>
      </c>
      <c r="K1859">
        <f>H1859*Parameters!$B$3*Parameters!$B$6</f>
        <v>0</v>
      </c>
      <c r="L1859">
        <f>I1859*Parameters!$B$4*Parameters!$B$7</f>
        <v>64.771200000000007</v>
      </c>
      <c r="M1859">
        <f t="shared" ref="M1859:M1922" si="29">SUM(J1859:L1859)</f>
        <v>188.25899999999999</v>
      </c>
      <c r="N1859">
        <v>5800</v>
      </c>
      <c r="O1859">
        <v>0</v>
      </c>
      <c r="P1859">
        <v>0</v>
      </c>
      <c r="Q1859">
        <v>2400</v>
      </c>
    </row>
    <row r="1860" spans="1:17">
      <c r="A1860" t="s">
        <v>85</v>
      </c>
      <c r="B1860" t="s">
        <v>24</v>
      </c>
      <c r="C1860">
        <v>6</v>
      </c>
      <c r="D1860">
        <v>2022</v>
      </c>
      <c r="E1860" s="49" t="s">
        <v>146</v>
      </c>
      <c r="F1860" s="49" t="s">
        <v>163</v>
      </c>
      <c r="G1860">
        <f>'Aug-Apr, 2023'!AM62+'Aug-Apr, 2023'!AN62</f>
        <v>42</v>
      </c>
      <c r="H1860">
        <f>'Aug-Apr, 2023'!AO62</f>
        <v>0</v>
      </c>
      <c r="I1860">
        <f>'Aug-Apr, 2023'!AP62</f>
        <v>10</v>
      </c>
      <c r="J1860">
        <f>G1860*Parameters!$B$2*Parameters!$B$5</f>
        <v>89.422199999999975</v>
      </c>
      <c r="K1860">
        <f>H1860*Parameters!$B$3*Parameters!$B$6</f>
        <v>0</v>
      </c>
      <c r="L1860">
        <f>I1860*Parameters!$B$4*Parameters!$B$7</f>
        <v>80.963999999999999</v>
      </c>
      <c r="M1860">
        <f t="shared" si="29"/>
        <v>170.38619999999997</v>
      </c>
      <c r="N1860">
        <v>4200</v>
      </c>
      <c r="O1860">
        <v>0</v>
      </c>
      <c r="P1860">
        <v>0</v>
      </c>
      <c r="Q1860">
        <v>3000</v>
      </c>
    </row>
    <row r="1861" spans="1:17">
      <c r="A1861" t="s">
        <v>86</v>
      </c>
      <c r="B1861" t="s">
        <v>32</v>
      </c>
      <c r="C1861">
        <v>4</v>
      </c>
      <c r="D1861">
        <v>2022</v>
      </c>
      <c r="E1861" s="49" t="s">
        <v>146</v>
      </c>
      <c r="F1861" s="49" t="s">
        <v>163</v>
      </c>
      <c r="G1861">
        <f>'Aug-Apr, 2023'!AM63+'Aug-Apr, 2023'!AN63</f>
        <v>35</v>
      </c>
      <c r="H1861">
        <f>'Aug-Apr, 2023'!AO63</f>
        <v>0</v>
      </c>
      <c r="I1861">
        <f>'Aug-Apr, 2023'!AP63</f>
        <v>20</v>
      </c>
      <c r="J1861">
        <f>G1861*Parameters!$B$2*Parameters!$B$5</f>
        <v>74.518499999999989</v>
      </c>
      <c r="K1861">
        <f>H1861*Parameters!$B$3*Parameters!$B$6</f>
        <v>0</v>
      </c>
      <c r="L1861">
        <f>I1861*Parameters!$B$4*Parameters!$B$7</f>
        <v>161.928</v>
      </c>
      <c r="M1861">
        <f t="shared" si="29"/>
        <v>236.44649999999999</v>
      </c>
      <c r="N1861">
        <v>3500</v>
      </c>
      <c r="O1861">
        <v>0</v>
      </c>
      <c r="P1861">
        <v>0</v>
      </c>
      <c r="Q1861">
        <v>6000</v>
      </c>
    </row>
    <row r="1862" spans="1:17">
      <c r="A1862" t="s">
        <v>87</v>
      </c>
      <c r="B1862" t="s">
        <v>32</v>
      </c>
      <c r="C1862">
        <v>8</v>
      </c>
      <c r="D1862">
        <v>2022</v>
      </c>
      <c r="E1862" s="49" t="s">
        <v>146</v>
      </c>
      <c r="F1862" s="49" t="s">
        <v>163</v>
      </c>
      <c r="G1862">
        <f>'Aug-Apr, 2023'!AM64+'Aug-Apr, 2023'!AN64</f>
        <v>45</v>
      </c>
      <c r="H1862">
        <f>'Aug-Apr, 2023'!AO64</f>
        <v>0</v>
      </c>
      <c r="I1862">
        <f>'Aug-Apr, 2023'!AP64</f>
        <v>12</v>
      </c>
      <c r="J1862">
        <f>G1862*Parameters!$B$2*Parameters!$B$5</f>
        <v>95.809499999999986</v>
      </c>
      <c r="K1862">
        <f>H1862*Parameters!$B$3*Parameters!$B$6</f>
        <v>0</v>
      </c>
      <c r="L1862">
        <f>I1862*Parameters!$B$4*Parameters!$B$7</f>
        <v>97.156800000000018</v>
      </c>
      <c r="M1862">
        <f t="shared" si="29"/>
        <v>192.96629999999999</v>
      </c>
      <c r="N1862">
        <v>4500</v>
      </c>
      <c r="O1862">
        <v>0</v>
      </c>
      <c r="P1862">
        <v>0</v>
      </c>
      <c r="Q1862">
        <v>3600</v>
      </c>
    </row>
    <row r="1863" spans="1:17">
      <c r="A1863" t="s">
        <v>88</v>
      </c>
      <c r="B1863" t="s">
        <v>32</v>
      </c>
      <c r="C1863">
        <v>7</v>
      </c>
      <c r="D1863">
        <v>2022</v>
      </c>
      <c r="E1863" s="49" t="s">
        <v>146</v>
      </c>
      <c r="F1863" s="49" t="s">
        <v>163</v>
      </c>
      <c r="G1863">
        <f>'Aug-Apr, 2023'!AM65+'Aug-Apr, 2023'!AN65</f>
        <v>39</v>
      </c>
      <c r="H1863">
        <f>'Aug-Apr, 2023'!AO65</f>
        <v>0</v>
      </c>
      <c r="I1863">
        <f>'Aug-Apr, 2023'!AP65</f>
        <v>20</v>
      </c>
      <c r="J1863">
        <f>G1863*Parameters!$B$2*Parameters!$B$5</f>
        <v>83.034899999999993</v>
      </c>
      <c r="K1863">
        <f>H1863*Parameters!$B$3*Parameters!$B$6</f>
        <v>0</v>
      </c>
      <c r="L1863">
        <f>I1863*Parameters!$B$4*Parameters!$B$7</f>
        <v>161.928</v>
      </c>
      <c r="M1863">
        <f t="shared" si="29"/>
        <v>244.96289999999999</v>
      </c>
      <c r="N1863">
        <v>3900</v>
      </c>
      <c r="O1863">
        <v>0</v>
      </c>
      <c r="P1863">
        <v>0</v>
      </c>
      <c r="Q1863">
        <v>6000</v>
      </c>
    </row>
    <row r="1864" spans="1:17">
      <c r="A1864" t="s">
        <v>89</v>
      </c>
      <c r="B1864" t="s">
        <v>65</v>
      </c>
      <c r="C1864">
        <v>8</v>
      </c>
      <c r="D1864">
        <v>2022</v>
      </c>
      <c r="E1864" s="49" t="s">
        <v>146</v>
      </c>
      <c r="F1864" s="49" t="s">
        <v>163</v>
      </c>
      <c r="G1864">
        <f>'Aug-Apr, 2023'!AM66+'Aug-Apr, 2023'!AN66</f>
        <v>52</v>
      </c>
      <c r="H1864">
        <f>'Aug-Apr, 2023'!AO66</f>
        <v>0</v>
      </c>
      <c r="I1864">
        <f>'Aug-Apr, 2023'!AP66</f>
        <v>16</v>
      </c>
      <c r="J1864">
        <f>G1864*Parameters!$B$2*Parameters!$B$5</f>
        <v>110.71319999999999</v>
      </c>
      <c r="K1864">
        <f>H1864*Parameters!$B$3*Parameters!$B$6</f>
        <v>0</v>
      </c>
      <c r="L1864">
        <f>I1864*Parameters!$B$4*Parameters!$B$7</f>
        <v>129.54240000000001</v>
      </c>
      <c r="M1864">
        <f t="shared" si="29"/>
        <v>240.25560000000002</v>
      </c>
      <c r="N1864">
        <v>5200</v>
      </c>
      <c r="O1864">
        <v>0</v>
      </c>
      <c r="P1864">
        <v>0</v>
      </c>
      <c r="Q1864">
        <v>4800</v>
      </c>
    </row>
    <row r="1865" spans="1:17">
      <c r="A1865" t="s">
        <v>90</v>
      </c>
      <c r="B1865" t="s">
        <v>32</v>
      </c>
      <c r="C1865">
        <v>6</v>
      </c>
      <c r="D1865">
        <v>2022</v>
      </c>
      <c r="E1865" s="49" t="s">
        <v>146</v>
      </c>
      <c r="F1865" s="49" t="s">
        <v>163</v>
      </c>
      <c r="G1865">
        <f>'Aug-Apr, 2023'!AM67+'Aug-Apr, 2023'!AN67</f>
        <v>34</v>
      </c>
      <c r="H1865">
        <f>'Aug-Apr, 2023'!AO67</f>
        <v>0</v>
      </c>
      <c r="I1865">
        <f>'Aug-Apr, 2023'!AP67</f>
        <v>20</v>
      </c>
      <c r="J1865">
        <f>G1865*Parameters!$B$2*Parameters!$B$5</f>
        <v>72.389399999999995</v>
      </c>
      <c r="K1865">
        <f>H1865*Parameters!$B$3*Parameters!$B$6</f>
        <v>0</v>
      </c>
      <c r="L1865">
        <f>I1865*Parameters!$B$4*Parameters!$B$7</f>
        <v>161.928</v>
      </c>
      <c r="M1865">
        <f t="shared" si="29"/>
        <v>234.31739999999999</v>
      </c>
      <c r="N1865">
        <v>3400</v>
      </c>
      <c r="O1865">
        <v>0</v>
      </c>
      <c r="P1865">
        <v>0</v>
      </c>
      <c r="Q1865">
        <v>6000</v>
      </c>
    </row>
    <row r="1866" spans="1:17">
      <c r="A1866" t="s">
        <v>91</v>
      </c>
      <c r="B1866" t="s">
        <v>24</v>
      </c>
      <c r="C1866">
        <v>6</v>
      </c>
      <c r="D1866">
        <v>2022</v>
      </c>
      <c r="E1866" s="49" t="s">
        <v>146</v>
      </c>
      <c r="F1866" s="49" t="s">
        <v>163</v>
      </c>
      <c r="G1866">
        <f>'Aug-Apr, 2023'!AM68+'Aug-Apr, 2023'!AN68</f>
        <v>43</v>
      </c>
      <c r="H1866">
        <f>'Aug-Apr, 2023'!AO68</f>
        <v>0</v>
      </c>
      <c r="I1866">
        <f>'Aug-Apr, 2023'!AP68</f>
        <v>18</v>
      </c>
      <c r="J1866">
        <f>G1866*Parameters!$B$2*Parameters!$B$5</f>
        <v>91.551299999999983</v>
      </c>
      <c r="K1866">
        <f>H1866*Parameters!$B$3*Parameters!$B$6</f>
        <v>0</v>
      </c>
      <c r="L1866">
        <f>I1866*Parameters!$B$4*Parameters!$B$7</f>
        <v>145.73520000000002</v>
      </c>
      <c r="M1866">
        <f t="shared" si="29"/>
        <v>237.28649999999999</v>
      </c>
      <c r="N1866">
        <v>4300</v>
      </c>
      <c r="O1866">
        <v>0</v>
      </c>
      <c r="P1866">
        <v>0</v>
      </c>
      <c r="Q1866">
        <v>5400</v>
      </c>
    </row>
    <row r="1867" spans="1:17">
      <c r="A1867" t="s">
        <v>92</v>
      </c>
      <c r="B1867" t="s">
        <v>17</v>
      </c>
      <c r="C1867">
        <v>4</v>
      </c>
      <c r="D1867">
        <v>2022</v>
      </c>
      <c r="E1867" s="49" t="s">
        <v>146</v>
      </c>
      <c r="F1867" s="49" t="s">
        <v>163</v>
      </c>
      <c r="G1867">
        <f>'Aug-Apr, 2023'!AM69+'Aug-Apr, 2023'!AN69</f>
        <v>35</v>
      </c>
      <c r="H1867">
        <f>'Aug-Apr, 2023'!AO69</f>
        <v>0</v>
      </c>
      <c r="I1867">
        <f>'Aug-Apr, 2023'!AP69</f>
        <v>16</v>
      </c>
      <c r="J1867">
        <f>G1867*Parameters!$B$2*Parameters!$B$5</f>
        <v>74.518499999999989</v>
      </c>
      <c r="K1867">
        <f>H1867*Parameters!$B$3*Parameters!$B$6</f>
        <v>0</v>
      </c>
      <c r="L1867">
        <f>I1867*Parameters!$B$4*Parameters!$B$7</f>
        <v>129.54240000000001</v>
      </c>
      <c r="M1867">
        <f t="shared" si="29"/>
        <v>204.0609</v>
      </c>
      <c r="N1867">
        <v>2500</v>
      </c>
      <c r="O1867">
        <v>1000</v>
      </c>
      <c r="P1867">
        <v>0</v>
      </c>
      <c r="Q1867">
        <v>4800</v>
      </c>
    </row>
    <row r="1868" spans="1:17">
      <c r="A1868" t="s">
        <v>93</v>
      </c>
      <c r="B1868" t="s">
        <v>19</v>
      </c>
      <c r="C1868">
        <v>7</v>
      </c>
      <c r="D1868">
        <v>2022</v>
      </c>
      <c r="E1868" s="49" t="s">
        <v>146</v>
      </c>
      <c r="F1868" s="49" t="s">
        <v>163</v>
      </c>
      <c r="G1868">
        <f>'Aug-Apr, 2023'!AM70+'Aug-Apr, 2023'!AN70</f>
        <v>30</v>
      </c>
      <c r="H1868">
        <f>'Aug-Apr, 2023'!AO70</f>
        <v>0</v>
      </c>
      <c r="I1868">
        <f>'Aug-Apr, 2023'!AP70</f>
        <v>8</v>
      </c>
      <c r="J1868">
        <f>G1868*Parameters!$B$2*Parameters!$B$5</f>
        <v>63.87299999999999</v>
      </c>
      <c r="K1868">
        <f>H1868*Parameters!$B$3*Parameters!$B$6</f>
        <v>0</v>
      </c>
      <c r="L1868">
        <f>I1868*Parameters!$B$4*Parameters!$B$7</f>
        <v>64.771200000000007</v>
      </c>
      <c r="M1868">
        <f t="shared" si="29"/>
        <v>128.64420000000001</v>
      </c>
      <c r="N1868">
        <v>3000</v>
      </c>
      <c r="O1868">
        <v>0</v>
      </c>
      <c r="P1868">
        <v>0</v>
      </c>
      <c r="Q1868">
        <v>2400</v>
      </c>
    </row>
    <row r="1869" spans="1:17">
      <c r="A1869" t="s">
        <v>94</v>
      </c>
      <c r="B1869" t="s">
        <v>19</v>
      </c>
      <c r="C1869">
        <v>6</v>
      </c>
      <c r="D1869">
        <v>2022</v>
      </c>
      <c r="E1869" s="49" t="s">
        <v>146</v>
      </c>
      <c r="F1869" s="49" t="s">
        <v>163</v>
      </c>
      <c r="G1869">
        <f>'Aug-Apr, 2023'!AM71+'Aug-Apr, 2023'!AN71</f>
        <v>35</v>
      </c>
      <c r="H1869">
        <f>'Aug-Apr, 2023'!AO71</f>
        <v>0</v>
      </c>
      <c r="I1869">
        <f>'Aug-Apr, 2023'!AP71</f>
        <v>14</v>
      </c>
      <c r="J1869">
        <f>G1869*Parameters!$B$2*Parameters!$B$5</f>
        <v>74.518499999999989</v>
      </c>
      <c r="K1869">
        <f>H1869*Parameters!$B$3*Parameters!$B$6</f>
        <v>0</v>
      </c>
      <c r="L1869">
        <f>I1869*Parameters!$B$4*Parameters!$B$7</f>
        <v>113.34960000000001</v>
      </c>
      <c r="M1869">
        <f t="shared" si="29"/>
        <v>187.8681</v>
      </c>
      <c r="N1869">
        <v>3500</v>
      </c>
      <c r="O1869">
        <v>0</v>
      </c>
      <c r="P1869">
        <v>0</v>
      </c>
      <c r="Q1869">
        <v>4200</v>
      </c>
    </row>
    <row r="1870" spans="1:17">
      <c r="A1870" t="s">
        <v>95</v>
      </c>
      <c r="B1870" t="s">
        <v>26</v>
      </c>
      <c r="C1870">
        <v>8</v>
      </c>
      <c r="D1870">
        <v>2022</v>
      </c>
      <c r="E1870" s="49" t="s">
        <v>146</v>
      </c>
      <c r="F1870" s="49" t="s">
        <v>163</v>
      </c>
      <c r="G1870">
        <f>'Aug-Apr, 2023'!AM72+'Aug-Apr, 2023'!AN72</f>
        <v>45</v>
      </c>
      <c r="H1870">
        <f>'Aug-Apr, 2023'!AO72</f>
        <v>0</v>
      </c>
      <c r="I1870">
        <f>'Aug-Apr, 2023'!AP72</f>
        <v>18</v>
      </c>
      <c r="J1870">
        <f>G1870*Parameters!$B$2*Parameters!$B$5</f>
        <v>95.809499999999986</v>
      </c>
      <c r="K1870">
        <f>H1870*Parameters!$B$3*Parameters!$B$6</f>
        <v>0</v>
      </c>
      <c r="L1870">
        <f>I1870*Parameters!$B$4*Parameters!$B$7</f>
        <v>145.73520000000002</v>
      </c>
      <c r="M1870">
        <f t="shared" si="29"/>
        <v>241.54470000000001</v>
      </c>
      <c r="N1870">
        <v>4500</v>
      </c>
      <c r="O1870">
        <v>0</v>
      </c>
      <c r="P1870">
        <v>0</v>
      </c>
      <c r="Q1870">
        <v>5400</v>
      </c>
    </row>
    <row r="1871" spans="1:17">
      <c r="A1871" t="s">
        <v>96</v>
      </c>
      <c r="B1871" t="s">
        <v>19</v>
      </c>
      <c r="C1871">
        <v>8</v>
      </c>
      <c r="D1871">
        <v>2022</v>
      </c>
      <c r="E1871" s="49" t="s">
        <v>146</v>
      </c>
      <c r="F1871" s="49" t="s">
        <v>163</v>
      </c>
      <c r="G1871">
        <f>'Aug-Apr, 2023'!AM73+'Aug-Apr, 2023'!AN73</f>
        <v>33</v>
      </c>
      <c r="H1871">
        <f>'Aug-Apr, 2023'!AO73</f>
        <v>0</v>
      </c>
      <c r="I1871">
        <f>'Aug-Apr, 2023'!AP73</f>
        <v>12</v>
      </c>
      <c r="J1871">
        <f>G1871*Parameters!$B$2*Parameters!$B$5</f>
        <v>70.260300000000001</v>
      </c>
      <c r="K1871">
        <f>H1871*Parameters!$B$3*Parameters!$B$6</f>
        <v>0</v>
      </c>
      <c r="L1871">
        <f>I1871*Parameters!$B$4*Parameters!$B$7</f>
        <v>97.156800000000018</v>
      </c>
      <c r="M1871">
        <f t="shared" si="29"/>
        <v>167.4171</v>
      </c>
      <c r="N1871">
        <v>3300</v>
      </c>
      <c r="O1871">
        <v>0</v>
      </c>
      <c r="P1871">
        <v>0</v>
      </c>
      <c r="Q1871">
        <v>3600</v>
      </c>
    </row>
    <row r="1872" spans="1:17">
      <c r="A1872" t="s">
        <v>97</v>
      </c>
      <c r="B1872" t="s">
        <v>17</v>
      </c>
      <c r="C1872">
        <v>4</v>
      </c>
      <c r="D1872">
        <v>2022</v>
      </c>
      <c r="E1872" s="49" t="s">
        <v>146</v>
      </c>
      <c r="F1872" s="49" t="s">
        <v>163</v>
      </c>
      <c r="G1872">
        <f>'Aug-Apr, 2023'!AM74+'Aug-Apr, 2023'!AN74</f>
        <v>42</v>
      </c>
      <c r="H1872">
        <f>'Aug-Apr, 2023'!AO74</f>
        <v>0</v>
      </c>
      <c r="I1872">
        <f>'Aug-Apr, 2023'!AP74</f>
        <v>18</v>
      </c>
      <c r="J1872">
        <f>G1872*Parameters!$B$2*Parameters!$B$5</f>
        <v>89.422199999999975</v>
      </c>
      <c r="K1872">
        <f>H1872*Parameters!$B$3*Parameters!$B$6</f>
        <v>0</v>
      </c>
      <c r="L1872">
        <f>I1872*Parameters!$B$4*Parameters!$B$7</f>
        <v>145.73520000000002</v>
      </c>
      <c r="M1872">
        <f t="shared" si="29"/>
        <v>235.1574</v>
      </c>
      <c r="N1872">
        <v>4200</v>
      </c>
      <c r="O1872">
        <v>0</v>
      </c>
      <c r="P1872">
        <v>0</v>
      </c>
      <c r="Q1872">
        <v>5400</v>
      </c>
    </row>
    <row r="1873" spans="1:17">
      <c r="A1873" t="s">
        <v>98</v>
      </c>
      <c r="B1873" t="s">
        <v>65</v>
      </c>
      <c r="C1873">
        <v>5</v>
      </c>
      <c r="D1873">
        <v>2022</v>
      </c>
      <c r="E1873" s="49" t="s">
        <v>146</v>
      </c>
      <c r="F1873" s="49" t="s">
        <v>163</v>
      </c>
      <c r="G1873">
        <f>'Aug-Apr, 2023'!AM75+'Aug-Apr, 2023'!AN75</f>
        <v>38</v>
      </c>
      <c r="H1873">
        <f>'Aug-Apr, 2023'!AO75</f>
        <v>0</v>
      </c>
      <c r="I1873">
        <f>'Aug-Apr, 2023'!AP75</f>
        <v>15</v>
      </c>
      <c r="J1873">
        <f>G1873*Parameters!$B$2*Parameters!$B$5</f>
        <v>80.905799999999985</v>
      </c>
      <c r="K1873">
        <f>H1873*Parameters!$B$3*Parameters!$B$6</f>
        <v>0</v>
      </c>
      <c r="L1873">
        <f>I1873*Parameters!$B$4*Parameters!$B$7</f>
        <v>121.44600000000001</v>
      </c>
      <c r="M1873">
        <f t="shared" si="29"/>
        <v>202.3518</v>
      </c>
      <c r="N1873">
        <v>3600</v>
      </c>
      <c r="O1873">
        <v>200</v>
      </c>
      <c r="P1873">
        <v>0</v>
      </c>
      <c r="Q1873">
        <v>4500</v>
      </c>
    </row>
    <row r="1874" spans="1:17">
      <c r="A1874" t="s">
        <v>99</v>
      </c>
      <c r="B1874" t="s">
        <v>32</v>
      </c>
      <c r="C1874">
        <v>9</v>
      </c>
      <c r="D1874">
        <v>2022</v>
      </c>
      <c r="E1874" s="49" t="s">
        <v>146</v>
      </c>
      <c r="F1874" s="49" t="s">
        <v>163</v>
      </c>
      <c r="G1874">
        <f>'Aug-Apr, 2023'!AM76+'Aug-Apr, 2023'!AN76</f>
        <v>42</v>
      </c>
      <c r="H1874">
        <f>'Aug-Apr, 2023'!AO76</f>
        <v>0</v>
      </c>
      <c r="I1874">
        <f>'Aug-Apr, 2023'!AP76</f>
        <v>20</v>
      </c>
      <c r="J1874">
        <f>G1874*Parameters!$B$2*Parameters!$B$5</f>
        <v>89.422199999999975</v>
      </c>
      <c r="K1874">
        <f>H1874*Parameters!$B$3*Parameters!$B$6</f>
        <v>0</v>
      </c>
      <c r="L1874">
        <f>I1874*Parameters!$B$4*Parameters!$B$7</f>
        <v>161.928</v>
      </c>
      <c r="M1874">
        <f t="shared" si="29"/>
        <v>251.35019999999997</v>
      </c>
      <c r="N1874">
        <v>4200</v>
      </c>
      <c r="O1874">
        <v>0</v>
      </c>
      <c r="P1874">
        <v>0</v>
      </c>
      <c r="Q1874">
        <v>6000</v>
      </c>
    </row>
    <row r="1875" spans="1:17">
      <c r="A1875" t="s">
        <v>100</v>
      </c>
      <c r="B1875" t="s">
        <v>40</v>
      </c>
      <c r="C1875">
        <v>8</v>
      </c>
      <c r="D1875">
        <v>2022</v>
      </c>
      <c r="E1875" s="49" t="s">
        <v>146</v>
      </c>
      <c r="F1875" s="49" t="s">
        <v>163</v>
      </c>
      <c r="G1875">
        <f>'Aug-Apr, 2023'!AM77+'Aug-Apr, 2023'!AN77</f>
        <v>40</v>
      </c>
      <c r="H1875">
        <f>'Aug-Apr, 2023'!AO77</f>
        <v>0</v>
      </c>
      <c r="I1875">
        <f>'Aug-Apr, 2023'!AP77</f>
        <v>15</v>
      </c>
      <c r="J1875">
        <f>G1875*Parameters!$B$2*Parameters!$B$5</f>
        <v>85.163999999999987</v>
      </c>
      <c r="K1875">
        <f>H1875*Parameters!$B$3*Parameters!$B$6</f>
        <v>0</v>
      </c>
      <c r="L1875">
        <f>I1875*Parameters!$B$4*Parameters!$B$7</f>
        <v>121.44600000000001</v>
      </c>
      <c r="M1875">
        <f t="shared" si="29"/>
        <v>206.61</v>
      </c>
      <c r="N1875">
        <v>4000</v>
      </c>
      <c r="O1875">
        <v>0</v>
      </c>
      <c r="P1875">
        <v>0</v>
      </c>
      <c r="Q1875">
        <v>4500</v>
      </c>
    </row>
    <row r="1876" spans="1:17">
      <c r="A1876" t="s">
        <v>101</v>
      </c>
      <c r="B1876" t="s">
        <v>38</v>
      </c>
      <c r="C1876">
        <v>5</v>
      </c>
      <c r="D1876">
        <v>2022</v>
      </c>
      <c r="E1876" s="49" t="s">
        <v>146</v>
      </c>
      <c r="F1876" s="49" t="s">
        <v>163</v>
      </c>
      <c r="G1876">
        <f>'Aug-Apr, 2023'!AM78+'Aug-Apr, 2023'!AN78</f>
        <v>43</v>
      </c>
      <c r="H1876">
        <f>'Aug-Apr, 2023'!AO78</f>
        <v>0</v>
      </c>
      <c r="I1876">
        <f>'Aug-Apr, 2023'!AP78</f>
        <v>12</v>
      </c>
      <c r="J1876">
        <f>G1876*Parameters!$B$2*Parameters!$B$5</f>
        <v>91.551299999999983</v>
      </c>
      <c r="K1876">
        <f>H1876*Parameters!$B$3*Parameters!$B$6</f>
        <v>0</v>
      </c>
      <c r="L1876">
        <f>I1876*Parameters!$B$4*Parameters!$B$7</f>
        <v>97.156800000000018</v>
      </c>
      <c r="M1876">
        <f t="shared" si="29"/>
        <v>188.7081</v>
      </c>
      <c r="N1876">
        <v>4300</v>
      </c>
      <c r="O1876">
        <v>0</v>
      </c>
      <c r="P1876">
        <v>0</v>
      </c>
      <c r="Q1876">
        <v>3600</v>
      </c>
    </row>
    <row r="1877" spans="1:17">
      <c r="A1877" t="s">
        <v>102</v>
      </c>
      <c r="B1877" t="s">
        <v>17</v>
      </c>
      <c r="C1877">
        <v>4</v>
      </c>
      <c r="D1877">
        <v>2022</v>
      </c>
      <c r="E1877" s="49" t="s">
        <v>146</v>
      </c>
      <c r="F1877" s="49" t="s">
        <v>163</v>
      </c>
      <c r="G1877">
        <f>'Aug-Apr, 2023'!AM79+'Aug-Apr, 2023'!AN79</f>
        <v>50</v>
      </c>
      <c r="H1877">
        <f>'Aug-Apr, 2023'!AO79</f>
        <v>0</v>
      </c>
      <c r="I1877">
        <f>'Aug-Apr, 2023'!AP79</f>
        <v>18</v>
      </c>
      <c r="J1877">
        <f>G1877*Parameters!$B$2*Parameters!$B$5</f>
        <v>106.45499999999998</v>
      </c>
      <c r="K1877">
        <f>H1877*Parameters!$B$3*Parameters!$B$6</f>
        <v>0</v>
      </c>
      <c r="L1877">
        <f>I1877*Parameters!$B$4*Parameters!$B$7</f>
        <v>145.73520000000002</v>
      </c>
      <c r="M1877">
        <f t="shared" si="29"/>
        <v>252.1902</v>
      </c>
      <c r="N1877">
        <v>5000</v>
      </c>
      <c r="O1877">
        <v>0</v>
      </c>
      <c r="P1877">
        <v>0</v>
      </c>
      <c r="Q1877">
        <v>5400</v>
      </c>
    </row>
    <row r="1878" spans="1:17">
      <c r="A1878" t="s">
        <v>103</v>
      </c>
      <c r="B1878" t="s">
        <v>26</v>
      </c>
      <c r="C1878">
        <v>6</v>
      </c>
      <c r="D1878">
        <v>2022</v>
      </c>
      <c r="E1878" s="49" t="s">
        <v>146</v>
      </c>
      <c r="F1878" s="49" t="s">
        <v>163</v>
      </c>
      <c r="G1878">
        <f>'Aug-Apr, 2023'!AM80+'Aug-Apr, 2023'!AN80</f>
        <v>34</v>
      </c>
      <c r="H1878">
        <f>'Aug-Apr, 2023'!AO80</f>
        <v>0</v>
      </c>
      <c r="I1878">
        <f>'Aug-Apr, 2023'!AP80</f>
        <v>20</v>
      </c>
      <c r="J1878">
        <f>G1878*Parameters!$B$2*Parameters!$B$5</f>
        <v>72.389399999999995</v>
      </c>
      <c r="K1878">
        <f>H1878*Parameters!$B$3*Parameters!$B$6</f>
        <v>0</v>
      </c>
      <c r="L1878">
        <f>I1878*Parameters!$B$4*Parameters!$B$7</f>
        <v>161.928</v>
      </c>
      <c r="M1878">
        <f t="shared" si="29"/>
        <v>234.31739999999999</v>
      </c>
      <c r="N1878">
        <v>3400</v>
      </c>
      <c r="O1878">
        <v>0</v>
      </c>
      <c r="P1878">
        <v>0</v>
      </c>
      <c r="Q1878">
        <v>6000</v>
      </c>
    </row>
    <row r="1879" spans="1:17">
      <c r="A1879" t="s">
        <v>104</v>
      </c>
      <c r="B1879" t="s">
        <v>26</v>
      </c>
      <c r="C1879">
        <v>7</v>
      </c>
      <c r="D1879">
        <v>2022</v>
      </c>
      <c r="E1879" s="49" t="s">
        <v>146</v>
      </c>
      <c r="F1879" s="49" t="s">
        <v>163</v>
      </c>
      <c r="G1879">
        <f>'Aug-Apr, 2023'!AM81+'Aug-Apr, 2023'!AN81</f>
        <v>30</v>
      </c>
      <c r="H1879">
        <f>'Aug-Apr, 2023'!AO81</f>
        <v>0</v>
      </c>
      <c r="I1879">
        <f>'Aug-Apr, 2023'!AP81</f>
        <v>15</v>
      </c>
      <c r="J1879">
        <f>G1879*Parameters!$B$2*Parameters!$B$5</f>
        <v>63.87299999999999</v>
      </c>
      <c r="K1879">
        <f>H1879*Parameters!$B$3*Parameters!$B$6</f>
        <v>0</v>
      </c>
      <c r="L1879">
        <f>I1879*Parameters!$B$4*Parameters!$B$7</f>
        <v>121.44600000000001</v>
      </c>
      <c r="M1879">
        <f t="shared" si="29"/>
        <v>185.31900000000002</v>
      </c>
      <c r="N1879">
        <v>3000</v>
      </c>
      <c r="O1879">
        <v>0</v>
      </c>
      <c r="P1879">
        <v>0</v>
      </c>
      <c r="Q1879">
        <v>4500</v>
      </c>
    </row>
    <row r="1880" spans="1:17">
      <c r="A1880" t="s">
        <v>105</v>
      </c>
      <c r="B1880" t="s">
        <v>21</v>
      </c>
      <c r="C1880">
        <v>5</v>
      </c>
      <c r="D1880">
        <v>2022</v>
      </c>
      <c r="E1880" s="49" t="s">
        <v>146</v>
      </c>
      <c r="F1880" s="49" t="s">
        <v>163</v>
      </c>
      <c r="G1880">
        <f>'Aug-Apr, 2023'!AM82+'Aug-Apr, 2023'!AN82</f>
        <v>40</v>
      </c>
      <c r="H1880">
        <f>'Aug-Apr, 2023'!AO82</f>
        <v>0</v>
      </c>
      <c r="I1880">
        <f>'Aug-Apr, 2023'!AP82</f>
        <v>20</v>
      </c>
      <c r="J1880">
        <f>G1880*Parameters!$B$2*Parameters!$B$5</f>
        <v>85.163999999999987</v>
      </c>
      <c r="K1880">
        <f>H1880*Parameters!$B$3*Parameters!$B$6</f>
        <v>0</v>
      </c>
      <c r="L1880">
        <f>I1880*Parameters!$B$4*Parameters!$B$7</f>
        <v>161.928</v>
      </c>
      <c r="M1880">
        <f t="shared" si="29"/>
        <v>247.09199999999998</v>
      </c>
      <c r="N1880">
        <v>4000</v>
      </c>
      <c r="O1880">
        <v>0</v>
      </c>
      <c r="P1880">
        <v>0</v>
      </c>
      <c r="Q1880">
        <v>6000</v>
      </c>
    </row>
    <row r="1881" spans="1:17">
      <c r="A1881" t="s">
        <v>106</v>
      </c>
      <c r="B1881" t="s">
        <v>24</v>
      </c>
      <c r="C1881">
        <v>6</v>
      </c>
      <c r="D1881">
        <v>2022</v>
      </c>
      <c r="E1881" s="49" t="s">
        <v>146</v>
      </c>
      <c r="F1881" s="49" t="s">
        <v>163</v>
      </c>
      <c r="G1881">
        <f>'Aug-Apr, 2023'!AM83+'Aug-Apr, 2023'!AN83</f>
        <v>60</v>
      </c>
      <c r="H1881">
        <f>'Aug-Apr, 2023'!AO83</f>
        <v>0</v>
      </c>
      <c r="I1881">
        <f>'Aug-Apr, 2023'!AP83</f>
        <v>10</v>
      </c>
      <c r="J1881">
        <f>G1881*Parameters!$B$2*Parameters!$B$5</f>
        <v>127.74599999999998</v>
      </c>
      <c r="K1881">
        <f>H1881*Parameters!$B$3*Parameters!$B$6</f>
        <v>0</v>
      </c>
      <c r="L1881">
        <f>I1881*Parameters!$B$4*Parameters!$B$7</f>
        <v>80.963999999999999</v>
      </c>
      <c r="M1881">
        <f t="shared" si="29"/>
        <v>208.70999999999998</v>
      </c>
      <c r="N1881">
        <v>6000</v>
      </c>
      <c r="O1881">
        <v>0</v>
      </c>
      <c r="P1881">
        <v>0</v>
      </c>
      <c r="Q1881">
        <v>3000</v>
      </c>
    </row>
    <row r="1882" spans="1:17">
      <c r="A1882" t="s">
        <v>107</v>
      </c>
      <c r="B1882" t="s">
        <v>21</v>
      </c>
      <c r="C1882">
        <v>4</v>
      </c>
      <c r="D1882">
        <v>2022</v>
      </c>
      <c r="E1882" s="49" t="s">
        <v>146</v>
      </c>
      <c r="F1882" s="49" t="s">
        <v>163</v>
      </c>
      <c r="G1882">
        <f>'Aug-Apr, 2023'!AM84+'Aug-Apr, 2023'!AN84</f>
        <v>55</v>
      </c>
      <c r="H1882">
        <f>'Aug-Apr, 2023'!AO84</f>
        <v>0</v>
      </c>
      <c r="I1882">
        <f>'Aug-Apr, 2023'!AP84</f>
        <v>16</v>
      </c>
      <c r="J1882">
        <f>G1882*Parameters!$B$2*Parameters!$B$5</f>
        <v>117.10049999999998</v>
      </c>
      <c r="K1882">
        <f>H1882*Parameters!$B$3*Parameters!$B$6</f>
        <v>0</v>
      </c>
      <c r="L1882">
        <f>I1882*Parameters!$B$4*Parameters!$B$7</f>
        <v>129.54240000000001</v>
      </c>
      <c r="M1882">
        <f t="shared" si="29"/>
        <v>246.6429</v>
      </c>
      <c r="N1882">
        <v>5500</v>
      </c>
      <c r="O1882">
        <v>0</v>
      </c>
      <c r="P1882">
        <v>0</v>
      </c>
      <c r="Q1882">
        <v>4800</v>
      </c>
    </row>
    <row r="1883" spans="1:17">
      <c r="A1883" t="s">
        <v>108</v>
      </c>
      <c r="B1883" t="s">
        <v>24</v>
      </c>
      <c r="C1883">
        <v>5</v>
      </c>
      <c r="D1883">
        <v>2022</v>
      </c>
      <c r="E1883" s="49" t="s">
        <v>146</v>
      </c>
      <c r="F1883" s="49" t="s">
        <v>163</v>
      </c>
      <c r="G1883">
        <f>'Aug-Apr, 2023'!AM85+'Aug-Apr, 2023'!AN85</f>
        <v>50</v>
      </c>
      <c r="H1883">
        <f>'Aug-Apr, 2023'!AO85</f>
        <v>0</v>
      </c>
      <c r="I1883">
        <f>'Aug-Apr, 2023'!AP85</f>
        <v>12</v>
      </c>
      <c r="J1883">
        <f>G1883*Parameters!$B$2*Parameters!$B$5</f>
        <v>106.45499999999998</v>
      </c>
      <c r="K1883">
        <f>H1883*Parameters!$B$3*Parameters!$B$6</f>
        <v>0</v>
      </c>
      <c r="L1883">
        <f>I1883*Parameters!$B$4*Parameters!$B$7</f>
        <v>97.156800000000018</v>
      </c>
      <c r="M1883">
        <f t="shared" si="29"/>
        <v>203.61180000000002</v>
      </c>
      <c r="N1883">
        <v>5000</v>
      </c>
      <c r="O1883">
        <v>0</v>
      </c>
      <c r="P1883">
        <v>0</v>
      </c>
      <c r="Q1883">
        <v>3600</v>
      </c>
    </row>
    <row r="1884" spans="1:17">
      <c r="A1884" t="s">
        <v>109</v>
      </c>
      <c r="B1884" t="s">
        <v>32</v>
      </c>
      <c r="C1884">
        <v>6</v>
      </c>
      <c r="D1884">
        <v>2022</v>
      </c>
      <c r="E1884" s="49" t="s">
        <v>146</v>
      </c>
      <c r="F1884" s="49" t="s">
        <v>163</v>
      </c>
      <c r="G1884">
        <f>'Aug-Apr, 2023'!AM86+'Aug-Apr, 2023'!AN86</f>
        <v>45</v>
      </c>
      <c r="H1884">
        <f>'Aug-Apr, 2023'!AO86</f>
        <v>0</v>
      </c>
      <c r="I1884">
        <f>'Aug-Apr, 2023'!AP86</f>
        <v>14</v>
      </c>
      <c r="J1884">
        <f>G1884*Parameters!$B$2*Parameters!$B$5</f>
        <v>95.809499999999986</v>
      </c>
      <c r="K1884">
        <f>H1884*Parameters!$B$3*Parameters!$B$6</f>
        <v>0</v>
      </c>
      <c r="L1884">
        <f>I1884*Parameters!$B$4*Parameters!$B$7</f>
        <v>113.34960000000001</v>
      </c>
      <c r="M1884">
        <f t="shared" si="29"/>
        <v>209.1591</v>
      </c>
      <c r="N1884">
        <v>4500</v>
      </c>
      <c r="O1884">
        <v>0</v>
      </c>
      <c r="P1884">
        <v>0</v>
      </c>
      <c r="Q1884">
        <v>4200</v>
      </c>
    </row>
    <row r="1885" spans="1:17">
      <c r="A1885" t="s">
        <v>110</v>
      </c>
      <c r="B1885" t="s">
        <v>21</v>
      </c>
      <c r="C1885">
        <v>3</v>
      </c>
      <c r="D1885">
        <v>2022</v>
      </c>
      <c r="E1885" s="49" t="s">
        <v>146</v>
      </c>
      <c r="F1885" s="49" t="s">
        <v>163</v>
      </c>
      <c r="G1885">
        <f>'Aug-Apr, 2023'!AM87+'Aug-Apr, 2023'!AN87</f>
        <v>50</v>
      </c>
      <c r="H1885">
        <f>'Aug-Apr, 2023'!AO87</f>
        <v>0</v>
      </c>
      <c r="I1885">
        <f>'Aug-Apr, 2023'!AP87</f>
        <v>16</v>
      </c>
      <c r="J1885">
        <f>G1885*Parameters!$B$2*Parameters!$B$5</f>
        <v>106.45499999999998</v>
      </c>
      <c r="K1885">
        <f>H1885*Parameters!$B$3*Parameters!$B$6</f>
        <v>0</v>
      </c>
      <c r="L1885">
        <f>I1885*Parameters!$B$4*Parameters!$B$7</f>
        <v>129.54240000000001</v>
      </c>
      <c r="M1885">
        <f t="shared" si="29"/>
        <v>235.9974</v>
      </c>
      <c r="N1885">
        <v>5000</v>
      </c>
      <c r="O1885">
        <v>0</v>
      </c>
      <c r="P1885">
        <v>0</v>
      </c>
      <c r="Q1885">
        <v>4800</v>
      </c>
    </row>
    <row r="1886" spans="1:17">
      <c r="A1886" t="s">
        <v>111</v>
      </c>
      <c r="B1886" t="s">
        <v>26</v>
      </c>
      <c r="C1886">
        <v>6</v>
      </c>
      <c r="D1886">
        <v>2022</v>
      </c>
      <c r="E1886" s="49" t="s">
        <v>146</v>
      </c>
      <c r="F1886" s="49" t="s">
        <v>163</v>
      </c>
      <c r="G1886">
        <f>'Aug-Apr, 2023'!AM88+'Aug-Apr, 2023'!AN88</f>
        <v>45</v>
      </c>
      <c r="H1886">
        <f>'Aug-Apr, 2023'!AO88</f>
        <v>0</v>
      </c>
      <c r="I1886">
        <f>'Aug-Apr, 2023'!AP88</f>
        <v>20</v>
      </c>
      <c r="J1886">
        <f>G1886*Parameters!$B$2*Parameters!$B$5</f>
        <v>95.809499999999986</v>
      </c>
      <c r="K1886">
        <f>H1886*Parameters!$B$3*Parameters!$B$6</f>
        <v>0</v>
      </c>
      <c r="L1886">
        <f>I1886*Parameters!$B$4*Parameters!$B$7</f>
        <v>161.928</v>
      </c>
      <c r="M1886">
        <f t="shared" si="29"/>
        <v>257.73749999999995</v>
      </c>
      <c r="N1886">
        <v>4500</v>
      </c>
      <c r="O1886">
        <v>0</v>
      </c>
      <c r="P1886">
        <v>0</v>
      </c>
      <c r="Q1886">
        <v>6000</v>
      </c>
    </row>
    <row r="1887" spans="1:17">
      <c r="A1887" t="s">
        <v>112</v>
      </c>
      <c r="B1887" t="s">
        <v>19</v>
      </c>
      <c r="C1887">
        <v>7</v>
      </c>
      <c r="D1887">
        <v>2022</v>
      </c>
      <c r="E1887" s="49" t="s">
        <v>146</v>
      </c>
      <c r="F1887" s="49" t="s">
        <v>163</v>
      </c>
      <c r="G1887">
        <f>'Aug-Apr, 2023'!AM89+'Aug-Apr, 2023'!AN89</f>
        <v>32</v>
      </c>
      <c r="H1887">
        <f>'Aug-Apr, 2023'!AO89</f>
        <v>0</v>
      </c>
      <c r="I1887">
        <f>'Aug-Apr, 2023'!AP89</f>
        <v>16</v>
      </c>
      <c r="J1887">
        <f>G1887*Parameters!$B$2*Parameters!$B$5</f>
        <v>68.131199999999993</v>
      </c>
      <c r="K1887">
        <f>H1887*Parameters!$B$3*Parameters!$B$6</f>
        <v>0</v>
      </c>
      <c r="L1887">
        <f>I1887*Parameters!$B$4*Parameters!$B$7</f>
        <v>129.54240000000001</v>
      </c>
      <c r="M1887">
        <f t="shared" si="29"/>
        <v>197.67360000000002</v>
      </c>
      <c r="N1887">
        <v>0</v>
      </c>
      <c r="O1887">
        <v>3200</v>
      </c>
      <c r="P1887">
        <v>0</v>
      </c>
      <c r="Q1887">
        <v>4800</v>
      </c>
    </row>
    <row r="1888" spans="1:17">
      <c r="A1888" t="s">
        <v>113</v>
      </c>
      <c r="B1888" t="s">
        <v>26</v>
      </c>
      <c r="C1888">
        <v>4</v>
      </c>
      <c r="D1888">
        <v>2022</v>
      </c>
      <c r="E1888" s="49" t="s">
        <v>146</v>
      </c>
      <c r="F1888" s="49" t="s">
        <v>163</v>
      </c>
      <c r="G1888">
        <f>'Aug-Apr, 2023'!AM90+'Aug-Apr, 2023'!AN90</f>
        <v>44</v>
      </c>
      <c r="H1888">
        <f>'Aug-Apr, 2023'!AO90</f>
        <v>0</v>
      </c>
      <c r="I1888">
        <f>'Aug-Apr, 2023'!AP90</f>
        <v>20</v>
      </c>
      <c r="J1888">
        <f>G1888*Parameters!$B$2*Parameters!$B$5</f>
        <v>93.680399999999992</v>
      </c>
      <c r="K1888">
        <f>H1888*Parameters!$B$3*Parameters!$B$6</f>
        <v>0</v>
      </c>
      <c r="L1888">
        <f>I1888*Parameters!$B$4*Parameters!$B$7</f>
        <v>161.928</v>
      </c>
      <c r="M1888">
        <f t="shared" si="29"/>
        <v>255.60839999999999</v>
      </c>
      <c r="N1888">
        <v>4400</v>
      </c>
      <c r="O1888">
        <v>0</v>
      </c>
      <c r="P1888">
        <v>0</v>
      </c>
      <c r="Q1888">
        <v>6000</v>
      </c>
    </row>
    <row r="1889" spans="1:17">
      <c r="A1889" t="s">
        <v>114</v>
      </c>
      <c r="B1889" t="s">
        <v>65</v>
      </c>
      <c r="C1889">
        <v>8</v>
      </c>
      <c r="D1889">
        <v>2022</v>
      </c>
      <c r="E1889" s="49" t="s">
        <v>146</v>
      </c>
      <c r="F1889" s="49" t="s">
        <v>163</v>
      </c>
      <c r="G1889">
        <f>'Aug-Apr, 2023'!AM91+'Aug-Apr, 2023'!AN91</f>
        <v>55</v>
      </c>
      <c r="H1889">
        <f>'Aug-Apr, 2023'!AO91</f>
        <v>0</v>
      </c>
      <c r="I1889">
        <f>'Aug-Apr, 2023'!AP91</f>
        <v>15</v>
      </c>
      <c r="J1889">
        <f>G1889*Parameters!$B$2*Parameters!$B$5</f>
        <v>117.10049999999998</v>
      </c>
      <c r="K1889">
        <f>H1889*Parameters!$B$3*Parameters!$B$6</f>
        <v>0</v>
      </c>
      <c r="L1889">
        <f>I1889*Parameters!$B$4*Parameters!$B$7</f>
        <v>121.44600000000001</v>
      </c>
      <c r="M1889">
        <f t="shared" si="29"/>
        <v>238.54649999999998</v>
      </c>
      <c r="N1889">
        <v>5500</v>
      </c>
      <c r="O1889">
        <v>0</v>
      </c>
      <c r="P1889">
        <v>0</v>
      </c>
      <c r="Q1889">
        <v>4500</v>
      </c>
    </row>
    <row r="1890" spans="1:17">
      <c r="A1890" t="s">
        <v>115</v>
      </c>
      <c r="B1890" t="s">
        <v>19</v>
      </c>
      <c r="C1890">
        <v>8</v>
      </c>
      <c r="D1890">
        <v>2022</v>
      </c>
      <c r="E1890" s="49" t="s">
        <v>146</v>
      </c>
      <c r="F1890" s="49" t="s">
        <v>163</v>
      </c>
      <c r="G1890">
        <f>'Aug-Apr, 2023'!AM92+'Aug-Apr, 2023'!AN92</f>
        <v>48</v>
      </c>
      <c r="H1890">
        <f>'Aug-Apr, 2023'!AO92</f>
        <v>0</v>
      </c>
      <c r="I1890">
        <f>'Aug-Apr, 2023'!AP92</f>
        <v>18</v>
      </c>
      <c r="J1890">
        <f>G1890*Parameters!$B$2*Parameters!$B$5</f>
        <v>102.19679999999998</v>
      </c>
      <c r="K1890">
        <f>H1890*Parameters!$B$3*Parameters!$B$6</f>
        <v>0</v>
      </c>
      <c r="L1890">
        <f>I1890*Parameters!$B$4*Parameters!$B$7</f>
        <v>145.73520000000002</v>
      </c>
      <c r="M1890">
        <f t="shared" si="29"/>
        <v>247.93200000000002</v>
      </c>
      <c r="N1890">
        <v>4800</v>
      </c>
      <c r="O1890">
        <v>0</v>
      </c>
      <c r="P1890">
        <v>0</v>
      </c>
      <c r="Q1890">
        <v>5400</v>
      </c>
    </row>
    <row r="1891" spans="1:17">
      <c r="A1891" t="s">
        <v>116</v>
      </c>
      <c r="B1891" t="s">
        <v>21</v>
      </c>
      <c r="C1891">
        <v>4</v>
      </c>
      <c r="D1891">
        <v>2022</v>
      </c>
      <c r="E1891" s="49" t="s">
        <v>146</v>
      </c>
      <c r="F1891" s="49" t="s">
        <v>163</v>
      </c>
      <c r="G1891">
        <f>'Aug-Apr, 2023'!AM93+'Aug-Apr, 2023'!AN93</f>
        <v>33</v>
      </c>
      <c r="H1891">
        <f>'Aug-Apr, 2023'!AO93</f>
        <v>0</v>
      </c>
      <c r="I1891">
        <f>'Aug-Apr, 2023'!AP93</f>
        <v>10</v>
      </c>
      <c r="J1891">
        <f>G1891*Parameters!$B$2*Parameters!$B$5</f>
        <v>70.260300000000001</v>
      </c>
      <c r="K1891">
        <f>H1891*Parameters!$B$3*Parameters!$B$6</f>
        <v>0</v>
      </c>
      <c r="L1891">
        <f>I1891*Parameters!$B$4*Parameters!$B$7</f>
        <v>80.963999999999999</v>
      </c>
      <c r="M1891">
        <f t="shared" si="29"/>
        <v>151.2243</v>
      </c>
      <c r="N1891">
        <v>3300</v>
      </c>
      <c r="O1891">
        <v>0</v>
      </c>
      <c r="P1891">
        <v>0</v>
      </c>
      <c r="Q1891">
        <v>3000</v>
      </c>
    </row>
    <row r="1892" spans="1:17">
      <c r="A1892" t="s">
        <v>117</v>
      </c>
      <c r="B1892" t="s">
        <v>17</v>
      </c>
      <c r="C1892">
        <v>9</v>
      </c>
      <c r="D1892">
        <v>2022</v>
      </c>
      <c r="E1892" s="49" t="s">
        <v>146</v>
      </c>
      <c r="F1892" s="49" t="s">
        <v>163</v>
      </c>
      <c r="G1892">
        <f>'Aug-Apr, 2023'!AM94+'Aug-Apr, 2023'!AN94</f>
        <v>25</v>
      </c>
      <c r="H1892">
        <f>'Aug-Apr, 2023'!AO94</f>
        <v>0</v>
      </c>
      <c r="I1892">
        <f>'Aug-Apr, 2023'!AP94</f>
        <v>10</v>
      </c>
      <c r="J1892">
        <f>G1892*Parameters!$B$2*Parameters!$B$5</f>
        <v>53.227499999999992</v>
      </c>
      <c r="K1892">
        <f>H1892*Parameters!$B$3*Parameters!$B$6</f>
        <v>0</v>
      </c>
      <c r="L1892">
        <f>I1892*Parameters!$B$4*Parameters!$B$7</f>
        <v>80.963999999999999</v>
      </c>
      <c r="M1892">
        <f t="shared" si="29"/>
        <v>134.19149999999999</v>
      </c>
      <c r="N1892">
        <v>2500</v>
      </c>
      <c r="O1892">
        <v>0</v>
      </c>
      <c r="P1892">
        <v>0</v>
      </c>
      <c r="Q1892">
        <v>3000</v>
      </c>
    </row>
    <row r="1893" spans="1:17">
      <c r="A1893" t="s">
        <v>118</v>
      </c>
      <c r="B1893" t="s">
        <v>19</v>
      </c>
      <c r="C1893">
        <v>4</v>
      </c>
      <c r="D1893">
        <v>2022</v>
      </c>
      <c r="E1893" s="49" t="s">
        <v>146</v>
      </c>
      <c r="F1893" s="49" t="s">
        <v>163</v>
      </c>
      <c r="G1893">
        <f>'Aug-Apr, 2023'!AM95+'Aug-Apr, 2023'!AN95</f>
        <v>34</v>
      </c>
      <c r="H1893">
        <f>'Aug-Apr, 2023'!AO95</f>
        <v>0</v>
      </c>
      <c r="I1893">
        <f>'Aug-Apr, 2023'!AP95</f>
        <v>8</v>
      </c>
      <c r="J1893">
        <f>G1893*Parameters!$B$2*Parameters!$B$5</f>
        <v>72.389399999999995</v>
      </c>
      <c r="K1893">
        <f>H1893*Parameters!$B$3*Parameters!$B$6</f>
        <v>0</v>
      </c>
      <c r="L1893">
        <f>I1893*Parameters!$B$4*Parameters!$B$7</f>
        <v>64.771200000000007</v>
      </c>
      <c r="M1893">
        <f t="shared" si="29"/>
        <v>137.16059999999999</v>
      </c>
      <c r="N1893">
        <v>3400</v>
      </c>
      <c r="O1893">
        <v>0</v>
      </c>
      <c r="P1893">
        <v>0</v>
      </c>
      <c r="Q1893">
        <v>2400</v>
      </c>
    </row>
    <row r="1894" spans="1:17">
      <c r="A1894" t="s">
        <v>119</v>
      </c>
      <c r="B1894" t="s">
        <v>40</v>
      </c>
      <c r="C1894">
        <v>6</v>
      </c>
      <c r="D1894">
        <v>2022</v>
      </c>
      <c r="E1894" s="49" t="s">
        <v>146</v>
      </c>
      <c r="F1894" s="49" t="s">
        <v>163</v>
      </c>
      <c r="G1894">
        <f>'Aug-Apr, 2023'!AM96+'Aug-Apr, 2023'!AN96</f>
        <v>40</v>
      </c>
      <c r="H1894">
        <f>'Aug-Apr, 2023'!AO96</f>
        <v>0</v>
      </c>
      <c r="I1894">
        <f>'Aug-Apr, 2023'!AP96</f>
        <v>15</v>
      </c>
      <c r="J1894">
        <f>G1894*Parameters!$B$2*Parameters!$B$5</f>
        <v>85.163999999999987</v>
      </c>
      <c r="K1894">
        <f>H1894*Parameters!$B$3*Parameters!$B$6</f>
        <v>0</v>
      </c>
      <c r="L1894">
        <f>I1894*Parameters!$B$4*Parameters!$B$7</f>
        <v>121.44600000000001</v>
      </c>
      <c r="M1894">
        <f t="shared" si="29"/>
        <v>206.61</v>
      </c>
      <c r="N1894">
        <v>0</v>
      </c>
      <c r="O1894">
        <v>4000</v>
      </c>
      <c r="P1894">
        <v>0</v>
      </c>
      <c r="Q1894">
        <v>4500</v>
      </c>
    </row>
    <row r="1895" spans="1:17">
      <c r="A1895" t="s">
        <v>120</v>
      </c>
      <c r="B1895" t="s">
        <v>32</v>
      </c>
      <c r="C1895">
        <v>8</v>
      </c>
      <c r="D1895">
        <v>2022</v>
      </c>
      <c r="E1895" s="49" t="s">
        <v>146</v>
      </c>
      <c r="F1895" s="49" t="s">
        <v>163</v>
      </c>
      <c r="G1895">
        <f>'Aug-Apr, 2023'!AM97+'Aug-Apr, 2023'!AN97</f>
        <v>50</v>
      </c>
      <c r="H1895">
        <f>'Aug-Apr, 2023'!AO97</f>
        <v>0</v>
      </c>
      <c r="I1895">
        <f>'Aug-Apr, 2023'!AP97</f>
        <v>0</v>
      </c>
      <c r="J1895">
        <f>G1895*Parameters!$B$2*Parameters!$B$5</f>
        <v>106.45499999999998</v>
      </c>
      <c r="K1895">
        <f>H1895*Parameters!$B$3*Parameters!$B$6</f>
        <v>0</v>
      </c>
      <c r="L1895">
        <f>I1895*Parameters!$B$4*Parameters!$B$7</f>
        <v>0</v>
      </c>
      <c r="M1895">
        <f t="shared" si="29"/>
        <v>106.45499999999998</v>
      </c>
      <c r="N1895">
        <v>5000</v>
      </c>
      <c r="O1895">
        <v>0</v>
      </c>
      <c r="P1895">
        <v>0</v>
      </c>
      <c r="Q1895">
        <v>0</v>
      </c>
    </row>
    <row r="1896" spans="1:17">
      <c r="A1896" t="s">
        <v>121</v>
      </c>
      <c r="B1896" t="s">
        <v>24</v>
      </c>
      <c r="C1896">
        <v>5</v>
      </c>
      <c r="D1896">
        <v>2022</v>
      </c>
      <c r="E1896" s="49" t="s">
        <v>146</v>
      </c>
      <c r="F1896" s="49" t="s">
        <v>163</v>
      </c>
      <c r="G1896">
        <f>'Aug-Apr, 2023'!AM98+'Aug-Apr, 2023'!AN98</f>
        <v>48</v>
      </c>
      <c r="H1896">
        <f>'Aug-Apr, 2023'!AO98</f>
        <v>0</v>
      </c>
      <c r="I1896">
        <f>'Aug-Apr, 2023'!AP98</f>
        <v>15</v>
      </c>
      <c r="J1896">
        <f>G1896*Parameters!$B$2*Parameters!$B$5</f>
        <v>102.19679999999998</v>
      </c>
      <c r="K1896">
        <f>H1896*Parameters!$B$3*Parameters!$B$6</f>
        <v>0</v>
      </c>
      <c r="L1896">
        <f>I1896*Parameters!$B$4*Parameters!$B$7</f>
        <v>121.44600000000001</v>
      </c>
      <c r="M1896">
        <f t="shared" si="29"/>
        <v>223.64279999999999</v>
      </c>
      <c r="N1896">
        <v>4800</v>
      </c>
      <c r="O1896">
        <v>0</v>
      </c>
      <c r="P1896">
        <v>0</v>
      </c>
      <c r="Q1896">
        <v>4500</v>
      </c>
    </row>
    <row r="1897" spans="1:17">
      <c r="A1897" t="s">
        <v>122</v>
      </c>
      <c r="B1897" t="s">
        <v>26</v>
      </c>
      <c r="C1897">
        <v>6</v>
      </c>
      <c r="D1897">
        <v>2022</v>
      </c>
      <c r="E1897" s="49" t="s">
        <v>146</v>
      </c>
      <c r="F1897" s="49" t="s">
        <v>163</v>
      </c>
      <c r="G1897">
        <f>'Aug-Apr, 2023'!AM99+'Aug-Apr, 2023'!AN99</f>
        <v>35</v>
      </c>
      <c r="H1897">
        <f>'Aug-Apr, 2023'!AO99</f>
        <v>0</v>
      </c>
      <c r="I1897">
        <f>'Aug-Apr, 2023'!AP99</f>
        <v>5</v>
      </c>
      <c r="J1897">
        <f>G1897*Parameters!$B$2*Parameters!$B$5</f>
        <v>74.518499999999989</v>
      </c>
      <c r="K1897">
        <f>H1897*Parameters!$B$3*Parameters!$B$6</f>
        <v>0</v>
      </c>
      <c r="L1897">
        <f>I1897*Parameters!$B$4*Parameters!$B$7</f>
        <v>40.481999999999999</v>
      </c>
      <c r="M1897">
        <f t="shared" si="29"/>
        <v>115.00049999999999</v>
      </c>
      <c r="N1897">
        <v>3500</v>
      </c>
      <c r="O1897">
        <v>0</v>
      </c>
      <c r="P1897">
        <v>0</v>
      </c>
      <c r="Q1897">
        <v>1500</v>
      </c>
    </row>
    <row r="1898" spans="1:17">
      <c r="A1898" t="s">
        <v>123</v>
      </c>
      <c r="B1898" t="s">
        <v>19</v>
      </c>
      <c r="C1898">
        <v>8</v>
      </c>
      <c r="D1898">
        <v>2022</v>
      </c>
      <c r="E1898" s="49" t="s">
        <v>146</v>
      </c>
      <c r="F1898" s="49" t="s">
        <v>163</v>
      </c>
      <c r="G1898">
        <f>'Aug-Apr, 2023'!AM100+'Aug-Apr, 2023'!AN100</f>
        <v>45</v>
      </c>
      <c r="H1898">
        <f>'Aug-Apr, 2023'!AO100</f>
        <v>0</v>
      </c>
      <c r="I1898">
        <f>'Aug-Apr, 2023'!AP100</f>
        <v>10</v>
      </c>
      <c r="J1898">
        <f>G1898*Parameters!$B$2*Parameters!$B$5</f>
        <v>95.809499999999986</v>
      </c>
      <c r="K1898">
        <f>H1898*Parameters!$B$3*Parameters!$B$6</f>
        <v>0</v>
      </c>
      <c r="L1898">
        <f>I1898*Parameters!$B$4*Parameters!$B$7</f>
        <v>80.963999999999999</v>
      </c>
      <c r="M1898">
        <f t="shared" si="29"/>
        <v>176.77349999999998</v>
      </c>
      <c r="N1898">
        <v>4500</v>
      </c>
      <c r="O1898">
        <v>0</v>
      </c>
      <c r="P1898">
        <v>0</v>
      </c>
      <c r="Q1898">
        <v>3000</v>
      </c>
    </row>
    <row r="1899" spans="1:17">
      <c r="A1899" t="s">
        <v>124</v>
      </c>
      <c r="B1899" t="s">
        <v>56</v>
      </c>
      <c r="C1899">
        <v>9</v>
      </c>
      <c r="D1899">
        <v>2022</v>
      </c>
      <c r="E1899" s="49" t="s">
        <v>146</v>
      </c>
      <c r="F1899" s="49" t="s">
        <v>163</v>
      </c>
      <c r="G1899">
        <f>'Aug-Apr, 2023'!AM101+'Aug-Apr, 2023'!AN101</f>
        <v>50</v>
      </c>
      <c r="H1899">
        <f>'Aug-Apr, 2023'!AO101</f>
        <v>0</v>
      </c>
      <c r="I1899">
        <f>'Aug-Apr, 2023'!AP101</f>
        <v>12</v>
      </c>
      <c r="J1899">
        <f>G1899*Parameters!$B$2*Parameters!$B$5</f>
        <v>106.45499999999998</v>
      </c>
      <c r="K1899">
        <f>H1899*Parameters!$B$3*Parameters!$B$6</f>
        <v>0</v>
      </c>
      <c r="L1899">
        <f>I1899*Parameters!$B$4*Parameters!$B$7</f>
        <v>97.156800000000018</v>
      </c>
      <c r="M1899">
        <f t="shared" si="29"/>
        <v>203.61180000000002</v>
      </c>
      <c r="N1899">
        <v>5000</v>
      </c>
      <c r="O1899">
        <v>0</v>
      </c>
      <c r="P1899">
        <v>0</v>
      </c>
      <c r="Q1899">
        <v>3600</v>
      </c>
    </row>
    <row r="1900" spans="1:17">
      <c r="A1900" t="s">
        <v>125</v>
      </c>
      <c r="B1900" t="s">
        <v>65</v>
      </c>
      <c r="C1900">
        <v>7</v>
      </c>
      <c r="D1900">
        <v>2022</v>
      </c>
      <c r="E1900" s="49" t="s">
        <v>146</v>
      </c>
      <c r="F1900" s="49" t="s">
        <v>163</v>
      </c>
      <c r="G1900">
        <f>'Aug-Apr, 2023'!AM102+'Aug-Apr, 2023'!AN102</f>
        <v>32</v>
      </c>
      <c r="H1900">
        <f>'Aug-Apr, 2023'!AO102</f>
        <v>0</v>
      </c>
      <c r="I1900">
        <f>'Aug-Apr, 2023'!AP102</f>
        <v>20</v>
      </c>
      <c r="J1900">
        <f>G1900*Parameters!$B$2*Parameters!$B$5</f>
        <v>68.131199999999993</v>
      </c>
      <c r="K1900">
        <f>H1900*Parameters!$B$3*Parameters!$B$6</f>
        <v>0</v>
      </c>
      <c r="L1900">
        <f>I1900*Parameters!$B$4*Parameters!$B$7</f>
        <v>161.928</v>
      </c>
      <c r="M1900">
        <f t="shared" si="29"/>
        <v>230.05919999999998</v>
      </c>
      <c r="N1900">
        <v>3200</v>
      </c>
      <c r="O1900">
        <v>0</v>
      </c>
      <c r="P1900">
        <v>0</v>
      </c>
      <c r="Q1900">
        <v>6000</v>
      </c>
    </row>
    <row r="1901" spans="1:17">
      <c r="A1901" t="s">
        <v>126</v>
      </c>
      <c r="B1901" t="s">
        <v>65</v>
      </c>
      <c r="C1901">
        <v>6</v>
      </c>
      <c r="D1901">
        <v>2022</v>
      </c>
      <c r="E1901" s="49" t="s">
        <v>146</v>
      </c>
      <c r="F1901" s="49" t="s">
        <v>163</v>
      </c>
      <c r="G1901">
        <f>'Aug-Apr, 2023'!AM103+'Aug-Apr, 2023'!AN103</f>
        <v>44</v>
      </c>
      <c r="H1901">
        <f>'Aug-Apr, 2023'!AO103</f>
        <v>0</v>
      </c>
      <c r="I1901">
        <f>'Aug-Apr, 2023'!AP103</f>
        <v>0</v>
      </c>
      <c r="J1901">
        <f>G1901*Parameters!$B$2*Parameters!$B$5</f>
        <v>93.680399999999992</v>
      </c>
      <c r="K1901">
        <f>H1901*Parameters!$B$3*Parameters!$B$6</f>
        <v>0</v>
      </c>
      <c r="L1901">
        <f>I1901*Parameters!$B$4*Parameters!$B$7</f>
        <v>0</v>
      </c>
      <c r="M1901">
        <f t="shared" si="29"/>
        <v>93.680399999999992</v>
      </c>
      <c r="N1901">
        <v>4400</v>
      </c>
      <c r="O1901">
        <v>0</v>
      </c>
      <c r="P1901">
        <v>0</v>
      </c>
      <c r="Q1901">
        <v>0</v>
      </c>
    </row>
    <row r="1902" spans="1:17">
      <c r="A1902" t="s">
        <v>16</v>
      </c>
      <c r="B1902" t="s">
        <v>17</v>
      </c>
      <c r="C1902">
        <v>8</v>
      </c>
      <c r="D1902">
        <v>2023</v>
      </c>
      <c r="E1902" s="49" t="s">
        <v>147</v>
      </c>
      <c r="F1902" s="49" t="s">
        <v>163</v>
      </c>
      <c r="G1902">
        <f>'Aug-Apr, 2023'!AU4+'Aug-Apr, 2023'!AV4</f>
        <v>52</v>
      </c>
      <c r="H1902">
        <f>'Aug-Apr, 2023'!AW4</f>
        <v>0</v>
      </c>
      <c r="I1902">
        <f>'Aug-Apr, 2023'!AX4</f>
        <v>20</v>
      </c>
      <c r="J1902">
        <f>G1902*Parameters!$B$2*Parameters!$B$5</f>
        <v>110.71319999999999</v>
      </c>
      <c r="K1902">
        <f>H1902*Parameters!$B$3*Parameters!$B$6</f>
        <v>0</v>
      </c>
      <c r="L1902">
        <f>I1902*Parameters!$B$4*Parameters!$B$7</f>
        <v>161.928</v>
      </c>
      <c r="M1902">
        <f t="shared" si="29"/>
        <v>272.64119999999997</v>
      </c>
      <c r="N1902" s="142">
        <f>'Aug-Apr, 2023'!AY4</f>
        <v>5200</v>
      </c>
      <c r="O1902" s="142">
        <f>'Aug-Apr, 2023'!AZ4</f>
        <v>0</v>
      </c>
      <c r="P1902" s="142">
        <f>'Aug-Apr, 2023'!BA4</f>
        <v>0</v>
      </c>
      <c r="Q1902" s="142">
        <f>'Aug-Apr, 2023'!BB4</f>
        <v>6000</v>
      </c>
    </row>
    <row r="1903" spans="1:17">
      <c r="A1903" t="s">
        <v>18</v>
      </c>
      <c r="B1903" t="s">
        <v>19</v>
      </c>
      <c r="C1903">
        <v>7</v>
      </c>
      <c r="D1903">
        <v>2023</v>
      </c>
      <c r="E1903" s="49" t="s">
        <v>147</v>
      </c>
      <c r="F1903" s="49" t="s">
        <v>163</v>
      </c>
      <c r="G1903">
        <f>'Aug-Apr, 2023'!AU5+'Aug-Apr, 2023'!AV5</f>
        <v>48</v>
      </c>
      <c r="H1903">
        <f>'Aug-Apr, 2023'!AW5</f>
        <v>0</v>
      </c>
      <c r="I1903">
        <f>'Aug-Apr, 2023'!AX5</f>
        <v>12</v>
      </c>
      <c r="J1903">
        <f>G1903*Parameters!$B$2*Parameters!$B$5</f>
        <v>102.19679999999998</v>
      </c>
      <c r="K1903">
        <f>H1903*Parameters!$B$3*Parameters!$B$6</f>
        <v>0</v>
      </c>
      <c r="L1903">
        <f>I1903*Parameters!$B$4*Parameters!$B$7</f>
        <v>97.156800000000018</v>
      </c>
      <c r="M1903">
        <f t="shared" si="29"/>
        <v>199.3536</v>
      </c>
      <c r="N1903" s="142">
        <f>'Aug-Apr, 2023'!AY5</f>
        <v>4800</v>
      </c>
      <c r="O1903" s="142">
        <f>'Aug-Apr, 2023'!AZ5</f>
        <v>0</v>
      </c>
      <c r="P1903" s="142">
        <f>'Aug-Apr, 2023'!BA5</f>
        <v>0</v>
      </c>
      <c r="Q1903" s="142">
        <f>'Aug-Apr, 2023'!BB5</f>
        <v>3600</v>
      </c>
    </row>
    <row r="1904" spans="1:17">
      <c r="A1904" t="s">
        <v>20</v>
      </c>
      <c r="B1904" t="s">
        <v>21</v>
      </c>
      <c r="C1904">
        <v>10</v>
      </c>
      <c r="D1904">
        <v>2023</v>
      </c>
      <c r="E1904" s="49" t="s">
        <v>147</v>
      </c>
      <c r="F1904" s="49" t="s">
        <v>163</v>
      </c>
      <c r="G1904">
        <f>'Aug-Apr, 2023'!AU6+'Aug-Apr, 2023'!AV6</f>
        <v>42</v>
      </c>
      <c r="H1904">
        <f>'Aug-Apr, 2023'!AW6</f>
        <v>0</v>
      </c>
      <c r="I1904">
        <f>'Aug-Apr, 2023'!AX6</f>
        <v>20</v>
      </c>
      <c r="J1904">
        <f>G1904*Parameters!$B$2*Parameters!$B$5</f>
        <v>89.422199999999975</v>
      </c>
      <c r="K1904">
        <f>H1904*Parameters!$B$3*Parameters!$B$6</f>
        <v>0</v>
      </c>
      <c r="L1904">
        <f>I1904*Parameters!$B$4*Parameters!$B$7</f>
        <v>161.928</v>
      </c>
      <c r="M1904">
        <f t="shared" si="29"/>
        <v>251.35019999999997</v>
      </c>
      <c r="N1904" s="142">
        <f>'Aug-Apr, 2023'!AY6</f>
        <v>4200</v>
      </c>
      <c r="O1904" s="142">
        <f>'Aug-Apr, 2023'!AZ6</f>
        <v>0</v>
      </c>
      <c r="P1904" s="142">
        <f>'Aug-Apr, 2023'!BA6</f>
        <v>0</v>
      </c>
      <c r="Q1904" s="142">
        <f>'Aug-Apr, 2023'!BB6</f>
        <v>6000</v>
      </c>
    </row>
    <row r="1905" spans="1:17">
      <c r="A1905" t="s">
        <v>22</v>
      </c>
      <c r="B1905" t="s">
        <v>19</v>
      </c>
      <c r="C1905">
        <v>7</v>
      </c>
      <c r="D1905">
        <v>2023</v>
      </c>
      <c r="E1905" s="49" t="s">
        <v>147</v>
      </c>
      <c r="F1905" s="49" t="s">
        <v>163</v>
      </c>
      <c r="G1905">
        <f>'Aug-Apr, 2023'!AU7+'Aug-Apr, 2023'!AV7</f>
        <v>60</v>
      </c>
      <c r="H1905">
        <f>'Aug-Apr, 2023'!AW7</f>
        <v>0</v>
      </c>
      <c r="I1905">
        <f>'Aug-Apr, 2023'!AX7</f>
        <v>12</v>
      </c>
      <c r="J1905">
        <f>G1905*Parameters!$B$2*Parameters!$B$5</f>
        <v>127.74599999999998</v>
      </c>
      <c r="K1905">
        <f>H1905*Parameters!$B$3*Parameters!$B$6</f>
        <v>0</v>
      </c>
      <c r="L1905">
        <f>I1905*Parameters!$B$4*Parameters!$B$7</f>
        <v>97.156800000000018</v>
      </c>
      <c r="M1905">
        <f t="shared" si="29"/>
        <v>224.90280000000001</v>
      </c>
      <c r="N1905" s="142">
        <f>'Aug-Apr, 2023'!AY7</f>
        <v>6000</v>
      </c>
      <c r="O1905" s="142">
        <f>'Aug-Apr, 2023'!AZ7</f>
        <v>0</v>
      </c>
      <c r="P1905" s="142">
        <f>'Aug-Apr, 2023'!BA7</f>
        <v>0</v>
      </c>
      <c r="Q1905" s="142">
        <f>'Aug-Apr, 2023'!BB7</f>
        <v>3600</v>
      </c>
    </row>
    <row r="1906" spans="1:17">
      <c r="A1906" t="s">
        <v>23</v>
      </c>
      <c r="B1906" t="s">
        <v>24</v>
      </c>
      <c r="C1906">
        <v>4</v>
      </c>
      <c r="D1906">
        <v>2023</v>
      </c>
      <c r="E1906" s="49" t="s">
        <v>147</v>
      </c>
      <c r="F1906" s="49" t="s">
        <v>163</v>
      </c>
      <c r="G1906">
        <f>'Aug-Apr, 2023'!AU8+'Aug-Apr, 2023'!AV8</f>
        <v>43</v>
      </c>
      <c r="H1906">
        <f>'Aug-Apr, 2023'!AW8</f>
        <v>0</v>
      </c>
      <c r="I1906">
        <f>'Aug-Apr, 2023'!AX8</f>
        <v>20</v>
      </c>
      <c r="J1906">
        <f>G1906*Parameters!$B$2*Parameters!$B$5</f>
        <v>91.551299999999983</v>
      </c>
      <c r="K1906">
        <f>H1906*Parameters!$B$3*Parameters!$B$6</f>
        <v>0</v>
      </c>
      <c r="L1906">
        <f>I1906*Parameters!$B$4*Parameters!$B$7</f>
        <v>161.928</v>
      </c>
      <c r="M1906">
        <f t="shared" si="29"/>
        <v>253.47929999999997</v>
      </c>
      <c r="N1906" s="142">
        <f>'Aug-Apr, 2023'!AY8</f>
        <v>4300</v>
      </c>
      <c r="O1906" s="142">
        <f>'Aug-Apr, 2023'!AZ8</f>
        <v>0</v>
      </c>
      <c r="P1906" s="142">
        <f>'Aug-Apr, 2023'!BA8</f>
        <v>0</v>
      </c>
      <c r="Q1906" s="142">
        <f>'Aug-Apr, 2023'!BB8</f>
        <v>6000</v>
      </c>
    </row>
    <row r="1907" spans="1:17">
      <c r="A1907" t="s">
        <v>25</v>
      </c>
      <c r="B1907" t="s">
        <v>26</v>
      </c>
      <c r="C1907">
        <v>3</v>
      </c>
      <c r="D1907">
        <v>2023</v>
      </c>
      <c r="E1907" s="49" t="s">
        <v>147</v>
      </c>
      <c r="F1907" s="49" t="s">
        <v>163</v>
      </c>
      <c r="G1907">
        <f>'Aug-Apr, 2023'!AU9+'Aug-Apr, 2023'!AV9</f>
        <v>36</v>
      </c>
      <c r="H1907">
        <f>'Aug-Apr, 2023'!AW9</f>
        <v>0</v>
      </c>
      <c r="I1907">
        <f>'Aug-Apr, 2023'!AX9</f>
        <v>15</v>
      </c>
      <c r="J1907">
        <f>G1907*Parameters!$B$2*Parameters!$B$5</f>
        <v>76.647599999999997</v>
      </c>
      <c r="K1907">
        <f>H1907*Parameters!$B$3*Parameters!$B$6</f>
        <v>0</v>
      </c>
      <c r="L1907">
        <f>I1907*Parameters!$B$4*Parameters!$B$7</f>
        <v>121.44600000000001</v>
      </c>
      <c r="M1907">
        <f t="shared" si="29"/>
        <v>198.09360000000001</v>
      </c>
      <c r="N1907" s="142">
        <f>'Aug-Apr, 2023'!AY9</f>
        <v>3600</v>
      </c>
      <c r="O1907" s="142">
        <f>'Aug-Apr, 2023'!AZ9</f>
        <v>0</v>
      </c>
      <c r="P1907" s="142">
        <f>'Aug-Apr, 2023'!BA9</f>
        <v>0</v>
      </c>
      <c r="Q1907" s="142">
        <f>'Aug-Apr, 2023'!BB9</f>
        <v>4500</v>
      </c>
    </row>
    <row r="1908" spans="1:17">
      <c r="A1908" t="s">
        <v>27</v>
      </c>
      <c r="B1908" t="s">
        <v>21</v>
      </c>
      <c r="C1908">
        <v>6</v>
      </c>
      <c r="D1908">
        <v>2023</v>
      </c>
      <c r="E1908" s="49" t="s">
        <v>147</v>
      </c>
      <c r="F1908" s="49" t="s">
        <v>163</v>
      </c>
      <c r="G1908">
        <f>'Aug-Apr, 2023'!AU10+'Aug-Apr, 2023'!AV10</f>
        <v>51</v>
      </c>
      <c r="H1908">
        <f>'Aug-Apr, 2023'!AW10</f>
        <v>0</v>
      </c>
      <c r="I1908">
        <f>'Aug-Apr, 2023'!AX10</f>
        <v>16</v>
      </c>
      <c r="J1908">
        <f>G1908*Parameters!$B$2*Parameters!$B$5</f>
        <v>108.58409999999999</v>
      </c>
      <c r="K1908">
        <f>H1908*Parameters!$B$3*Parameters!$B$6</f>
        <v>0</v>
      </c>
      <c r="L1908">
        <f>I1908*Parameters!$B$4*Parameters!$B$7</f>
        <v>129.54240000000001</v>
      </c>
      <c r="M1908">
        <f t="shared" si="29"/>
        <v>238.12650000000002</v>
      </c>
      <c r="N1908" s="142">
        <f>'Aug-Apr, 2023'!AY10</f>
        <v>5100</v>
      </c>
      <c r="O1908" s="142">
        <f>'Aug-Apr, 2023'!AZ10</f>
        <v>0</v>
      </c>
      <c r="P1908" s="142">
        <f>'Aug-Apr, 2023'!BA10</f>
        <v>0</v>
      </c>
      <c r="Q1908" s="142">
        <f>'Aug-Apr, 2023'!BB10</f>
        <v>4800</v>
      </c>
    </row>
    <row r="1909" spans="1:17">
      <c r="A1909" t="s">
        <v>28</v>
      </c>
      <c r="B1909" t="s">
        <v>19</v>
      </c>
      <c r="C1909">
        <v>9</v>
      </c>
      <c r="D1909">
        <v>2023</v>
      </c>
      <c r="E1909" s="49" t="s">
        <v>147</v>
      </c>
      <c r="F1909" s="49" t="s">
        <v>163</v>
      </c>
      <c r="G1909">
        <f>'Aug-Apr, 2023'!AU11+'Aug-Apr, 2023'!AV11</f>
        <v>50</v>
      </c>
      <c r="H1909">
        <f>'Aug-Apr, 2023'!AW11</f>
        <v>0</v>
      </c>
      <c r="I1909">
        <f>'Aug-Apr, 2023'!AX11</f>
        <v>14</v>
      </c>
      <c r="J1909">
        <f>G1909*Parameters!$B$2*Parameters!$B$5</f>
        <v>106.45499999999998</v>
      </c>
      <c r="K1909">
        <f>H1909*Parameters!$B$3*Parameters!$B$6</f>
        <v>0</v>
      </c>
      <c r="L1909">
        <f>I1909*Parameters!$B$4*Parameters!$B$7</f>
        <v>113.34960000000001</v>
      </c>
      <c r="M1909">
        <f t="shared" si="29"/>
        <v>219.80459999999999</v>
      </c>
      <c r="N1909" s="142">
        <f>'Aug-Apr, 2023'!AY11</f>
        <v>5000</v>
      </c>
      <c r="O1909" s="142">
        <f>'Aug-Apr, 2023'!AZ11</f>
        <v>0</v>
      </c>
      <c r="P1909" s="142">
        <f>'Aug-Apr, 2023'!BA11</f>
        <v>0</v>
      </c>
      <c r="Q1909" s="142">
        <f>'Aug-Apr, 2023'!BB11</f>
        <v>4200</v>
      </c>
    </row>
    <row r="1910" spans="1:17">
      <c r="A1910" t="s">
        <v>29</v>
      </c>
      <c r="B1910" t="s">
        <v>24</v>
      </c>
      <c r="C1910">
        <v>4</v>
      </c>
      <c r="D1910">
        <v>2023</v>
      </c>
      <c r="E1910" s="49" t="s">
        <v>147</v>
      </c>
      <c r="F1910" s="49" t="s">
        <v>163</v>
      </c>
      <c r="G1910">
        <f>'Aug-Apr, 2023'!AU12+'Aug-Apr, 2023'!AV12</f>
        <v>46</v>
      </c>
      <c r="H1910">
        <f>'Aug-Apr, 2023'!AW12</f>
        <v>0</v>
      </c>
      <c r="I1910">
        <f>'Aug-Apr, 2023'!AX12</f>
        <v>18</v>
      </c>
      <c r="J1910">
        <f>G1910*Parameters!$B$2*Parameters!$B$5</f>
        <v>97.938599999999994</v>
      </c>
      <c r="K1910">
        <f>H1910*Parameters!$B$3*Parameters!$B$6</f>
        <v>0</v>
      </c>
      <c r="L1910">
        <f>I1910*Parameters!$B$4*Parameters!$B$7</f>
        <v>145.73520000000002</v>
      </c>
      <c r="M1910">
        <f t="shared" si="29"/>
        <v>243.67380000000003</v>
      </c>
      <c r="N1910" s="142">
        <f>'Aug-Apr, 2023'!AY12</f>
        <v>4600</v>
      </c>
      <c r="O1910" s="142">
        <f>'Aug-Apr, 2023'!AZ12</f>
        <v>0</v>
      </c>
      <c r="P1910" s="142">
        <f>'Aug-Apr, 2023'!BA12</f>
        <v>0</v>
      </c>
      <c r="Q1910" s="142">
        <f>'Aug-Apr, 2023'!BB12</f>
        <v>5400</v>
      </c>
    </row>
    <row r="1911" spans="1:17">
      <c r="A1911" t="s">
        <v>30</v>
      </c>
      <c r="B1911" t="s">
        <v>21</v>
      </c>
      <c r="C1911">
        <v>6</v>
      </c>
      <c r="D1911">
        <v>2023</v>
      </c>
      <c r="E1911" s="49" t="s">
        <v>147</v>
      </c>
      <c r="F1911" s="49" t="s">
        <v>163</v>
      </c>
      <c r="G1911">
        <f>'Aug-Apr, 2023'!AU13+'Aug-Apr, 2023'!AV13</f>
        <v>32</v>
      </c>
      <c r="H1911">
        <f>'Aug-Apr, 2023'!AW13</f>
        <v>0</v>
      </c>
      <c r="I1911">
        <f>'Aug-Apr, 2023'!AX13</f>
        <v>20</v>
      </c>
      <c r="J1911">
        <f>G1911*Parameters!$B$2*Parameters!$B$5</f>
        <v>68.131199999999993</v>
      </c>
      <c r="K1911">
        <f>H1911*Parameters!$B$3*Parameters!$B$6</f>
        <v>0</v>
      </c>
      <c r="L1911">
        <f>I1911*Parameters!$B$4*Parameters!$B$7</f>
        <v>161.928</v>
      </c>
      <c r="M1911">
        <f t="shared" si="29"/>
        <v>230.05919999999998</v>
      </c>
      <c r="N1911" s="142">
        <f>'Aug-Apr, 2023'!AY13</f>
        <v>3200</v>
      </c>
      <c r="O1911" s="142">
        <f>'Aug-Apr, 2023'!AZ13</f>
        <v>0</v>
      </c>
      <c r="P1911" s="142">
        <f>'Aug-Apr, 2023'!BA13</f>
        <v>0</v>
      </c>
      <c r="Q1911" s="142">
        <f>'Aug-Apr, 2023'!BB13</f>
        <v>6000</v>
      </c>
    </row>
    <row r="1912" spans="1:17">
      <c r="A1912" t="s">
        <v>31</v>
      </c>
      <c r="B1912" t="s">
        <v>32</v>
      </c>
      <c r="C1912">
        <v>4</v>
      </c>
      <c r="D1912">
        <v>2023</v>
      </c>
      <c r="E1912" s="49" t="s">
        <v>147</v>
      </c>
      <c r="F1912" s="49" t="s">
        <v>163</v>
      </c>
      <c r="G1912">
        <f>'Aug-Apr, 2023'!AU14+'Aug-Apr, 2023'!AV14</f>
        <v>50</v>
      </c>
      <c r="H1912">
        <f>'Aug-Apr, 2023'!AW14</f>
        <v>0</v>
      </c>
      <c r="I1912">
        <f>'Aug-Apr, 2023'!AX14</f>
        <v>20</v>
      </c>
      <c r="J1912">
        <f>G1912*Parameters!$B$2*Parameters!$B$5</f>
        <v>106.45499999999998</v>
      </c>
      <c r="K1912">
        <f>H1912*Parameters!$B$3*Parameters!$B$6</f>
        <v>0</v>
      </c>
      <c r="L1912">
        <f>I1912*Parameters!$B$4*Parameters!$B$7</f>
        <v>161.928</v>
      </c>
      <c r="M1912">
        <f t="shared" si="29"/>
        <v>268.38299999999998</v>
      </c>
      <c r="N1912" s="142">
        <f>'Aug-Apr, 2023'!AY14</f>
        <v>5000</v>
      </c>
      <c r="O1912" s="142">
        <f>'Aug-Apr, 2023'!AZ14</f>
        <v>0</v>
      </c>
      <c r="P1912" s="142">
        <f>'Aug-Apr, 2023'!BA14</f>
        <v>0</v>
      </c>
      <c r="Q1912" s="142">
        <f>'Aug-Apr, 2023'!BB14</f>
        <v>6000</v>
      </c>
    </row>
    <row r="1913" spans="1:17">
      <c r="A1913" t="s">
        <v>33</v>
      </c>
      <c r="B1913" t="s">
        <v>32</v>
      </c>
      <c r="C1913">
        <v>6</v>
      </c>
      <c r="D1913">
        <v>2023</v>
      </c>
      <c r="E1913" s="49" t="s">
        <v>147</v>
      </c>
      <c r="F1913" s="49" t="s">
        <v>163</v>
      </c>
      <c r="G1913">
        <f>'Aug-Apr, 2023'!AU15+'Aug-Apr, 2023'!AV15</f>
        <v>43</v>
      </c>
      <c r="H1913">
        <f>'Aug-Apr, 2023'!AW15</f>
        <v>0</v>
      </c>
      <c r="I1913">
        <f>'Aug-Apr, 2023'!AX15</f>
        <v>12</v>
      </c>
      <c r="J1913">
        <f>G1913*Parameters!$B$2*Parameters!$B$5</f>
        <v>91.551299999999983</v>
      </c>
      <c r="K1913">
        <f>H1913*Parameters!$B$3*Parameters!$B$6</f>
        <v>0</v>
      </c>
      <c r="L1913">
        <f>I1913*Parameters!$B$4*Parameters!$B$7</f>
        <v>97.156800000000018</v>
      </c>
      <c r="M1913">
        <f t="shared" si="29"/>
        <v>188.7081</v>
      </c>
      <c r="N1913" s="142">
        <f>'Aug-Apr, 2023'!AY15</f>
        <v>4300</v>
      </c>
      <c r="O1913" s="142">
        <f>'Aug-Apr, 2023'!AZ15</f>
        <v>0</v>
      </c>
      <c r="P1913" s="142">
        <f>'Aug-Apr, 2023'!BA15</f>
        <v>0</v>
      </c>
      <c r="Q1913" s="142">
        <f>'Aug-Apr, 2023'!BB15</f>
        <v>3600</v>
      </c>
    </row>
    <row r="1914" spans="1:17">
      <c r="A1914" t="s">
        <v>34</v>
      </c>
      <c r="B1914" t="s">
        <v>21</v>
      </c>
      <c r="C1914">
        <v>9</v>
      </c>
      <c r="D1914">
        <v>2023</v>
      </c>
      <c r="E1914" s="49" t="s">
        <v>147</v>
      </c>
      <c r="F1914" s="49" t="s">
        <v>163</v>
      </c>
      <c r="G1914">
        <f>'Aug-Apr, 2023'!AU16+'Aug-Apr, 2023'!AV16</f>
        <v>42</v>
      </c>
      <c r="H1914">
        <f>'Aug-Apr, 2023'!AW16</f>
        <v>0</v>
      </c>
      <c r="I1914">
        <f>'Aug-Apr, 2023'!AX16</f>
        <v>18</v>
      </c>
      <c r="J1914">
        <f>G1914*Parameters!$B$2*Parameters!$B$5</f>
        <v>89.422199999999975</v>
      </c>
      <c r="K1914">
        <f>H1914*Parameters!$B$3*Parameters!$B$6</f>
        <v>0</v>
      </c>
      <c r="L1914">
        <f>I1914*Parameters!$B$4*Parameters!$B$7</f>
        <v>145.73520000000002</v>
      </c>
      <c r="M1914">
        <f t="shared" si="29"/>
        <v>235.1574</v>
      </c>
      <c r="N1914" s="142">
        <f>'Aug-Apr, 2023'!AY16</f>
        <v>4200</v>
      </c>
      <c r="O1914" s="142">
        <f>'Aug-Apr, 2023'!AZ16</f>
        <v>0</v>
      </c>
      <c r="P1914" s="142">
        <f>'Aug-Apr, 2023'!BA16</f>
        <v>0</v>
      </c>
      <c r="Q1914" s="142">
        <f>'Aug-Apr, 2023'!BB16</f>
        <v>5400</v>
      </c>
    </row>
    <row r="1915" spans="1:17">
      <c r="A1915" t="s">
        <v>35</v>
      </c>
      <c r="B1915" t="s">
        <v>21</v>
      </c>
      <c r="C1915">
        <v>6</v>
      </c>
      <c r="D1915">
        <v>2023</v>
      </c>
      <c r="E1915" s="49" t="s">
        <v>147</v>
      </c>
      <c r="F1915" s="49" t="s">
        <v>163</v>
      </c>
      <c r="G1915">
        <f>'Aug-Apr, 2023'!AU17+'Aug-Apr, 2023'!AV17</f>
        <v>58</v>
      </c>
      <c r="H1915">
        <f>'Aug-Apr, 2023'!AW17</f>
        <v>0</v>
      </c>
      <c r="I1915">
        <f>'Aug-Apr, 2023'!AX17</f>
        <v>20</v>
      </c>
      <c r="J1915">
        <f>G1915*Parameters!$B$2*Parameters!$B$5</f>
        <v>123.48779999999998</v>
      </c>
      <c r="K1915">
        <f>H1915*Parameters!$B$3*Parameters!$B$6</f>
        <v>0</v>
      </c>
      <c r="L1915">
        <f>I1915*Parameters!$B$4*Parameters!$B$7</f>
        <v>161.928</v>
      </c>
      <c r="M1915">
        <f t="shared" si="29"/>
        <v>285.41579999999999</v>
      </c>
      <c r="N1915" s="142">
        <f>'Aug-Apr, 2023'!AY17</f>
        <v>1600</v>
      </c>
      <c r="O1915" s="142">
        <f>'Aug-Apr, 2023'!AZ17</f>
        <v>4200</v>
      </c>
      <c r="P1915" s="142">
        <f>'Aug-Apr, 2023'!BA17</f>
        <v>0</v>
      </c>
      <c r="Q1915" s="142">
        <f>'Aug-Apr, 2023'!BB17</f>
        <v>6000</v>
      </c>
    </row>
    <row r="1916" spans="1:17">
      <c r="A1916" t="s">
        <v>36</v>
      </c>
      <c r="B1916" t="s">
        <v>21</v>
      </c>
      <c r="C1916">
        <v>12</v>
      </c>
      <c r="D1916">
        <v>2023</v>
      </c>
      <c r="E1916" s="49" t="s">
        <v>147</v>
      </c>
      <c r="F1916" s="49" t="s">
        <v>163</v>
      </c>
      <c r="G1916">
        <f>'Aug-Apr, 2023'!AU18+'Aug-Apr, 2023'!AV18</f>
        <v>35</v>
      </c>
      <c r="H1916">
        <f>'Aug-Apr, 2023'!AW18</f>
        <v>0</v>
      </c>
      <c r="I1916">
        <f>'Aug-Apr, 2023'!AX18</f>
        <v>20</v>
      </c>
      <c r="J1916">
        <f>G1916*Parameters!$B$2*Parameters!$B$5</f>
        <v>74.518499999999989</v>
      </c>
      <c r="K1916">
        <f>H1916*Parameters!$B$3*Parameters!$B$6</f>
        <v>0</v>
      </c>
      <c r="L1916">
        <f>I1916*Parameters!$B$4*Parameters!$B$7</f>
        <v>161.928</v>
      </c>
      <c r="M1916">
        <f t="shared" si="29"/>
        <v>236.44649999999999</v>
      </c>
      <c r="N1916" s="142">
        <f>'Aug-Apr, 2023'!AY18</f>
        <v>3500</v>
      </c>
      <c r="O1916" s="142">
        <f>'Aug-Apr, 2023'!AZ18</f>
        <v>0</v>
      </c>
      <c r="P1916" s="142">
        <f>'Aug-Apr, 2023'!BA18</f>
        <v>0</v>
      </c>
      <c r="Q1916" s="142">
        <f>'Aug-Apr, 2023'!BB18</f>
        <v>6000</v>
      </c>
    </row>
    <row r="1917" spans="1:17">
      <c r="A1917" t="s">
        <v>37</v>
      </c>
      <c r="B1917" t="s">
        <v>38</v>
      </c>
      <c r="C1917">
        <v>7</v>
      </c>
      <c r="D1917">
        <v>2023</v>
      </c>
      <c r="E1917" s="49" t="s">
        <v>147</v>
      </c>
      <c r="F1917" s="49" t="s">
        <v>163</v>
      </c>
      <c r="G1917">
        <f>'Aug-Apr, 2023'!AU19+'Aug-Apr, 2023'!AV19</f>
        <v>42</v>
      </c>
      <c r="H1917">
        <f>'Aug-Apr, 2023'!AW19</f>
        <v>0</v>
      </c>
      <c r="I1917">
        <f>'Aug-Apr, 2023'!AX19</f>
        <v>18</v>
      </c>
      <c r="J1917">
        <f>G1917*Parameters!$B$2*Parameters!$B$5</f>
        <v>89.422199999999975</v>
      </c>
      <c r="K1917">
        <f>H1917*Parameters!$B$3*Parameters!$B$6</f>
        <v>0</v>
      </c>
      <c r="L1917">
        <f>I1917*Parameters!$B$4*Parameters!$B$7</f>
        <v>145.73520000000002</v>
      </c>
      <c r="M1917">
        <f t="shared" si="29"/>
        <v>235.1574</v>
      </c>
      <c r="N1917" s="142">
        <f>'Aug-Apr, 2023'!AY19</f>
        <v>4200</v>
      </c>
      <c r="O1917" s="142">
        <f>'Aug-Apr, 2023'!AZ19</f>
        <v>0</v>
      </c>
      <c r="P1917" s="142">
        <f>'Aug-Apr, 2023'!BA19</f>
        <v>0</v>
      </c>
      <c r="Q1917" s="142">
        <f>'Aug-Apr, 2023'!BB19</f>
        <v>5400</v>
      </c>
    </row>
    <row r="1918" spans="1:17">
      <c r="A1918" t="s">
        <v>39</v>
      </c>
      <c r="B1918" t="s">
        <v>40</v>
      </c>
      <c r="C1918">
        <v>6</v>
      </c>
      <c r="D1918">
        <v>2023</v>
      </c>
      <c r="E1918" s="49" t="s">
        <v>147</v>
      </c>
      <c r="F1918" s="49" t="s">
        <v>163</v>
      </c>
      <c r="G1918">
        <f>'Aug-Apr, 2023'!AU20+'Aug-Apr, 2023'!AV20</f>
        <v>72</v>
      </c>
      <c r="H1918">
        <f>'Aug-Apr, 2023'!AW20</f>
        <v>0</v>
      </c>
      <c r="I1918">
        <f>'Aug-Apr, 2023'!AX20</f>
        <v>12</v>
      </c>
      <c r="J1918">
        <f>G1918*Parameters!$B$2*Parameters!$B$5</f>
        <v>153.29519999999999</v>
      </c>
      <c r="K1918">
        <f>H1918*Parameters!$B$3*Parameters!$B$6</f>
        <v>0</v>
      </c>
      <c r="L1918">
        <f>I1918*Parameters!$B$4*Parameters!$B$7</f>
        <v>97.156800000000018</v>
      </c>
      <c r="M1918">
        <f t="shared" si="29"/>
        <v>250.452</v>
      </c>
      <c r="N1918" s="142">
        <f>'Aug-Apr, 2023'!AY20</f>
        <v>5400</v>
      </c>
      <c r="O1918" s="142">
        <f>'Aug-Apr, 2023'!AZ20</f>
        <v>1800</v>
      </c>
      <c r="P1918" s="142">
        <f>'Aug-Apr, 2023'!BA20</f>
        <v>0</v>
      </c>
      <c r="Q1918" s="142">
        <f>'Aug-Apr, 2023'!BB20</f>
        <v>3600</v>
      </c>
    </row>
    <row r="1919" spans="1:17">
      <c r="A1919" t="s">
        <v>41</v>
      </c>
      <c r="B1919" t="s">
        <v>26</v>
      </c>
      <c r="C1919">
        <v>5</v>
      </c>
      <c r="D1919">
        <v>2023</v>
      </c>
      <c r="E1919" s="49" t="s">
        <v>147</v>
      </c>
      <c r="F1919" s="49" t="s">
        <v>163</v>
      </c>
      <c r="G1919">
        <f>'Aug-Apr, 2023'!AU21+'Aug-Apr, 2023'!AV21</f>
        <v>40</v>
      </c>
      <c r="H1919">
        <f>'Aug-Apr, 2023'!AW21</f>
        <v>0</v>
      </c>
      <c r="I1919">
        <f>'Aug-Apr, 2023'!AX21</f>
        <v>5</v>
      </c>
      <c r="J1919">
        <f>G1919*Parameters!$B$2*Parameters!$B$5</f>
        <v>85.163999999999987</v>
      </c>
      <c r="K1919">
        <f>H1919*Parameters!$B$3*Parameters!$B$6</f>
        <v>0</v>
      </c>
      <c r="L1919">
        <f>I1919*Parameters!$B$4*Parameters!$B$7</f>
        <v>40.481999999999999</v>
      </c>
      <c r="M1919">
        <f t="shared" si="29"/>
        <v>125.64599999999999</v>
      </c>
      <c r="N1919" s="142">
        <f>'Aug-Apr, 2023'!AY21</f>
        <v>4000</v>
      </c>
      <c r="O1919" s="142">
        <f>'Aug-Apr, 2023'!AZ21</f>
        <v>0</v>
      </c>
      <c r="P1919" s="142">
        <f>'Aug-Apr, 2023'!BA21</f>
        <v>0</v>
      </c>
      <c r="Q1919" s="142">
        <f>'Aug-Apr, 2023'!BB21</f>
        <v>1500</v>
      </c>
    </row>
    <row r="1920" spans="1:17">
      <c r="A1920" t="s">
        <v>42</v>
      </c>
      <c r="B1920" t="s">
        <v>24</v>
      </c>
      <c r="C1920">
        <v>5</v>
      </c>
      <c r="D1920">
        <v>2023</v>
      </c>
      <c r="E1920" s="49" t="s">
        <v>147</v>
      </c>
      <c r="F1920" s="49" t="s">
        <v>163</v>
      </c>
      <c r="G1920">
        <f>'Aug-Apr, 2023'!AU22+'Aug-Apr, 2023'!AV22</f>
        <v>32</v>
      </c>
      <c r="H1920">
        <f>'Aug-Apr, 2023'!AW22</f>
        <v>0</v>
      </c>
      <c r="I1920">
        <f>'Aug-Apr, 2023'!AX22</f>
        <v>10</v>
      </c>
      <c r="J1920">
        <f>G1920*Parameters!$B$2*Parameters!$B$5</f>
        <v>68.131199999999993</v>
      </c>
      <c r="K1920">
        <f>H1920*Parameters!$B$3*Parameters!$B$6</f>
        <v>0</v>
      </c>
      <c r="L1920">
        <f>I1920*Parameters!$B$4*Parameters!$B$7</f>
        <v>80.963999999999999</v>
      </c>
      <c r="M1920">
        <f t="shared" si="29"/>
        <v>149.09519999999998</v>
      </c>
      <c r="N1920" s="142">
        <f>'Aug-Apr, 2023'!AY22</f>
        <v>3200</v>
      </c>
      <c r="O1920" s="142">
        <f>'Aug-Apr, 2023'!AZ22</f>
        <v>0</v>
      </c>
      <c r="P1920" s="142">
        <f>'Aug-Apr, 2023'!BA22</f>
        <v>0</v>
      </c>
      <c r="Q1920" s="142">
        <f>'Aug-Apr, 2023'!BB22</f>
        <v>3000</v>
      </c>
    </row>
    <row r="1921" spans="1:17">
      <c r="A1921" t="s">
        <v>43</v>
      </c>
      <c r="B1921" t="s">
        <v>19</v>
      </c>
      <c r="C1921">
        <v>8</v>
      </c>
      <c r="D1921">
        <v>2023</v>
      </c>
      <c r="E1921" s="49" t="s">
        <v>147</v>
      </c>
      <c r="F1921" s="49" t="s">
        <v>163</v>
      </c>
      <c r="G1921">
        <f>'Aug-Apr, 2023'!AU23+'Aug-Apr, 2023'!AV23</f>
        <v>55</v>
      </c>
      <c r="H1921">
        <f>'Aug-Apr, 2023'!AW23</f>
        <v>0</v>
      </c>
      <c r="I1921">
        <f>'Aug-Apr, 2023'!AX23</f>
        <v>20</v>
      </c>
      <c r="J1921">
        <f>G1921*Parameters!$B$2*Parameters!$B$5</f>
        <v>117.10049999999998</v>
      </c>
      <c r="K1921">
        <f>H1921*Parameters!$B$3*Parameters!$B$6</f>
        <v>0</v>
      </c>
      <c r="L1921">
        <f>I1921*Parameters!$B$4*Parameters!$B$7</f>
        <v>161.928</v>
      </c>
      <c r="M1921">
        <f t="shared" si="29"/>
        <v>279.02850000000001</v>
      </c>
      <c r="N1921" s="142">
        <f>'Aug-Apr, 2023'!AY23</f>
        <v>5500</v>
      </c>
      <c r="O1921" s="142">
        <f>'Aug-Apr, 2023'!AZ23</f>
        <v>0</v>
      </c>
      <c r="P1921" s="142">
        <f>'Aug-Apr, 2023'!BA23</f>
        <v>0</v>
      </c>
      <c r="Q1921" s="142">
        <f>'Aug-Apr, 2023'!BB23</f>
        <v>6000</v>
      </c>
    </row>
    <row r="1922" spans="1:17">
      <c r="A1922" t="s">
        <v>44</v>
      </c>
      <c r="B1922" t="s">
        <v>40</v>
      </c>
      <c r="C1922">
        <v>10</v>
      </c>
      <c r="D1922">
        <v>2023</v>
      </c>
      <c r="E1922" s="49" t="s">
        <v>147</v>
      </c>
      <c r="F1922" s="49" t="s">
        <v>163</v>
      </c>
      <c r="G1922">
        <f>'Aug-Apr, 2023'!AU24+'Aug-Apr, 2023'!AV24</f>
        <v>44</v>
      </c>
      <c r="H1922">
        <f>'Aug-Apr, 2023'!AW24</f>
        <v>0</v>
      </c>
      <c r="I1922">
        <f>'Aug-Apr, 2023'!AX24</f>
        <v>15</v>
      </c>
      <c r="J1922">
        <f>G1922*Parameters!$B$2*Parameters!$B$5</f>
        <v>93.680399999999992</v>
      </c>
      <c r="K1922">
        <f>H1922*Parameters!$B$3*Parameters!$B$6</f>
        <v>0</v>
      </c>
      <c r="L1922">
        <f>I1922*Parameters!$B$4*Parameters!$B$7</f>
        <v>121.44600000000001</v>
      </c>
      <c r="M1922">
        <f t="shared" si="29"/>
        <v>215.12639999999999</v>
      </c>
      <c r="N1922" s="142">
        <f>'Aug-Apr, 2023'!AY24</f>
        <v>4400</v>
      </c>
      <c r="O1922" s="142">
        <f>'Aug-Apr, 2023'!AZ24</f>
        <v>0</v>
      </c>
      <c r="P1922" s="142">
        <f>'Aug-Apr, 2023'!BA24</f>
        <v>0</v>
      </c>
      <c r="Q1922" s="142">
        <f>'Aug-Apr, 2023'!BB24</f>
        <v>4500</v>
      </c>
    </row>
    <row r="1923" spans="1:17">
      <c r="A1923" t="s">
        <v>45</v>
      </c>
      <c r="B1923" t="s">
        <v>24</v>
      </c>
      <c r="C1923">
        <v>8</v>
      </c>
      <c r="D1923">
        <v>2023</v>
      </c>
      <c r="E1923" s="49" t="s">
        <v>147</v>
      </c>
      <c r="F1923" s="49" t="s">
        <v>163</v>
      </c>
      <c r="G1923">
        <f>'Aug-Apr, 2023'!AU25+'Aug-Apr, 2023'!AV25</f>
        <v>38</v>
      </c>
      <c r="H1923">
        <f>'Aug-Apr, 2023'!AW25</f>
        <v>0</v>
      </c>
      <c r="I1923">
        <f>'Aug-Apr, 2023'!AX25</f>
        <v>20</v>
      </c>
      <c r="J1923">
        <f>G1923*Parameters!$B$2*Parameters!$B$5</f>
        <v>80.905799999999985</v>
      </c>
      <c r="K1923">
        <f>H1923*Parameters!$B$3*Parameters!$B$6</f>
        <v>0</v>
      </c>
      <c r="L1923">
        <f>I1923*Parameters!$B$4*Parameters!$B$7</f>
        <v>161.928</v>
      </c>
      <c r="M1923">
        <f t="shared" ref="M1923:M1986" si="30">SUM(J1923:L1923)</f>
        <v>242.8338</v>
      </c>
      <c r="N1923" s="142">
        <f>'Aug-Apr, 2023'!AY25</f>
        <v>3800</v>
      </c>
      <c r="O1923" s="142">
        <f>'Aug-Apr, 2023'!AZ25</f>
        <v>0</v>
      </c>
      <c r="P1923" s="142">
        <f>'Aug-Apr, 2023'!BA25</f>
        <v>0</v>
      </c>
      <c r="Q1923" s="142">
        <f>'Aug-Apr, 2023'!BB25</f>
        <v>6000</v>
      </c>
    </row>
    <row r="1924" spans="1:17">
      <c r="A1924" t="s">
        <v>46</v>
      </c>
      <c r="B1924" t="s">
        <v>24</v>
      </c>
      <c r="C1924">
        <v>4</v>
      </c>
      <c r="D1924">
        <v>2023</v>
      </c>
      <c r="E1924" s="49" t="s">
        <v>147</v>
      </c>
      <c r="F1924" s="49" t="s">
        <v>163</v>
      </c>
      <c r="G1924">
        <f>'Aug-Apr, 2023'!AU26+'Aug-Apr, 2023'!AV26</f>
        <v>22</v>
      </c>
      <c r="H1924">
        <f>'Aug-Apr, 2023'!AW26</f>
        <v>8</v>
      </c>
      <c r="I1924">
        <f>'Aug-Apr, 2023'!AX26</f>
        <v>12</v>
      </c>
      <c r="J1924">
        <f>G1924*Parameters!$B$2*Parameters!$B$5</f>
        <v>46.840199999999996</v>
      </c>
      <c r="K1924">
        <f>H1924*Parameters!$B$3*Parameters!$B$6</f>
        <v>50.166399999999996</v>
      </c>
      <c r="L1924">
        <f>I1924*Parameters!$B$4*Parameters!$B$7</f>
        <v>97.156800000000018</v>
      </c>
      <c r="M1924">
        <f t="shared" si="30"/>
        <v>194.16340000000002</v>
      </c>
      <c r="N1924" s="142">
        <f>'Aug-Apr, 2023'!AY26</f>
        <v>2200</v>
      </c>
      <c r="O1924" s="142">
        <f>'Aug-Apr, 2023'!AZ26</f>
        <v>0</v>
      </c>
      <c r="P1924" s="142">
        <f>'Aug-Apr, 2023'!BA26</f>
        <v>2400</v>
      </c>
      <c r="Q1924" s="142">
        <f>'Aug-Apr, 2023'!BB26</f>
        <v>3600</v>
      </c>
    </row>
    <row r="1925" spans="1:17">
      <c r="A1925" t="s">
        <v>47</v>
      </c>
      <c r="B1925" t="s">
        <v>19</v>
      </c>
      <c r="C1925">
        <v>6</v>
      </c>
      <c r="D1925">
        <v>2023</v>
      </c>
      <c r="E1925" s="49" t="s">
        <v>147</v>
      </c>
      <c r="F1925" s="49" t="s">
        <v>163</v>
      </c>
      <c r="G1925">
        <f>'Aug-Apr, 2023'!AU27+'Aug-Apr, 2023'!AV27</f>
        <v>38</v>
      </c>
      <c r="H1925">
        <f>'Aug-Apr, 2023'!AW27</f>
        <v>0</v>
      </c>
      <c r="I1925">
        <f>'Aug-Apr, 2023'!AX27</f>
        <v>14</v>
      </c>
      <c r="J1925">
        <f>G1925*Parameters!$B$2*Parameters!$B$5</f>
        <v>80.905799999999985</v>
      </c>
      <c r="K1925">
        <f>H1925*Parameters!$B$3*Parameters!$B$6</f>
        <v>0</v>
      </c>
      <c r="L1925">
        <f>I1925*Parameters!$B$4*Parameters!$B$7</f>
        <v>113.34960000000001</v>
      </c>
      <c r="M1925">
        <f t="shared" si="30"/>
        <v>194.25540000000001</v>
      </c>
      <c r="N1925" s="142">
        <f>'Aug-Apr, 2023'!AY27</f>
        <v>3800</v>
      </c>
      <c r="O1925" s="142">
        <f>'Aug-Apr, 2023'!AZ27</f>
        <v>0</v>
      </c>
      <c r="P1925" s="142">
        <f>'Aug-Apr, 2023'!BA27</f>
        <v>0</v>
      </c>
      <c r="Q1925" s="142">
        <f>'Aug-Apr, 2023'!BB27</f>
        <v>4200</v>
      </c>
    </row>
    <row r="1926" spans="1:17">
      <c r="A1926" t="s">
        <v>48</v>
      </c>
      <c r="B1926" t="s">
        <v>24</v>
      </c>
      <c r="C1926">
        <v>4</v>
      </c>
      <c r="D1926">
        <v>2023</v>
      </c>
      <c r="E1926" s="49" t="s">
        <v>147</v>
      </c>
      <c r="F1926" s="49" t="s">
        <v>163</v>
      </c>
      <c r="G1926">
        <f>'Aug-Apr, 2023'!AU28+'Aug-Apr, 2023'!AV28</f>
        <v>40</v>
      </c>
      <c r="H1926">
        <f>'Aug-Apr, 2023'!AW28</f>
        <v>0</v>
      </c>
      <c r="I1926">
        <f>'Aug-Apr, 2023'!AX28</f>
        <v>18</v>
      </c>
      <c r="J1926">
        <f>G1926*Parameters!$B$2*Parameters!$B$5</f>
        <v>85.163999999999987</v>
      </c>
      <c r="K1926">
        <f>H1926*Parameters!$B$3*Parameters!$B$6</f>
        <v>0</v>
      </c>
      <c r="L1926">
        <f>I1926*Parameters!$B$4*Parameters!$B$7</f>
        <v>145.73520000000002</v>
      </c>
      <c r="M1926">
        <f t="shared" si="30"/>
        <v>230.89920000000001</v>
      </c>
      <c r="N1926" s="142">
        <f>'Aug-Apr, 2023'!AY28</f>
        <v>4000</v>
      </c>
      <c r="O1926" s="142">
        <f>'Aug-Apr, 2023'!AZ28</f>
        <v>0</v>
      </c>
      <c r="P1926" s="142">
        <f>'Aug-Apr, 2023'!BA28</f>
        <v>0</v>
      </c>
      <c r="Q1926" s="142">
        <f>'Aug-Apr, 2023'!BB28</f>
        <v>5400</v>
      </c>
    </row>
    <row r="1927" spans="1:17">
      <c r="A1927" t="s">
        <v>49</v>
      </c>
      <c r="B1927" t="s">
        <v>38</v>
      </c>
      <c r="C1927">
        <v>2</v>
      </c>
      <c r="D1927">
        <v>2023</v>
      </c>
      <c r="E1927" s="49" t="s">
        <v>147</v>
      </c>
      <c r="F1927" s="49" t="s">
        <v>163</v>
      </c>
      <c r="G1927">
        <f>'Aug-Apr, 2023'!AU29+'Aug-Apr, 2023'!AV29</f>
        <v>47</v>
      </c>
      <c r="H1927">
        <f>'Aug-Apr, 2023'!AW29</f>
        <v>0</v>
      </c>
      <c r="I1927">
        <f>'Aug-Apr, 2023'!AX29</f>
        <v>20</v>
      </c>
      <c r="J1927">
        <f>G1927*Parameters!$B$2*Parameters!$B$5</f>
        <v>100.06769999999997</v>
      </c>
      <c r="K1927">
        <f>H1927*Parameters!$B$3*Parameters!$B$6</f>
        <v>0</v>
      </c>
      <c r="L1927">
        <f>I1927*Parameters!$B$4*Parameters!$B$7</f>
        <v>161.928</v>
      </c>
      <c r="M1927">
        <f t="shared" si="30"/>
        <v>261.99569999999994</v>
      </c>
      <c r="N1927" s="142">
        <f>'Aug-Apr, 2023'!AY29</f>
        <v>4700</v>
      </c>
      <c r="O1927" s="142">
        <f>'Aug-Apr, 2023'!AZ29</f>
        <v>0</v>
      </c>
      <c r="P1927" s="142">
        <f>'Aug-Apr, 2023'!BA29</f>
        <v>0</v>
      </c>
      <c r="Q1927" s="142">
        <f>'Aug-Apr, 2023'!BB29</f>
        <v>6000</v>
      </c>
    </row>
    <row r="1928" spans="1:17">
      <c r="A1928" t="s">
        <v>50</v>
      </c>
      <c r="B1928" t="s">
        <v>19</v>
      </c>
      <c r="C1928">
        <v>8</v>
      </c>
      <c r="D1928">
        <v>2023</v>
      </c>
      <c r="E1928" s="49" t="s">
        <v>147</v>
      </c>
      <c r="F1928" s="49" t="s">
        <v>163</v>
      </c>
      <c r="G1928">
        <f>'Aug-Apr, 2023'!AU30+'Aug-Apr, 2023'!AV30</f>
        <v>43</v>
      </c>
      <c r="H1928">
        <f>'Aug-Apr, 2023'!AW30</f>
        <v>0</v>
      </c>
      <c r="I1928">
        <f>'Aug-Apr, 2023'!AX30</f>
        <v>12</v>
      </c>
      <c r="J1928">
        <f>G1928*Parameters!$B$2*Parameters!$B$5</f>
        <v>91.551299999999983</v>
      </c>
      <c r="K1928">
        <f>H1928*Parameters!$B$3*Parameters!$B$6</f>
        <v>0</v>
      </c>
      <c r="L1928">
        <f>I1928*Parameters!$B$4*Parameters!$B$7</f>
        <v>97.156800000000018</v>
      </c>
      <c r="M1928">
        <f t="shared" si="30"/>
        <v>188.7081</v>
      </c>
      <c r="N1928" s="142">
        <f>'Aug-Apr, 2023'!AY30</f>
        <v>4300</v>
      </c>
      <c r="O1928" s="142">
        <f>'Aug-Apr, 2023'!AZ30</f>
        <v>0</v>
      </c>
      <c r="P1928" s="142">
        <f>'Aug-Apr, 2023'!BA30</f>
        <v>0</v>
      </c>
      <c r="Q1928" s="142">
        <f>'Aug-Apr, 2023'!BB30</f>
        <v>3600</v>
      </c>
    </row>
    <row r="1929" spans="1:17">
      <c r="A1929" t="s">
        <v>51</v>
      </c>
      <c r="B1929" t="s">
        <v>19</v>
      </c>
      <c r="C1929">
        <v>6</v>
      </c>
      <c r="D1929">
        <v>2023</v>
      </c>
      <c r="E1929" s="49" t="s">
        <v>147</v>
      </c>
      <c r="F1929" s="49" t="s">
        <v>163</v>
      </c>
      <c r="G1929">
        <f>'Aug-Apr, 2023'!AU31+'Aug-Apr, 2023'!AV31</f>
        <v>36</v>
      </c>
      <c r="H1929">
        <f>'Aug-Apr, 2023'!AW31</f>
        <v>0</v>
      </c>
      <c r="I1929">
        <f>'Aug-Apr, 2023'!AX31</f>
        <v>20</v>
      </c>
      <c r="J1929">
        <f>G1929*Parameters!$B$2*Parameters!$B$5</f>
        <v>76.647599999999997</v>
      </c>
      <c r="K1929">
        <f>H1929*Parameters!$B$3*Parameters!$B$6</f>
        <v>0</v>
      </c>
      <c r="L1929">
        <f>I1929*Parameters!$B$4*Parameters!$B$7</f>
        <v>161.928</v>
      </c>
      <c r="M1929">
        <f t="shared" si="30"/>
        <v>238.57560000000001</v>
      </c>
      <c r="N1929" s="142">
        <f>'Aug-Apr, 2023'!AY31</f>
        <v>3600</v>
      </c>
      <c r="O1929" s="142">
        <f>'Aug-Apr, 2023'!AZ31</f>
        <v>0</v>
      </c>
      <c r="P1929" s="142">
        <f>'Aug-Apr, 2023'!BA31</f>
        <v>0</v>
      </c>
      <c r="Q1929" s="142">
        <f>'Aug-Apr, 2023'!BB31</f>
        <v>6000</v>
      </c>
    </row>
    <row r="1930" spans="1:17">
      <c r="A1930" t="s">
        <v>52</v>
      </c>
      <c r="B1930" t="s">
        <v>38</v>
      </c>
      <c r="C1930">
        <v>12</v>
      </c>
      <c r="D1930">
        <v>2023</v>
      </c>
      <c r="E1930" s="49" t="s">
        <v>147</v>
      </c>
      <c r="F1930" s="49" t="s">
        <v>163</v>
      </c>
      <c r="G1930">
        <f>'Aug-Apr, 2023'!AU32+'Aug-Apr, 2023'!AV32</f>
        <v>45</v>
      </c>
      <c r="H1930">
        <f>'Aug-Apr, 2023'!AW32</f>
        <v>0</v>
      </c>
      <c r="I1930">
        <f>'Aug-Apr, 2023'!AX32</f>
        <v>15</v>
      </c>
      <c r="J1930">
        <f>G1930*Parameters!$B$2*Parameters!$B$5</f>
        <v>95.809499999999986</v>
      </c>
      <c r="K1930">
        <f>H1930*Parameters!$B$3*Parameters!$B$6</f>
        <v>0</v>
      </c>
      <c r="L1930">
        <f>I1930*Parameters!$B$4*Parameters!$B$7</f>
        <v>121.44600000000001</v>
      </c>
      <c r="M1930">
        <f t="shared" si="30"/>
        <v>217.25549999999998</v>
      </c>
      <c r="N1930" s="142">
        <f>'Aug-Apr, 2023'!AY32</f>
        <v>4500</v>
      </c>
      <c r="O1930" s="142">
        <f>'Aug-Apr, 2023'!AZ32</f>
        <v>0</v>
      </c>
      <c r="P1930" s="142">
        <f>'Aug-Apr, 2023'!BA32</f>
        <v>0</v>
      </c>
      <c r="Q1930" s="142">
        <f>'Aug-Apr, 2023'!BB32</f>
        <v>4500</v>
      </c>
    </row>
    <row r="1931" spans="1:17">
      <c r="A1931" t="s">
        <v>53</v>
      </c>
      <c r="B1931" t="s">
        <v>40</v>
      </c>
      <c r="C1931">
        <v>8</v>
      </c>
      <c r="D1931">
        <v>2023</v>
      </c>
      <c r="E1931" s="49" t="s">
        <v>147</v>
      </c>
      <c r="F1931" s="49" t="s">
        <v>163</v>
      </c>
      <c r="G1931">
        <f>'Aug-Apr, 2023'!AU33+'Aug-Apr, 2023'!AV33</f>
        <v>50</v>
      </c>
      <c r="H1931">
        <f>'Aug-Apr, 2023'!AW33</f>
        <v>0</v>
      </c>
      <c r="I1931">
        <f>'Aug-Apr, 2023'!AX33</f>
        <v>15</v>
      </c>
      <c r="J1931">
        <f>G1931*Parameters!$B$2*Parameters!$B$5</f>
        <v>106.45499999999998</v>
      </c>
      <c r="K1931">
        <f>H1931*Parameters!$B$3*Parameters!$B$6</f>
        <v>0</v>
      </c>
      <c r="L1931">
        <f>I1931*Parameters!$B$4*Parameters!$B$7</f>
        <v>121.44600000000001</v>
      </c>
      <c r="M1931">
        <f t="shared" si="30"/>
        <v>227.90100000000001</v>
      </c>
      <c r="N1931" s="142">
        <f>'Aug-Apr, 2023'!AY33</f>
        <v>5000</v>
      </c>
      <c r="O1931" s="142">
        <f>'Aug-Apr, 2023'!AZ33</f>
        <v>0</v>
      </c>
      <c r="P1931" s="142">
        <f>'Aug-Apr, 2023'!BA33</f>
        <v>0</v>
      </c>
      <c r="Q1931" s="142">
        <f>'Aug-Apr, 2023'!BB33</f>
        <v>4500</v>
      </c>
    </row>
    <row r="1932" spans="1:17">
      <c r="A1932" t="s">
        <v>54</v>
      </c>
      <c r="B1932" t="s">
        <v>40</v>
      </c>
      <c r="C1932">
        <v>6</v>
      </c>
      <c r="D1932">
        <v>2023</v>
      </c>
      <c r="E1932" s="49" t="s">
        <v>147</v>
      </c>
      <c r="F1932" s="49" t="s">
        <v>163</v>
      </c>
      <c r="G1932">
        <f>'Aug-Apr, 2023'!AU34+'Aug-Apr, 2023'!AV34</f>
        <v>52</v>
      </c>
      <c r="H1932">
        <f>'Aug-Apr, 2023'!AW34</f>
        <v>0</v>
      </c>
      <c r="I1932">
        <f>'Aug-Apr, 2023'!AX34</f>
        <v>20</v>
      </c>
      <c r="J1932">
        <f>G1932*Parameters!$B$2*Parameters!$B$5</f>
        <v>110.71319999999999</v>
      </c>
      <c r="K1932">
        <f>H1932*Parameters!$B$3*Parameters!$B$6</f>
        <v>0</v>
      </c>
      <c r="L1932">
        <f>I1932*Parameters!$B$4*Parameters!$B$7</f>
        <v>161.928</v>
      </c>
      <c r="M1932">
        <f t="shared" si="30"/>
        <v>272.64119999999997</v>
      </c>
      <c r="N1932" s="142">
        <f>'Aug-Apr, 2023'!AY34</f>
        <v>5200</v>
      </c>
      <c r="O1932" s="142">
        <f>'Aug-Apr, 2023'!AZ34</f>
        <v>0</v>
      </c>
      <c r="P1932" s="142">
        <f>'Aug-Apr, 2023'!BA34</f>
        <v>0</v>
      </c>
      <c r="Q1932" s="142">
        <f>'Aug-Apr, 2023'!BB34</f>
        <v>6000</v>
      </c>
    </row>
    <row r="1933" spans="1:17">
      <c r="A1933" t="s">
        <v>55</v>
      </c>
      <c r="B1933" t="s">
        <v>56</v>
      </c>
      <c r="C1933">
        <v>4</v>
      </c>
      <c r="D1933">
        <v>2023</v>
      </c>
      <c r="E1933" s="49" t="s">
        <v>147</v>
      </c>
      <c r="F1933" s="49" t="s">
        <v>163</v>
      </c>
      <c r="G1933">
        <f>'Aug-Apr, 2023'!AU35+'Aug-Apr, 2023'!AV35</f>
        <v>42</v>
      </c>
      <c r="H1933">
        <f>'Aug-Apr, 2023'!AW35</f>
        <v>0</v>
      </c>
      <c r="I1933">
        <f>'Aug-Apr, 2023'!AX35</f>
        <v>20</v>
      </c>
      <c r="J1933">
        <f>G1933*Parameters!$B$2*Parameters!$B$5</f>
        <v>89.422199999999975</v>
      </c>
      <c r="K1933">
        <f>H1933*Parameters!$B$3*Parameters!$B$6</f>
        <v>0</v>
      </c>
      <c r="L1933">
        <f>I1933*Parameters!$B$4*Parameters!$B$7</f>
        <v>161.928</v>
      </c>
      <c r="M1933">
        <f t="shared" si="30"/>
        <v>251.35019999999997</v>
      </c>
      <c r="N1933" s="142">
        <f>'Aug-Apr, 2023'!AY35</f>
        <v>4200</v>
      </c>
      <c r="O1933" s="142">
        <f>'Aug-Apr, 2023'!AZ35</f>
        <v>0</v>
      </c>
      <c r="P1933" s="142">
        <f>'Aug-Apr, 2023'!BA35</f>
        <v>0</v>
      </c>
      <c r="Q1933" s="142">
        <f>'Aug-Apr, 2023'!BB35</f>
        <v>6000</v>
      </c>
    </row>
    <row r="1934" spans="1:17">
      <c r="A1934" t="s">
        <v>57</v>
      </c>
      <c r="B1934" t="s">
        <v>40</v>
      </c>
      <c r="C1934">
        <v>4</v>
      </c>
      <c r="D1934">
        <v>2023</v>
      </c>
      <c r="E1934" s="49" t="s">
        <v>147</v>
      </c>
      <c r="F1934" s="49" t="s">
        <v>163</v>
      </c>
      <c r="G1934">
        <f>'Aug-Apr, 2023'!AU36+'Aug-Apr, 2023'!AV36</f>
        <v>55</v>
      </c>
      <c r="H1934">
        <f>'Aug-Apr, 2023'!AW36</f>
        <v>0</v>
      </c>
      <c r="I1934">
        <f>'Aug-Apr, 2023'!AX36</f>
        <v>20</v>
      </c>
      <c r="J1934">
        <f>G1934*Parameters!$B$2*Parameters!$B$5</f>
        <v>117.10049999999998</v>
      </c>
      <c r="K1934">
        <f>H1934*Parameters!$B$3*Parameters!$B$6</f>
        <v>0</v>
      </c>
      <c r="L1934">
        <f>I1934*Parameters!$B$4*Parameters!$B$7</f>
        <v>161.928</v>
      </c>
      <c r="M1934">
        <f t="shared" si="30"/>
        <v>279.02850000000001</v>
      </c>
      <c r="N1934" s="142">
        <f>'Aug-Apr, 2023'!AY36</f>
        <v>5500</v>
      </c>
      <c r="O1934" s="142">
        <f>'Aug-Apr, 2023'!AZ36</f>
        <v>0</v>
      </c>
      <c r="P1934" s="142">
        <f>'Aug-Apr, 2023'!BA36</f>
        <v>0</v>
      </c>
      <c r="Q1934" s="142">
        <f>'Aug-Apr, 2023'!BB36</f>
        <v>6000</v>
      </c>
    </row>
    <row r="1935" spans="1:17">
      <c r="A1935" t="s">
        <v>58</v>
      </c>
      <c r="B1935" t="s">
        <v>26</v>
      </c>
      <c r="C1935">
        <v>6</v>
      </c>
      <c r="D1935">
        <v>2023</v>
      </c>
      <c r="E1935" s="49" t="s">
        <v>147</v>
      </c>
      <c r="F1935" s="49" t="s">
        <v>163</v>
      </c>
      <c r="G1935">
        <f>'Aug-Apr, 2023'!AU37+'Aug-Apr, 2023'!AV37</f>
        <v>60</v>
      </c>
      <c r="H1935">
        <f>'Aug-Apr, 2023'!AW37</f>
        <v>0</v>
      </c>
      <c r="I1935">
        <f>'Aug-Apr, 2023'!AX37</f>
        <v>15</v>
      </c>
      <c r="J1935">
        <f>G1935*Parameters!$B$2*Parameters!$B$5</f>
        <v>127.74599999999998</v>
      </c>
      <c r="K1935">
        <f>H1935*Parameters!$B$3*Parameters!$B$6</f>
        <v>0</v>
      </c>
      <c r="L1935">
        <f>I1935*Parameters!$B$4*Parameters!$B$7</f>
        <v>121.44600000000001</v>
      </c>
      <c r="M1935">
        <f t="shared" si="30"/>
        <v>249.19200000000001</v>
      </c>
      <c r="N1935" s="142">
        <f>'Aug-Apr, 2023'!AY37</f>
        <v>6000</v>
      </c>
      <c r="O1935" s="142">
        <f>'Aug-Apr, 2023'!AZ37</f>
        <v>0</v>
      </c>
      <c r="P1935" s="142">
        <f>'Aug-Apr, 2023'!BA37</f>
        <v>0</v>
      </c>
      <c r="Q1935" s="142">
        <f>'Aug-Apr, 2023'!BB37</f>
        <v>4500</v>
      </c>
    </row>
    <row r="1936" spans="1:17">
      <c r="A1936" t="s">
        <v>59</v>
      </c>
      <c r="B1936" t="s">
        <v>26</v>
      </c>
      <c r="C1936">
        <v>7</v>
      </c>
      <c r="D1936">
        <v>2023</v>
      </c>
      <c r="E1936" s="49" t="s">
        <v>147</v>
      </c>
      <c r="F1936" s="49" t="s">
        <v>163</v>
      </c>
      <c r="G1936">
        <f>'Aug-Apr, 2023'!AU38+'Aug-Apr, 2023'!AV38</f>
        <v>41</v>
      </c>
      <c r="H1936">
        <f>'Aug-Apr, 2023'!AW38</f>
        <v>0</v>
      </c>
      <c r="I1936">
        <f>'Aug-Apr, 2023'!AX38</f>
        <v>16</v>
      </c>
      <c r="J1936">
        <f>G1936*Parameters!$B$2*Parameters!$B$5</f>
        <v>87.293099999999995</v>
      </c>
      <c r="K1936">
        <f>H1936*Parameters!$B$3*Parameters!$B$6</f>
        <v>0</v>
      </c>
      <c r="L1936">
        <f>I1936*Parameters!$B$4*Parameters!$B$7</f>
        <v>129.54240000000001</v>
      </c>
      <c r="M1936">
        <f t="shared" si="30"/>
        <v>216.83550000000002</v>
      </c>
      <c r="N1936" s="142">
        <f>'Aug-Apr, 2023'!AY38</f>
        <v>4100</v>
      </c>
      <c r="O1936" s="142">
        <f>'Aug-Apr, 2023'!AZ38</f>
        <v>0</v>
      </c>
      <c r="P1936" s="142">
        <f>'Aug-Apr, 2023'!BA38</f>
        <v>0</v>
      </c>
      <c r="Q1936" s="142">
        <f>'Aug-Apr, 2023'!BB38</f>
        <v>4800</v>
      </c>
    </row>
    <row r="1937" spans="1:17">
      <c r="A1937" t="s">
        <v>60</v>
      </c>
      <c r="B1937" t="s">
        <v>26</v>
      </c>
      <c r="C1937">
        <v>8</v>
      </c>
      <c r="D1937">
        <v>2023</v>
      </c>
      <c r="E1937" s="49" t="s">
        <v>147</v>
      </c>
      <c r="F1937" s="49" t="s">
        <v>163</v>
      </c>
      <c r="G1937">
        <f>'Aug-Apr, 2023'!AU39+'Aug-Apr, 2023'!AV39</f>
        <v>48</v>
      </c>
      <c r="H1937">
        <f>'Aug-Apr, 2023'!AW39</f>
        <v>0</v>
      </c>
      <c r="I1937">
        <f>'Aug-Apr, 2023'!AX39</f>
        <v>10</v>
      </c>
      <c r="J1937">
        <f>G1937*Parameters!$B$2*Parameters!$B$5</f>
        <v>102.19679999999998</v>
      </c>
      <c r="K1937">
        <f>H1937*Parameters!$B$3*Parameters!$B$6</f>
        <v>0</v>
      </c>
      <c r="L1937">
        <f>I1937*Parameters!$B$4*Parameters!$B$7</f>
        <v>80.963999999999999</v>
      </c>
      <c r="M1937">
        <f t="shared" si="30"/>
        <v>183.16079999999999</v>
      </c>
      <c r="N1937" s="142">
        <f>'Aug-Apr, 2023'!AY39</f>
        <v>4800</v>
      </c>
      <c r="O1937" s="142">
        <f>'Aug-Apr, 2023'!AZ39</f>
        <v>0</v>
      </c>
      <c r="P1937" s="142">
        <f>'Aug-Apr, 2023'!BA39</f>
        <v>0</v>
      </c>
      <c r="Q1937" s="142">
        <f>'Aug-Apr, 2023'!BB39</f>
        <v>3000</v>
      </c>
    </row>
    <row r="1938" spans="1:17">
      <c r="A1938" t="s">
        <v>61</v>
      </c>
      <c r="B1938" t="s">
        <v>56</v>
      </c>
      <c r="C1938">
        <v>5</v>
      </c>
      <c r="D1938">
        <v>2023</v>
      </c>
      <c r="E1938" s="49" t="s">
        <v>147</v>
      </c>
      <c r="F1938" s="49" t="s">
        <v>163</v>
      </c>
      <c r="G1938">
        <f>'Aug-Apr, 2023'!AU40+'Aug-Apr, 2023'!AV40</f>
        <v>60</v>
      </c>
      <c r="H1938">
        <f>'Aug-Apr, 2023'!AW40</f>
        <v>0</v>
      </c>
      <c r="I1938">
        <f>'Aug-Apr, 2023'!AX40</f>
        <v>18</v>
      </c>
      <c r="J1938">
        <f>G1938*Parameters!$B$2*Parameters!$B$5</f>
        <v>127.74599999999998</v>
      </c>
      <c r="K1938">
        <f>H1938*Parameters!$B$3*Parameters!$B$6</f>
        <v>0</v>
      </c>
      <c r="L1938">
        <f>I1938*Parameters!$B$4*Parameters!$B$7</f>
        <v>145.73520000000002</v>
      </c>
      <c r="M1938">
        <f t="shared" si="30"/>
        <v>273.4812</v>
      </c>
      <c r="N1938" s="142">
        <f>'Aug-Apr, 2023'!AY40</f>
        <v>6000</v>
      </c>
      <c r="O1938" s="142">
        <f>'Aug-Apr, 2023'!AZ40</f>
        <v>0</v>
      </c>
      <c r="P1938" s="142">
        <f>'Aug-Apr, 2023'!BA40</f>
        <v>0</v>
      </c>
      <c r="Q1938" s="142">
        <f>'Aug-Apr, 2023'!BB40</f>
        <v>5400</v>
      </c>
    </row>
    <row r="1939" spans="1:17">
      <c r="A1939" t="s">
        <v>62</v>
      </c>
      <c r="B1939" t="s">
        <v>21</v>
      </c>
      <c r="C1939">
        <v>6</v>
      </c>
      <c r="D1939">
        <v>2023</v>
      </c>
      <c r="E1939" s="49" t="s">
        <v>147</v>
      </c>
      <c r="F1939" s="49" t="s">
        <v>163</v>
      </c>
      <c r="G1939">
        <f>'Aug-Apr, 2023'!AU41+'Aug-Apr, 2023'!AV41</f>
        <v>42</v>
      </c>
      <c r="H1939">
        <f>'Aug-Apr, 2023'!AW41</f>
        <v>0</v>
      </c>
      <c r="I1939">
        <f>'Aug-Apr, 2023'!AX41</f>
        <v>20</v>
      </c>
      <c r="J1939">
        <f>G1939*Parameters!$B$2*Parameters!$B$5</f>
        <v>89.422199999999975</v>
      </c>
      <c r="K1939">
        <f>H1939*Parameters!$B$3*Parameters!$B$6</f>
        <v>0</v>
      </c>
      <c r="L1939">
        <f>I1939*Parameters!$B$4*Parameters!$B$7</f>
        <v>161.928</v>
      </c>
      <c r="M1939">
        <f t="shared" si="30"/>
        <v>251.35019999999997</v>
      </c>
      <c r="N1939" s="142">
        <f>'Aug-Apr, 2023'!AY41</f>
        <v>4200</v>
      </c>
      <c r="O1939" s="142">
        <f>'Aug-Apr, 2023'!AZ41</f>
        <v>0</v>
      </c>
      <c r="P1939" s="142">
        <f>'Aug-Apr, 2023'!BA41</f>
        <v>0</v>
      </c>
      <c r="Q1939" s="142">
        <f>'Aug-Apr, 2023'!BB41</f>
        <v>6000</v>
      </c>
    </row>
    <row r="1940" spans="1:17">
      <c r="A1940" t="s">
        <v>63</v>
      </c>
      <c r="B1940" t="s">
        <v>21</v>
      </c>
      <c r="C1940">
        <v>9</v>
      </c>
      <c r="D1940">
        <v>2023</v>
      </c>
      <c r="E1940" s="49" t="s">
        <v>147</v>
      </c>
      <c r="F1940" s="49" t="s">
        <v>163</v>
      </c>
      <c r="G1940">
        <f>'Aug-Apr, 2023'!AU42+'Aug-Apr, 2023'!AV42</f>
        <v>52</v>
      </c>
      <c r="H1940">
        <f>'Aug-Apr, 2023'!AW42</f>
        <v>0</v>
      </c>
      <c r="I1940">
        <f>'Aug-Apr, 2023'!AX42</f>
        <v>20</v>
      </c>
      <c r="J1940">
        <f>G1940*Parameters!$B$2*Parameters!$B$5</f>
        <v>110.71319999999999</v>
      </c>
      <c r="K1940">
        <f>H1940*Parameters!$B$3*Parameters!$B$6</f>
        <v>0</v>
      </c>
      <c r="L1940">
        <f>I1940*Parameters!$B$4*Parameters!$B$7</f>
        <v>161.928</v>
      </c>
      <c r="M1940">
        <f t="shared" si="30"/>
        <v>272.64119999999997</v>
      </c>
      <c r="N1940" s="142">
        <f>'Aug-Apr, 2023'!AY42</f>
        <v>5200</v>
      </c>
      <c r="O1940" s="142">
        <f>'Aug-Apr, 2023'!AZ42</f>
        <v>0</v>
      </c>
      <c r="P1940" s="142">
        <f>'Aug-Apr, 2023'!BA42</f>
        <v>0</v>
      </c>
      <c r="Q1940" s="142">
        <f>'Aug-Apr, 2023'!BB42</f>
        <v>6000</v>
      </c>
    </row>
    <row r="1941" spans="1:17">
      <c r="A1941" t="s">
        <v>64</v>
      </c>
      <c r="B1941" t="s">
        <v>65</v>
      </c>
      <c r="C1941">
        <v>3</v>
      </c>
      <c r="D1941">
        <v>2023</v>
      </c>
      <c r="E1941" s="49" t="s">
        <v>147</v>
      </c>
      <c r="F1941" s="49" t="s">
        <v>163</v>
      </c>
      <c r="G1941">
        <f>'Aug-Apr, 2023'!AU43+'Aug-Apr, 2023'!AV43</f>
        <v>108</v>
      </c>
      <c r="H1941">
        <f>'Aug-Apr, 2023'!AW43</f>
        <v>0</v>
      </c>
      <c r="I1941">
        <f>'Aug-Apr, 2023'!AX43</f>
        <v>10</v>
      </c>
      <c r="J1941">
        <f>G1941*Parameters!$B$2*Parameters!$B$5</f>
        <v>229.94279999999998</v>
      </c>
      <c r="K1941">
        <f>H1941*Parameters!$B$3*Parameters!$B$6</f>
        <v>0</v>
      </c>
      <c r="L1941">
        <f>I1941*Parameters!$B$4*Parameters!$B$7</f>
        <v>80.963999999999999</v>
      </c>
      <c r="M1941">
        <f t="shared" si="30"/>
        <v>310.90679999999998</v>
      </c>
      <c r="N1941" s="142">
        <f>'Aug-Apr, 2023'!AY43</f>
        <v>6000</v>
      </c>
      <c r="O1941" s="142">
        <f>'Aug-Apr, 2023'!AZ43</f>
        <v>4800</v>
      </c>
      <c r="P1941" s="142">
        <f>'Aug-Apr, 2023'!BA43</f>
        <v>0</v>
      </c>
      <c r="Q1941" s="142">
        <f>'Aug-Apr, 2023'!BB43</f>
        <v>3000</v>
      </c>
    </row>
    <row r="1942" spans="1:17">
      <c r="A1942" t="s">
        <v>66</v>
      </c>
      <c r="B1942" t="s">
        <v>24</v>
      </c>
      <c r="C1942">
        <v>4</v>
      </c>
      <c r="D1942">
        <v>2023</v>
      </c>
      <c r="E1942" s="49" t="s">
        <v>147</v>
      </c>
      <c r="F1942" s="49" t="s">
        <v>163</v>
      </c>
      <c r="G1942">
        <f>'Aug-Apr, 2023'!AU44+'Aug-Apr, 2023'!AV44</f>
        <v>45</v>
      </c>
      <c r="H1942">
        <f>'Aug-Apr, 2023'!AW44</f>
        <v>0</v>
      </c>
      <c r="I1942">
        <f>'Aug-Apr, 2023'!AX44</f>
        <v>14</v>
      </c>
      <c r="J1942">
        <f>G1942*Parameters!$B$2*Parameters!$B$5</f>
        <v>95.809499999999986</v>
      </c>
      <c r="K1942">
        <f>H1942*Parameters!$B$3*Parameters!$B$6</f>
        <v>0</v>
      </c>
      <c r="L1942">
        <f>I1942*Parameters!$B$4*Parameters!$B$7</f>
        <v>113.34960000000001</v>
      </c>
      <c r="M1942">
        <f t="shared" si="30"/>
        <v>209.1591</v>
      </c>
      <c r="N1942" s="142">
        <f>'Aug-Apr, 2023'!AY44</f>
        <v>4500</v>
      </c>
      <c r="O1942" s="142">
        <f>'Aug-Apr, 2023'!AZ44</f>
        <v>0</v>
      </c>
      <c r="P1942" s="142">
        <f>'Aug-Apr, 2023'!BA44</f>
        <v>0</v>
      </c>
      <c r="Q1942" s="142">
        <f>'Aug-Apr, 2023'!BB44</f>
        <v>4200</v>
      </c>
    </row>
    <row r="1943" spans="1:17">
      <c r="A1943" t="s">
        <v>67</v>
      </c>
      <c r="B1943" t="s">
        <v>56</v>
      </c>
      <c r="C1943">
        <v>6</v>
      </c>
      <c r="D1943">
        <v>2023</v>
      </c>
      <c r="E1943" s="49" t="s">
        <v>147</v>
      </c>
      <c r="F1943" s="49" t="s">
        <v>163</v>
      </c>
      <c r="G1943">
        <f>'Aug-Apr, 2023'!AU45+'Aug-Apr, 2023'!AV45</f>
        <v>45</v>
      </c>
      <c r="H1943">
        <f>'Aug-Apr, 2023'!AW45</f>
        <v>0</v>
      </c>
      <c r="I1943">
        <f>'Aug-Apr, 2023'!AX45</f>
        <v>20</v>
      </c>
      <c r="J1943">
        <f>G1943*Parameters!$B$2*Parameters!$B$5</f>
        <v>95.809499999999986</v>
      </c>
      <c r="K1943">
        <f>H1943*Parameters!$B$3*Parameters!$B$6</f>
        <v>0</v>
      </c>
      <c r="L1943">
        <f>I1943*Parameters!$B$4*Parameters!$B$7</f>
        <v>161.928</v>
      </c>
      <c r="M1943">
        <f t="shared" si="30"/>
        <v>257.73749999999995</v>
      </c>
      <c r="N1943" s="142">
        <f>'Aug-Apr, 2023'!AY45</f>
        <v>4500</v>
      </c>
      <c r="O1943" s="142">
        <f>'Aug-Apr, 2023'!AZ45</f>
        <v>0</v>
      </c>
      <c r="P1943" s="142">
        <f>'Aug-Apr, 2023'!BA45</f>
        <v>0</v>
      </c>
      <c r="Q1943" s="142">
        <f>'Aug-Apr, 2023'!BB45</f>
        <v>6000</v>
      </c>
    </row>
    <row r="1944" spans="1:17">
      <c r="A1944" t="s">
        <v>68</v>
      </c>
      <c r="B1944" t="s">
        <v>21</v>
      </c>
      <c r="C1944">
        <v>4</v>
      </c>
      <c r="D1944">
        <v>2023</v>
      </c>
      <c r="E1944" s="49" t="s">
        <v>147</v>
      </c>
      <c r="F1944" s="49" t="s">
        <v>163</v>
      </c>
      <c r="G1944">
        <f>'Aug-Apr, 2023'!AU46+'Aug-Apr, 2023'!AV46</f>
        <v>49</v>
      </c>
      <c r="H1944">
        <f>'Aug-Apr, 2023'!AW46</f>
        <v>0</v>
      </c>
      <c r="I1944">
        <f>'Aug-Apr, 2023'!AX46</f>
        <v>15</v>
      </c>
      <c r="J1944">
        <f>G1944*Parameters!$B$2*Parameters!$B$5</f>
        <v>104.32589999999999</v>
      </c>
      <c r="K1944">
        <f>H1944*Parameters!$B$3*Parameters!$B$6</f>
        <v>0</v>
      </c>
      <c r="L1944">
        <f>I1944*Parameters!$B$4*Parameters!$B$7</f>
        <v>121.44600000000001</v>
      </c>
      <c r="M1944">
        <f t="shared" si="30"/>
        <v>225.77190000000002</v>
      </c>
      <c r="N1944" s="142">
        <f>'Aug-Apr, 2023'!AY46</f>
        <v>4900</v>
      </c>
      <c r="O1944" s="142">
        <f>'Aug-Apr, 2023'!AZ46</f>
        <v>0</v>
      </c>
      <c r="P1944" s="142">
        <f>'Aug-Apr, 2023'!BA46</f>
        <v>0</v>
      </c>
      <c r="Q1944" s="142">
        <f>'Aug-Apr, 2023'!BB46</f>
        <v>4500</v>
      </c>
    </row>
    <row r="1945" spans="1:17">
      <c r="A1945" t="s">
        <v>69</v>
      </c>
      <c r="B1945" t="s">
        <v>24</v>
      </c>
      <c r="C1945">
        <v>6</v>
      </c>
      <c r="D1945">
        <v>2023</v>
      </c>
      <c r="E1945" s="49" t="s">
        <v>147</v>
      </c>
      <c r="F1945" s="49" t="s">
        <v>163</v>
      </c>
      <c r="G1945">
        <f>'Aug-Apr, 2023'!AU47+'Aug-Apr, 2023'!AV47</f>
        <v>52</v>
      </c>
      <c r="H1945">
        <f>'Aug-Apr, 2023'!AW47</f>
        <v>0</v>
      </c>
      <c r="I1945">
        <f>'Aug-Apr, 2023'!AX47</f>
        <v>10</v>
      </c>
      <c r="J1945">
        <f>G1945*Parameters!$B$2*Parameters!$B$5</f>
        <v>110.71319999999999</v>
      </c>
      <c r="K1945">
        <f>H1945*Parameters!$B$3*Parameters!$B$6</f>
        <v>0</v>
      </c>
      <c r="L1945">
        <f>I1945*Parameters!$B$4*Parameters!$B$7</f>
        <v>80.963999999999999</v>
      </c>
      <c r="M1945">
        <f t="shared" si="30"/>
        <v>191.67719999999997</v>
      </c>
      <c r="N1945" s="142">
        <f>'Aug-Apr, 2023'!AY47</f>
        <v>5200</v>
      </c>
      <c r="O1945" s="142">
        <f>'Aug-Apr, 2023'!AZ47</f>
        <v>0</v>
      </c>
      <c r="P1945" s="142">
        <f>'Aug-Apr, 2023'!BA47</f>
        <v>0</v>
      </c>
      <c r="Q1945" s="142">
        <f>'Aug-Apr, 2023'!BB47</f>
        <v>3000</v>
      </c>
    </row>
    <row r="1946" spans="1:17">
      <c r="A1946" t="s">
        <v>70</v>
      </c>
      <c r="B1946" t="s">
        <v>26</v>
      </c>
      <c r="C1946">
        <v>6</v>
      </c>
      <c r="D1946">
        <v>2023</v>
      </c>
      <c r="E1946" s="49" t="s">
        <v>147</v>
      </c>
      <c r="F1946" s="49" t="s">
        <v>163</v>
      </c>
      <c r="G1946">
        <f>'Aug-Apr, 2023'!AU48+'Aug-Apr, 2023'!AV48</f>
        <v>34</v>
      </c>
      <c r="H1946">
        <f>'Aug-Apr, 2023'!AW48</f>
        <v>0</v>
      </c>
      <c r="I1946">
        <f>'Aug-Apr, 2023'!AX48</f>
        <v>19</v>
      </c>
      <c r="J1946">
        <f>G1946*Parameters!$B$2*Parameters!$B$5</f>
        <v>72.389399999999995</v>
      </c>
      <c r="K1946">
        <f>H1946*Parameters!$B$3*Parameters!$B$6</f>
        <v>0</v>
      </c>
      <c r="L1946">
        <f>I1946*Parameters!$B$4*Parameters!$B$7</f>
        <v>153.83160000000001</v>
      </c>
      <c r="M1946">
        <f t="shared" si="30"/>
        <v>226.221</v>
      </c>
      <c r="N1946" s="142">
        <f>'Aug-Apr, 2023'!AY48</f>
        <v>3400</v>
      </c>
      <c r="O1946" s="142">
        <f>'Aug-Apr, 2023'!AZ48</f>
        <v>0</v>
      </c>
      <c r="P1946" s="142">
        <f>'Aug-Apr, 2023'!BA48</f>
        <v>0</v>
      </c>
      <c r="Q1946" s="142">
        <f>'Aug-Apr, 2023'!BB48</f>
        <v>5700</v>
      </c>
    </row>
    <row r="1947" spans="1:17">
      <c r="A1947" t="s">
        <v>71</v>
      </c>
      <c r="B1947" t="s">
        <v>26</v>
      </c>
      <c r="C1947">
        <v>5</v>
      </c>
      <c r="D1947">
        <v>2023</v>
      </c>
      <c r="E1947" s="49" t="s">
        <v>147</v>
      </c>
      <c r="F1947" s="49" t="s">
        <v>163</v>
      </c>
      <c r="G1947">
        <f>'Aug-Apr, 2023'!AU49+'Aug-Apr, 2023'!AV49</f>
        <v>43</v>
      </c>
      <c r="H1947">
        <f>'Aug-Apr, 2023'!AW49</f>
        <v>0</v>
      </c>
      <c r="I1947">
        <f>'Aug-Apr, 2023'!AX49</f>
        <v>20</v>
      </c>
      <c r="J1947">
        <f>G1947*Parameters!$B$2*Parameters!$B$5</f>
        <v>91.551299999999983</v>
      </c>
      <c r="K1947">
        <f>H1947*Parameters!$B$3*Parameters!$B$6</f>
        <v>0</v>
      </c>
      <c r="L1947">
        <f>I1947*Parameters!$B$4*Parameters!$B$7</f>
        <v>161.928</v>
      </c>
      <c r="M1947">
        <f t="shared" si="30"/>
        <v>253.47929999999997</v>
      </c>
      <c r="N1947" s="142">
        <f>'Aug-Apr, 2023'!AY49</f>
        <v>4300</v>
      </c>
      <c r="O1947" s="142">
        <f>'Aug-Apr, 2023'!AZ49</f>
        <v>0</v>
      </c>
      <c r="P1947" s="142">
        <f>'Aug-Apr, 2023'!BA49</f>
        <v>0</v>
      </c>
      <c r="Q1947" s="142">
        <f>'Aug-Apr, 2023'!BB49</f>
        <v>6000</v>
      </c>
    </row>
    <row r="1948" spans="1:17">
      <c r="A1948" t="s">
        <v>72</v>
      </c>
      <c r="B1948" t="s">
        <v>26</v>
      </c>
      <c r="C1948">
        <v>8</v>
      </c>
      <c r="D1948">
        <v>2023</v>
      </c>
      <c r="E1948" s="49" t="s">
        <v>147</v>
      </c>
      <c r="F1948" s="49" t="s">
        <v>163</v>
      </c>
      <c r="G1948">
        <f>'Aug-Apr, 2023'!AU50+'Aug-Apr, 2023'!AV50</f>
        <v>51</v>
      </c>
      <c r="H1948">
        <f>'Aug-Apr, 2023'!AW50</f>
        <v>0</v>
      </c>
      <c r="I1948">
        <f>'Aug-Apr, 2023'!AX50</f>
        <v>15</v>
      </c>
      <c r="J1948">
        <f>G1948*Parameters!$B$2*Parameters!$B$5</f>
        <v>108.58409999999999</v>
      </c>
      <c r="K1948">
        <f>H1948*Parameters!$B$3*Parameters!$B$6</f>
        <v>0</v>
      </c>
      <c r="L1948">
        <f>I1948*Parameters!$B$4*Parameters!$B$7</f>
        <v>121.44600000000001</v>
      </c>
      <c r="M1948">
        <f t="shared" si="30"/>
        <v>230.0301</v>
      </c>
      <c r="N1948" s="142">
        <f>'Aug-Apr, 2023'!AY50</f>
        <v>5100</v>
      </c>
      <c r="O1948" s="142">
        <f>'Aug-Apr, 2023'!AZ50</f>
        <v>0</v>
      </c>
      <c r="P1948" s="142">
        <f>'Aug-Apr, 2023'!BA50</f>
        <v>0</v>
      </c>
      <c r="Q1948" s="142">
        <f>'Aug-Apr, 2023'!BB50</f>
        <v>4500</v>
      </c>
    </row>
    <row r="1949" spans="1:17">
      <c r="A1949" t="s">
        <v>73</v>
      </c>
      <c r="B1949" t="s">
        <v>17</v>
      </c>
      <c r="C1949">
        <v>4</v>
      </c>
      <c r="D1949">
        <v>2023</v>
      </c>
      <c r="E1949" s="49" t="s">
        <v>147</v>
      </c>
      <c r="F1949" s="49" t="s">
        <v>163</v>
      </c>
      <c r="G1949">
        <f>'Aug-Apr, 2023'!AU51+'Aug-Apr, 2023'!AV51</f>
        <v>52</v>
      </c>
      <c r="H1949">
        <f>'Aug-Apr, 2023'!AW51</f>
        <v>0</v>
      </c>
      <c r="I1949">
        <f>'Aug-Apr, 2023'!AX51</f>
        <v>20</v>
      </c>
      <c r="J1949">
        <f>G1949*Parameters!$B$2*Parameters!$B$5</f>
        <v>110.71319999999999</v>
      </c>
      <c r="K1949">
        <f>H1949*Parameters!$B$3*Parameters!$B$6</f>
        <v>0</v>
      </c>
      <c r="L1949">
        <f>I1949*Parameters!$B$4*Parameters!$B$7</f>
        <v>161.928</v>
      </c>
      <c r="M1949">
        <f t="shared" si="30"/>
        <v>272.64119999999997</v>
      </c>
      <c r="N1949" s="142">
        <f>'Aug-Apr, 2023'!AY51</f>
        <v>5200</v>
      </c>
      <c r="O1949" s="142">
        <f>'Aug-Apr, 2023'!AZ51</f>
        <v>0</v>
      </c>
      <c r="P1949" s="142">
        <f>'Aug-Apr, 2023'!BA51</f>
        <v>0</v>
      </c>
      <c r="Q1949" s="142">
        <f>'Aug-Apr, 2023'!BB51</f>
        <v>6000</v>
      </c>
    </row>
    <row r="1950" spans="1:17">
      <c r="A1950" t="s">
        <v>74</v>
      </c>
      <c r="B1950" t="s">
        <v>65</v>
      </c>
      <c r="C1950">
        <v>8</v>
      </c>
      <c r="D1950">
        <v>2023</v>
      </c>
      <c r="E1950" s="49" t="s">
        <v>147</v>
      </c>
      <c r="F1950" s="49" t="s">
        <v>163</v>
      </c>
      <c r="G1950">
        <f>'Aug-Apr, 2023'!AU52+'Aug-Apr, 2023'!AV52</f>
        <v>70</v>
      </c>
      <c r="H1950">
        <f>'Aug-Apr, 2023'!AW52</f>
        <v>4</v>
      </c>
      <c r="I1950">
        <f>'Aug-Apr, 2023'!AX52</f>
        <v>0</v>
      </c>
      <c r="J1950">
        <f>G1950*Parameters!$B$2*Parameters!$B$5</f>
        <v>149.03699999999998</v>
      </c>
      <c r="K1950">
        <f>H1950*Parameters!$B$3*Parameters!$B$6</f>
        <v>25.083199999999998</v>
      </c>
      <c r="L1950">
        <f>I1950*Parameters!$B$4*Parameters!$B$7</f>
        <v>0</v>
      </c>
      <c r="M1950">
        <f t="shared" si="30"/>
        <v>174.12019999999998</v>
      </c>
      <c r="N1950" s="142">
        <f>'Aug-Apr, 2023'!AY52</f>
        <v>4000</v>
      </c>
      <c r="O1950" s="142">
        <f>'Aug-Apr, 2023'!AZ52</f>
        <v>3000</v>
      </c>
      <c r="P1950" s="142">
        <f>'Aug-Apr, 2023'!BA52</f>
        <v>1200</v>
      </c>
      <c r="Q1950" s="142">
        <f>'Aug-Apr, 2023'!BB52</f>
        <v>0</v>
      </c>
    </row>
    <row r="1951" spans="1:17">
      <c r="A1951" t="s">
        <v>75</v>
      </c>
      <c r="B1951" t="s">
        <v>24</v>
      </c>
      <c r="C1951">
        <v>4</v>
      </c>
      <c r="D1951">
        <v>2023</v>
      </c>
      <c r="E1951" s="49" t="s">
        <v>147</v>
      </c>
      <c r="F1951" s="49" t="s">
        <v>163</v>
      </c>
      <c r="G1951">
        <f>'Aug-Apr, 2023'!AU53+'Aug-Apr, 2023'!AV53</f>
        <v>32</v>
      </c>
      <c r="H1951">
        <f>'Aug-Apr, 2023'!AW53</f>
        <v>0</v>
      </c>
      <c r="I1951">
        <f>'Aug-Apr, 2023'!AX53</f>
        <v>20</v>
      </c>
      <c r="J1951">
        <f>G1951*Parameters!$B$2*Parameters!$B$5</f>
        <v>68.131199999999993</v>
      </c>
      <c r="K1951">
        <f>H1951*Parameters!$B$3*Parameters!$B$6</f>
        <v>0</v>
      </c>
      <c r="L1951">
        <f>I1951*Parameters!$B$4*Parameters!$B$7</f>
        <v>161.928</v>
      </c>
      <c r="M1951">
        <f t="shared" si="30"/>
        <v>230.05919999999998</v>
      </c>
      <c r="N1951" s="142">
        <f>'Aug-Apr, 2023'!AY53</f>
        <v>3200</v>
      </c>
      <c r="O1951" s="142">
        <f>'Aug-Apr, 2023'!AZ53</f>
        <v>0</v>
      </c>
      <c r="P1951" s="142">
        <f>'Aug-Apr, 2023'!BA53</f>
        <v>0</v>
      </c>
      <c r="Q1951" s="142">
        <f>'Aug-Apr, 2023'!BB53</f>
        <v>6000</v>
      </c>
    </row>
    <row r="1952" spans="1:17">
      <c r="A1952" t="s">
        <v>76</v>
      </c>
      <c r="B1952" t="s">
        <v>56</v>
      </c>
      <c r="C1952">
        <v>4</v>
      </c>
      <c r="D1952">
        <v>2023</v>
      </c>
      <c r="E1952" s="49" t="s">
        <v>147</v>
      </c>
      <c r="F1952" s="49" t="s">
        <v>163</v>
      </c>
      <c r="G1952">
        <f>'Aug-Apr, 2023'!AU54+'Aug-Apr, 2023'!AV54</f>
        <v>53</v>
      </c>
      <c r="H1952">
        <f>'Aug-Apr, 2023'!AW54</f>
        <v>0</v>
      </c>
      <c r="I1952">
        <f>'Aug-Apr, 2023'!AX54</f>
        <v>18</v>
      </c>
      <c r="J1952">
        <f>G1952*Parameters!$B$2*Parameters!$B$5</f>
        <v>112.84229999999998</v>
      </c>
      <c r="K1952">
        <f>H1952*Parameters!$B$3*Parameters!$B$6</f>
        <v>0</v>
      </c>
      <c r="L1952">
        <f>I1952*Parameters!$B$4*Parameters!$B$7</f>
        <v>145.73520000000002</v>
      </c>
      <c r="M1952">
        <f t="shared" si="30"/>
        <v>258.57749999999999</v>
      </c>
      <c r="N1952" s="142">
        <f>'Aug-Apr, 2023'!AY54</f>
        <v>5300</v>
      </c>
      <c r="O1952" s="142">
        <f>'Aug-Apr, 2023'!AZ54</f>
        <v>0</v>
      </c>
      <c r="P1952" s="142">
        <f>'Aug-Apr, 2023'!BA54</f>
        <v>0</v>
      </c>
      <c r="Q1952" s="142">
        <f>'Aug-Apr, 2023'!BB54</f>
        <v>5400</v>
      </c>
    </row>
    <row r="1953" spans="1:17">
      <c r="A1953" t="s">
        <v>77</v>
      </c>
      <c r="B1953" t="s">
        <v>40</v>
      </c>
      <c r="C1953">
        <v>12</v>
      </c>
      <c r="D1953">
        <v>2023</v>
      </c>
      <c r="E1953" s="49" t="s">
        <v>147</v>
      </c>
      <c r="F1953" s="49" t="s">
        <v>163</v>
      </c>
      <c r="G1953">
        <f>'Aug-Apr, 2023'!AU55+'Aug-Apr, 2023'!AV55</f>
        <v>42</v>
      </c>
      <c r="H1953">
        <f>'Aug-Apr, 2023'!AW55</f>
        <v>0</v>
      </c>
      <c r="I1953">
        <f>'Aug-Apr, 2023'!AX55</f>
        <v>20</v>
      </c>
      <c r="J1953">
        <f>G1953*Parameters!$B$2*Parameters!$B$5</f>
        <v>89.422199999999975</v>
      </c>
      <c r="K1953">
        <f>H1953*Parameters!$B$3*Parameters!$B$6</f>
        <v>0</v>
      </c>
      <c r="L1953">
        <f>I1953*Parameters!$B$4*Parameters!$B$7</f>
        <v>161.928</v>
      </c>
      <c r="M1953">
        <f t="shared" si="30"/>
        <v>251.35019999999997</v>
      </c>
      <c r="N1953" s="142">
        <f>'Aug-Apr, 2023'!AY55</f>
        <v>4200</v>
      </c>
      <c r="O1953" s="142">
        <f>'Aug-Apr, 2023'!AZ55</f>
        <v>0</v>
      </c>
      <c r="P1953" s="142">
        <f>'Aug-Apr, 2023'!BA55</f>
        <v>0</v>
      </c>
      <c r="Q1953" s="142">
        <f>'Aug-Apr, 2023'!BB55</f>
        <v>6000</v>
      </c>
    </row>
    <row r="1954" spans="1:17">
      <c r="A1954" t="s">
        <v>78</v>
      </c>
      <c r="B1954" t="s">
        <v>32</v>
      </c>
      <c r="C1954">
        <v>6</v>
      </c>
      <c r="D1954">
        <v>2023</v>
      </c>
      <c r="E1954" s="49" t="s">
        <v>147</v>
      </c>
      <c r="F1954" s="49" t="s">
        <v>163</v>
      </c>
      <c r="G1954">
        <f>'Aug-Apr, 2023'!AU56+'Aug-Apr, 2023'!AV56</f>
        <v>34</v>
      </c>
      <c r="H1954">
        <f>'Aug-Apr, 2023'!AW56</f>
        <v>0</v>
      </c>
      <c r="I1954">
        <f>'Aug-Apr, 2023'!AX56</f>
        <v>18</v>
      </c>
      <c r="J1954">
        <f>G1954*Parameters!$B$2*Parameters!$B$5</f>
        <v>72.389399999999995</v>
      </c>
      <c r="K1954">
        <f>H1954*Parameters!$B$3*Parameters!$B$6</f>
        <v>0</v>
      </c>
      <c r="L1954">
        <f>I1954*Parameters!$B$4*Parameters!$B$7</f>
        <v>145.73520000000002</v>
      </c>
      <c r="M1954">
        <f t="shared" si="30"/>
        <v>218.12460000000002</v>
      </c>
      <c r="N1954" s="142">
        <f>'Aug-Apr, 2023'!AY56</f>
        <v>3400</v>
      </c>
      <c r="O1954" s="142">
        <f>'Aug-Apr, 2023'!AZ56</f>
        <v>0</v>
      </c>
      <c r="P1954" s="142">
        <f>'Aug-Apr, 2023'!BA56</f>
        <v>0</v>
      </c>
      <c r="Q1954" s="142">
        <f>'Aug-Apr, 2023'!BB56</f>
        <v>5400</v>
      </c>
    </row>
    <row r="1955" spans="1:17">
      <c r="A1955" t="s">
        <v>79</v>
      </c>
      <c r="B1955" t="s">
        <v>40</v>
      </c>
      <c r="C1955">
        <v>4</v>
      </c>
      <c r="D1955">
        <v>2023</v>
      </c>
      <c r="E1955" s="49" t="s">
        <v>147</v>
      </c>
      <c r="F1955" s="49" t="s">
        <v>163</v>
      </c>
      <c r="G1955">
        <f>'Aug-Apr, 2023'!AU57+'Aug-Apr, 2023'!AV57</f>
        <v>50</v>
      </c>
      <c r="H1955">
        <f>'Aug-Apr, 2023'!AW57</f>
        <v>0</v>
      </c>
      <c r="I1955">
        <f>'Aug-Apr, 2023'!AX57</f>
        <v>20</v>
      </c>
      <c r="J1955">
        <f>G1955*Parameters!$B$2*Parameters!$B$5</f>
        <v>106.45499999999998</v>
      </c>
      <c r="K1955">
        <f>H1955*Parameters!$B$3*Parameters!$B$6</f>
        <v>0</v>
      </c>
      <c r="L1955">
        <f>I1955*Parameters!$B$4*Parameters!$B$7</f>
        <v>161.928</v>
      </c>
      <c r="M1955">
        <f t="shared" si="30"/>
        <v>268.38299999999998</v>
      </c>
      <c r="N1955" s="142">
        <f>'Aug-Apr, 2023'!AY57</f>
        <v>5000</v>
      </c>
      <c r="O1955" s="142">
        <f>'Aug-Apr, 2023'!AZ57</f>
        <v>0</v>
      </c>
      <c r="P1955" s="142">
        <f>'Aug-Apr, 2023'!BA57</f>
        <v>0</v>
      </c>
      <c r="Q1955" s="142">
        <f>'Aug-Apr, 2023'!BB57</f>
        <v>6000</v>
      </c>
    </row>
    <row r="1956" spans="1:17">
      <c r="A1956" t="s">
        <v>80</v>
      </c>
      <c r="B1956" t="s">
        <v>26</v>
      </c>
      <c r="C1956">
        <v>7</v>
      </c>
      <c r="D1956">
        <v>2023</v>
      </c>
      <c r="E1956" s="49" t="s">
        <v>147</v>
      </c>
      <c r="F1956" s="49" t="s">
        <v>163</v>
      </c>
      <c r="G1956">
        <f>'Aug-Apr, 2023'!AU58+'Aug-Apr, 2023'!AV58</f>
        <v>48</v>
      </c>
      <c r="H1956">
        <f>'Aug-Apr, 2023'!AW58</f>
        <v>0</v>
      </c>
      <c r="I1956">
        <f>'Aug-Apr, 2023'!AX58</f>
        <v>16</v>
      </c>
      <c r="J1956">
        <f>G1956*Parameters!$B$2*Parameters!$B$5</f>
        <v>102.19679999999998</v>
      </c>
      <c r="K1956">
        <f>H1956*Parameters!$B$3*Parameters!$B$6</f>
        <v>0</v>
      </c>
      <c r="L1956">
        <f>I1956*Parameters!$B$4*Parameters!$B$7</f>
        <v>129.54240000000001</v>
      </c>
      <c r="M1956">
        <f t="shared" si="30"/>
        <v>231.73919999999998</v>
      </c>
      <c r="N1956" s="142">
        <f>'Aug-Apr, 2023'!AY58</f>
        <v>4800</v>
      </c>
      <c r="O1956" s="142">
        <f>'Aug-Apr, 2023'!AZ58</f>
        <v>0</v>
      </c>
      <c r="P1956" s="142">
        <f>'Aug-Apr, 2023'!BA58</f>
        <v>0</v>
      </c>
      <c r="Q1956" s="142">
        <f>'Aug-Apr, 2023'!BB58</f>
        <v>4800</v>
      </c>
    </row>
    <row r="1957" spans="1:17">
      <c r="A1957" t="s">
        <v>81</v>
      </c>
      <c r="B1957" t="s">
        <v>24</v>
      </c>
      <c r="C1957">
        <v>6</v>
      </c>
      <c r="D1957">
        <v>2023</v>
      </c>
      <c r="E1957" s="49" t="s">
        <v>147</v>
      </c>
      <c r="F1957" s="49" t="s">
        <v>163</v>
      </c>
      <c r="G1957">
        <f>'Aug-Apr, 2023'!AU59+'Aug-Apr, 2023'!AV59</f>
        <v>50</v>
      </c>
      <c r="H1957">
        <f>'Aug-Apr, 2023'!AW59</f>
        <v>0</v>
      </c>
      <c r="I1957">
        <f>'Aug-Apr, 2023'!AX59</f>
        <v>20</v>
      </c>
      <c r="J1957">
        <f>G1957*Parameters!$B$2*Parameters!$B$5</f>
        <v>106.45499999999998</v>
      </c>
      <c r="K1957">
        <f>H1957*Parameters!$B$3*Parameters!$B$6</f>
        <v>0</v>
      </c>
      <c r="L1957">
        <f>I1957*Parameters!$B$4*Parameters!$B$7</f>
        <v>161.928</v>
      </c>
      <c r="M1957">
        <f t="shared" si="30"/>
        <v>268.38299999999998</v>
      </c>
      <c r="N1957" s="142">
        <f>'Aug-Apr, 2023'!AY59</f>
        <v>5000</v>
      </c>
      <c r="O1957" s="142">
        <f>'Aug-Apr, 2023'!AZ59</f>
        <v>0</v>
      </c>
      <c r="P1957" s="142">
        <f>'Aug-Apr, 2023'!BA59</f>
        <v>0</v>
      </c>
      <c r="Q1957" s="142">
        <f>'Aug-Apr, 2023'!BB59</f>
        <v>6000</v>
      </c>
    </row>
    <row r="1958" spans="1:17">
      <c r="A1958" t="s">
        <v>82</v>
      </c>
      <c r="B1958" t="s">
        <v>83</v>
      </c>
      <c r="C1958">
        <v>4</v>
      </c>
      <c r="D1958">
        <v>2023</v>
      </c>
      <c r="E1958" s="49" t="s">
        <v>147</v>
      </c>
      <c r="F1958" s="49" t="s">
        <v>163</v>
      </c>
      <c r="G1958">
        <f>'Aug-Apr, 2023'!AU60+'Aug-Apr, 2023'!AV60</f>
        <v>30</v>
      </c>
      <c r="H1958">
        <f>'Aug-Apr, 2023'!AW60</f>
        <v>0</v>
      </c>
      <c r="I1958">
        <f>'Aug-Apr, 2023'!AX60</f>
        <v>12</v>
      </c>
      <c r="J1958">
        <f>G1958*Parameters!$B$2*Parameters!$B$5</f>
        <v>63.87299999999999</v>
      </c>
      <c r="K1958">
        <f>H1958*Parameters!$B$3*Parameters!$B$6</f>
        <v>0</v>
      </c>
      <c r="L1958">
        <f>I1958*Parameters!$B$4*Parameters!$B$7</f>
        <v>97.156800000000018</v>
      </c>
      <c r="M1958">
        <f t="shared" si="30"/>
        <v>161.02980000000002</v>
      </c>
      <c r="N1958" s="142">
        <f>'Aug-Apr, 2023'!AY60</f>
        <v>3000</v>
      </c>
      <c r="O1958" s="142">
        <f>'Aug-Apr, 2023'!AZ60</f>
        <v>0</v>
      </c>
      <c r="P1958" s="142">
        <f>'Aug-Apr, 2023'!BA60</f>
        <v>0</v>
      </c>
      <c r="Q1958" s="142">
        <f>'Aug-Apr, 2023'!BB60</f>
        <v>3600</v>
      </c>
    </row>
    <row r="1959" spans="1:17">
      <c r="A1959" t="s">
        <v>84</v>
      </c>
      <c r="B1959" t="s">
        <v>26</v>
      </c>
      <c r="C1959">
        <v>7</v>
      </c>
      <c r="D1959">
        <v>2023</v>
      </c>
      <c r="E1959" s="49" t="s">
        <v>147</v>
      </c>
      <c r="F1959" s="49" t="s">
        <v>163</v>
      </c>
      <c r="G1959">
        <f>'Aug-Apr, 2023'!AU61+'Aug-Apr, 2023'!AV61</f>
        <v>58</v>
      </c>
      <c r="H1959">
        <f>'Aug-Apr, 2023'!AW61</f>
        <v>0</v>
      </c>
      <c r="I1959">
        <f>'Aug-Apr, 2023'!AX61</f>
        <v>8</v>
      </c>
      <c r="J1959">
        <f>G1959*Parameters!$B$2*Parameters!$B$5</f>
        <v>123.48779999999998</v>
      </c>
      <c r="K1959">
        <f>H1959*Parameters!$B$3*Parameters!$B$6</f>
        <v>0</v>
      </c>
      <c r="L1959">
        <f>I1959*Parameters!$B$4*Parameters!$B$7</f>
        <v>64.771200000000007</v>
      </c>
      <c r="M1959">
        <f t="shared" si="30"/>
        <v>188.25899999999999</v>
      </c>
      <c r="N1959" s="142">
        <f>'Aug-Apr, 2023'!AY61</f>
        <v>5800</v>
      </c>
      <c r="O1959" s="142">
        <f>'Aug-Apr, 2023'!AZ61</f>
        <v>0</v>
      </c>
      <c r="P1959" s="142">
        <f>'Aug-Apr, 2023'!BA61</f>
        <v>0</v>
      </c>
      <c r="Q1959" s="142">
        <f>'Aug-Apr, 2023'!BB61</f>
        <v>2400</v>
      </c>
    </row>
    <row r="1960" spans="1:17">
      <c r="A1960" t="s">
        <v>85</v>
      </c>
      <c r="B1960" t="s">
        <v>24</v>
      </c>
      <c r="C1960">
        <v>6</v>
      </c>
      <c r="D1960">
        <v>2023</v>
      </c>
      <c r="E1960" s="49" t="s">
        <v>147</v>
      </c>
      <c r="F1960" s="49" t="s">
        <v>163</v>
      </c>
      <c r="G1960">
        <f>'Aug-Apr, 2023'!AU62+'Aug-Apr, 2023'!AV62</f>
        <v>44</v>
      </c>
      <c r="H1960">
        <f>'Aug-Apr, 2023'!AW62</f>
        <v>0</v>
      </c>
      <c r="I1960">
        <f>'Aug-Apr, 2023'!AX62</f>
        <v>10</v>
      </c>
      <c r="J1960">
        <f>G1960*Parameters!$B$2*Parameters!$B$5</f>
        <v>93.680399999999992</v>
      </c>
      <c r="K1960">
        <f>H1960*Parameters!$B$3*Parameters!$B$6</f>
        <v>0</v>
      </c>
      <c r="L1960">
        <f>I1960*Parameters!$B$4*Parameters!$B$7</f>
        <v>80.963999999999999</v>
      </c>
      <c r="M1960">
        <f t="shared" si="30"/>
        <v>174.64439999999999</v>
      </c>
      <c r="N1960" s="142">
        <f>'Aug-Apr, 2023'!AY62</f>
        <v>4400</v>
      </c>
      <c r="O1960" s="142">
        <f>'Aug-Apr, 2023'!AZ62</f>
        <v>0</v>
      </c>
      <c r="P1960" s="142">
        <f>'Aug-Apr, 2023'!BA62</f>
        <v>0</v>
      </c>
      <c r="Q1960" s="142">
        <f>'Aug-Apr, 2023'!BB62</f>
        <v>3000</v>
      </c>
    </row>
    <row r="1961" spans="1:17">
      <c r="A1961" t="s">
        <v>86</v>
      </c>
      <c r="B1961" t="s">
        <v>32</v>
      </c>
      <c r="C1961">
        <v>4</v>
      </c>
      <c r="D1961">
        <v>2023</v>
      </c>
      <c r="E1961" s="49" t="s">
        <v>147</v>
      </c>
      <c r="F1961" s="49" t="s">
        <v>163</v>
      </c>
      <c r="G1961">
        <f>'Aug-Apr, 2023'!AU63+'Aug-Apr, 2023'!AV63</f>
        <v>38</v>
      </c>
      <c r="H1961">
        <f>'Aug-Apr, 2023'!AW63</f>
        <v>0</v>
      </c>
      <c r="I1961">
        <f>'Aug-Apr, 2023'!AX63</f>
        <v>20</v>
      </c>
      <c r="J1961">
        <f>G1961*Parameters!$B$2*Parameters!$B$5</f>
        <v>80.905799999999985</v>
      </c>
      <c r="K1961">
        <f>H1961*Parameters!$B$3*Parameters!$B$6</f>
        <v>0</v>
      </c>
      <c r="L1961">
        <f>I1961*Parameters!$B$4*Parameters!$B$7</f>
        <v>161.928</v>
      </c>
      <c r="M1961">
        <f t="shared" si="30"/>
        <v>242.8338</v>
      </c>
      <c r="N1961" s="142">
        <f>'Aug-Apr, 2023'!AY63</f>
        <v>3800</v>
      </c>
      <c r="O1961" s="142">
        <f>'Aug-Apr, 2023'!AZ63</f>
        <v>0</v>
      </c>
      <c r="P1961" s="142">
        <f>'Aug-Apr, 2023'!BA63</f>
        <v>0</v>
      </c>
      <c r="Q1961" s="142">
        <f>'Aug-Apr, 2023'!BB63</f>
        <v>6000</v>
      </c>
    </row>
    <row r="1962" spans="1:17">
      <c r="A1962" t="s">
        <v>87</v>
      </c>
      <c r="B1962" t="s">
        <v>32</v>
      </c>
      <c r="C1962">
        <v>8</v>
      </c>
      <c r="D1962">
        <v>2023</v>
      </c>
      <c r="E1962" s="49" t="s">
        <v>147</v>
      </c>
      <c r="F1962" s="49" t="s">
        <v>163</v>
      </c>
      <c r="G1962">
        <f>'Aug-Apr, 2023'!AU64+'Aug-Apr, 2023'!AV64</f>
        <v>45</v>
      </c>
      <c r="H1962">
        <f>'Aug-Apr, 2023'!AW64</f>
        <v>0</v>
      </c>
      <c r="I1962">
        <f>'Aug-Apr, 2023'!AX64</f>
        <v>12</v>
      </c>
      <c r="J1962">
        <f>G1962*Parameters!$B$2*Parameters!$B$5</f>
        <v>95.809499999999986</v>
      </c>
      <c r="K1962">
        <f>H1962*Parameters!$B$3*Parameters!$B$6</f>
        <v>0</v>
      </c>
      <c r="L1962">
        <f>I1962*Parameters!$B$4*Parameters!$B$7</f>
        <v>97.156800000000018</v>
      </c>
      <c r="M1962">
        <f t="shared" si="30"/>
        <v>192.96629999999999</v>
      </c>
      <c r="N1962" s="142">
        <f>'Aug-Apr, 2023'!AY64</f>
        <v>4500</v>
      </c>
      <c r="O1962" s="142">
        <f>'Aug-Apr, 2023'!AZ64</f>
        <v>0</v>
      </c>
      <c r="P1962" s="142">
        <f>'Aug-Apr, 2023'!BA64</f>
        <v>0</v>
      </c>
      <c r="Q1962" s="142">
        <f>'Aug-Apr, 2023'!BB64</f>
        <v>3600</v>
      </c>
    </row>
    <row r="1963" spans="1:17">
      <c r="A1963" t="s">
        <v>88</v>
      </c>
      <c r="B1963" t="s">
        <v>32</v>
      </c>
      <c r="C1963">
        <v>7</v>
      </c>
      <c r="D1963">
        <v>2023</v>
      </c>
      <c r="E1963" s="49" t="s">
        <v>147</v>
      </c>
      <c r="F1963" s="49" t="s">
        <v>163</v>
      </c>
      <c r="G1963">
        <f>'Aug-Apr, 2023'!AU65+'Aug-Apr, 2023'!AV65</f>
        <v>43</v>
      </c>
      <c r="H1963">
        <f>'Aug-Apr, 2023'!AW65</f>
        <v>0</v>
      </c>
      <c r="I1963">
        <f>'Aug-Apr, 2023'!AX65</f>
        <v>10</v>
      </c>
      <c r="J1963">
        <f>G1963*Parameters!$B$2*Parameters!$B$5</f>
        <v>91.551299999999983</v>
      </c>
      <c r="K1963">
        <f>H1963*Parameters!$B$3*Parameters!$B$6</f>
        <v>0</v>
      </c>
      <c r="L1963">
        <f>I1963*Parameters!$B$4*Parameters!$B$7</f>
        <v>80.963999999999999</v>
      </c>
      <c r="M1963">
        <f t="shared" si="30"/>
        <v>172.51529999999997</v>
      </c>
      <c r="N1963" s="142">
        <f>'Aug-Apr, 2023'!AY65</f>
        <v>4300</v>
      </c>
      <c r="O1963" s="142">
        <f>'Aug-Apr, 2023'!AZ65</f>
        <v>0</v>
      </c>
      <c r="P1963" s="142">
        <f>'Aug-Apr, 2023'!BA65</f>
        <v>0</v>
      </c>
      <c r="Q1963" s="142">
        <f>'Aug-Apr, 2023'!BB65</f>
        <v>3000</v>
      </c>
    </row>
    <row r="1964" spans="1:17">
      <c r="A1964" t="s">
        <v>89</v>
      </c>
      <c r="B1964" t="s">
        <v>65</v>
      </c>
      <c r="C1964">
        <v>8</v>
      </c>
      <c r="D1964">
        <v>2023</v>
      </c>
      <c r="E1964" s="49" t="s">
        <v>147</v>
      </c>
      <c r="F1964" s="49" t="s">
        <v>163</v>
      </c>
      <c r="G1964">
        <f>'Aug-Apr, 2023'!AU66+'Aug-Apr, 2023'!AV66</f>
        <v>52</v>
      </c>
      <c r="H1964">
        <f>'Aug-Apr, 2023'!AW66</f>
        <v>0</v>
      </c>
      <c r="I1964">
        <f>'Aug-Apr, 2023'!AX66</f>
        <v>16</v>
      </c>
      <c r="J1964">
        <f>G1964*Parameters!$B$2*Parameters!$B$5</f>
        <v>110.71319999999999</v>
      </c>
      <c r="K1964">
        <f>H1964*Parameters!$B$3*Parameters!$B$6</f>
        <v>0</v>
      </c>
      <c r="L1964">
        <f>I1964*Parameters!$B$4*Parameters!$B$7</f>
        <v>129.54240000000001</v>
      </c>
      <c r="M1964">
        <f t="shared" si="30"/>
        <v>240.25560000000002</v>
      </c>
      <c r="N1964" s="142">
        <f>'Aug-Apr, 2023'!AY66</f>
        <v>5200</v>
      </c>
      <c r="O1964" s="142">
        <f>'Aug-Apr, 2023'!AZ66</f>
        <v>0</v>
      </c>
      <c r="P1964" s="142">
        <f>'Aug-Apr, 2023'!BA66</f>
        <v>0</v>
      </c>
      <c r="Q1964" s="142">
        <f>'Aug-Apr, 2023'!BB66</f>
        <v>4800</v>
      </c>
    </row>
    <row r="1965" spans="1:17">
      <c r="A1965" t="s">
        <v>90</v>
      </c>
      <c r="B1965" t="s">
        <v>32</v>
      </c>
      <c r="C1965">
        <v>6</v>
      </c>
      <c r="D1965">
        <v>2023</v>
      </c>
      <c r="E1965" s="49" t="s">
        <v>147</v>
      </c>
      <c r="F1965" s="49" t="s">
        <v>163</v>
      </c>
      <c r="G1965">
        <f>'Aug-Apr, 2023'!AU67+'Aug-Apr, 2023'!AV67</f>
        <v>46</v>
      </c>
      <c r="H1965">
        <f>'Aug-Apr, 2023'!AW67</f>
        <v>0</v>
      </c>
      <c r="I1965">
        <f>'Aug-Apr, 2023'!AX67</f>
        <v>20</v>
      </c>
      <c r="J1965">
        <f>G1965*Parameters!$B$2*Parameters!$B$5</f>
        <v>97.938599999999994</v>
      </c>
      <c r="K1965">
        <f>H1965*Parameters!$B$3*Parameters!$B$6</f>
        <v>0</v>
      </c>
      <c r="L1965">
        <f>I1965*Parameters!$B$4*Parameters!$B$7</f>
        <v>161.928</v>
      </c>
      <c r="M1965">
        <f t="shared" si="30"/>
        <v>259.86660000000001</v>
      </c>
      <c r="N1965" s="142">
        <f>'Aug-Apr, 2023'!AY67</f>
        <v>4600</v>
      </c>
      <c r="O1965" s="142">
        <f>'Aug-Apr, 2023'!AZ67</f>
        <v>0</v>
      </c>
      <c r="P1965" s="142">
        <f>'Aug-Apr, 2023'!BA67</f>
        <v>0</v>
      </c>
      <c r="Q1965" s="142">
        <f>'Aug-Apr, 2023'!BB67</f>
        <v>6000</v>
      </c>
    </row>
    <row r="1966" spans="1:17">
      <c r="A1966" t="s">
        <v>91</v>
      </c>
      <c r="B1966" t="s">
        <v>24</v>
      </c>
      <c r="C1966">
        <v>6</v>
      </c>
      <c r="D1966">
        <v>2023</v>
      </c>
      <c r="E1966" s="49" t="s">
        <v>147</v>
      </c>
      <c r="F1966" s="49" t="s">
        <v>163</v>
      </c>
      <c r="G1966">
        <f>'Aug-Apr, 2023'!AU68+'Aug-Apr, 2023'!AV68</f>
        <v>44</v>
      </c>
      <c r="H1966">
        <f>'Aug-Apr, 2023'!AW68</f>
        <v>0</v>
      </c>
      <c r="I1966">
        <f>'Aug-Apr, 2023'!AX68</f>
        <v>19</v>
      </c>
      <c r="J1966">
        <f>G1966*Parameters!$B$2*Parameters!$B$5</f>
        <v>93.680399999999992</v>
      </c>
      <c r="K1966">
        <f>H1966*Parameters!$B$3*Parameters!$B$6</f>
        <v>0</v>
      </c>
      <c r="L1966">
        <f>I1966*Parameters!$B$4*Parameters!$B$7</f>
        <v>153.83160000000001</v>
      </c>
      <c r="M1966">
        <f t="shared" si="30"/>
        <v>247.512</v>
      </c>
      <c r="N1966" s="142">
        <f>'Aug-Apr, 2023'!AY68</f>
        <v>4400</v>
      </c>
      <c r="O1966" s="142">
        <f>'Aug-Apr, 2023'!AZ68</f>
        <v>0</v>
      </c>
      <c r="P1966" s="142">
        <f>'Aug-Apr, 2023'!BA68</f>
        <v>0</v>
      </c>
      <c r="Q1966" s="142">
        <f>'Aug-Apr, 2023'!BB68</f>
        <v>5700</v>
      </c>
    </row>
    <row r="1967" spans="1:17">
      <c r="A1967" t="s">
        <v>92</v>
      </c>
      <c r="B1967" t="s">
        <v>17</v>
      </c>
      <c r="C1967">
        <v>4</v>
      </c>
      <c r="D1967">
        <v>2023</v>
      </c>
      <c r="E1967" s="49" t="s">
        <v>147</v>
      </c>
      <c r="F1967" s="49" t="s">
        <v>163</v>
      </c>
      <c r="G1967">
        <f>'Aug-Apr, 2023'!AU69+'Aug-Apr, 2023'!AV69</f>
        <v>66</v>
      </c>
      <c r="H1967">
        <f>'Aug-Apr, 2023'!AW69</f>
        <v>0</v>
      </c>
      <c r="I1967">
        <f>'Aug-Apr, 2023'!AX69</f>
        <v>8</v>
      </c>
      <c r="J1967">
        <f>G1967*Parameters!$B$2*Parameters!$B$5</f>
        <v>140.5206</v>
      </c>
      <c r="K1967">
        <f>H1967*Parameters!$B$3*Parameters!$B$6</f>
        <v>0</v>
      </c>
      <c r="L1967">
        <f>I1967*Parameters!$B$4*Parameters!$B$7</f>
        <v>64.771200000000007</v>
      </c>
      <c r="M1967">
        <f t="shared" si="30"/>
        <v>205.29180000000002</v>
      </c>
      <c r="N1967" s="142">
        <f>'Aug-Apr, 2023'!AY69</f>
        <v>5600</v>
      </c>
      <c r="O1967" s="142">
        <f>'Aug-Apr, 2023'!AZ69</f>
        <v>1000</v>
      </c>
      <c r="P1967" s="142">
        <f>'Aug-Apr, 2023'!BA69</f>
        <v>0</v>
      </c>
      <c r="Q1967" s="142">
        <f>'Aug-Apr, 2023'!BB69</f>
        <v>2400</v>
      </c>
    </row>
    <row r="1968" spans="1:17">
      <c r="A1968" t="s">
        <v>93</v>
      </c>
      <c r="B1968" t="s">
        <v>19</v>
      </c>
      <c r="C1968">
        <v>7</v>
      </c>
      <c r="D1968">
        <v>2023</v>
      </c>
      <c r="E1968" s="49" t="s">
        <v>147</v>
      </c>
      <c r="F1968" s="49" t="s">
        <v>163</v>
      </c>
      <c r="G1968">
        <f>'Aug-Apr, 2023'!AU70+'Aug-Apr, 2023'!AV70</f>
        <v>36</v>
      </c>
      <c r="H1968">
        <f>'Aug-Apr, 2023'!AW70</f>
        <v>0</v>
      </c>
      <c r="I1968">
        <f>'Aug-Apr, 2023'!AX70</f>
        <v>14</v>
      </c>
      <c r="J1968">
        <f>G1968*Parameters!$B$2*Parameters!$B$5</f>
        <v>76.647599999999997</v>
      </c>
      <c r="K1968">
        <f>H1968*Parameters!$B$3*Parameters!$B$6</f>
        <v>0</v>
      </c>
      <c r="L1968">
        <f>I1968*Parameters!$B$4*Parameters!$B$7</f>
        <v>113.34960000000001</v>
      </c>
      <c r="M1968">
        <f t="shared" si="30"/>
        <v>189.99720000000002</v>
      </c>
      <c r="N1968" s="142">
        <f>'Aug-Apr, 2023'!AY70</f>
        <v>3600</v>
      </c>
      <c r="O1968" s="142">
        <f>'Aug-Apr, 2023'!AZ70</f>
        <v>0</v>
      </c>
      <c r="P1968" s="142">
        <f>'Aug-Apr, 2023'!BA70</f>
        <v>0</v>
      </c>
      <c r="Q1968" s="142">
        <f>'Aug-Apr, 2023'!BB70</f>
        <v>4200</v>
      </c>
    </row>
    <row r="1969" spans="1:17">
      <c r="A1969" t="s">
        <v>94</v>
      </c>
      <c r="B1969" t="s">
        <v>19</v>
      </c>
      <c r="C1969">
        <v>6</v>
      </c>
      <c r="D1969">
        <v>2023</v>
      </c>
      <c r="E1969" s="49" t="s">
        <v>147</v>
      </c>
      <c r="F1969" s="49" t="s">
        <v>163</v>
      </c>
      <c r="G1969">
        <f>'Aug-Apr, 2023'!AU71+'Aug-Apr, 2023'!AV71</f>
        <v>35</v>
      </c>
      <c r="H1969">
        <f>'Aug-Apr, 2023'!AW71</f>
        <v>0</v>
      </c>
      <c r="I1969">
        <f>'Aug-Apr, 2023'!AX71</f>
        <v>16</v>
      </c>
      <c r="J1969">
        <f>G1969*Parameters!$B$2*Parameters!$B$5</f>
        <v>74.518499999999989</v>
      </c>
      <c r="K1969">
        <f>H1969*Parameters!$B$3*Parameters!$B$6</f>
        <v>0</v>
      </c>
      <c r="L1969">
        <f>I1969*Parameters!$B$4*Parameters!$B$7</f>
        <v>129.54240000000001</v>
      </c>
      <c r="M1969">
        <f t="shared" si="30"/>
        <v>204.0609</v>
      </c>
      <c r="N1969" s="142">
        <f>'Aug-Apr, 2023'!AY71</f>
        <v>3500</v>
      </c>
      <c r="O1969" s="142">
        <f>'Aug-Apr, 2023'!AZ71</f>
        <v>0</v>
      </c>
      <c r="P1969" s="142">
        <f>'Aug-Apr, 2023'!BA71</f>
        <v>0</v>
      </c>
      <c r="Q1969" s="142">
        <f>'Aug-Apr, 2023'!BB71</f>
        <v>4800</v>
      </c>
    </row>
    <row r="1970" spans="1:17">
      <c r="A1970" t="s">
        <v>95</v>
      </c>
      <c r="B1970" t="s">
        <v>26</v>
      </c>
      <c r="C1970">
        <v>8</v>
      </c>
      <c r="D1970">
        <v>2023</v>
      </c>
      <c r="E1970" s="49" t="s">
        <v>147</v>
      </c>
      <c r="F1970" s="49" t="s">
        <v>163</v>
      </c>
      <c r="G1970">
        <f>'Aug-Apr, 2023'!AU72+'Aug-Apr, 2023'!AV72</f>
        <v>45</v>
      </c>
      <c r="H1970">
        <f>'Aug-Apr, 2023'!AW72</f>
        <v>0</v>
      </c>
      <c r="I1970">
        <f>'Aug-Apr, 2023'!AX72</f>
        <v>18</v>
      </c>
      <c r="J1970">
        <f>G1970*Parameters!$B$2*Parameters!$B$5</f>
        <v>95.809499999999986</v>
      </c>
      <c r="K1970">
        <f>H1970*Parameters!$B$3*Parameters!$B$6</f>
        <v>0</v>
      </c>
      <c r="L1970">
        <f>I1970*Parameters!$B$4*Parameters!$B$7</f>
        <v>145.73520000000002</v>
      </c>
      <c r="M1970">
        <f t="shared" si="30"/>
        <v>241.54470000000001</v>
      </c>
      <c r="N1970" s="142">
        <f>'Aug-Apr, 2023'!AY72</f>
        <v>4500</v>
      </c>
      <c r="O1970" s="142">
        <f>'Aug-Apr, 2023'!AZ72</f>
        <v>0</v>
      </c>
      <c r="P1970" s="142">
        <f>'Aug-Apr, 2023'!BA72</f>
        <v>0</v>
      </c>
      <c r="Q1970" s="142">
        <f>'Aug-Apr, 2023'!BB72</f>
        <v>5400</v>
      </c>
    </row>
    <row r="1971" spans="1:17">
      <c r="A1971" t="s">
        <v>96</v>
      </c>
      <c r="B1971" t="s">
        <v>19</v>
      </c>
      <c r="C1971">
        <v>8</v>
      </c>
      <c r="D1971">
        <v>2023</v>
      </c>
      <c r="E1971" s="49" t="s">
        <v>147</v>
      </c>
      <c r="F1971" s="49" t="s">
        <v>163</v>
      </c>
      <c r="G1971">
        <f>'Aug-Apr, 2023'!AU73+'Aug-Apr, 2023'!AV73</f>
        <v>29</v>
      </c>
      <c r="H1971">
        <f>'Aug-Apr, 2023'!AW73</f>
        <v>0</v>
      </c>
      <c r="I1971">
        <f>'Aug-Apr, 2023'!AX73</f>
        <v>10</v>
      </c>
      <c r="J1971">
        <f>G1971*Parameters!$B$2*Parameters!$B$5</f>
        <v>61.743899999999989</v>
      </c>
      <c r="K1971">
        <f>H1971*Parameters!$B$3*Parameters!$B$6</f>
        <v>0</v>
      </c>
      <c r="L1971">
        <f>I1971*Parameters!$B$4*Parameters!$B$7</f>
        <v>80.963999999999999</v>
      </c>
      <c r="M1971">
        <f t="shared" si="30"/>
        <v>142.7079</v>
      </c>
      <c r="N1971" s="142">
        <f>'Aug-Apr, 2023'!AY73</f>
        <v>2900</v>
      </c>
      <c r="O1971" s="142">
        <f>'Aug-Apr, 2023'!AZ73</f>
        <v>0</v>
      </c>
      <c r="P1971" s="142">
        <f>'Aug-Apr, 2023'!BA73</f>
        <v>0</v>
      </c>
      <c r="Q1971" s="142">
        <f>'Aug-Apr, 2023'!BB73</f>
        <v>3000</v>
      </c>
    </row>
    <row r="1972" spans="1:17">
      <c r="A1972" t="s">
        <v>97</v>
      </c>
      <c r="B1972" t="s">
        <v>17</v>
      </c>
      <c r="C1972">
        <v>4</v>
      </c>
      <c r="D1972">
        <v>2023</v>
      </c>
      <c r="E1972" s="49" t="s">
        <v>147</v>
      </c>
      <c r="F1972" s="49" t="s">
        <v>163</v>
      </c>
      <c r="G1972">
        <f>'Aug-Apr, 2023'!AU74+'Aug-Apr, 2023'!AV74</f>
        <v>40</v>
      </c>
      <c r="H1972">
        <f>'Aug-Apr, 2023'!AW74</f>
        <v>0</v>
      </c>
      <c r="I1972">
        <f>'Aug-Apr, 2023'!AX74</f>
        <v>20</v>
      </c>
      <c r="J1972">
        <f>G1972*Parameters!$B$2*Parameters!$B$5</f>
        <v>85.163999999999987</v>
      </c>
      <c r="K1972">
        <f>H1972*Parameters!$B$3*Parameters!$B$6</f>
        <v>0</v>
      </c>
      <c r="L1972">
        <f>I1972*Parameters!$B$4*Parameters!$B$7</f>
        <v>161.928</v>
      </c>
      <c r="M1972">
        <f t="shared" si="30"/>
        <v>247.09199999999998</v>
      </c>
      <c r="N1972" s="142">
        <f>'Aug-Apr, 2023'!AY74</f>
        <v>4000</v>
      </c>
      <c r="O1972" s="142">
        <f>'Aug-Apr, 2023'!AZ74</f>
        <v>0</v>
      </c>
      <c r="P1972" s="142">
        <f>'Aug-Apr, 2023'!BA74</f>
        <v>0</v>
      </c>
      <c r="Q1972" s="142">
        <f>'Aug-Apr, 2023'!BB74</f>
        <v>6000</v>
      </c>
    </row>
    <row r="1973" spans="1:17">
      <c r="A1973" t="s">
        <v>98</v>
      </c>
      <c r="B1973" t="s">
        <v>65</v>
      </c>
      <c r="C1973">
        <v>5</v>
      </c>
      <c r="D1973">
        <v>2023</v>
      </c>
      <c r="E1973" s="49" t="s">
        <v>147</v>
      </c>
      <c r="F1973" s="49" t="s">
        <v>163</v>
      </c>
      <c r="G1973">
        <f>'Aug-Apr, 2023'!AU75+'Aug-Apr, 2023'!AV75</f>
        <v>38</v>
      </c>
      <c r="H1973">
        <f>'Aug-Apr, 2023'!AW75</f>
        <v>0</v>
      </c>
      <c r="I1973">
        <f>'Aug-Apr, 2023'!AX75</f>
        <v>16</v>
      </c>
      <c r="J1973">
        <f>G1973*Parameters!$B$2*Parameters!$B$5</f>
        <v>80.905799999999985</v>
      </c>
      <c r="K1973">
        <f>H1973*Parameters!$B$3*Parameters!$B$6</f>
        <v>0</v>
      </c>
      <c r="L1973">
        <f>I1973*Parameters!$B$4*Parameters!$B$7</f>
        <v>129.54240000000001</v>
      </c>
      <c r="M1973">
        <f t="shared" si="30"/>
        <v>210.44819999999999</v>
      </c>
      <c r="N1973" s="142">
        <f>'Aug-Apr, 2023'!AY75</f>
        <v>3600</v>
      </c>
      <c r="O1973" s="142">
        <f>'Aug-Apr, 2023'!AZ75</f>
        <v>200</v>
      </c>
      <c r="P1973" s="142">
        <f>'Aug-Apr, 2023'!BA75</f>
        <v>0</v>
      </c>
      <c r="Q1973" s="142">
        <f>'Aug-Apr, 2023'!BB75</f>
        <v>4800</v>
      </c>
    </row>
    <row r="1974" spans="1:17">
      <c r="A1974" t="s">
        <v>99</v>
      </c>
      <c r="B1974" t="s">
        <v>32</v>
      </c>
      <c r="C1974">
        <v>9</v>
      </c>
      <c r="D1974">
        <v>2023</v>
      </c>
      <c r="E1974" s="49" t="s">
        <v>147</v>
      </c>
      <c r="F1974" s="49" t="s">
        <v>163</v>
      </c>
      <c r="G1974">
        <f>'Aug-Apr, 2023'!AU76+'Aug-Apr, 2023'!AV76</f>
        <v>42</v>
      </c>
      <c r="H1974">
        <f>'Aug-Apr, 2023'!AW76</f>
        <v>0</v>
      </c>
      <c r="I1974">
        <f>'Aug-Apr, 2023'!AX76</f>
        <v>20</v>
      </c>
      <c r="J1974">
        <f>G1974*Parameters!$B$2*Parameters!$B$5</f>
        <v>89.422199999999975</v>
      </c>
      <c r="K1974">
        <f>H1974*Parameters!$B$3*Parameters!$B$6</f>
        <v>0</v>
      </c>
      <c r="L1974">
        <f>I1974*Parameters!$B$4*Parameters!$B$7</f>
        <v>161.928</v>
      </c>
      <c r="M1974">
        <f t="shared" si="30"/>
        <v>251.35019999999997</v>
      </c>
      <c r="N1974" s="142">
        <f>'Aug-Apr, 2023'!AY76</f>
        <v>4200</v>
      </c>
      <c r="O1974" s="142">
        <f>'Aug-Apr, 2023'!AZ76</f>
        <v>0</v>
      </c>
      <c r="P1974" s="142">
        <f>'Aug-Apr, 2023'!BA76</f>
        <v>0</v>
      </c>
      <c r="Q1974" s="142">
        <f>'Aug-Apr, 2023'!BB76</f>
        <v>6000</v>
      </c>
    </row>
    <row r="1975" spans="1:17">
      <c r="A1975" t="s">
        <v>100</v>
      </c>
      <c r="B1975" t="s">
        <v>40</v>
      </c>
      <c r="C1975">
        <v>8</v>
      </c>
      <c r="D1975">
        <v>2023</v>
      </c>
      <c r="E1975" s="49" t="s">
        <v>147</v>
      </c>
      <c r="F1975" s="49" t="s">
        <v>163</v>
      </c>
      <c r="G1975">
        <f>'Aug-Apr, 2023'!AU77+'Aug-Apr, 2023'!AV77</f>
        <v>41</v>
      </c>
      <c r="H1975">
        <f>'Aug-Apr, 2023'!AW77</f>
        <v>0</v>
      </c>
      <c r="I1975">
        <f>'Aug-Apr, 2023'!AX77</f>
        <v>15</v>
      </c>
      <c r="J1975">
        <f>G1975*Parameters!$B$2*Parameters!$B$5</f>
        <v>87.293099999999995</v>
      </c>
      <c r="K1975">
        <f>H1975*Parameters!$B$3*Parameters!$B$6</f>
        <v>0</v>
      </c>
      <c r="L1975">
        <f>I1975*Parameters!$B$4*Parameters!$B$7</f>
        <v>121.44600000000001</v>
      </c>
      <c r="M1975">
        <f t="shared" si="30"/>
        <v>208.73910000000001</v>
      </c>
      <c r="N1975" s="142">
        <f>'Aug-Apr, 2023'!AY77</f>
        <v>4100</v>
      </c>
      <c r="O1975" s="142">
        <f>'Aug-Apr, 2023'!AZ77</f>
        <v>0</v>
      </c>
      <c r="P1975" s="142">
        <f>'Aug-Apr, 2023'!BA77</f>
        <v>0</v>
      </c>
      <c r="Q1975" s="142">
        <f>'Aug-Apr, 2023'!BB77</f>
        <v>4500</v>
      </c>
    </row>
    <row r="1976" spans="1:17">
      <c r="A1976" t="s">
        <v>101</v>
      </c>
      <c r="B1976" t="s">
        <v>38</v>
      </c>
      <c r="C1976">
        <v>5</v>
      </c>
      <c r="D1976">
        <v>2023</v>
      </c>
      <c r="E1976" s="49" t="s">
        <v>147</v>
      </c>
      <c r="F1976" s="49" t="s">
        <v>163</v>
      </c>
      <c r="G1976">
        <f>'Aug-Apr, 2023'!AU78+'Aug-Apr, 2023'!AV78</f>
        <v>42</v>
      </c>
      <c r="H1976">
        <f>'Aug-Apr, 2023'!AW78</f>
        <v>0</v>
      </c>
      <c r="I1976">
        <f>'Aug-Apr, 2023'!AX78</f>
        <v>12</v>
      </c>
      <c r="J1976">
        <f>G1976*Parameters!$B$2*Parameters!$B$5</f>
        <v>89.422199999999975</v>
      </c>
      <c r="K1976">
        <f>H1976*Parameters!$B$3*Parameters!$B$6</f>
        <v>0</v>
      </c>
      <c r="L1976">
        <f>I1976*Parameters!$B$4*Parameters!$B$7</f>
        <v>97.156800000000018</v>
      </c>
      <c r="M1976">
        <f t="shared" si="30"/>
        <v>186.57900000000001</v>
      </c>
      <c r="N1976" s="142">
        <f>'Aug-Apr, 2023'!AY78</f>
        <v>4200</v>
      </c>
      <c r="O1976" s="142">
        <f>'Aug-Apr, 2023'!AZ78</f>
        <v>0</v>
      </c>
      <c r="P1976" s="142">
        <f>'Aug-Apr, 2023'!BA78</f>
        <v>0</v>
      </c>
      <c r="Q1976" s="142">
        <f>'Aug-Apr, 2023'!BB78</f>
        <v>3600</v>
      </c>
    </row>
    <row r="1977" spans="1:17">
      <c r="A1977" t="s">
        <v>102</v>
      </c>
      <c r="B1977" t="s">
        <v>17</v>
      </c>
      <c r="C1977">
        <v>4</v>
      </c>
      <c r="D1977">
        <v>2023</v>
      </c>
      <c r="E1977" s="49" t="s">
        <v>147</v>
      </c>
      <c r="F1977" s="49" t="s">
        <v>163</v>
      </c>
      <c r="G1977">
        <f>'Aug-Apr, 2023'!AU79+'Aug-Apr, 2023'!AV79</f>
        <v>48</v>
      </c>
      <c r="H1977">
        <f>'Aug-Apr, 2023'!AW79</f>
        <v>0</v>
      </c>
      <c r="I1977">
        <f>'Aug-Apr, 2023'!AX79</f>
        <v>18</v>
      </c>
      <c r="J1977">
        <f>G1977*Parameters!$B$2*Parameters!$B$5</f>
        <v>102.19679999999998</v>
      </c>
      <c r="K1977">
        <f>H1977*Parameters!$B$3*Parameters!$B$6</f>
        <v>0</v>
      </c>
      <c r="L1977">
        <f>I1977*Parameters!$B$4*Parameters!$B$7</f>
        <v>145.73520000000002</v>
      </c>
      <c r="M1977">
        <f t="shared" si="30"/>
        <v>247.93200000000002</v>
      </c>
      <c r="N1977" s="142">
        <f>'Aug-Apr, 2023'!AY79</f>
        <v>4800</v>
      </c>
      <c r="O1977" s="142">
        <f>'Aug-Apr, 2023'!AZ79</f>
        <v>0</v>
      </c>
      <c r="P1977" s="142">
        <f>'Aug-Apr, 2023'!BA79</f>
        <v>0</v>
      </c>
      <c r="Q1977" s="142">
        <f>'Aug-Apr, 2023'!BB79</f>
        <v>5400</v>
      </c>
    </row>
    <row r="1978" spans="1:17">
      <c r="A1978" t="s">
        <v>103</v>
      </c>
      <c r="B1978" t="s">
        <v>26</v>
      </c>
      <c r="C1978">
        <v>6</v>
      </c>
      <c r="D1978">
        <v>2023</v>
      </c>
      <c r="E1978" s="49" t="s">
        <v>147</v>
      </c>
      <c r="F1978" s="49" t="s">
        <v>163</v>
      </c>
      <c r="G1978">
        <f>'Aug-Apr, 2023'!AU80+'Aug-Apr, 2023'!AV80</f>
        <v>36</v>
      </c>
      <c r="H1978">
        <f>'Aug-Apr, 2023'!AW80</f>
        <v>0</v>
      </c>
      <c r="I1978">
        <f>'Aug-Apr, 2023'!AX80</f>
        <v>20</v>
      </c>
      <c r="J1978">
        <f>G1978*Parameters!$B$2*Parameters!$B$5</f>
        <v>76.647599999999997</v>
      </c>
      <c r="K1978">
        <f>H1978*Parameters!$B$3*Parameters!$B$6</f>
        <v>0</v>
      </c>
      <c r="L1978">
        <f>I1978*Parameters!$B$4*Parameters!$B$7</f>
        <v>161.928</v>
      </c>
      <c r="M1978">
        <f t="shared" si="30"/>
        <v>238.57560000000001</v>
      </c>
      <c r="N1978" s="142">
        <f>'Aug-Apr, 2023'!AY80</f>
        <v>3600</v>
      </c>
      <c r="O1978" s="142">
        <f>'Aug-Apr, 2023'!AZ80</f>
        <v>0</v>
      </c>
      <c r="P1978" s="142">
        <f>'Aug-Apr, 2023'!BA80</f>
        <v>0</v>
      </c>
      <c r="Q1978" s="142">
        <f>'Aug-Apr, 2023'!BB80</f>
        <v>6000</v>
      </c>
    </row>
    <row r="1979" spans="1:17">
      <c r="A1979" t="s">
        <v>104</v>
      </c>
      <c r="B1979" t="s">
        <v>26</v>
      </c>
      <c r="C1979">
        <v>7</v>
      </c>
      <c r="D1979">
        <v>2023</v>
      </c>
      <c r="E1979" s="49" t="s">
        <v>147</v>
      </c>
      <c r="F1979" s="49" t="s">
        <v>163</v>
      </c>
      <c r="G1979">
        <f>'Aug-Apr, 2023'!AU81+'Aug-Apr, 2023'!AV81</f>
        <v>38</v>
      </c>
      <c r="H1979">
        <f>'Aug-Apr, 2023'!AW81</f>
        <v>0</v>
      </c>
      <c r="I1979">
        <f>'Aug-Apr, 2023'!AX81</f>
        <v>15</v>
      </c>
      <c r="J1979">
        <f>G1979*Parameters!$B$2*Parameters!$B$5</f>
        <v>80.905799999999985</v>
      </c>
      <c r="K1979">
        <f>H1979*Parameters!$B$3*Parameters!$B$6</f>
        <v>0</v>
      </c>
      <c r="L1979">
        <f>I1979*Parameters!$B$4*Parameters!$B$7</f>
        <v>121.44600000000001</v>
      </c>
      <c r="M1979">
        <f t="shared" si="30"/>
        <v>202.3518</v>
      </c>
      <c r="N1979" s="142">
        <f>'Aug-Apr, 2023'!AY81</f>
        <v>3800</v>
      </c>
      <c r="O1979" s="142">
        <f>'Aug-Apr, 2023'!AZ81</f>
        <v>0</v>
      </c>
      <c r="P1979" s="142">
        <f>'Aug-Apr, 2023'!BA81</f>
        <v>0</v>
      </c>
      <c r="Q1979" s="142">
        <f>'Aug-Apr, 2023'!BB81</f>
        <v>4500</v>
      </c>
    </row>
    <row r="1980" spans="1:17">
      <c r="A1980" t="s">
        <v>105</v>
      </c>
      <c r="B1980" t="s">
        <v>21</v>
      </c>
      <c r="C1980">
        <v>5</v>
      </c>
      <c r="D1980">
        <v>2023</v>
      </c>
      <c r="E1980" s="49" t="s">
        <v>147</v>
      </c>
      <c r="F1980" s="49" t="s">
        <v>163</v>
      </c>
      <c r="G1980">
        <f>'Aug-Apr, 2023'!AU82+'Aug-Apr, 2023'!AV82</f>
        <v>32</v>
      </c>
      <c r="H1980">
        <f>'Aug-Apr, 2023'!AW82</f>
        <v>0</v>
      </c>
      <c r="I1980">
        <f>'Aug-Apr, 2023'!AX82</f>
        <v>20</v>
      </c>
      <c r="J1980">
        <f>G1980*Parameters!$B$2*Parameters!$B$5</f>
        <v>68.131199999999993</v>
      </c>
      <c r="K1980">
        <f>H1980*Parameters!$B$3*Parameters!$B$6</f>
        <v>0</v>
      </c>
      <c r="L1980">
        <f>I1980*Parameters!$B$4*Parameters!$B$7</f>
        <v>161.928</v>
      </c>
      <c r="M1980">
        <f t="shared" si="30"/>
        <v>230.05919999999998</v>
      </c>
      <c r="N1980" s="142">
        <f>'Aug-Apr, 2023'!AY82</f>
        <v>3200</v>
      </c>
      <c r="O1980" s="142">
        <f>'Aug-Apr, 2023'!AZ82</f>
        <v>0</v>
      </c>
      <c r="P1980" s="142">
        <f>'Aug-Apr, 2023'!BA82</f>
        <v>0</v>
      </c>
      <c r="Q1980" s="142">
        <f>'Aug-Apr, 2023'!BB82</f>
        <v>6000</v>
      </c>
    </row>
    <row r="1981" spans="1:17">
      <c r="A1981" t="s">
        <v>106</v>
      </c>
      <c r="B1981" t="s">
        <v>24</v>
      </c>
      <c r="C1981">
        <v>6</v>
      </c>
      <c r="D1981">
        <v>2023</v>
      </c>
      <c r="E1981" s="49" t="s">
        <v>147</v>
      </c>
      <c r="F1981" s="49" t="s">
        <v>163</v>
      </c>
      <c r="G1981">
        <f>'Aug-Apr, 2023'!AU83+'Aug-Apr, 2023'!AV83</f>
        <v>65</v>
      </c>
      <c r="H1981">
        <f>'Aug-Apr, 2023'!AW83</f>
        <v>0</v>
      </c>
      <c r="I1981">
        <f>'Aug-Apr, 2023'!AX83</f>
        <v>8</v>
      </c>
      <c r="J1981">
        <f>G1981*Parameters!$B$2*Parameters!$B$5</f>
        <v>138.39149999999998</v>
      </c>
      <c r="K1981">
        <f>H1981*Parameters!$B$3*Parameters!$B$6</f>
        <v>0</v>
      </c>
      <c r="L1981">
        <f>I1981*Parameters!$B$4*Parameters!$B$7</f>
        <v>64.771200000000007</v>
      </c>
      <c r="M1981">
        <f t="shared" si="30"/>
        <v>203.16269999999997</v>
      </c>
      <c r="N1981" s="142">
        <f>'Aug-Apr, 2023'!AY83</f>
        <v>6500</v>
      </c>
      <c r="O1981" s="142">
        <f>'Aug-Apr, 2023'!AZ83</f>
        <v>0</v>
      </c>
      <c r="P1981" s="142">
        <f>'Aug-Apr, 2023'!BA83</f>
        <v>0</v>
      </c>
      <c r="Q1981" s="142">
        <f>'Aug-Apr, 2023'!BB83</f>
        <v>2400</v>
      </c>
    </row>
    <row r="1982" spans="1:17">
      <c r="A1982" t="s">
        <v>107</v>
      </c>
      <c r="B1982" t="s">
        <v>21</v>
      </c>
      <c r="C1982">
        <v>4</v>
      </c>
      <c r="D1982">
        <v>2023</v>
      </c>
      <c r="E1982" s="49" t="s">
        <v>147</v>
      </c>
      <c r="F1982" s="49" t="s">
        <v>163</v>
      </c>
      <c r="G1982">
        <f>'Aug-Apr, 2023'!AU84+'Aug-Apr, 2023'!AV84</f>
        <v>50</v>
      </c>
      <c r="H1982">
        <f>'Aug-Apr, 2023'!AW84</f>
        <v>0</v>
      </c>
      <c r="I1982">
        <f>'Aug-Apr, 2023'!AX84</f>
        <v>10</v>
      </c>
      <c r="J1982">
        <f>G1982*Parameters!$B$2*Parameters!$B$5</f>
        <v>106.45499999999998</v>
      </c>
      <c r="K1982">
        <f>H1982*Parameters!$B$3*Parameters!$B$6</f>
        <v>0</v>
      </c>
      <c r="L1982">
        <f>I1982*Parameters!$B$4*Parameters!$B$7</f>
        <v>80.963999999999999</v>
      </c>
      <c r="M1982">
        <f t="shared" si="30"/>
        <v>187.41899999999998</v>
      </c>
      <c r="N1982" s="142">
        <f>'Aug-Apr, 2023'!AY84</f>
        <v>5000</v>
      </c>
      <c r="O1982" s="142">
        <f>'Aug-Apr, 2023'!AZ84</f>
        <v>0</v>
      </c>
      <c r="P1982" s="142">
        <f>'Aug-Apr, 2023'!BA84</f>
        <v>0</v>
      </c>
      <c r="Q1982" s="142">
        <f>'Aug-Apr, 2023'!BB84</f>
        <v>3000</v>
      </c>
    </row>
    <row r="1983" spans="1:17">
      <c r="A1983" t="s">
        <v>108</v>
      </c>
      <c r="B1983" t="s">
        <v>24</v>
      </c>
      <c r="C1983">
        <v>5</v>
      </c>
      <c r="D1983">
        <v>2023</v>
      </c>
      <c r="E1983" s="49" t="s">
        <v>147</v>
      </c>
      <c r="F1983" s="49" t="s">
        <v>163</v>
      </c>
      <c r="G1983">
        <f>'Aug-Apr, 2023'!AU85+'Aug-Apr, 2023'!AV85</f>
        <v>52</v>
      </c>
      <c r="H1983">
        <f>'Aug-Apr, 2023'!AW85</f>
        <v>0</v>
      </c>
      <c r="I1983">
        <f>'Aug-Apr, 2023'!AX85</f>
        <v>13</v>
      </c>
      <c r="J1983">
        <f>G1983*Parameters!$B$2*Parameters!$B$5</f>
        <v>110.71319999999999</v>
      </c>
      <c r="K1983">
        <f>H1983*Parameters!$B$3*Parameters!$B$6</f>
        <v>0</v>
      </c>
      <c r="L1983">
        <f>I1983*Parameters!$B$4*Parameters!$B$7</f>
        <v>105.25320000000001</v>
      </c>
      <c r="M1983">
        <f t="shared" si="30"/>
        <v>215.96639999999999</v>
      </c>
      <c r="N1983" s="142">
        <f>'Aug-Apr, 2023'!AY85</f>
        <v>5200</v>
      </c>
      <c r="O1983" s="142">
        <f>'Aug-Apr, 2023'!AZ85</f>
        <v>0</v>
      </c>
      <c r="P1983" s="142">
        <f>'Aug-Apr, 2023'!BA85</f>
        <v>0</v>
      </c>
      <c r="Q1983" s="142">
        <f>'Aug-Apr, 2023'!BB85</f>
        <v>3900</v>
      </c>
    </row>
    <row r="1984" spans="1:17">
      <c r="A1984" t="s">
        <v>109</v>
      </c>
      <c r="B1984" t="s">
        <v>32</v>
      </c>
      <c r="C1984">
        <v>6</v>
      </c>
      <c r="D1984">
        <v>2023</v>
      </c>
      <c r="E1984" s="49" t="s">
        <v>147</v>
      </c>
      <c r="F1984" s="49" t="s">
        <v>163</v>
      </c>
      <c r="G1984">
        <f>'Aug-Apr, 2023'!AU86+'Aug-Apr, 2023'!AV86</f>
        <v>45</v>
      </c>
      <c r="H1984">
        <f>'Aug-Apr, 2023'!AW86</f>
        <v>0</v>
      </c>
      <c r="I1984">
        <f>'Aug-Apr, 2023'!AX86</f>
        <v>20</v>
      </c>
      <c r="J1984">
        <f>G1984*Parameters!$B$2*Parameters!$B$5</f>
        <v>95.809499999999986</v>
      </c>
      <c r="K1984">
        <f>H1984*Parameters!$B$3*Parameters!$B$6</f>
        <v>0</v>
      </c>
      <c r="L1984">
        <f>I1984*Parameters!$B$4*Parameters!$B$7</f>
        <v>161.928</v>
      </c>
      <c r="M1984">
        <f t="shared" si="30"/>
        <v>257.73749999999995</v>
      </c>
      <c r="N1984" s="142">
        <f>'Aug-Apr, 2023'!AY86</f>
        <v>4500</v>
      </c>
      <c r="O1984" s="142">
        <f>'Aug-Apr, 2023'!AZ86</f>
        <v>0</v>
      </c>
      <c r="P1984" s="142">
        <f>'Aug-Apr, 2023'!BA86</f>
        <v>0</v>
      </c>
      <c r="Q1984" s="142">
        <f>'Aug-Apr, 2023'!BB86</f>
        <v>6000</v>
      </c>
    </row>
    <row r="1985" spans="1:17">
      <c r="A1985" t="s">
        <v>110</v>
      </c>
      <c r="B1985" t="s">
        <v>21</v>
      </c>
      <c r="C1985">
        <v>3</v>
      </c>
      <c r="D1985">
        <v>2023</v>
      </c>
      <c r="E1985" s="49" t="s">
        <v>147</v>
      </c>
      <c r="F1985" s="49" t="s">
        <v>163</v>
      </c>
      <c r="G1985">
        <f>'Aug-Apr, 2023'!AU87+'Aug-Apr, 2023'!AV87</f>
        <v>48</v>
      </c>
      <c r="H1985">
        <f>'Aug-Apr, 2023'!AW87</f>
        <v>0</v>
      </c>
      <c r="I1985">
        <f>'Aug-Apr, 2023'!AX87</f>
        <v>16</v>
      </c>
      <c r="J1985">
        <f>G1985*Parameters!$B$2*Parameters!$B$5</f>
        <v>102.19679999999998</v>
      </c>
      <c r="K1985">
        <f>H1985*Parameters!$B$3*Parameters!$B$6</f>
        <v>0</v>
      </c>
      <c r="L1985">
        <f>I1985*Parameters!$B$4*Parameters!$B$7</f>
        <v>129.54240000000001</v>
      </c>
      <c r="M1985">
        <f t="shared" si="30"/>
        <v>231.73919999999998</v>
      </c>
      <c r="N1985" s="142">
        <f>'Aug-Apr, 2023'!AY87</f>
        <v>4800</v>
      </c>
      <c r="O1985" s="142">
        <f>'Aug-Apr, 2023'!AZ87</f>
        <v>0</v>
      </c>
      <c r="P1985" s="142">
        <f>'Aug-Apr, 2023'!BA87</f>
        <v>0</v>
      </c>
      <c r="Q1985" s="142">
        <f>'Aug-Apr, 2023'!BB87</f>
        <v>4800</v>
      </c>
    </row>
    <row r="1986" spans="1:17">
      <c r="A1986" t="s">
        <v>111</v>
      </c>
      <c r="B1986" t="s">
        <v>26</v>
      </c>
      <c r="C1986">
        <v>6</v>
      </c>
      <c r="D1986">
        <v>2023</v>
      </c>
      <c r="E1986" s="49" t="s">
        <v>147</v>
      </c>
      <c r="F1986" s="49" t="s">
        <v>163</v>
      </c>
      <c r="G1986">
        <f>'Aug-Apr, 2023'!AU88+'Aug-Apr, 2023'!AV88</f>
        <v>45</v>
      </c>
      <c r="H1986">
        <f>'Aug-Apr, 2023'!AW88</f>
        <v>0</v>
      </c>
      <c r="I1986">
        <f>'Aug-Apr, 2023'!AX88</f>
        <v>17</v>
      </c>
      <c r="J1986">
        <f>G1986*Parameters!$B$2*Parameters!$B$5</f>
        <v>95.809499999999986</v>
      </c>
      <c r="K1986">
        <f>H1986*Parameters!$B$3*Parameters!$B$6</f>
        <v>0</v>
      </c>
      <c r="L1986">
        <f>I1986*Parameters!$B$4*Parameters!$B$7</f>
        <v>137.63880000000003</v>
      </c>
      <c r="M1986">
        <f t="shared" si="30"/>
        <v>233.44830000000002</v>
      </c>
      <c r="N1986" s="142">
        <f>'Aug-Apr, 2023'!AY88</f>
        <v>4500</v>
      </c>
      <c r="O1986" s="142">
        <f>'Aug-Apr, 2023'!AZ88</f>
        <v>0</v>
      </c>
      <c r="P1986" s="142">
        <f>'Aug-Apr, 2023'!BA88</f>
        <v>0</v>
      </c>
      <c r="Q1986" s="142">
        <f>'Aug-Apr, 2023'!BB88</f>
        <v>5100</v>
      </c>
    </row>
    <row r="1987" spans="1:17">
      <c r="A1987" t="s">
        <v>112</v>
      </c>
      <c r="B1987" t="s">
        <v>19</v>
      </c>
      <c r="C1987">
        <v>7</v>
      </c>
      <c r="D1987">
        <v>2023</v>
      </c>
      <c r="E1987" s="49" t="s">
        <v>147</v>
      </c>
      <c r="F1987" s="49" t="s">
        <v>163</v>
      </c>
      <c r="G1987">
        <f>'Aug-Apr, 2023'!AU89+'Aug-Apr, 2023'!AV89</f>
        <v>36</v>
      </c>
      <c r="H1987">
        <f>'Aug-Apr, 2023'!AW89</f>
        <v>0</v>
      </c>
      <c r="I1987">
        <f>'Aug-Apr, 2023'!AX89</f>
        <v>20</v>
      </c>
      <c r="J1987">
        <f>G1987*Parameters!$B$2*Parameters!$B$5</f>
        <v>76.647599999999997</v>
      </c>
      <c r="K1987">
        <f>H1987*Parameters!$B$3*Parameters!$B$6</f>
        <v>0</v>
      </c>
      <c r="L1987">
        <f>I1987*Parameters!$B$4*Parameters!$B$7</f>
        <v>161.928</v>
      </c>
      <c r="M1987">
        <f t="shared" ref="M1987:M2050" si="31">SUM(J1987:L1987)</f>
        <v>238.57560000000001</v>
      </c>
      <c r="N1987" s="142">
        <f>'Aug-Apr, 2023'!AY89</f>
        <v>0</v>
      </c>
      <c r="O1987" s="142">
        <f>'Aug-Apr, 2023'!AZ89</f>
        <v>3600</v>
      </c>
      <c r="P1987" s="142">
        <f>'Aug-Apr, 2023'!BA89</f>
        <v>0</v>
      </c>
      <c r="Q1987" s="142">
        <f>'Aug-Apr, 2023'!BB89</f>
        <v>6000</v>
      </c>
    </row>
    <row r="1988" spans="1:17">
      <c r="A1988" t="s">
        <v>113</v>
      </c>
      <c r="B1988" t="s">
        <v>26</v>
      </c>
      <c r="C1988">
        <v>4</v>
      </c>
      <c r="D1988">
        <v>2023</v>
      </c>
      <c r="E1988" s="49" t="s">
        <v>147</v>
      </c>
      <c r="F1988" s="49" t="s">
        <v>163</v>
      </c>
      <c r="G1988">
        <f>'Aug-Apr, 2023'!AU90+'Aug-Apr, 2023'!AV90</f>
        <v>46</v>
      </c>
      <c r="H1988">
        <f>'Aug-Apr, 2023'!AW90</f>
        <v>0</v>
      </c>
      <c r="I1988">
        <f>'Aug-Apr, 2023'!AX90</f>
        <v>18</v>
      </c>
      <c r="J1988">
        <f>G1988*Parameters!$B$2*Parameters!$B$5</f>
        <v>97.938599999999994</v>
      </c>
      <c r="K1988">
        <f>H1988*Parameters!$B$3*Parameters!$B$6</f>
        <v>0</v>
      </c>
      <c r="L1988">
        <f>I1988*Parameters!$B$4*Parameters!$B$7</f>
        <v>145.73520000000002</v>
      </c>
      <c r="M1988">
        <f t="shared" si="31"/>
        <v>243.67380000000003</v>
      </c>
      <c r="N1988" s="142">
        <f>'Aug-Apr, 2023'!AY90</f>
        <v>4600</v>
      </c>
      <c r="O1988" s="142">
        <f>'Aug-Apr, 2023'!AZ90</f>
        <v>0</v>
      </c>
      <c r="P1988" s="142">
        <f>'Aug-Apr, 2023'!BA90</f>
        <v>0</v>
      </c>
      <c r="Q1988" s="142">
        <f>'Aug-Apr, 2023'!BB90</f>
        <v>5400</v>
      </c>
    </row>
    <row r="1989" spans="1:17">
      <c r="A1989" t="s">
        <v>114</v>
      </c>
      <c r="B1989" t="s">
        <v>65</v>
      </c>
      <c r="C1989">
        <v>8</v>
      </c>
      <c r="D1989">
        <v>2023</v>
      </c>
      <c r="E1989" s="49" t="s">
        <v>147</v>
      </c>
      <c r="F1989" s="49" t="s">
        <v>163</v>
      </c>
      <c r="G1989">
        <f>'Aug-Apr, 2023'!AU91+'Aug-Apr, 2023'!AV91</f>
        <v>55</v>
      </c>
      <c r="H1989">
        <f>'Aug-Apr, 2023'!AW91</f>
        <v>0</v>
      </c>
      <c r="I1989">
        <f>'Aug-Apr, 2023'!AX91</f>
        <v>12</v>
      </c>
      <c r="J1989">
        <f>G1989*Parameters!$B$2*Parameters!$B$5</f>
        <v>117.10049999999998</v>
      </c>
      <c r="K1989">
        <f>H1989*Parameters!$B$3*Parameters!$B$6</f>
        <v>0</v>
      </c>
      <c r="L1989">
        <f>I1989*Parameters!$B$4*Parameters!$B$7</f>
        <v>97.156800000000018</v>
      </c>
      <c r="M1989">
        <f t="shared" si="31"/>
        <v>214.25729999999999</v>
      </c>
      <c r="N1989" s="142">
        <f>'Aug-Apr, 2023'!AY91</f>
        <v>5500</v>
      </c>
      <c r="O1989" s="142">
        <f>'Aug-Apr, 2023'!AZ91</f>
        <v>0</v>
      </c>
      <c r="P1989" s="142">
        <f>'Aug-Apr, 2023'!BA91</f>
        <v>0</v>
      </c>
      <c r="Q1989" s="142">
        <f>'Aug-Apr, 2023'!BB91</f>
        <v>3600</v>
      </c>
    </row>
    <row r="1990" spans="1:17">
      <c r="A1990" t="s">
        <v>115</v>
      </c>
      <c r="B1990" t="s">
        <v>19</v>
      </c>
      <c r="C1990">
        <v>8</v>
      </c>
      <c r="D1990">
        <v>2023</v>
      </c>
      <c r="E1990" s="49" t="s">
        <v>147</v>
      </c>
      <c r="F1990" s="49" t="s">
        <v>163</v>
      </c>
      <c r="G1990">
        <f>'Aug-Apr, 2023'!AU92+'Aug-Apr, 2023'!AV92</f>
        <v>48</v>
      </c>
      <c r="H1990">
        <f>'Aug-Apr, 2023'!AW92</f>
        <v>0</v>
      </c>
      <c r="I1990">
        <f>'Aug-Apr, 2023'!AX92</f>
        <v>18</v>
      </c>
      <c r="J1990">
        <f>G1990*Parameters!$B$2*Parameters!$B$5</f>
        <v>102.19679999999998</v>
      </c>
      <c r="K1990">
        <f>H1990*Parameters!$B$3*Parameters!$B$6</f>
        <v>0</v>
      </c>
      <c r="L1990">
        <f>I1990*Parameters!$B$4*Parameters!$B$7</f>
        <v>145.73520000000002</v>
      </c>
      <c r="M1990">
        <f t="shared" si="31"/>
        <v>247.93200000000002</v>
      </c>
      <c r="N1990" s="142">
        <f>'Aug-Apr, 2023'!AY92</f>
        <v>4800</v>
      </c>
      <c r="O1990" s="142">
        <f>'Aug-Apr, 2023'!AZ92</f>
        <v>0</v>
      </c>
      <c r="P1990" s="142">
        <f>'Aug-Apr, 2023'!BA92</f>
        <v>0</v>
      </c>
      <c r="Q1990" s="142">
        <f>'Aug-Apr, 2023'!BB92</f>
        <v>5400</v>
      </c>
    </row>
    <row r="1991" spans="1:17">
      <c r="A1991" t="s">
        <v>116</v>
      </c>
      <c r="B1991" t="s">
        <v>21</v>
      </c>
      <c r="C1991">
        <v>4</v>
      </c>
      <c r="D1991">
        <v>2023</v>
      </c>
      <c r="E1991" s="49" t="s">
        <v>147</v>
      </c>
      <c r="F1991" s="49" t="s">
        <v>163</v>
      </c>
      <c r="G1991">
        <f>'Aug-Apr, 2023'!AU93+'Aug-Apr, 2023'!AV93</f>
        <v>36</v>
      </c>
      <c r="H1991">
        <f>'Aug-Apr, 2023'!AW93</f>
        <v>0</v>
      </c>
      <c r="I1991">
        <f>'Aug-Apr, 2023'!AX93</f>
        <v>12</v>
      </c>
      <c r="J1991">
        <f>G1991*Parameters!$B$2*Parameters!$B$5</f>
        <v>76.647599999999997</v>
      </c>
      <c r="K1991">
        <f>H1991*Parameters!$B$3*Parameters!$B$6</f>
        <v>0</v>
      </c>
      <c r="L1991">
        <f>I1991*Parameters!$B$4*Parameters!$B$7</f>
        <v>97.156800000000018</v>
      </c>
      <c r="M1991">
        <f t="shared" si="31"/>
        <v>173.80440000000002</v>
      </c>
      <c r="N1991" s="142">
        <f>'Aug-Apr, 2023'!AY93</f>
        <v>3600</v>
      </c>
      <c r="O1991" s="142">
        <f>'Aug-Apr, 2023'!AZ93</f>
        <v>0</v>
      </c>
      <c r="P1991" s="142">
        <f>'Aug-Apr, 2023'!BA93</f>
        <v>0</v>
      </c>
      <c r="Q1991" s="142">
        <f>'Aug-Apr, 2023'!BB93</f>
        <v>3600</v>
      </c>
    </row>
    <row r="1992" spans="1:17">
      <c r="A1992" t="s">
        <v>117</v>
      </c>
      <c r="B1992" t="s">
        <v>17</v>
      </c>
      <c r="C1992">
        <v>9</v>
      </c>
      <c r="D1992">
        <v>2023</v>
      </c>
      <c r="E1992" s="49" t="s">
        <v>147</v>
      </c>
      <c r="F1992" s="49" t="s">
        <v>163</v>
      </c>
      <c r="G1992">
        <f>'Aug-Apr, 2023'!AU94+'Aug-Apr, 2023'!AV94</f>
        <v>28</v>
      </c>
      <c r="H1992">
        <f>'Aug-Apr, 2023'!AW94</f>
        <v>0</v>
      </c>
      <c r="I1992">
        <f>'Aug-Apr, 2023'!AX94</f>
        <v>6</v>
      </c>
      <c r="J1992">
        <f>G1992*Parameters!$B$2*Parameters!$B$5</f>
        <v>59.614799999999995</v>
      </c>
      <c r="K1992">
        <f>H1992*Parameters!$B$3*Parameters!$B$6</f>
        <v>0</v>
      </c>
      <c r="L1992">
        <f>I1992*Parameters!$B$4*Parameters!$B$7</f>
        <v>48.578400000000009</v>
      </c>
      <c r="M1992">
        <f t="shared" si="31"/>
        <v>108.1932</v>
      </c>
      <c r="N1992" s="142">
        <f>'Aug-Apr, 2023'!AY94</f>
        <v>2800</v>
      </c>
      <c r="O1992" s="142">
        <f>'Aug-Apr, 2023'!AZ94</f>
        <v>0</v>
      </c>
      <c r="P1992" s="142">
        <f>'Aug-Apr, 2023'!BA94</f>
        <v>0</v>
      </c>
      <c r="Q1992" s="142">
        <f>'Aug-Apr, 2023'!BB94</f>
        <v>1800</v>
      </c>
    </row>
    <row r="1993" spans="1:17">
      <c r="A1993" t="s">
        <v>118</v>
      </c>
      <c r="B1993" t="s">
        <v>19</v>
      </c>
      <c r="C1993">
        <v>4</v>
      </c>
      <c r="D1993">
        <v>2023</v>
      </c>
      <c r="E1993" s="49" t="s">
        <v>147</v>
      </c>
      <c r="F1993" s="49" t="s">
        <v>163</v>
      </c>
      <c r="G1993">
        <f>'Aug-Apr, 2023'!AU95+'Aug-Apr, 2023'!AV95</f>
        <v>32</v>
      </c>
      <c r="H1993">
        <f>'Aug-Apr, 2023'!AW95</f>
        <v>0</v>
      </c>
      <c r="I1993">
        <f>'Aug-Apr, 2023'!AX95</f>
        <v>14</v>
      </c>
      <c r="J1993">
        <f>G1993*Parameters!$B$2*Parameters!$B$5</f>
        <v>68.131199999999993</v>
      </c>
      <c r="K1993">
        <f>H1993*Parameters!$B$3*Parameters!$B$6</f>
        <v>0</v>
      </c>
      <c r="L1993">
        <f>I1993*Parameters!$B$4*Parameters!$B$7</f>
        <v>113.34960000000001</v>
      </c>
      <c r="M1993">
        <f t="shared" si="31"/>
        <v>181.48079999999999</v>
      </c>
      <c r="N1993" s="142">
        <f>'Aug-Apr, 2023'!AY95</f>
        <v>3200</v>
      </c>
      <c r="O1993" s="142">
        <f>'Aug-Apr, 2023'!AZ95</f>
        <v>0</v>
      </c>
      <c r="P1993" s="142">
        <f>'Aug-Apr, 2023'!BA95</f>
        <v>0</v>
      </c>
      <c r="Q1993" s="142">
        <f>'Aug-Apr, 2023'!BB95</f>
        <v>4200</v>
      </c>
    </row>
    <row r="1994" spans="1:17">
      <c r="A1994" t="s">
        <v>119</v>
      </c>
      <c r="B1994" t="s">
        <v>40</v>
      </c>
      <c r="C1994">
        <v>6</v>
      </c>
      <c r="D1994">
        <v>2023</v>
      </c>
      <c r="E1994" s="49" t="s">
        <v>147</v>
      </c>
      <c r="F1994" s="49" t="s">
        <v>163</v>
      </c>
      <c r="G1994">
        <f>'Aug-Apr, 2023'!AU96+'Aug-Apr, 2023'!AV96</f>
        <v>40</v>
      </c>
      <c r="H1994">
        <f>'Aug-Apr, 2023'!AW96</f>
        <v>0</v>
      </c>
      <c r="I1994">
        <f>'Aug-Apr, 2023'!AX96</f>
        <v>9</v>
      </c>
      <c r="J1994">
        <f>G1994*Parameters!$B$2*Parameters!$B$5</f>
        <v>85.163999999999987</v>
      </c>
      <c r="K1994">
        <f>H1994*Parameters!$B$3*Parameters!$B$6</f>
        <v>0</v>
      </c>
      <c r="L1994">
        <f>I1994*Parameters!$B$4*Parameters!$B$7</f>
        <v>72.86760000000001</v>
      </c>
      <c r="M1994">
        <f t="shared" si="31"/>
        <v>158.0316</v>
      </c>
      <c r="N1994" s="142">
        <f>'Aug-Apr, 2023'!AY96</f>
        <v>0</v>
      </c>
      <c r="O1994" s="142">
        <f>'Aug-Apr, 2023'!AZ96</f>
        <v>4000</v>
      </c>
      <c r="P1994" s="142">
        <f>'Aug-Apr, 2023'!BA96</f>
        <v>0</v>
      </c>
      <c r="Q1994" s="142">
        <f>'Aug-Apr, 2023'!BB96</f>
        <v>2700</v>
      </c>
    </row>
    <row r="1995" spans="1:17">
      <c r="A1995" t="s">
        <v>120</v>
      </c>
      <c r="B1995" t="s">
        <v>32</v>
      </c>
      <c r="C1995">
        <v>8</v>
      </c>
      <c r="D1995">
        <v>2023</v>
      </c>
      <c r="E1995" s="49" t="s">
        <v>147</v>
      </c>
      <c r="F1995" s="49" t="s">
        <v>163</v>
      </c>
      <c r="G1995">
        <f>'Aug-Apr, 2023'!AU97+'Aug-Apr, 2023'!AV97</f>
        <v>58</v>
      </c>
      <c r="H1995">
        <f>'Aug-Apr, 2023'!AW97</f>
        <v>0</v>
      </c>
      <c r="I1995">
        <f>'Aug-Apr, 2023'!AX97</f>
        <v>0</v>
      </c>
      <c r="J1995">
        <f>G1995*Parameters!$B$2*Parameters!$B$5</f>
        <v>123.48779999999998</v>
      </c>
      <c r="K1995">
        <f>H1995*Parameters!$B$3*Parameters!$B$6</f>
        <v>0</v>
      </c>
      <c r="L1995">
        <f>I1995*Parameters!$B$4*Parameters!$B$7</f>
        <v>0</v>
      </c>
      <c r="M1995">
        <f t="shared" si="31"/>
        <v>123.48779999999998</v>
      </c>
      <c r="N1995" s="142">
        <f>'Aug-Apr, 2023'!AY97</f>
        <v>5800</v>
      </c>
      <c r="O1995" s="142">
        <f>'Aug-Apr, 2023'!AZ97</f>
        <v>0</v>
      </c>
      <c r="P1995" s="142">
        <f>'Aug-Apr, 2023'!BA97</f>
        <v>0</v>
      </c>
      <c r="Q1995" s="142">
        <f>'Aug-Apr, 2023'!BB97</f>
        <v>0</v>
      </c>
    </row>
    <row r="1996" spans="1:17">
      <c r="A1996" t="s">
        <v>121</v>
      </c>
      <c r="B1996" t="s">
        <v>24</v>
      </c>
      <c r="C1996">
        <v>5</v>
      </c>
      <c r="D1996">
        <v>2023</v>
      </c>
      <c r="E1996" s="49" t="s">
        <v>147</v>
      </c>
      <c r="F1996" s="49" t="s">
        <v>163</v>
      </c>
      <c r="G1996">
        <f>'Aug-Apr, 2023'!AU98+'Aug-Apr, 2023'!AV98</f>
        <v>48</v>
      </c>
      <c r="H1996">
        <f>'Aug-Apr, 2023'!AW98</f>
        <v>0</v>
      </c>
      <c r="I1996">
        <f>'Aug-Apr, 2023'!AX98</f>
        <v>11</v>
      </c>
      <c r="J1996">
        <f>G1996*Parameters!$B$2*Parameters!$B$5</f>
        <v>102.19679999999998</v>
      </c>
      <c r="K1996">
        <f>H1996*Parameters!$B$3*Parameters!$B$6</f>
        <v>0</v>
      </c>
      <c r="L1996">
        <f>I1996*Parameters!$B$4*Parameters!$B$7</f>
        <v>89.060400000000016</v>
      </c>
      <c r="M1996">
        <f t="shared" si="31"/>
        <v>191.25720000000001</v>
      </c>
      <c r="N1996" s="142">
        <f>'Aug-Apr, 2023'!AY98</f>
        <v>4800</v>
      </c>
      <c r="O1996" s="142">
        <f>'Aug-Apr, 2023'!AZ98</f>
        <v>0</v>
      </c>
      <c r="P1996" s="142">
        <f>'Aug-Apr, 2023'!BA98</f>
        <v>0</v>
      </c>
      <c r="Q1996" s="142">
        <f>'Aug-Apr, 2023'!BB98</f>
        <v>3300</v>
      </c>
    </row>
    <row r="1997" spans="1:17">
      <c r="A1997" t="s">
        <v>122</v>
      </c>
      <c r="B1997" t="s">
        <v>26</v>
      </c>
      <c r="C1997">
        <v>6</v>
      </c>
      <c r="D1997">
        <v>2023</v>
      </c>
      <c r="E1997" s="49" t="s">
        <v>147</v>
      </c>
      <c r="F1997" s="49" t="s">
        <v>163</v>
      </c>
      <c r="G1997">
        <f>'Aug-Apr, 2023'!AU99+'Aug-Apr, 2023'!AV99</f>
        <v>36</v>
      </c>
      <c r="H1997">
        <f>'Aug-Apr, 2023'!AW99</f>
        <v>0</v>
      </c>
      <c r="I1997">
        <f>'Aug-Apr, 2023'!AX99</f>
        <v>5</v>
      </c>
      <c r="J1997">
        <f>G1997*Parameters!$B$2*Parameters!$B$5</f>
        <v>76.647599999999997</v>
      </c>
      <c r="K1997">
        <f>H1997*Parameters!$B$3*Parameters!$B$6</f>
        <v>0</v>
      </c>
      <c r="L1997">
        <f>I1997*Parameters!$B$4*Parameters!$B$7</f>
        <v>40.481999999999999</v>
      </c>
      <c r="M1997">
        <f t="shared" si="31"/>
        <v>117.1296</v>
      </c>
      <c r="N1997" s="142">
        <f>'Aug-Apr, 2023'!AY99</f>
        <v>3600</v>
      </c>
      <c r="O1997" s="142">
        <f>'Aug-Apr, 2023'!AZ99</f>
        <v>0</v>
      </c>
      <c r="P1997" s="142">
        <f>'Aug-Apr, 2023'!BA99</f>
        <v>0</v>
      </c>
      <c r="Q1997" s="142">
        <f>'Aug-Apr, 2023'!BB99</f>
        <v>1500</v>
      </c>
    </row>
    <row r="1998" spans="1:17">
      <c r="A1998" t="s">
        <v>123</v>
      </c>
      <c r="B1998" t="s">
        <v>19</v>
      </c>
      <c r="C1998">
        <v>8</v>
      </c>
      <c r="D1998">
        <v>2023</v>
      </c>
      <c r="E1998" s="49" t="s">
        <v>147</v>
      </c>
      <c r="F1998" s="49" t="s">
        <v>163</v>
      </c>
      <c r="G1998">
        <f>'Aug-Apr, 2023'!AU100+'Aug-Apr, 2023'!AV100</f>
        <v>45</v>
      </c>
      <c r="H1998">
        <f>'Aug-Apr, 2023'!AW100</f>
        <v>0</v>
      </c>
      <c r="I1998">
        <f>'Aug-Apr, 2023'!AX100</f>
        <v>10</v>
      </c>
      <c r="J1998">
        <f>G1998*Parameters!$B$2*Parameters!$B$5</f>
        <v>95.809499999999986</v>
      </c>
      <c r="K1998">
        <f>H1998*Parameters!$B$3*Parameters!$B$6</f>
        <v>0</v>
      </c>
      <c r="L1998">
        <f>I1998*Parameters!$B$4*Parameters!$B$7</f>
        <v>80.963999999999999</v>
      </c>
      <c r="M1998">
        <f t="shared" si="31"/>
        <v>176.77349999999998</v>
      </c>
      <c r="N1998" s="142">
        <f>'Aug-Apr, 2023'!AY100</f>
        <v>4500</v>
      </c>
      <c r="O1998" s="142">
        <f>'Aug-Apr, 2023'!AZ100</f>
        <v>0</v>
      </c>
      <c r="P1998" s="142">
        <f>'Aug-Apr, 2023'!BA100</f>
        <v>0</v>
      </c>
      <c r="Q1998" s="142">
        <f>'Aug-Apr, 2023'!BB100</f>
        <v>3000</v>
      </c>
    </row>
    <row r="1999" spans="1:17">
      <c r="A1999" t="s">
        <v>124</v>
      </c>
      <c r="B1999" t="s">
        <v>56</v>
      </c>
      <c r="C1999">
        <v>9</v>
      </c>
      <c r="D1999">
        <v>2023</v>
      </c>
      <c r="E1999" s="49" t="s">
        <v>147</v>
      </c>
      <c r="F1999" s="49" t="s">
        <v>163</v>
      </c>
      <c r="G1999">
        <f>'Aug-Apr, 2023'!AU101+'Aug-Apr, 2023'!AV101</f>
        <v>48</v>
      </c>
      <c r="H1999">
        <f>'Aug-Apr, 2023'!AW101</f>
        <v>0</v>
      </c>
      <c r="I1999">
        <f>'Aug-Apr, 2023'!AX101</f>
        <v>12</v>
      </c>
      <c r="J1999">
        <f>G1999*Parameters!$B$2*Parameters!$B$5</f>
        <v>102.19679999999998</v>
      </c>
      <c r="K1999">
        <f>H1999*Parameters!$B$3*Parameters!$B$6</f>
        <v>0</v>
      </c>
      <c r="L1999">
        <f>I1999*Parameters!$B$4*Parameters!$B$7</f>
        <v>97.156800000000018</v>
      </c>
      <c r="M1999">
        <f t="shared" si="31"/>
        <v>199.3536</v>
      </c>
      <c r="N1999" s="142">
        <f>'Aug-Apr, 2023'!AY101</f>
        <v>4800</v>
      </c>
      <c r="O1999" s="142">
        <f>'Aug-Apr, 2023'!AZ101</f>
        <v>0</v>
      </c>
      <c r="P1999" s="142">
        <f>'Aug-Apr, 2023'!BA101</f>
        <v>0</v>
      </c>
      <c r="Q1999" s="142">
        <f>'Aug-Apr, 2023'!BB101</f>
        <v>3600</v>
      </c>
    </row>
    <row r="2000" spans="1:17">
      <c r="A2000" t="s">
        <v>125</v>
      </c>
      <c r="B2000" t="s">
        <v>65</v>
      </c>
      <c r="C2000">
        <v>7</v>
      </c>
      <c r="D2000">
        <v>2023</v>
      </c>
      <c r="E2000" s="49" t="s">
        <v>147</v>
      </c>
      <c r="F2000" s="49" t="s">
        <v>163</v>
      </c>
      <c r="G2000">
        <f>'Aug-Apr, 2023'!AU102+'Aug-Apr, 2023'!AV102</f>
        <v>34</v>
      </c>
      <c r="H2000">
        <f>'Aug-Apr, 2023'!AW102</f>
        <v>0</v>
      </c>
      <c r="I2000">
        <f>'Aug-Apr, 2023'!AX102</f>
        <v>20</v>
      </c>
      <c r="J2000">
        <f>G2000*Parameters!$B$2*Parameters!$B$5</f>
        <v>72.389399999999995</v>
      </c>
      <c r="K2000">
        <f>H2000*Parameters!$B$3*Parameters!$B$6</f>
        <v>0</v>
      </c>
      <c r="L2000">
        <f>I2000*Parameters!$B$4*Parameters!$B$7</f>
        <v>161.928</v>
      </c>
      <c r="M2000">
        <f t="shared" si="31"/>
        <v>234.31739999999999</v>
      </c>
      <c r="N2000" s="142">
        <f>'Aug-Apr, 2023'!AY102</f>
        <v>3400</v>
      </c>
      <c r="O2000" s="142">
        <f>'Aug-Apr, 2023'!AZ102</f>
        <v>0</v>
      </c>
      <c r="P2000" s="142">
        <f>'Aug-Apr, 2023'!BA102</f>
        <v>0</v>
      </c>
      <c r="Q2000" s="142">
        <f>'Aug-Apr, 2023'!BB102</f>
        <v>6000</v>
      </c>
    </row>
    <row r="2001" spans="1:17">
      <c r="A2001" t="s">
        <v>126</v>
      </c>
      <c r="B2001" t="s">
        <v>65</v>
      </c>
      <c r="C2001">
        <v>6</v>
      </c>
      <c r="D2001">
        <v>2023</v>
      </c>
      <c r="E2001" s="49" t="s">
        <v>147</v>
      </c>
      <c r="F2001" s="49" t="s">
        <v>163</v>
      </c>
      <c r="G2001">
        <f>'Aug-Apr, 2023'!AU103+'Aug-Apr, 2023'!AV103</f>
        <v>50</v>
      </c>
      <c r="H2001">
        <f>'Aug-Apr, 2023'!AW103</f>
        <v>0</v>
      </c>
      <c r="I2001">
        <f>'Aug-Apr, 2023'!AX103</f>
        <v>0</v>
      </c>
      <c r="J2001">
        <f>G2001*Parameters!$B$2*Parameters!$B$5</f>
        <v>106.45499999999998</v>
      </c>
      <c r="K2001">
        <f>H2001*Parameters!$B$3*Parameters!$B$6</f>
        <v>0</v>
      </c>
      <c r="L2001">
        <f>I2001*Parameters!$B$4*Parameters!$B$7</f>
        <v>0</v>
      </c>
      <c r="M2001">
        <f t="shared" si="31"/>
        <v>106.45499999999998</v>
      </c>
      <c r="N2001" s="142">
        <f>'Aug-Apr, 2023'!AY103</f>
        <v>5000</v>
      </c>
      <c r="O2001" s="142">
        <f>'Aug-Apr, 2023'!AZ103</f>
        <v>0</v>
      </c>
      <c r="P2001" s="142">
        <f>'Aug-Apr, 2023'!BA103</f>
        <v>0</v>
      </c>
      <c r="Q2001" s="142">
        <f>'Aug-Apr, 2023'!BB103</f>
        <v>0</v>
      </c>
    </row>
    <row r="2002" spans="1:17">
      <c r="A2002" t="s">
        <v>16</v>
      </c>
      <c r="B2002" t="s">
        <v>17</v>
      </c>
      <c r="C2002">
        <v>8</v>
      </c>
      <c r="D2002">
        <v>2023</v>
      </c>
      <c r="E2002" s="49" t="s">
        <v>153</v>
      </c>
      <c r="F2002" s="49" t="s">
        <v>163</v>
      </c>
      <c r="G2002">
        <f>'Aug-Apr, 2023'!BC4+'Aug-Apr, 2023'!BD4</f>
        <v>52</v>
      </c>
      <c r="H2002">
        <f>'Aug-Apr, 2023'!BE4</f>
        <v>0</v>
      </c>
      <c r="I2002">
        <f>'Aug-Apr, 2023'!BF4</f>
        <v>20</v>
      </c>
      <c r="J2002">
        <f>G2002*Parameters!$B$2*Parameters!$B$5</f>
        <v>110.71319999999999</v>
      </c>
      <c r="K2002">
        <f>H2002*Parameters!$B$3*Parameters!$B$6</f>
        <v>0</v>
      </c>
      <c r="L2002">
        <f>I2002*Parameters!$B$4*Parameters!$B$7</f>
        <v>161.928</v>
      </c>
      <c r="M2002">
        <f t="shared" si="31"/>
        <v>272.64119999999997</v>
      </c>
      <c r="N2002" s="142">
        <f>'Aug-Apr, 2023'!BG4</f>
        <v>5200</v>
      </c>
      <c r="O2002" s="142">
        <f>'Aug-Apr, 2023'!BH4</f>
        <v>0</v>
      </c>
      <c r="P2002" s="142">
        <f>'Aug-Apr, 2023'!BI4</f>
        <v>0</v>
      </c>
      <c r="Q2002" s="142">
        <f>'Aug-Apr, 2023'!BJ4</f>
        <v>6000</v>
      </c>
    </row>
    <row r="2003" spans="1:17">
      <c r="A2003" t="s">
        <v>18</v>
      </c>
      <c r="B2003" t="s">
        <v>19</v>
      </c>
      <c r="C2003">
        <v>7</v>
      </c>
      <c r="D2003">
        <v>2023</v>
      </c>
      <c r="E2003" s="49" t="s">
        <v>153</v>
      </c>
      <c r="F2003" s="49" t="s">
        <v>163</v>
      </c>
      <c r="G2003">
        <f>'Aug-Apr, 2023'!BC5+'Aug-Apr, 2023'!BD5</f>
        <v>48</v>
      </c>
      <c r="H2003">
        <f>'Aug-Apr, 2023'!BE5</f>
        <v>0</v>
      </c>
      <c r="I2003">
        <f>'Aug-Apr, 2023'!BF5</f>
        <v>12</v>
      </c>
      <c r="J2003">
        <f>G2003*Parameters!$B$2*Parameters!$B$5</f>
        <v>102.19679999999998</v>
      </c>
      <c r="K2003">
        <f>H2003*Parameters!$B$3*Parameters!$B$6</f>
        <v>0</v>
      </c>
      <c r="L2003">
        <f>I2003*Parameters!$B$4*Parameters!$B$7</f>
        <v>97.156800000000018</v>
      </c>
      <c r="M2003">
        <f t="shared" si="31"/>
        <v>199.3536</v>
      </c>
      <c r="N2003" s="142">
        <f>'Aug-Apr, 2023'!BG5</f>
        <v>4800</v>
      </c>
      <c r="O2003" s="142">
        <f>'Aug-Apr, 2023'!BH5</f>
        <v>0</v>
      </c>
      <c r="P2003" s="142">
        <f>'Aug-Apr, 2023'!BI5</f>
        <v>0</v>
      </c>
      <c r="Q2003" s="142">
        <f>'Aug-Apr, 2023'!BJ5</f>
        <v>3600</v>
      </c>
    </row>
    <row r="2004" spans="1:17">
      <c r="A2004" t="s">
        <v>20</v>
      </c>
      <c r="B2004" t="s">
        <v>21</v>
      </c>
      <c r="C2004">
        <v>10</v>
      </c>
      <c r="D2004">
        <v>2023</v>
      </c>
      <c r="E2004" s="49" t="s">
        <v>153</v>
      </c>
      <c r="F2004" s="49" t="s">
        <v>163</v>
      </c>
      <c r="G2004">
        <f>'Aug-Apr, 2023'!BC6+'Aug-Apr, 2023'!BD6</f>
        <v>44</v>
      </c>
      <c r="H2004">
        <f>'Aug-Apr, 2023'!BE6</f>
        <v>0</v>
      </c>
      <c r="I2004">
        <f>'Aug-Apr, 2023'!BF6</f>
        <v>20</v>
      </c>
      <c r="J2004">
        <f>G2004*Parameters!$B$2*Parameters!$B$5</f>
        <v>93.680399999999992</v>
      </c>
      <c r="K2004">
        <f>H2004*Parameters!$B$3*Parameters!$B$6</f>
        <v>0</v>
      </c>
      <c r="L2004">
        <f>I2004*Parameters!$B$4*Parameters!$B$7</f>
        <v>161.928</v>
      </c>
      <c r="M2004">
        <f t="shared" si="31"/>
        <v>255.60839999999999</v>
      </c>
      <c r="N2004" s="142">
        <f>'Aug-Apr, 2023'!BG6</f>
        <v>4400</v>
      </c>
      <c r="O2004" s="142">
        <f>'Aug-Apr, 2023'!BH6</f>
        <v>0</v>
      </c>
      <c r="P2004" s="142">
        <f>'Aug-Apr, 2023'!BI6</f>
        <v>0</v>
      </c>
      <c r="Q2004" s="142">
        <f>'Aug-Apr, 2023'!BJ6</f>
        <v>6000</v>
      </c>
    </row>
    <row r="2005" spans="1:17">
      <c r="A2005" t="s">
        <v>22</v>
      </c>
      <c r="B2005" t="s">
        <v>19</v>
      </c>
      <c r="C2005">
        <v>7</v>
      </c>
      <c r="D2005">
        <v>2023</v>
      </c>
      <c r="E2005" s="49" t="s">
        <v>153</v>
      </c>
      <c r="F2005" s="49" t="s">
        <v>163</v>
      </c>
      <c r="G2005">
        <f>'Aug-Apr, 2023'!BC7+'Aug-Apr, 2023'!BD7</f>
        <v>61</v>
      </c>
      <c r="H2005">
        <f>'Aug-Apr, 2023'!BE7</f>
        <v>0</v>
      </c>
      <c r="I2005">
        <f>'Aug-Apr, 2023'!BF7</f>
        <v>16</v>
      </c>
      <c r="J2005">
        <f>G2005*Parameters!$B$2*Parameters!$B$5</f>
        <v>129.8751</v>
      </c>
      <c r="K2005">
        <f>H2005*Parameters!$B$3*Parameters!$B$6</f>
        <v>0</v>
      </c>
      <c r="L2005">
        <f>I2005*Parameters!$B$4*Parameters!$B$7</f>
        <v>129.54240000000001</v>
      </c>
      <c r="M2005">
        <f t="shared" si="31"/>
        <v>259.41750000000002</v>
      </c>
      <c r="N2005" s="142">
        <f>'Aug-Apr, 2023'!BG7</f>
        <v>6100</v>
      </c>
      <c r="O2005" s="142">
        <f>'Aug-Apr, 2023'!BH7</f>
        <v>0</v>
      </c>
      <c r="P2005" s="142">
        <f>'Aug-Apr, 2023'!BI7</f>
        <v>0</v>
      </c>
      <c r="Q2005" s="142">
        <f>'Aug-Apr, 2023'!BJ7</f>
        <v>4800</v>
      </c>
    </row>
    <row r="2006" spans="1:17">
      <c r="A2006" t="s">
        <v>23</v>
      </c>
      <c r="B2006" t="s">
        <v>24</v>
      </c>
      <c r="C2006">
        <v>4</v>
      </c>
      <c r="D2006">
        <v>2023</v>
      </c>
      <c r="E2006" s="49" t="s">
        <v>153</v>
      </c>
      <c r="F2006" s="49" t="s">
        <v>163</v>
      </c>
      <c r="G2006">
        <f>'Aug-Apr, 2023'!BC8+'Aug-Apr, 2023'!BD8</f>
        <v>42</v>
      </c>
      <c r="H2006">
        <f>'Aug-Apr, 2023'!BE8</f>
        <v>0</v>
      </c>
      <c r="I2006">
        <f>'Aug-Apr, 2023'!BF8</f>
        <v>20</v>
      </c>
      <c r="J2006">
        <f>G2006*Parameters!$B$2*Parameters!$B$5</f>
        <v>89.422199999999975</v>
      </c>
      <c r="K2006">
        <f>H2006*Parameters!$B$3*Parameters!$B$6</f>
        <v>0</v>
      </c>
      <c r="L2006">
        <f>I2006*Parameters!$B$4*Parameters!$B$7</f>
        <v>161.928</v>
      </c>
      <c r="M2006">
        <f t="shared" si="31"/>
        <v>251.35019999999997</v>
      </c>
      <c r="N2006" s="142">
        <f>'Aug-Apr, 2023'!BG8</f>
        <v>4200</v>
      </c>
      <c r="O2006" s="142">
        <f>'Aug-Apr, 2023'!BH8</f>
        <v>0</v>
      </c>
      <c r="P2006" s="142">
        <f>'Aug-Apr, 2023'!BI8</f>
        <v>0</v>
      </c>
      <c r="Q2006" s="142">
        <f>'Aug-Apr, 2023'!BJ8</f>
        <v>6000</v>
      </c>
    </row>
    <row r="2007" spans="1:17">
      <c r="A2007" t="s">
        <v>25</v>
      </c>
      <c r="B2007" t="s">
        <v>26</v>
      </c>
      <c r="C2007">
        <v>3</v>
      </c>
      <c r="D2007">
        <v>2023</v>
      </c>
      <c r="E2007" s="49" t="s">
        <v>153</v>
      </c>
      <c r="F2007" s="49" t="s">
        <v>163</v>
      </c>
      <c r="G2007">
        <f>'Aug-Apr, 2023'!BC9+'Aug-Apr, 2023'!BD9</f>
        <v>38</v>
      </c>
      <c r="H2007">
        <f>'Aug-Apr, 2023'!BE9</f>
        <v>0</v>
      </c>
      <c r="I2007">
        <f>'Aug-Apr, 2023'!BF9</f>
        <v>19</v>
      </c>
      <c r="J2007">
        <f>G2007*Parameters!$B$2*Parameters!$B$5</f>
        <v>80.905799999999985</v>
      </c>
      <c r="K2007">
        <f>H2007*Parameters!$B$3*Parameters!$B$6</f>
        <v>0</v>
      </c>
      <c r="L2007">
        <f>I2007*Parameters!$B$4*Parameters!$B$7</f>
        <v>153.83160000000001</v>
      </c>
      <c r="M2007">
        <f t="shared" si="31"/>
        <v>234.73739999999998</v>
      </c>
      <c r="N2007" s="142">
        <f>'Aug-Apr, 2023'!BG9</f>
        <v>3800</v>
      </c>
      <c r="O2007" s="142">
        <f>'Aug-Apr, 2023'!BH9</f>
        <v>0</v>
      </c>
      <c r="P2007" s="142">
        <f>'Aug-Apr, 2023'!BI9</f>
        <v>0</v>
      </c>
      <c r="Q2007" s="142">
        <f>'Aug-Apr, 2023'!BJ9</f>
        <v>5700</v>
      </c>
    </row>
    <row r="2008" spans="1:17">
      <c r="A2008" t="s">
        <v>27</v>
      </c>
      <c r="B2008" t="s">
        <v>21</v>
      </c>
      <c r="C2008">
        <v>6</v>
      </c>
      <c r="D2008">
        <v>2023</v>
      </c>
      <c r="E2008" s="49" t="s">
        <v>153</v>
      </c>
      <c r="F2008" s="49" t="s">
        <v>163</v>
      </c>
      <c r="G2008">
        <f>'Aug-Apr, 2023'!BC10+'Aug-Apr, 2023'!BD10</f>
        <v>50</v>
      </c>
      <c r="H2008">
        <f>'Aug-Apr, 2023'!BE10</f>
        <v>0</v>
      </c>
      <c r="I2008">
        <f>'Aug-Apr, 2023'!BF10</f>
        <v>16</v>
      </c>
      <c r="J2008">
        <f>G2008*Parameters!$B$2*Parameters!$B$5</f>
        <v>106.45499999999998</v>
      </c>
      <c r="K2008">
        <f>H2008*Parameters!$B$3*Parameters!$B$6</f>
        <v>0</v>
      </c>
      <c r="L2008">
        <f>I2008*Parameters!$B$4*Parameters!$B$7</f>
        <v>129.54240000000001</v>
      </c>
      <c r="M2008">
        <f t="shared" si="31"/>
        <v>235.9974</v>
      </c>
      <c r="N2008" s="142">
        <f>'Aug-Apr, 2023'!BG10</f>
        <v>5000</v>
      </c>
      <c r="O2008" s="142">
        <f>'Aug-Apr, 2023'!BH10</f>
        <v>0</v>
      </c>
      <c r="P2008" s="142">
        <f>'Aug-Apr, 2023'!BI10</f>
        <v>0</v>
      </c>
      <c r="Q2008" s="142">
        <f>'Aug-Apr, 2023'!BJ10</f>
        <v>4800</v>
      </c>
    </row>
    <row r="2009" spans="1:17">
      <c r="A2009" t="s">
        <v>28</v>
      </c>
      <c r="B2009" t="s">
        <v>19</v>
      </c>
      <c r="C2009">
        <v>9</v>
      </c>
      <c r="D2009">
        <v>2023</v>
      </c>
      <c r="E2009" s="49" t="s">
        <v>153</v>
      </c>
      <c r="F2009" s="49" t="s">
        <v>163</v>
      </c>
      <c r="G2009">
        <f>'Aug-Apr, 2023'!BC11+'Aug-Apr, 2023'!BD11</f>
        <v>54</v>
      </c>
      <c r="H2009">
        <f>'Aug-Apr, 2023'!BE11</f>
        <v>0</v>
      </c>
      <c r="I2009">
        <f>'Aug-Apr, 2023'!BF11</f>
        <v>18</v>
      </c>
      <c r="J2009">
        <f>G2009*Parameters!$B$2*Parameters!$B$5</f>
        <v>114.97139999999999</v>
      </c>
      <c r="K2009">
        <f>H2009*Parameters!$B$3*Parameters!$B$6</f>
        <v>0</v>
      </c>
      <c r="L2009">
        <f>I2009*Parameters!$B$4*Parameters!$B$7</f>
        <v>145.73520000000002</v>
      </c>
      <c r="M2009">
        <f t="shared" si="31"/>
        <v>260.70659999999998</v>
      </c>
      <c r="N2009" s="142">
        <f>'Aug-Apr, 2023'!BG11</f>
        <v>5400</v>
      </c>
      <c r="O2009" s="142">
        <f>'Aug-Apr, 2023'!BH11</f>
        <v>0</v>
      </c>
      <c r="P2009" s="142">
        <f>'Aug-Apr, 2023'!BI11</f>
        <v>0</v>
      </c>
      <c r="Q2009" s="142">
        <f>'Aug-Apr, 2023'!BJ11</f>
        <v>5400</v>
      </c>
    </row>
    <row r="2010" spans="1:17">
      <c r="A2010" t="s">
        <v>29</v>
      </c>
      <c r="B2010" t="s">
        <v>24</v>
      </c>
      <c r="C2010">
        <v>4</v>
      </c>
      <c r="D2010">
        <v>2023</v>
      </c>
      <c r="E2010" s="49" t="s">
        <v>153</v>
      </c>
      <c r="F2010" s="49" t="s">
        <v>163</v>
      </c>
      <c r="G2010">
        <f>'Aug-Apr, 2023'!BC12+'Aug-Apr, 2023'!BD12</f>
        <v>48</v>
      </c>
      <c r="H2010">
        <f>'Aug-Apr, 2023'!BE12</f>
        <v>0</v>
      </c>
      <c r="I2010">
        <f>'Aug-Apr, 2023'!BF12</f>
        <v>20</v>
      </c>
      <c r="J2010">
        <f>G2010*Parameters!$B$2*Parameters!$B$5</f>
        <v>102.19679999999998</v>
      </c>
      <c r="K2010">
        <f>H2010*Parameters!$B$3*Parameters!$B$6</f>
        <v>0</v>
      </c>
      <c r="L2010">
        <f>I2010*Parameters!$B$4*Parameters!$B$7</f>
        <v>161.928</v>
      </c>
      <c r="M2010">
        <f t="shared" si="31"/>
        <v>264.12479999999999</v>
      </c>
      <c r="N2010" s="142">
        <f>'Aug-Apr, 2023'!BG12</f>
        <v>4800</v>
      </c>
      <c r="O2010" s="142">
        <f>'Aug-Apr, 2023'!BH12</f>
        <v>0</v>
      </c>
      <c r="P2010" s="142">
        <f>'Aug-Apr, 2023'!BI12</f>
        <v>0</v>
      </c>
      <c r="Q2010" s="142">
        <f>'Aug-Apr, 2023'!BJ12</f>
        <v>6000</v>
      </c>
    </row>
    <row r="2011" spans="1:17">
      <c r="A2011" t="s">
        <v>30</v>
      </c>
      <c r="B2011" t="s">
        <v>21</v>
      </c>
      <c r="C2011">
        <v>6</v>
      </c>
      <c r="D2011">
        <v>2023</v>
      </c>
      <c r="E2011" s="49" t="s">
        <v>153</v>
      </c>
      <c r="F2011" s="49" t="s">
        <v>163</v>
      </c>
      <c r="G2011">
        <f>'Aug-Apr, 2023'!BC13+'Aug-Apr, 2023'!BD13</f>
        <v>33</v>
      </c>
      <c r="H2011">
        <f>'Aug-Apr, 2023'!BE13</f>
        <v>0</v>
      </c>
      <c r="I2011">
        <f>'Aug-Apr, 2023'!BF13</f>
        <v>20</v>
      </c>
      <c r="J2011">
        <f>G2011*Parameters!$B$2*Parameters!$B$5</f>
        <v>70.260300000000001</v>
      </c>
      <c r="K2011">
        <f>H2011*Parameters!$B$3*Parameters!$B$6</f>
        <v>0</v>
      </c>
      <c r="L2011">
        <f>I2011*Parameters!$B$4*Parameters!$B$7</f>
        <v>161.928</v>
      </c>
      <c r="M2011">
        <f t="shared" si="31"/>
        <v>232.1883</v>
      </c>
      <c r="N2011" s="142">
        <f>'Aug-Apr, 2023'!BG13</f>
        <v>3300</v>
      </c>
      <c r="O2011" s="142">
        <f>'Aug-Apr, 2023'!BH13</f>
        <v>0</v>
      </c>
      <c r="P2011" s="142">
        <f>'Aug-Apr, 2023'!BI13</f>
        <v>0</v>
      </c>
      <c r="Q2011" s="142">
        <f>'Aug-Apr, 2023'!BJ13</f>
        <v>6000</v>
      </c>
    </row>
    <row r="2012" spans="1:17">
      <c r="A2012" t="s">
        <v>31</v>
      </c>
      <c r="B2012" t="s">
        <v>32</v>
      </c>
      <c r="C2012">
        <v>4</v>
      </c>
      <c r="D2012">
        <v>2023</v>
      </c>
      <c r="E2012" s="49" t="s">
        <v>153</v>
      </c>
      <c r="F2012" s="49" t="s">
        <v>163</v>
      </c>
      <c r="G2012">
        <f>'Aug-Apr, 2023'!BC14+'Aug-Apr, 2023'!BD14</f>
        <v>50</v>
      </c>
      <c r="H2012">
        <f>'Aug-Apr, 2023'!BE14</f>
        <v>0</v>
      </c>
      <c r="I2012">
        <f>'Aug-Apr, 2023'!BF14</f>
        <v>18</v>
      </c>
      <c r="J2012">
        <f>G2012*Parameters!$B$2*Parameters!$B$5</f>
        <v>106.45499999999998</v>
      </c>
      <c r="K2012">
        <f>H2012*Parameters!$B$3*Parameters!$B$6</f>
        <v>0</v>
      </c>
      <c r="L2012">
        <f>I2012*Parameters!$B$4*Parameters!$B$7</f>
        <v>145.73520000000002</v>
      </c>
      <c r="M2012">
        <f t="shared" si="31"/>
        <v>252.1902</v>
      </c>
      <c r="N2012" s="142">
        <f>'Aug-Apr, 2023'!BG14</f>
        <v>5000</v>
      </c>
      <c r="O2012" s="142">
        <f>'Aug-Apr, 2023'!BH14</f>
        <v>0</v>
      </c>
      <c r="P2012" s="142">
        <f>'Aug-Apr, 2023'!BI14</f>
        <v>0</v>
      </c>
      <c r="Q2012" s="142">
        <f>'Aug-Apr, 2023'!BJ14</f>
        <v>5400</v>
      </c>
    </row>
    <row r="2013" spans="1:17">
      <c r="A2013" t="s">
        <v>33</v>
      </c>
      <c r="B2013" t="s">
        <v>32</v>
      </c>
      <c r="C2013">
        <v>6</v>
      </c>
      <c r="D2013">
        <v>2023</v>
      </c>
      <c r="E2013" s="49" t="s">
        <v>153</v>
      </c>
      <c r="F2013" s="49" t="s">
        <v>163</v>
      </c>
      <c r="G2013">
        <f>'Aug-Apr, 2023'!BC15+'Aug-Apr, 2023'!BD15</f>
        <v>45</v>
      </c>
      <c r="H2013">
        <f>'Aug-Apr, 2023'!BE15</f>
        <v>0</v>
      </c>
      <c r="I2013">
        <f>'Aug-Apr, 2023'!BF15</f>
        <v>12</v>
      </c>
      <c r="J2013">
        <f>G2013*Parameters!$B$2*Parameters!$B$5</f>
        <v>95.809499999999986</v>
      </c>
      <c r="K2013">
        <f>H2013*Parameters!$B$3*Parameters!$B$6</f>
        <v>0</v>
      </c>
      <c r="L2013">
        <f>I2013*Parameters!$B$4*Parameters!$B$7</f>
        <v>97.156800000000018</v>
      </c>
      <c r="M2013">
        <f t="shared" si="31"/>
        <v>192.96629999999999</v>
      </c>
      <c r="N2013" s="142">
        <f>'Aug-Apr, 2023'!BG15</f>
        <v>4500</v>
      </c>
      <c r="O2013" s="142">
        <f>'Aug-Apr, 2023'!BH15</f>
        <v>0</v>
      </c>
      <c r="P2013" s="142">
        <f>'Aug-Apr, 2023'!BI15</f>
        <v>0</v>
      </c>
      <c r="Q2013" s="142">
        <f>'Aug-Apr, 2023'!BJ15</f>
        <v>3600</v>
      </c>
    </row>
    <row r="2014" spans="1:17">
      <c r="A2014" t="s">
        <v>34</v>
      </c>
      <c r="B2014" t="s">
        <v>21</v>
      </c>
      <c r="C2014">
        <v>9</v>
      </c>
      <c r="D2014">
        <v>2023</v>
      </c>
      <c r="E2014" s="49" t="s">
        <v>153</v>
      </c>
      <c r="F2014" s="49" t="s">
        <v>163</v>
      </c>
      <c r="G2014">
        <f>'Aug-Apr, 2023'!BC16+'Aug-Apr, 2023'!BD16</f>
        <v>40</v>
      </c>
      <c r="H2014">
        <f>'Aug-Apr, 2023'!BE16</f>
        <v>0</v>
      </c>
      <c r="I2014">
        <f>'Aug-Apr, 2023'!BF16</f>
        <v>18</v>
      </c>
      <c r="J2014">
        <f>G2014*Parameters!$B$2*Parameters!$B$5</f>
        <v>85.163999999999987</v>
      </c>
      <c r="K2014">
        <f>H2014*Parameters!$B$3*Parameters!$B$6</f>
        <v>0</v>
      </c>
      <c r="L2014">
        <f>I2014*Parameters!$B$4*Parameters!$B$7</f>
        <v>145.73520000000002</v>
      </c>
      <c r="M2014">
        <f t="shared" si="31"/>
        <v>230.89920000000001</v>
      </c>
      <c r="N2014" s="142">
        <f>'Aug-Apr, 2023'!BG16</f>
        <v>4000</v>
      </c>
      <c r="O2014" s="142">
        <f>'Aug-Apr, 2023'!BH16</f>
        <v>0</v>
      </c>
      <c r="P2014" s="142">
        <f>'Aug-Apr, 2023'!BI16</f>
        <v>0</v>
      </c>
      <c r="Q2014" s="142">
        <f>'Aug-Apr, 2023'!BJ16</f>
        <v>5400</v>
      </c>
    </row>
    <row r="2015" spans="1:17">
      <c r="A2015" t="s">
        <v>35</v>
      </c>
      <c r="B2015" t="s">
        <v>21</v>
      </c>
      <c r="C2015">
        <v>6</v>
      </c>
      <c r="D2015">
        <v>2023</v>
      </c>
      <c r="E2015" s="49" t="s">
        <v>153</v>
      </c>
      <c r="F2015" s="49" t="s">
        <v>163</v>
      </c>
      <c r="G2015">
        <f>'Aug-Apr, 2023'!BC17+'Aug-Apr, 2023'!BD17</f>
        <v>57</v>
      </c>
      <c r="H2015">
        <f>'Aug-Apr, 2023'!BE17</f>
        <v>0</v>
      </c>
      <c r="I2015">
        <f>'Aug-Apr, 2023'!BF17</f>
        <v>20</v>
      </c>
      <c r="J2015">
        <f>G2015*Parameters!$B$2*Parameters!$B$5</f>
        <v>121.35869999999998</v>
      </c>
      <c r="K2015">
        <f>H2015*Parameters!$B$3*Parameters!$B$6</f>
        <v>0</v>
      </c>
      <c r="L2015">
        <f>I2015*Parameters!$B$4*Parameters!$B$7</f>
        <v>161.928</v>
      </c>
      <c r="M2015">
        <f t="shared" si="31"/>
        <v>283.2867</v>
      </c>
      <c r="N2015" s="142">
        <f>'Aug-Apr, 2023'!BG17</f>
        <v>1200</v>
      </c>
      <c r="O2015" s="142">
        <f>'Aug-Apr, 2023'!BH17</f>
        <v>4500</v>
      </c>
      <c r="P2015" s="142">
        <f>'Aug-Apr, 2023'!BI17</f>
        <v>0</v>
      </c>
      <c r="Q2015" s="142">
        <f>'Aug-Apr, 2023'!BJ17</f>
        <v>6000</v>
      </c>
    </row>
    <row r="2016" spans="1:17">
      <c r="A2016" t="s">
        <v>36</v>
      </c>
      <c r="B2016" t="s">
        <v>21</v>
      </c>
      <c r="C2016">
        <v>12</v>
      </c>
      <c r="D2016">
        <v>2023</v>
      </c>
      <c r="E2016" s="49" t="s">
        <v>153</v>
      </c>
      <c r="F2016" s="49" t="s">
        <v>163</v>
      </c>
      <c r="G2016">
        <f>'Aug-Apr, 2023'!BC18+'Aug-Apr, 2023'!BD18</f>
        <v>38</v>
      </c>
      <c r="H2016">
        <f>'Aug-Apr, 2023'!BE18</f>
        <v>0</v>
      </c>
      <c r="I2016">
        <f>'Aug-Apr, 2023'!BF18</f>
        <v>20</v>
      </c>
      <c r="J2016">
        <f>G2016*Parameters!$B$2*Parameters!$B$5</f>
        <v>80.905799999999985</v>
      </c>
      <c r="K2016">
        <f>H2016*Parameters!$B$3*Parameters!$B$6</f>
        <v>0</v>
      </c>
      <c r="L2016">
        <f>I2016*Parameters!$B$4*Parameters!$B$7</f>
        <v>161.928</v>
      </c>
      <c r="M2016">
        <f t="shared" si="31"/>
        <v>242.8338</v>
      </c>
      <c r="N2016" s="142">
        <f>'Aug-Apr, 2023'!BG18</f>
        <v>3800</v>
      </c>
      <c r="O2016" s="142">
        <f>'Aug-Apr, 2023'!BH18</f>
        <v>0</v>
      </c>
      <c r="P2016" s="142">
        <f>'Aug-Apr, 2023'!BI18</f>
        <v>0</v>
      </c>
      <c r="Q2016" s="142">
        <f>'Aug-Apr, 2023'!BJ18</f>
        <v>6000</v>
      </c>
    </row>
    <row r="2017" spans="1:17">
      <c r="A2017" t="s">
        <v>37</v>
      </c>
      <c r="B2017" t="s">
        <v>38</v>
      </c>
      <c r="C2017">
        <v>7</v>
      </c>
      <c r="D2017">
        <v>2023</v>
      </c>
      <c r="E2017" s="49" t="s">
        <v>153</v>
      </c>
      <c r="F2017" s="49" t="s">
        <v>163</v>
      </c>
      <c r="G2017">
        <f>'Aug-Apr, 2023'!BC19+'Aug-Apr, 2023'!BD19</f>
        <v>42</v>
      </c>
      <c r="H2017">
        <f>'Aug-Apr, 2023'!BE19</f>
        <v>0</v>
      </c>
      <c r="I2017">
        <f>'Aug-Apr, 2023'!BF19</f>
        <v>18</v>
      </c>
      <c r="J2017">
        <f>G2017*Parameters!$B$2*Parameters!$B$5</f>
        <v>89.422199999999975</v>
      </c>
      <c r="K2017">
        <f>H2017*Parameters!$B$3*Parameters!$B$6</f>
        <v>0</v>
      </c>
      <c r="L2017">
        <f>I2017*Parameters!$B$4*Parameters!$B$7</f>
        <v>145.73520000000002</v>
      </c>
      <c r="M2017">
        <f t="shared" si="31"/>
        <v>235.1574</v>
      </c>
      <c r="N2017" s="142">
        <f>'Aug-Apr, 2023'!BG19</f>
        <v>4200</v>
      </c>
      <c r="O2017" s="142">
        <f>'Aug-Apr, 2023'!BH19</f>
        <v>0</v>
      </c>
      <c r="P2017" s="142">
        <f>'Aug-Apr, 2023'!BI19</f>
        <v>0</v>
      </c>
      <c r="Q2017" s="142">
        <f>'Aug-Apr, 2023'!BJ19</f>
        <v>5400</v>
      </c>
    </row>
    <row r="2018" spans="1:17">
      <c r="A2018" t="s">
        <v>39</v>
      </c>
      <c r="B2018" t="s">
        <v>40</v>
      </c>
      <c r="C2018">
        <v>6</v>
      </c>
      <c r="D2018">
        <v>2023</v>
      </c>
      <c r="E2018" s="49" t="s">
        <v>153</v>
      </c>
      <c r="F2018" s="49" t="s">
        <v>163</v>
      </c>
      <c r="G2018">
        <f>'Aug-Apr, 2023'!BC20+'Aug-Apr, 2023'!BD20</f>
        <v>72</v>
      </c>
      <c r="H2018">
        <f>'Aug-Apr, 2023'!BE20</f>
        <v>0</v>
      </c>
      <c r="I2018">
        <f>'Aug-Apr, 2023'!BF20</f>
        <v>20</v>
      </c>
      <c r="J2018">
        <f>G2018*Parameters!$B$2*Parameters!$B$5</f>
        <v>153.29519999999999</v>
      </c>
      <c r="K2018">
        <f>H2018*Parameters!$B$3*Parameters!$B$6</f>
        <v>0</v>
      </c>
      <c r="L2018">
        <f>I2018*Parameters!$B$4*Parameters!$B$7</f>
        <v>161.928</v>
      </c>
      <c r="M2018">
        <f t="shared" si="31"/>
        <v>315.22320000000002</v>
      </c>
      <c r="N2018" s="142">
        <f>'Aug-Apr, 2023'!BG20</f>
        <v>5200</v>
      </c>
      <c r="O2018" s="142">
        <f>'Aug-Apr, 2023'!BH20</f>
        <v>2000</v>
      </c>
      <c r="P2018" s="142">
        <f>'Aug-Apr, 2023'!BI20</f>
        <v>0</v>
      </c>
      <c r="Q2018" s="142">
        <f>'Aug-Apr, 2023'!BJ20</f>
        <v>6000</v>
      </c>
    </row>
    <row r="2019" spans="1:17">
      <c r="A2019" t="s">
        <v>41</v>
      </c>
      <c r="B2019" t="s">
        <v>26</v>
      </c>
      <c r="C2019">
        <v>5</v>
      </c>
      <c r="D2019">
        <v>2023</v>
      </c>
      <c r="E2019" s="49" t="s">
        <v>153</v>
      </c>
      <c r="F2019" s="49" t="s">
        <v>163</v>
      </c>
      <c r="G2019">
        <f>'Aug-Apr, 2023'!BC21+'Aug-Apr, 2023'!BD21</f>
        <v>45</v>
      </c>
      <c r="H2019">
        <f>'Aug-Apr, 2023'!BE21</f>
        <v>0</v>
      </c>
      <c r="I2019">
        <f>'Aug-Apr, 2023'!BF21</f>
        <v>8</v>
      </c>
      <c r="J2019">
        <f>G2019*Parameters!$B$2*Parameters!$B$5</f>
        <v>95.809499999999986</v>
      </c>
      <c r="K2019">
        <f>H2019*Parameters!$B$3*Parameters!$B$6</f>
        <v>0</v>
      </c>
      <c r="L2019">
        <f>I2019*Parameters!$B$4*Parameters!$B$7</f>
        <v>64.771200000000007</v>
      </c>
      <c r="M2019">
        <f t="shared" si="31"/>
        <v>160.58069999999998</v>
      </c>
      <c r="N2019" s="142">
        <f>'Aug-Apr, 2023'!BG21</f>
        <v>4500</v>
      </c>
      <c r="O2019" s="142">
        <f>'Aug-Apr, 2023'!BH21</f>
        <v>0</v>
      </c>
      <c r="P2019" s="142">
        <f>'Aug-Apr, 2023'!BI21</f>
        <v>0</v>
      </c>
      <c r="Q2019" s="142">
        <f>'Aug-Apr, 2023'!BJ21</f>
        <v>2400</v>
      </c>
    </row>
    <row r="2020" spans="1:17">
      <c r="A2020" t="s">
        <v>42</v>
      </c>
      <c r="B2020" t="s">
        <v>24</v>
      </c>
      <c r="C2020">
        <v>5</v>
      </c>
      <c r="D2020">
        <v>2023</v>
      </c>
      <c r="E2020" s="49" t="s">
        <v>153</v>
      </c>
      <c r="F2020" s="49" t="s">
        <v>163</v>
      </c>
      <c r="G2020">
        <f>'Aug-Apr, 2023'!BC22+'Aug-Apr, 2023'!BD22</f>
        <v>36</v>
      </c>
      <c r="H2020">
        <f>'Aug-Apr, 2023'!BE22</f>
        <v>0</v>
      </c>
      <c r="I2020">
        <f>'Aug-Apr, 2023'!BF22</f>
        <v>10</v>
      </c>
      <c r="J2020">
        <f>G2020*Parameters!$B$2*Parameters!$B$5</f>
        <v>76.647599999999997</v>
      </c>
      <c r="K2020">
        <f>H2020*Parameters!$B$3*Parameters!$B$6</f>
        <v>0</v>
      </c>
      <c r="L2020">
        <f>I2020*Parameters!$B$4*Parameters!$B$7</f>
        <v>80.963999999999999</v>
      </c>
      <c r="M2020">
        <f t="shared" si="31"/>
        <v>157.61160000000001</v>
      </c>
      <c r="N2020" s="142">
        <f>'Aug-Apr, 2023'!BG22</f>
        <v>3600</v>
      </c>
      <c r="O2020" s="142">
        <f>'Aug-Apr, 2023'!BH22</f>
        <v>0</v>
      </c>
      <c r="P2020" s="142">
        <f>'Aug-Apr, 2023'!BI22</f>
        <v>0</v>
      </c>
      <c r="Q2020" s="142">
        <f>'Aug-Apr, 2023'!BJ22</f>
        <v>3000</v>
      </c>
    </row>
    <row r="2021" spans="1:17">
      <c r="A2021" t="s">
        <v>43</v>
      </c>
      <c r="B2021" t="s">
        <v>19</v>
      </c>
      <c r="C2021">
        <v>8</v>
      </c>
      <c r="D2021">
        <v>2023</v>
      </c>
      <c r="E2021" s="49" t="s">
        <v>153</v>
      </c>
      <c r="F2021" s="49" t="s">
        <v>163</v>
      </c>
      <c r="G2021">
        <f>'Aug-Apr, 2023'!BC23+'Aug-Apr, 2023'!BD23</f>
        <v>55</v>
      </c>
      <c r="H2021">
        <f>'Aug-Apr, 2023'!BE23</f>
        <v>0</v>
      </c>
      <c r="I2021">
        <f>'Aug-Apr, 2023'!BF23</f>
        <v>20</v>
      </c>
      <c r="J2021">
        <f>G2021*Parameters!$B$2*Parameters!$B$5</f>
        <v>117.10049999999998</v>
      </c>
      <c r="K2021">
        <f>H2021*Parameters!$B$3*Parameters!$B$6</f>
        <v>0</v>
      </c>
      <c r="L2021">
        <f>I2021*Parameters!$B$4*Parameters!$B$7</f>
        <v>161.928</v>
      </c>
      <c r="M2021">
        <f t="shared" si="31"/>
        <v>279.02850000000001</v>
      </c>
      <c r="N2021" s="142">
        <f>'Aug-Apr, 2023'!BG23</f>
        <v>5500</v>
      </c>
      <c r="O2021" s="142">
        <f>'Aug-Apr, 2023'!BH23</f>
        <v>0</v>
      </c>
      <c r="P2021" s="142">
        <f>'Aug-Apr, 2023'!BI23</f>
        <v>0</v>
      </c>
      <c r="Q2021" s="142">
        <f>'Aug-Apr, 2023'!BJ23</f>
        <v>6000</v>
      </c>
    </row>
    <row r="2022" spans="1:17">
      <c r="A2022" t="s">
        <v>44</v>
      </c>
      <c r="B2022" t="s">
        <v>40</v>
      </c>
      <c r="C2022">
        <v>10</v>
      </c>
      <c r="D2022">
        <v>2023</v>
      </c>
      <c r="E2022" s="49" t="s">
        <v>153</v>
      </c>
      <c r="F2022" s="49" t="s">
        <v>163</v>
      </c>
      <c r="G2022">
        <f>'Aug-Apr, 2023'!BC24+'Aug-Apr, 2023'!BD24</f>
        <v>44</v>
      </c>
      <c r="H2022">
        <f>'Aug-Apr, 2023'!BE24</f>
        <v>0</v>
      </c>
      <c r="I2022">
        <f>'Aug-Apr, 2023'!BF24</f>
        <v>16</v>
      </c>
      <c r="J2022">
        <f>G2022*Parameters!$B$2*Parameters!$B$5</f>
        <v>93.680399999999992</v>
      </c>
      <c r="K2022">
        <f>H2022*Parameters!$B$3*Parameters!$B$6</f>
        <v>0</v>
      </c>
      <c r="L2022">
        <f>I2022*Parameters!$B$4*Parameters!$B$7</f>
        <v>129.54240000000001</v>
      </c>
      <c r="M2022">
        <f t="shared" si="31"/>
        <v>223.22280000000001</v>
      </c>
      <c r="N2022" s="142">
        <f>'Aug-Apr, 2023'!BG24</f>
        <v>4400</v>
      </c>
      <c r="O2022" s="142">
        <f>'Aug-Apr, 2023'!BH24</f>
        <v>0</v>
      </c>
      <c r="P2022" s="142">
        <f>'Aug-Apr, 2023'!BI24</f>
        <v>0</v>
      </c>
      <c r="Q2022" s="142">
        <f>'Aug-Apr, 2023'!BJ24</f>
        <v>4800</v>
      </c>
    </row>
    <row r="2023" spans="1:17">
      <c r="A2023" t="s">
        <v>45</v>
      </c>
      <c r="B2023" t="s">
        <v>24</v>
      </c>
      <c r="C2023">
        <v>8</v>
      </c>
      <c r="D2023">
        <v>2023</v>
      </c>
      <c r="E2023" s="49" t="s">
        <v>153</v>
      </c>
      <c r="F2023" s="49" t="s">
        <v>163</v>
      </c>
      <c r="G2023">
        <f>'Aug-Apr, 2023'!BC25+'Aug-Apr, 2023'!BD25</f>
        <v>40</v>
      </c>
      <c r="H2023">
        <f>'Aug-Apr, 2023'!BE25</f>
        <v>0</v>
      </c>
      <c r="I2023">
        <f>'Aug-Apr, 2023'!BF25</f>
        <v>18</v>
      </c>
      <c r="J2023">
        <f>G2023*Parameters!$B$2*Parameters!$B$5</f>
        <v>85.163999999999987</v>
      </c>
      <c r="K2023">
        <f>H2023*Parameters!$B$3*Parameters!$B$6</f>
        <v>0</v>
      </c>
      <c r="L2023">
        <f>I2023*Parameters!$B$4*Parameters!$B$7</f>
        <v>145.73520000000002</v>
      </c>
      <c r="M2023">
        <f t="shared" si="31"/>
        <v>230.89920000000001</v>
      </c>
      <c r="N2023" s="142">
        <f>'Aug-Apr, 2023'!BG25</f>
        <v>4000</v>
      </c>
      <c r="O2023" s="142">
        <f>'Aug-Apr, 2023'!BH25</f>
        <v>0</v>
      </c>
      <c r="P2023" s="142">
        <f>'Aug-Apr, 2023'!BI25</f>
        <v>0</v>
      </c>
      <c r="Q2023" s="142">
        <f>'Aug-Apr, 2023'!BJ25</f>
        <v>5400</v>
      </c>
    </row>
    <row r="2024" spans="1:17">
      <c r="A2024" t="s">
        <v>46</v>
      </c>
      <c r="B2024" t="s">
        <v>24</v>
      </c>
      <c r="C2024">
        <v>4</v>
      </c>
      <c r="D2024">
        <v>2023</v>
      </c>
      <c r="E2024" s="49" t="s">
        <v>153</v>
      </c>
      <c r="F2024" s="49" t="s">
        <v>163</v>
      </c>
      <c r="G2024">
        <f>'Aug-Apr, 2023'!BC26+'Aug-Apr, 2023'!BD26</f>
        <v>30</v>
      </c>
      <c r="H2024">
        <f>'Aug-Apr, 2023'!BE26</f>
        <v>10</v>
      </c>
      <c r="I2024">
        <f>'Aug-Apr, 2023'!BF26</f>
        <v>14</v>
      </c>
      <c r="J2024">
        <f>G2024*Parameters!$B$2*Parameters!$B$5</f>
        <v>63.87299999999999</v>
      </c>
      <c r="K2024">
        <f>H2024*Parameters!$B$3*Parameters!$B$6</f>
        <v>62.707999999999998</v>
      </c>
      <c r="L2024">
        <f>I2024*Parameters!$B$4*Parameters!$B$7</f>
        <v>113.34960000000001</v>
      </c>
      <c r="M2024">
        <f t="shared" si="31"/>
        <v>239.9306</v>
      </c>
      <c r="N2024" s="142">
        <f>'Aug-Apr, 2023'!BG26</f>
        <v>3000</v>
      </c>
      <c r="O2024" s="142">
        <f>'Aug-Apr, 2023'!BH26</f>
        <v>0</v>
      </c>
      <c r="P2024" s="142">
        <f>'Aug-Apr, 2023'!BI26</f>
        <v>3000</v>
      </c>
      <c r="Q2024" s="142">
        <f>'Aug-Apr, 2023'!BJ26</f>
        <v>4200</v>
      </c>
    </row>
    <row r="2025" spans="1:17">
      <c r="A2025" t="s">
        <v>47</v>
      </c>
      <c r="B2025" t="s">
        <v>19</v>
      </c>
      <c r="C2025">
        <v>6</v>
      </c>
      <c r="D2025">
        <v>2023</v>
      </c>
      <c r="E2025" s="49" t="s">
        <v>153</v>
      </c>
      <c r="F2025" s="49" t="s">
        <v>163</v>
      </c>
      <c r="G2025">
        <f>'Aug-Apr, 2023'!BC27+'Aug-Apr, 2023'!BD27</f>
        <v>35</v>
      </c>
      <c r="H2025">
        <f>'Aug-Apr, 2023'!BE27</f>
        <v>0</v>
      </c>
      <c r="I2025">
        <f>'Aug-Apr, 2023'!BF27</f>
        <v>18</v>
      </c>
      <c r="J2025">
        <f>G2025*Parameters!$B$2*Parameters!$B$5</f>
        <v>74.518499999999989</v>
      </c>
      <c r="K2025">
        <f>H2025*Parameters!$B$3*Parameters!$B$6</f>
        <v>0</v>
      </c>
      <c r="L2025">
        <f>I2025*Parameters!$B$4*Parameters!$B$7</f>
        <v>145.73520000000002</v>
      </c>
      <c r="M2025">
        <f t="shared" si="31"/>
        <v>220.25370000000001</v>
      </c>
      <c r="N2025" s="142">
        <f>'Aug-Apr, 2023'!BG27</f>
        <v>3500</v>
      </c>
      <c r="O2025" s="142">
        <f>'Aug-Apr, 2023'!BH27</f>
        <v>0</v>
      </c>
      <c r="P2025" s="142">
        <f>'Aug-Apr, 2023'!BI27</f>
        <v>0</v>
      </c>
      <c r="Q2025" s="142">
        <f>'Aug-Apr, 2023'!BJ27</f>
        <v>5400</v>
      </c>
    </row>
    <row r="2026" spans="1:17">
      <c r="A2026" t="s">
        <v>48</v>
      </c>
      <c r="B2026" t="s">
        <v>24</v>
      </c>
      <c r="C2026">
        <v>4</v>
      </c>
      <c r="D2026">
        <v>2023</v>
      </c>
      <c r="E2026" s="49" t="s">
        <v>153</v>
      </c>
      <c r="F2026" s="49" t="s">
        <v>163</v>
      </c>
      <c r="G2026">
        <f>'Aug-Apr, 2023'!BC28+'Aug-Apr, 2023'!BD28</f>
        <v>40</v>
      </c>
      <c r="H2026">
        <f>'Aug-Apr, 2023'!BE28</f>
        <v>0</v>
      </c>
      <c r="I2026">
        <f>'Aug-Apr, 2023'!BF28</f>
        <v>20</v>
      </c>
      <c r="J2026">
        <f>G2026*Parameters!$B$2*Parameters!$B$5</f>
        <v>85.163999999999987</v>
      </c>
      <c r="K2026">
        <f>H2026*Parameters!$B$3*Parameters!$B$6</f>
        <v>0</v>
      </c>
      <c r="L2026">
        <f>I2026*Parameters!$B$4*Parameters!$B$7</f>
        <v>161.928</v>
      </c>
      <c r="M2026">
        <f t="shared" si="31"/>
        <v>247.09199999999998</v>
      </c>
      <c r="N2026" s="142">
        <f>'Aug-Apr, 2023'!BG28</f>
        <v>4000</v>
      </c>
      <c r="O2026" s="142">
        <f>'Aug-Apr, 2023'!BH28</f>
        <v>0</v>
      </c>
      <c r="P2026" s="142">
        <f>'Aug-Apr, 2023'!BI28</f>
        <v>0</v>
      </c>
      <c r="Q2026" s="142">
        <f>'Aug-Apr, 2023'!BJ28</f>
        <v>6000</v>
      </c>
    </row>
    <row r="2027" spans="1:17">
      <c r="A2027" t="s">
        <v>49</v>
      </c>
      <c r="B2027" t="s">
        <v>38</v>
      </c>
      <c r="C2027">
        <v>2</v>
      </c>
      <c r="D2027">
        <v>2023</v>
      </c>
      <c r="E2027" s="49" t="s">
        <v>153</v>
      </c>
      <c r="F2027" s="49" t="s">
        <v>163</v>
      </c>
      <c r="G2027">
        <f>'Aug-Apr, 2023'!BC29+'Aug-Apr, 2023'!BD29</f>
        <v>49</v>
      </c>
      <c r="H2027">
        <f>'Aug-Apr, 2023'!BE29</f>
        <v>0</v>
      </c>
      <c r="I2027">
        <f>'Aug-Apr, 2023'!BF29</f>
        <v>20</v>
      </c>
      <c r="J2027">
        <f>G2027*Parameters!$B$2*Parameters!$B$5</f>
        <v>104.32589999999999</v>
      </c>
      <c r="K2027">
        <f>H2027*Parameters!$B$3*Parameters!$B$6</f>
        <v>0</v>
      </c>
      <c r="L2027">
        <f>I2027*Parameters!$B$4*Parameters!$B$7</f>
        <v>161.928</v>
      </c>
      <c r="M2027">
        <f t="shared" si="31"/>
        <v>266.25389999999999</v>
      </c>
      <c r="N2027" s="142">
        <f>'Aug-Apr, 2023'!BG29</f>
        <v>4900</v>
      </c>
      <c r="O2027" s="142">
        <f>'Aug-Apr, 2023'!BH29</f>
        <v>0</v>
      </c>
      <c r="P2027" s="142">
        <f>'Aug-Apr, 2023'!BI29</f>
        <v>0</v>
      </c>
      <c r="Q2027" s="142">
        <f>'Aug-Apr, 2023'!BJ29</f>
        <v>6000</v>
      </c>
    </row>
    <row r="2028" spans="1:17">
      <c r="A2028" t="s">
        <v>50</v>
      </c>
      <c r="B2028" t="s">
        <v>19</v>
      </c>
      <c r="C2028">
        <v>8</v>
      </c>
      <c r="D2028">
        <v>2023</v>
      </c>
      <c r="E2028" s="49" t="s">
        <v>153</v>
      </c>
      <c r="F2028" s="49" t="s">
        <v>163</v>
      </c>
      <c r="G2028">
        <f>'Aug-Apr, 2023'!BC30+'Aug-Apr, 2023'!BD30</f>
        <v>45</v>
      </c>
      <c r="H2028">
        <f>'Aug-Apr, 2023'!BE30</f>
        <v>0</v>
      </c>
      <c r="I2028">
        <f>'Aug-Apr, 2023'!BF30</f>
        <v>15</v>
      </c>
      <c r="J2028">
        <f>G2028*Parameters!$B$2*Parameters!$B$5</f>
        <v>95.809499999999986</v>
      </c>
      <c r="K2028">
        <f>H2028*Parameters!$B$3*Parameters!$B$6</f>
        <v>0</v>
      </c>
      <c r="L2028">
        <f>I2028*Parameters!$B$4*Parameters!$B$7</f>
        <v>121.44600000000001</v>
      </c>
      <c r="M2028">
        <f t="shared" si="31"/>
        <v>217.25549999999998</v>
      </c>
      <c r="N2028" s="142">
        <f>'Aug-Apr, 2023'!BG30</f>
        <v>4500</v>
      </c>
      <c r="O2028" s="142">
        <f>'Aug-Apr, 2023'!BH30</f>
        <v>0</v>
      </c>
      <c r="P2028" s="142">
        <f>'Aug-Apr, 2023'!BI30</f>
        <v>0</v>
      </c>
      <c r="Q2028" s="142">
        <f>'Aug-Apr, 2023'!BJ30</f>
        <v>4500</v>
      </c>
    </row>
    <row r="2029" spans="1:17">
      <c r="A2029" t="s">
        <v>51</v>
      </c>
      <c r="B2029" t="s">
        <v>19</v>
      </c>
      <c r="C2029">
        <v>6</v>
      </c>
      <c r="D2029">
        <v>2023</v>
      </c>
      <c r="E2029" s="49" t="s">
        <v>153</v>
      </c>
      <c r="F2029" s="49" t="s">
        <v>163</v>
      </c>
      <c r="G2029">
        <f>'Aug-Apr, 2023'!BC31+'Aug-Apr, 2023'!BD31</f>
        <v>39</v>
      </c>
      <c r="H2029">
        <f>'Aug-Apr, 2023'!BE31</f>
        <v>0</v>
      </c>
      <c r="I2029">
        <f>'Aug-Apr, 2023'!BF31</f>
        <v>20</v>
      </c>
      <c r="J2029">
        <f>G2029*Parameters!$B$2*Parameters!$B$5</f>
        <v>83.034899999999993</v>
      </c>
      <c r="K2029">
        <f>H2029*Parameters!$B$3*Parameters!$B$6</f>
        <v>0</v>
      </c>
      <c r="L2029">
        <f>I2029*Parameters!$B$4*Parameters!$B$7</f>
        <v>161.928</v>
      </c>
      <c r="M2029">
        <f t="shared" si="31"/>
        <v>244.96289999999999</v>
      </c>
      <c r="N2029" s="142">
        <f>'Aug-Apr, 2023'!BG31</f>
        <v>3900</v>
      </c>
      <c r="O2029" s="142">
        <f>'Aug-Apr, 2023'!BH31</f>
        <v>0</v>
      </c>
      <c r="P2029" s="142">
        <f>'Aug-Apr, 2023'!BI31</f>
        <v>0</v>
      </c>
      <c r="Q2029" s="142">
        <f>'Aug-Apr, 2023'!BJ31</f>
        <v>6000</v>
      </c>
    </row>
    <row r="2030" spans="1:17">
      <c r="A2030" t="s">
        <v>52</v>
      </c>
      <c r="B2030" t="s">
        <v>38</v>
      </c>
      <c r="C2030">
        <v>12</v>
      </c>
      <c r="D2030">
        <v>2023</v>
      </c>
      <c r="E2030" s="49" t="s">
        <v>153</v>
      </c>
      <c r="F2030" s="49" t="s">
        <v>163</v>
      </c>
      <c r="G2030">
        <f>'Aug-Apr, 2023'!BC32+'Aug-Apr, 2023'!BD32</f>
        <v>45</v>
      </c>
      <c r="H2030">
        <f>'Aug-Apr, 2023'!BE32</f>
        <v>0</v>
      </c>
      <c r="I2030">
        <f>'Aug-Apr, 2023'!BF32</f>
        <v>16</v>
      </c>
      <c r="J2030">
        <f>G2030*Parameters!$B$2*Parameters!$B$5</f>
        <v>95.809499999999986</v>
      </c>
      <c r="K2030">
        <f>H2030*Parameters!$B$3*Parameters!$B$6</f>
        <v>0</v>
      </c>
      <c r="L2030">
        <f>I2030*Parameters!$B$4*Parameters!$B$7</f>
        <v>129.54240000000001</v>
      </c>
      <c r="M2030">
        <f t="shared" si="31"/>
        <v>225.3519</v>
      </c>
      <c r="N2030" s="142">
        <f>'Aug-Apr, 2023'!BG32</f>
        <v>4500</v>
      </c>
      <c r="O2030" s="142">
        <f>'Aug-Apr, 2023'!BH32</f>
        <v>0</v>
      </c>
      <c r="P2030" s="142">
        <f>'Aug-Apr, 2023'!BI32</f>
        <v>0</v>
      </c>
      <c r="Q2030" s="142">
        <f>'Aug-Apr, 2023'!BJ32</f>
        <v>4800</v>
      </c>
    </row>
    <row r="2031" spans="1:17">
      <c r="A2031" t="s">
        <v>53</v>
      </c>
      <c r="B2031" t="s">
        <v>40</v>
      </c>
      <c r="C2031">
        <v>8</v>
      </c>
      <c r="D2031">
        <v>2023</v>
      </c>
      <c r="E2031" s="49" t="s">
        <v>153</v>
      </c>
      <c r="F2031" s="49" t="s">
        <v>163</v>
      </c>
      <c r="G2031">
        <f>'Aug-Apr, 2023'!BC33+'Aug-Apr, 2023'!BD33</f>
        <v>53</v>
      </c>
      <c r="H2031">
        <f>'Aug-Apr, 2023'!BE33</f>
        <v>0</v>
      </c>
      <c r="I2031">
        <f>'Aug-Apr, 2023'!BF33</f>
        <v>19</v>
      </c>
      <c r="J2031">
        <f>G2031*Parameters!$B$2*Parameters!$B$5</f>
        <v>112.84229999999998</v>
      </c>
      <c r="K2031">
        <f>H2031*Parameters!$B$3*Parameters!$B$6</f>
        <v>0</v>
      </c>
      <c r="L2031">
        <f>I2031*Parameters!$B$4*Parameters!$B$7</f>
        <v>153.83160000000001</v>
      </c>
      <c r="M2031">
        <f t="shared" si="31"/>
        <v>266.6739</v>
      </c>
      <c r="N2031" s="142">
        <f>'Aug-Apr, 2023'!BG33</f>
        <v>5300</v>
      </c>
      <c r="O2031" s="142">
        <f>'Aug-Apr, 2023'!BH33</f>
        <v>0</v>
      </c>
      <c r="P2031" s="142">
        <f>'Aug-Apr, 2023'!BI33</f>
        <v>0</v>
      </c>
      <c r="Q2031" s="142">
        <f>'Aug-Apr, 2023'!BJ33</f>
        <v>5700</v>
      </c>
    </row>
    <row r="2032" spans="1:17">
      <c r="A2032" t="s">
        <v>54</v>
      </c>
      <c r="B2032" t="s">
        <v>40</v>
      </c>
      <c r="C2032">
        <v>6</v>
      </c>
      <c r="D2032">
        <v>2023</v>
      </c>
      <c r="E2032" s="49" t="s">
        <v>153</v>
      </c>
      <c r="F2032" s="49" t="s">
        <v>163</v>
      </c>
      <c r="G2032">
        <f>'Aug-Apr, 2023'!BC34+'Aug-Apr, 2023'!BD34</f>
        <v>51</v>
      </c>
      <c r="H2032">
        <f>'Aug-Apr, 2023'!BE34</f>
        <v>0</v>
      </c>
      <c r="I2032">
        <f>'Aug-Apr, 2023'!BF34</f>
        <v>20</v>
      </c>
      <c r="J2032">
        <f>G2032*Parameters!$B$2*Parameters!$B$5</f>
        <v>108.58409999999999</v>
      </c>
      <c r="K2032">
        <f>H2032*Parameters!$B$3*Parameters!$B$6</f>
        <v>0</v>
      </c>
      <c r="L2032">
        <f>I2032*Parameters!$B$4*Parameters!$B$7</f>
        <v>161.928</v>
      </c>
      <c r="M2032">
        <f t="shared" si="31"/>
        <v>270.51209999999998</v>
      </c>
      <c r="N2032" s="142">
        <f>'Aug-Apr, 2023'!BG34</f>
        <v>5100</v>
      </c>
      <c r="O2032" s="142">
        <f>'Aug-Apr, 2023'!BH34</f>
        <v>0</v>
      </c>
      <c r="P2032" s="142">
        <f>'Aug-Apr, 2023'!BI34</f>
        <v>0</v>
      </c>
      <c r="Q2032" s="142">
        <f>'Aug-Apr, 2023'!BJ34</f>
        <v>6000</v>
      </c>
    </row>
    <row r="2033" spans="1:17">
      <c r="A2033" t="s">
        <v>55</v>
      </c>
      <c r="B2033" t="s">
        <v>56</v>
      </c>
      <c r="C2033">
        <v>4</v>
      </c>
      <c r="D2033">
        <v>2023</v>
      </c>
      <c r="E2033" s="49" t="s">
        <v>153</v>
      </c>
      <c r="F2033" s="49" t="s">
        <v>163</v>
      </c>
      <c r="G2033">
        <f>'Aug-Apr, 2023'!BC35+'Aug-Apr, 2023'!BD35</f>
        <v>44</v>
      </c>
      <c r="H2033">
        <f>'Aug-Apr, 2023'!BE35</f>
        <v>0</v>
      </c>
      <c r="I2033">
        <f>'Aug-Apr, 2023'!BF35</f>
        <v>20</v>
      </c>
      <c r="J2033">
        <f>G2033*Parameters!$B$2*Parameters!$B$5</f>
        <v>93.680399999999992</v>
      </c>
      <c r="K2033">
        <f>H2033*Parameters!$B$3*Parameters!$B$6</f>
        <v>0</v>
      </c>
      <c r="L2033">
        <f>I2033*Parameters!$B$4*Parameters!$B$7</f>
        <v>161.928</v>
      </c>
      <c r="M2033">
        <f t="shared" si="31"/>
        <v>255.60839999999999</v>
      </c>
      <c r="N2033" s="142">
        <f>'Aug-Apr, 2023'!BG35</f>
        <v>4400</v>
      </c>
      <c r="O2033" s="142">
        <f>'Aug-Apr, 2023'!BH35</f>
        <v>0</v>
      </c>
      <c r="P2033" s="142">
        <f>'Aug-Apr, 2023'!BI35</f>
        <v>0</v>
      </c>
      <c r="Q2033" s="142">
        <f>'Aug-Apr, 2023'!BJ35</f>
        <v>6000</v>
      </c>
    </row>
    <row r="2034" spans="1:17">
      <c r="A2034" t="s">
        <v>57</v>
      </c>
      <c r="B2034" t="s">
        <v>40</v>
      </c>
      <c r="C2034">
        <v>4</v>
      </c>
      <c r="D2034">
        <v>2023</v>
      </c>
      <c r="E2034" s="49" t="s">
        <v>153</v>
      </c>
      <c r="F2034" s="49" t="s">
        <v>163</v>
      </c>
      <c r="G2034">
        <f>'Aug-Apr, 2023'!BC36+'Aug-Apr, 2023'!BD36</f>
        <v>55</v>
      </c>
      <c r="H2034">
        <f>'Aug-Apr, 2023'!BE36</f>
        <v>0</v>
      </c>
      <c r="I2034">
        <f>'Aug-Apr, 2023'!BF36</f>
        <v>20</v>
      </c>
      <c r="J2034">
        <f>G2034*Parameters!$B$2*Parameters!$B$5</f>
        <v>117.10049999999998</v>
      </c>
      <c r="K2034">
        <f>H2034*Parameters!$B$3*Parameters!$B$6</f>
        <v>0</v>
      </c>
      <c r="L2034">
        <f>I2034*Parameters!$B$4*Parameters!$B$7</f>
        <v>161.928</v>
      </c>
      <c r="M2034">
        <f t="shared" si="31"/>
        <v>279.02850000000001</v>
      </c>
      <c r="N2034" s="142">
        <f>'Aug-Apr, 2023'!BG36</f>
        <v>5500</v>
      </c>
      <c r="O2034" s="142">
        <f>'Aug-Apr, 2023'!BH36</f>
        <v>0</v>
      </c>
      <c r="P2034" s="142">
        <f>'Aug-Apr, 2023'!BI36</f>
        <v>0</v>
      </c>
      <c r="Q2034" s="142">
        <f>'Aug-Apr, 2023'!BJ36</f>
        <v>6000</v>
      </c>
    </row>
    <row r="2035" spans="1:17">
      <c r="A2035" t="s">
        <v>58</v>
      </c>
      <c r="B2035" t="s">
        <v>26</v>
      </c>
      <c r="C2035">
        <v>6</v>
      </c>
      <c r="D2035">
        <v>2023</v>
      </c>
      <c r="E2035" s="49" t="s">
        <v>153</v>
      </c>
      <c r="F2035" s="49" t="s">
        <v>163</v>
      </c>
      <c r="G2035">
        <f>'Aug-Apr, 2023'!BC37+'Aug-Apr, 2023'!BD37</f>
        <v>62</v>
      </c>
      <c r="H2035">
        <f>'Aug-Apr, 2023'!BE37</f>
        <v>0</v>
      </c>
      <c r="I2035">
        <f>'Aug-Apr, 2023'!BF37</f>
        <v>14</v>
      </c>
      <c r="J2035">
        <f>G2035*Parameters!$B$2*Parameters!$B$5</f>
        <v>132.00419999999997</v>
      </c>
      <c r="K2035">
        <f>H2035*Parameters!$B$3*Parameters!$B$6</f>
        <v>0</v>
      </c>
      <c r="L2035">
        <f>I2035*Parameters!$B$4*Parameters!$B$7</f>
        <v>113.34960000000001</v>
      </c>
      <c r="M2035">
        <f t="shared" si="31"/>
        <v>245.35379999999998</v>
      </c>
      <c r="N2035" s="142">
        <f>'Aug-Apr, 2023'!BG37</f>
        <v>6200</v>
      </c>
      <c r="O2035" s="142">
        <f>'Aug-Apr, 2023'!BH37</f>
        <v>0</v>
      </c>
      <c r="P2035" s="142">
        <f>'Aug-Apr, 2023'!BI37</f>
        <v>0</v>
      </c>
      <c r="Q2035" s="142">
        <f>'Aug-Apr, 2023'!BJ37</f>
        <v>4200</v>
      </c>
    </row>
    <row r="2036" spans="1:17">
      <c r="A2036" t="s">
        <v>59</v>
      </c>
      <c r="B2036" t="s">
        <v>26</v>
      </c>
      <c r="C2036">
        <v>7</v>
      </c>
      <c r="D2036">
        <v>2023</v>
      </c>
      <c r="E2036" s="49" t="s">
        <v>153</v>
      </c>
      <c r="F2036" s="49" t="s">
        <v>163</v>
      </c>
      <c r="G2036">
        <f>'Aug-Apr, 2023'!BC38+'Aug-Apr, 2023'!BD38</f>
        <v>40</v>
      </c>
      <c r="H2036">
        <f>'Aug-Apr, 2023'!BE38</f>
        <v>0</v>
      </c>
      <c r="I2036">
        <f>'Aug-Apr, 2023'!BF38</f>
        <v>20</v>
      </c>
      <c r="J2036">
        <f>G2036*Parameters!$B$2*Parameters!$B$5</f>
        <v>85.163999999999987</v>
      </c>
      <c r="K2036">
        <f>H2036*Parameters!$B$3*Parameters!$B$6</f>
        <v>0</v>
      </c>
      <c r="L2036">
        <f>I2036*Parameters!$B$4*Parameters!$B$7</f>
        <v>161.928</v>
      </c>
      <c r="M2036">
        <f t="shared" si="31"/>
        <v>247.09199999999998</v>
      </c>
      <c r="N2036" s="142">
        <f>'Aug-Apr, 2023'!BG38</f>
        <v>4000</v>
      </c>
      <c r="O2036" s="142">
        <f>'Aug-Apr, 2023'!BH38</f>
        <v>0</v>
      </c>
      <c r="P2036" s="142">
        <f>'Aug-Apr, 2023'!BI38</f>
        <v>0</v>
      </c>
      <c r="Q2036" s="142">
        <f>'Aug-Apr, 2023'!BJ38</f>
        <v>6000</v>
      </c>
    </row>
    <row r="2037" spans="1:17">
      <c r="A2037" t="s">
        <v>60</v>
      </c>
      <c r="B2037" t="s">
        <v>26</v>
      </c>
      <c r="C2037">
        <v>8</v>
      </c>
      <c r="D2037">
        <v>2023</v>
      </c>
      <c r="E2037" s="49" t="s">
        <v>153</v>
      </c>
      <c r="F2037" s="49" t="s">
        <v>163</v>
      </c>
      <c r="G2037">
        <f>'Aug-Apr, 2023'!BC39+'Aug-Apr, 2023'!BD39</f>
        <v>48</v>
      </c>
      <c r="H2037">
        <f>'Aug-Apr, 2023'!BE39</f>
        <v>0</v>
      </c>
      <c r="I2037">
        <f>'Aug-Apr, 2023'!BF39</f>
        <v>17</v>
      </c>
      <c r="J2037">
        <f>G2037*Parameters!$B$2*Parameters!$B$5</f>
        <v>102.19679999999998</v>
      </c>
      <c r="K2037">
        <f>H2037*Parameters!$B$3*Parameters!$B$6</f>
        <v>0</v>
      </c>
      <c r="L2037">
        <f>I2037*Parameters!$B$4*Parameters!$B$7</f>
        <v>137.63880000000003</v>
      </c>
      <c r="M2037">
        <f t="shared" si="31"/>
        <v>239.8356</v>
      </c>
      <c r="N2037" s="142">
        <f>'Aug-Apr, 2023'!BG39</f>
        <v>4800</v>
      </c>
      <c r="O2037" s="142">
        <f>'Aug-Apr, 2023'!BH39</f>
        <v>0</v>
      </c>
      <c r="P2037" s="142">
        <f>'Aug-Apr, 2023'!BI39</f>
        <v>0</v>
      </c>
      <c r="Q2037" s="142">
        <f>'Aug-Apr, 2023'!BJ39</f>
        <v>5100</v>
      </c>
    </row>
    <row r="2038" spans="1:17">
      <c r="A2038" t="s">
        <v>61</v>
      </c>
      <c r="B2038" t="s">
        <v>56</v>
      </c>
      <c r="C2038">
        <v>5</v>
      </c>
      <c r="D2038">
        <v>2023</v>
      </c>
      <c r="E2038" s="49" t="s">
        <v>153</v>
      </c>
      <c r="F2038" s="49" t="s">
        <v>163</v>
      </c>
      <c r="G2038">
        <f>'Aug-Apr, 2023'!BC40+'Aug-Apr, 2023'!BD40</f>
        <v>60</v>
      </c>
      <c r="H2038">
        <f>'Aug-Apr, 2023'!BE40</f>
        <v>0</v>
      </c>
      <c r="I2038">
        <f>'Aug-Apr, 2023'!BF40</f>
        <v>18</v>
      </c>
      <c r="J2038">
        <f>G2038*Parameters!$B$2*Parameters!$B$5</f>
        <v>127.74599999999998</v>
      </c>
      <c r="K2038">
        <f>H2038*Parameters!$B$3*Parameters!$B$6</f>
        <v>0</v>
      </c>
      <c r="L2038">
        <f>I2038*Parameters!$B$4*Parameters!$B$7</f>
        <v>145.73520000000002</v>
      </c>
      <c r="M2038">
        <f t="shared" si="31"/>
        <v>273.4812</v>
      </c>
      <c r="N2038" s="142">
        <f>'Aug-Apr, 2023'!BG40</f>
        <v>6000</v>
      </c>
      <c r="O2038" s="142">
        <f>'Aug-Apr, 2023'!BH40</f>
        <v>0</v>
      </c>
      <c r="P2038" s="142">
        <f>'Aug-Apr, 2023'!BI40</f>
        <v>0</v>
      </c>
      <c r="Q2038" s="142">
        <f>'Aug-Apr, 2023'!BJ40</f>
        <v>5400</v>
      </c>
    </row>
    <row r="2039" spans="1:17">
      <c r="A2039" t="s">
        <v>62</v>
      </c>
      <c r="B2039" t="s">
        <v>21</v>
      </c>
      <c r="C2039">
        <v>6</v>
      </c>
      <c r="D2039">
        <v>2023</v>
      </c>
      <c r="E2039" s="49" t="s">
        <v>153</v>
      </c>
      <c r="F2039" s="49" t="s">
        <v>163</v>
      </c>
      <c r="G2039">
        <f>'Aug-Apr, 2023'!BC41+'Aug-Apr, 2023'!BD41</f>
        <v>38</v>
      </c>
      <c r="H2039">
        <f>'Aug-Apr, 2023'!BE41</f>
        <v>0</v>
      </c>
      <c r="I2039">
        <f>'Aug-Apr, 2023'!BF41</f>
        <v>20</v>
      </c>
      <c r="J2039">
        <f>G2039*Parameters!$B$2*Parameters!$B$5</f>
        <v>80.905799999999985</v>
      </c>
      <c r="K2039">
        <f>H2039*Parameters!$B$3*Parameters!$B$6</f>
        <v>0</v>
      </c>
      <c r="L2039">
        <f>I2039*Parameters!$B$4*Parameters!$B$7</f>
        <v>161.928</v>
      </c>
      <c r="M2039">
        <f t="shared" si="31"/>
        <v>242.8338</v>
      </c>
      <c r="N2039" s="142">
        <f>'Aug-Apr, 2023'!BG41</f>
        <v>3800</v>
      </c>
      <c r="O2039" s="142">
        <f>'Aug-Apr, 2023'!BH41</f>
        <v>0</v>
      </c>
      <c r="P2039" s="142">
        <f>'Aug-Apr, 2023'!BI41</f>
        <v>0</v>
      </c>
      <c r="Q2039" s="142">
        <f>'Aug-Apr, 2023'!BJ41</f>
        <v>6000</v>
      </c>
    </row>
    <row r="2040" spans="1:17">
      <c r="A2040" t="s">
        <v>63</v>
      </c>
      <c r="B2040" t="s">
        <v>21</v>
      </c>
      <c r="C2040">
        <v>9</v>
      </c>
      <c r="D2040">
        <v>2023</v>
      </c>
      <c r="E2040" s="49" t="s">
        <v>153</v>
      </c>
      <c r="F2040" s="49" t="s">
        <v>163</v>
      </c>
      <c r="G2040">
        <f>'Aug-Apr, 2023'!BC42+'Aug-Apr, 2023'!BD42</f>
        <v>52</v>
      </c>
      <c r="H2040">
        <f>'Aug-Apr, 2023'!BE42</f>
        <v>0</v>
      </c>
      <c r="I2040">
        <f>'Aug-Apr, 2023'!BF42</f>
        <v>20</v>
      </c>
      <c r="J2040">
        <f>G2040*Parameters!$B$2*Parameters!$B$5</f>
        <v>110.71319999999999</v>
      </c>
      <c r="K2040">
        <f>H2040*Parameters!$B$3*Parameters!$B$6</f>
        <v>0</v>
      </c>
      <c r="L2040">
        <f>I2040*Parameters!$B$4*Parameters!$B$7</f>
        <v>161.928</v>
      </c>
      <c r="M2040">
        <f t="shared" si="31"/>
        <v>272.64119999999997</v>
      </c>
      <c r="N2040" s="142">
        <f>'Aug-Apr, 2023'!BG42</f>
        <v>5200</v>
      </c>
      <c r="O2040" s="142">
        <f>'Aug-Apr, 2023'!BH42</f>
        <v>0</v>
      </c>
      <c r="P2040" s="142">
        <f>'Aug-Apr, 2023'!BI42</f>
        <v>0</v>
      </c>
      <c r="Q2040" s="142">
        <f>'Aug-Apr, 2023'!BJ42</f>
        <v>6000</v>
      </c>
    </row>
    <row r="2041" spans="1:17">
      <c r="A2041" t="s">
        <v>64</v>
      </c>
      <c r="B2041" t="s">
        <v>65</v>
      </c>
      <c r="C2041">
        <v>3</v>
      </c>
      <c r="D2041">
        <v>2023</v>
      </c>
      <c r="E2041" s="49" t="s">
        <v>153</v>
      </c>
      <c r="F2041" s="49" t="s">
        <v>163</v>
      </c>
      <c r="G2041">
        <f>'Aug-Apr, 2023'!BC43+'Aug-Apr, 2023'!BD43</f>
        <v>112</v>
      </c>
      <c r="H2041">
        <f>'Aug-Apr, 2023'!BE43</f>
        <v>0</v>
      </c>
      <c r="I2041">
        <f>'Aug-Apr, 2023'!BF43</f>
        <v>5</v>
      </c>
      <c r="J2041">
        <f>G2041*Parameters!$B$2*Parameters!$B$5</f>
        <v>238.45919999999998</v>
      </c>
      <c r="K2041">
        <f>H2041*Parameters!$B$3*Parameters!$B$6</f>
        <v>0</v>
      </c>
      <c r="L2041">
        <f>I2041*Parameters!$B$4*Parameters!$B$7</f>
        <v>40.481999999999999</v>
      </c>
      <c r="M2041">
        <f t="shared" si="31"/>
        <v>278.94119999999998</v>
      </c>
      <c r="N2041" s="142">
        <f>'Aug-Apr, 2023'!BG43</f>
        <v>6400</v>
      </c>
      <c r="O2041" s="142">
        <f>'Aug-Apr, 2023'!BH43</f>
        <v>4800</v>
      </c>
      <c r="P2041" s="142">
        <f>'Aug-Apr, 2023'!BI43</f>
        <v>0</v>
      </c>
      <c r="Q2041" s="142">
        <f>'Aug-Apr, 2023'!BJ43</f>
        <v>1500</v>
      </c>
    </row>
    <row r="2042" spans="1:17">
      <c r="A2042" t="s">
        <v>66</v>
      </c>
      <c r="B2042" t="s">
        <v>24</v>
      </c>
      <c r="C2042">
        <v>4</v>
      </c>
      <c r="D2042">
        <v>2023</v>
      </c>
      <c r="E2042" s="49" t="s">
        <v>153</v>
      </c>
      <c r="F2042" s="49" t="s">
        <v>163</v>
      </c>
      <c r="G2042">
        <f>'Aug-Apr, 2023'!BC44+'Aug-Apr, 2023'!BD44</f>
        <v>45</v>
      </c>
      <c r="H2042">
        <f>'Aug-Apr, 2023'!BE44</f>
        <v>0</v>
      </c>
      <c r="I2042">
        <f>'Aug-Apr, 2023'!BF44</f>
        <v>18</v>
      </c>
      <c r="J2042">
        <f>G2042*Parameters!$B$2*Parameters!$B$5</f>
        <v>95.809499999999986</v>
      </c>
      <c r="K2042">
        <f>H2042*Parameters!$B$3*Parameters!$B$6</f>
        <v>0</v>
      </c>
      <c r="L2042">
        <f>I2042*Parameters!$B$4*Parameters!$B$7</f>
        <v>145.73520000000002</v>
      </c>
      <c r="M2042">
        <f t="shared" si="31"/>
        <v>241.54470000000001</v>
      </c>
      <c r="N2042" s="142">
        <f>'Aug-Apr, 2023'!BG44</f>
        <v>4500</v>
      </c>
      <c r="O2042" s="142">
        <f>'Aug-Apr, 2023'!BH44</f>
        <v>0</v>
      </c>
      <c r="P2042" s="142">
        <f>'Aug-Apr, 2023'!BI44</f>
        <v>0</v>
      </c>
      <c r="Q2042" s="142">
        <f>'Aug-Apr, 2023'!BJ44</f>
        <v>5400</v>
      </c>
    </row>
    <row r="2043" spans="1:17">
      <c r="A2043" t="s">
        <v>67</v>
      </c>
      <c r="B2043" t="s">
        <v>56</v>
      </c>
      <c r="C2043">
        <v>6</v>
      </c>
      <c r="D2043">
        <v>2023</v>
      </c>
      <c r="E2043" s="49" t="s">
        <v>153</v>
      </c>
      <c r="F2043" s="49" t="s">
        <v>163</v>
      </c>
      <c r="G2043">
        <f>'Aug-Apr, 2023'!BC45+'Aug-Apr, 2023'!BD45</f>
        <v>48</v>
      </c>
      <c r="H2043">
        <f>'Aug-Apr, 2023'!BE45</f>
        <v>0</v>
      </c>
      <c r="I2043">
        <f>'Aug-Apr, 2023'!BF45</f>
        <v>20</v>
      </c>
      <c r="J2043">
        <f>G2043*Parameters!$B$2*Parameters!$B$5</f>
        <v>102.19679999999998</v>
      </c>
      <c r="K2043">
        <f>H2043*Parameters!$B$3*Parameters!$B$6</f>
        <v>0</v>
      </c>
      <c r="L2043">
        <f>I2043*Parameters!$B$4*Parameters!$B$7</f>
        <v>161.928</v>
      </c>
      <c r="M2043">
        <f t="shared" si="31"/>
        <v>264.12479999999999</v>
      </c>
      <c r="N2043" s="142">
        <f>'Aug-Apr, 2023'!BG45</f>
        <v>4800</v>
      </c>
      <c r="O2043" s="142">
        <f>'Aug-Apr, 2023'!BH45</f>
        <v>0</v>
      </c>
      <c r="P2043" s="142">
        <f>'Aug-Apr, 2023'!BI45</f>
        <v>0</v>
      </c>
      <c r="Q2043" s="142">
        <f>'Aug-Apr, 2023'!BJ45</f>
        <v>6000</v>
      </c>
    </row>
    <row r="2044" spans="1:17">
      <c r="A2044" t="s">
        <v>68</v>
      </c>
      <c r="B2044" t="s">
        <v>21</v>
      </c>
      <c r="C2044">
        <v>4</v>
      </c>
      <c r="D2044">
        <v>2023</v>
      </c>
      <c r="E2044" s="49" t="s">
        <v>153</v>
      </c>
      <c r="F2044" s="49" t="s">
        <v>163</v>
      </c>
      <c r="G2044">
        <f>'Aug-Apr, 2023'!BC46+'Aug-Apr, 2023'!BD46</f>
        <v>50</v>
      </c>
      <c r="H2044">
        <f>'Aug-Apr, 2023'!BE46</f>
        <v>0</v>
      </c>
      <c r="I2044">
        <f>'Aug-Apr, 2023'!BF46</f>
        <v>15</v>
      </c>
      <c r="J2044">
        <f>G2044*Parameters!$B$2*Parameters!$B$5</f>
        <v>106.45499999999998</v>
      </c>
      <c r="K2044">
        <f>H2044*Parameters!$B$3*Parameters!$B$6</f>
        <v>0</v>
      </c>
      <c r="L2044">
        <f>I2044*Parameters!$B$4*Parameters!$B$7</f>
        <v>121.44600000000001</v>
      </c>
      <c r="M2044">
        <f t="shared" si="31"/>
        <v>227.90100000000001</v>
      </c>
      <c r="N2044" s="142">
        <f>'Aug-Apr, 2023'!BG46</f>
        <v>5000</v>
      </c>
      <c r="O2044" s="142">
        <f>'Aug-Apr, 2023'!BH46</f>
        <v>0</v>
      </c>
      <c r="P2044" s="142">
        <f>'Aug-Apr, 2023'!BI46</f>
        <v>0</v>
      </c>
      <c r="Q2044" s="142">
        <f>'Aug-Apr, 2023'!BJ46</f>
        <v>4500</v>
      </c>
    </row>
    <row r="2045" spans="1:17">
      <c r="A2045" t="s">
        <v>69</v>
      </c>
      <c r="B2045" t="s">
        <v>24</v>
      </c>
      <c r="C2045">
        <v>6</v>
      </c>
      <c r="D2045">
        <v>2023</v>
      </c>
      <c r="E2045" s="49" t="s">
        <v>153</v>
      </c>
      <c r="F2045" s="49" t="s">
        <v>163</v>
      </c>
      <c r="G2045">
        <f>'Aug-Apr, 2023'!BC47+'Aug-Apr, 2023'!BD47</f>
        <v>52</v>
      </c>
      <c r="H2045">
        <f>'Aug-Apr, 2023'!BE47</f>
        <v>0</v>
      </c>
      <c r="I2045">
        <f>'Aug-Apr, 2023'!BF47</f>
        <v>12</v>
      </c>
      <c r="J2045">
        <f>G2045*Parameters!$B$2*Parameters!$B$5</f>
        <v>110.71319999999999</v>
      </c>
      <c r="K2045">
        <f>H2045*Parameters!$B$3*Parameters!$B$6</f>
        <v>0</v>
      </c>
      <c r="L2045">
        <f>I2045*Parameters!$B$4*Parameters!$B$7</f>
        <v>97.156800000000018</v>
      </c>
      <c r="M2045">
        <f t="shared" si="31"/>
        <v>207.87</v>
      </c>
      <c r="N2045" s="142">
        <f>'Aug-Apr, 2023'!BG47</f>
        <v>5200</v>
      </c>
      <c r="O2045" s="142">
        <f>'Aug-Apr, 2023'!BH47</f>
        <v>0</v>
      </c>
      <c r="P2045" s="142">
        <f>'Aug-Apr, 2023'!BI47</f>
        <v>0</v>
      </c>
      <c r="Q2045" s="142">
        <f>'Aug-Apr, 2023'!BJ47</f>
        <v>3600</v>
      </c>
    </row>
    <row r="2046" spans="1:17">
      <c r="A2046" t="s">
        <v>70</v>
      </c>
      <c r="B2046" t="s">
        <v>26</v>
      </c>
      <c r="C2046">
        <v>6</v>
      </c>
      <c r="D2046">
        <v>2023</v>
      </c>
      <c r="E2046" s="49" t="s">
        <v>153</v>
      </c>
      <c r="F2046" s="49" t="s">
        <v>163</v>
      </c>
      <c r="G2046">
        <f>'Aug-Apr, 2023'!BC48+'Aug-Apr, 2023'!BD48</f>
        <v>36</v>
      </c>
      <c r="H2046">
        <f>'Aug-Apr, 2023'!BE48</f>
        <v>0</v>
      </c>
      <c r="I2046">
        <f>'Aug-Apr, 2023'!BF48</f>
        <v>20</v>
      </c>
      <c r="J2046">
        <f>G2046*Parameters!$B$2*Parameters!$B$5</f>
        <v>76.647599999999997</v>
      </c>
      <c r="K2046">
        <f>H2046*Parameters!$B$3*Parameters!$B$6</f>
        <v>0</v>
      </c>
      <c r="L2046">
        <f>I2046*Parameters!$B$4*Parameters!$B$7</f>
        <v>161.928</v>
      </c>
      <c r="M2046">
        <f t="shared" si="31"/>
        <v>238.57560000000001</v>
      </c>
      <c r="N2046" s="142">
        <f>'Aug-Apr, 2023'!BG48</f>
        <v>3600</v>
      </c>
      <c r="O2046" s="142">
        <f>'Aug-Apr, 2023'!BH48</f>
        <v>0</v>
      </c>
      <c r="P2046" s="142">
        <f>'Aug-Apr, 2023'!BI48</f>
        <v>0</v>
      </c>
      <c r="Q2046" s="142">
        <f>'Aug-Apr, 2023'!BJ48</f>
        <v>6000</v>
      </c>
    </row>
    <row r="2047" spans="1:17">
      <c r="A2047" t="s">
        <v>71</v>
      </c>
      <c r="B2047" t="s">
        <v>26</v>
      </c>
      <c r="C2047">
        <v>5</v>
      </c>
      <c r="D2047">
        <v>2023</v>
      </c>
      <c r="E2047" s="49" t="s">
        <v>153</v>
      </c>
      <c r="F2047" s="49" t="s">
        <v>163</v>
      </c>
      <c r="G2047">
        <f>'Aug-Apr, 2023'!BC49+'Aug-Apr, 2023'!BD49</f>
        <v>45</v>
      </c>
      <c r="H2047">
        <f>'Aug-Apr, 2023'!BE49</f>
        <v>0</v>
      </c>
      <c r="I2047">
        <f>'Aug-Apr, 2023'!BF49</f>
        <v>20</v>
      </c>
      <c r="J2047">
        <f>G2047*Parameters!$B$2*Parameters!$B$5</f>
        <v>95.809499999999986</v>
      </c>
      <c r="K2047">
        <f>H2047*Parameters!$B$3*Parameters!$B$6</f>
        <v>0</v>
      </c>
      <c r="L2047">
        <f>I2047*Parameters!$B$4*Parameters!$B$7</f>
        <v>161.928</v>
      </c>
      <c r="M2047">
        <f t="shared" si="31"/>
        <v>257.73749999999995</v>
      </c>
      <c r="N2047" s="142">
        <f>'Aug-Apr, 2023'!BG49</f>
        <v>4500</v>
      </c>
      <c r="O2047" s="142">
        <f>'Aug-Apr, 2023'!BH49</f>
        <v>0</v>
      </c>
      <c r="P2047" s="142">
        <f>'Aug-Apr, 2023'!BI49</f>
        <v>0</v>
      </c>
      <c r="Q2047" s="142">
        <f>'Aug-Apr, 2023'!BJ49</f>
        <v>6000</v>
      </c>
    </row>
    <row r="2048" spans="1:17">
      <c r="A2048" t="s">
        <v>72</v>
      </c>
      <c r="B2048" t="s">
        <v>26</v>
      </c>
      <c r="C2048">
        <v>8</v>
      </c>
      <c r="D2048">
        <v>2023</v>
      </c>
      <c r="E2048" s="49" t="s">
        <v>153</v>
      </c>
      <c r="F2048" s="49" t="s">
        <v>163</v>
      </c>
      <c r="G2048">
        <f>'Aug-Apr, 2023'!BC50+'Aug-Apr, 2023'!BD50</f>
        <v>51</v>
      </c>
      <c r="H2048">
        <f>'Aug-Apr, 2023'!BE50</f>
        <v>0</v>
      </c>
      <c r="I2048">
        <f>'Aug-Apr, 2023'!BF50</f>
        <v>15</v>
      </c>
      <c r="J2048">
        <f>G2048*Parameters!$B$2*Parameters!$B$5</f>
        <v>108.58409999999999</v>
      </c>
      <c r="K2048">
        <f>H2048*Parameters!$B$3*Parameters!$B$6</f>
        <v>0</v>
      </c>
      <c r="L2048">
        <f>I2048*Parameters!$B$4*Parameters!$B$7</f>
        <v>121.44600000000001</v>
      </c>
      <c r="M2048">
        <f t="shared" si="31"/>
        <v>230.0301</v>
      </c>
      <c r="N2048" s="142">
        <f>'Aug-Apr, 2023'!BG50</f>
        <v>5100</v>
      </c>
      <c r="O2048" s="142">
        <f>'Aug-Apr, 2023'!BH50</f>
        <v>0</v>
      </c>
      <c r="P2048" s="142">
        <f>'Aug-Apr, 2023'!BI50</f>
        <v>0</v>
      </c>
      <c r="Q2048" s="142">
        <f>'Aug-Apr, 2023'!BJ50</f>
        <v>4500</v>
      </c>
    </row>
    <row r="2049" spans="1:17">
      <c r="A2049" t="s">
        <v>73</v>
      </c>
      <c r="B2049" t="s">
        <v>17</v>
      </c>
      <c r="C2049">
        <v>4</v>
      </c>
      <c r="D2049">
        <v>2023</v>
      </c>
      <c r="E2049" s="49" t="s">
        <v>153</v>
      </c>
      <c r="F2049" s="49" t="s">
        <v>163</v>
      </c>
      <c r="G2049">
        <f>'Aug-Apr, 2023'!BC51+'Aug-Apr, 2023'!BD51</f>
        <v>55</v>
      </c>
      <c r="H2049">
        <f>'Aug-Apr, 2023'!BE51</f>
        <v>0</v>
      </c>
      <c r="I2049">
        <f>'Aug-Apr, 2023'!BF51</f>
        <v>20</v>
      </c>
      <c r="J2049">
        <f>G2049*Parameters!$B$2*Parameters!$B$5</f>
        <v>117.10049999999998</v>
      </c>
      <c r="K2049">
        <f>H2049*Parameters!$B$3*Parameters!$B$6</f>
        <v>0</v>
      </c>
      <c r="L2049">
        <f>I2049*Parameters!$B$4*Parameters!$B$7</f>
        <v>161.928</v>
      </c>
      <c r="M2049">
        <f t="shared" si="31"/>
        <v>279.02850000000001</v>
      </c>
      <c r="N2049" s="142">
        <f>'Aug-Apr, 2023'!BG51</f>
        <v>5500</v>
      </c>
      <c r="O2049" s="142">
        <f>'Aug-Apr, 2023'!BH51</f>
        <v>0</v>
      </c>
      <c r="P2049" s="142">
        <f>'Aug-Apr, 2023'!BI51</f>
        <v>0</v>
      </c>
      <c r="Q2049" s="142">
        <f>'Aug-Apr, 2023'!BJ51</f>
        <v>6000</v>
      </c>
    </row>
    <row r="2050" spans="1:17">
      <c r="A2050" t="s">
        <v>74</v>
      </c>
      <c r="B2050" t="s">
        <v>65</v>
      </c>
      <c r="C2050">
        <v>8</v>
      </c>
      <c r="D2050">
        <v>2023</v>
      </c>
      <c r="E2050" s="49" t="s">
        <v>153</v>
      </c>
      <c r="F2050" s="49" t="s">
        <v>163</v>
      </c>
      <c r="G2050">
        <f>'Aug-Apr, 2023'!BC52+'Aug-Apr, 2023'!BD52</f>
        <v>72</v>
      </c>
      <c r="H2050">
        <f>'Aug-Apr, 2023'!BE52</f>
        <v>6</v>
      </c>
      <c r="I2050">
        <f>'Aug-Apr, 2023'!BF52</f>
        <v>0</v>
      </c>
      <c r="J2050">
        <f>G2050*Parameters!$B$2*Parameters!$B$5</f>
        <v>153.29519999999999</v>
      </c>
      <c r="K2050">
        <f>H2050*Parameters!$B$3*Parameters!$B$6</f>
        <v>37.624799999999993</v>
      </c>
      <c r="L2050">
        <f>I2050*Parameters!$B$4*Parameters!$B$7</f>
        <v>0</v>
      </c>
      <c r="M2050">
        <f t="shared" si="31"/>
        <v>190.92</v>
      </c>
      <c r="N2050" s="142">
        <f>'Aug-Apr, 2023'!BG52</f>
        <v>4200</v>
      </c>
      <c r="O2050" s="142">
        <f>'Aug-Apr, 2023'!BH52</f>
        <v>3000</v>
      </c>
      <c r="P2050" s="142">
        <f>'Aug-Apr, 2023'!BI52</f>
        <v>1800</v>
      </c>
      <c r="Q2050" s="142">
        <f>'Aug-Apr, 2023'!BJ52</f>
        <v>0</v>
      </c>
    </row>
    <row r="2051" spans="1:17">
      <c r="A2051" t="s">
        <v>75</v>
      </c>
      <c r="B2051" t="s">
        <v>24</v>
      </c>
      <c r="C2051">
        <v>4</v>
      </c>
      <c r="D2051">
        <v>2023</v>
      </c>
      <c r="E2051" s="49" t="s">
        <v>153</v>
      </c>
      <c r="F2051" s="49" t="s">
        <v>163</v>
      </c>
      <c r="G2051">
        <f>'Aug-Apr, 2023'!BC53+'Aug-Apr, 2023'!BD53</f>
        <v>36</v>
      </c>
      <c r="H2051">
        <f>'Aug-Apr, 2023'!BE53</f>
        <v>0</v>
      </c>
      <c r="I2051">
        <f>'Aug-Apr, 2023'!BF53</f>
        <v>20</v>
      </c>
      <c r="J2051">
        <f>G2051*Parameters!$B$2*Parameters!$B$5</f>
        <v>76.647599999999997</v>
      </c>
      <c r="K2051">
        <f>H2051*Parameters!$B$3*Parameters!$B$6</f>
        <v>0</v>
      </c>
      <c r="L2051">
        <f>I2051*Parameters!$B$4*Parameters!$B$7</f>
        <v>161.928</v>
      </c>
      <c r="M2051">
        <f t="shared" ref="M2051:M2114" si="32">SUM(J2051:L2051)</f>
        <v>238.57560000000001</v>
      </c>
      <c r="N2051" s="142">
        <f>'Aug-Apr, 2023'!BG53</f>
        <v>3600</v>
      </c>
      <c r="O2051" s="142">
        <f>'Aug-Apr, 2023'!BH53</f>
        <v>0</v>
      </c>
      <c r="P2051" s="142">
        <f>'Aug-Apr, 2023'!BI53</f>
        <v>0</v>
      </c>
      <c r="Q2051" s="142">
        <f>'Aug-Apr, 2023'!BJ53</f>
        <v>6000</v>
      </c>
    </row>
    <row r="2052" spans="1:17">
      <c r="A2052" t="s">
        <v>76</v>
      </c>
      <c r="B2052" t="s">
        <v>56</v>
      </c>
      <c r="C2052">
        <v>4</v>
      </c>
      <c r="D2052">
        <v>2023</v>
      </c>
      <c r="E2052" s="49" t="s">
        <v>153</v>
      </c>
      <c r="F2052" s="49" t="s">
        <v>163</v>
      </c>
      <c r="G2052">
        <f>'Aug-Apr, 2023'!BC54+'Aug-Apr, 2023'!BD54</f>
        <v>53</v>
      </c>
      <c r="H2052">
        <f>'Aug-Apr, 2023'!BE54</f>
        <v>0</v>
      </c>
      <c r="I2052">
        <f>'Aug-Apr, 2023'!BF54</f>
        <v>18</v>
      </c>
      <c r="J2052">
        <f>G2052*Parameters!$B$2*Parameters!$B$5</f>
        <v>112.84229999999998</v>
      </c>
      <c r="K2052">
        <f>H2052*Parameters!$B$3*Parameters!$B$6</f>
        <v>0</v>
      </c>
      <c r="L2052">
        <f>I2052*Parameters!$B$4*Parameters!$B$7</f>
        <v>145.73520000000002</v>
      </c>
      <c r="M2052">
        <f t="shared" si="32"/>
        <v>258.57749999999999</v>
      </c>
      <c r="N2052" s="142">
        <f>'Aug-Apr, 2023'!BG54</f>
        <v>5300</v>
      </c>
      <c r="O2052" s="142">
        <f>'Aug-Apr, 2023'!BH54</f>
        <v>0</v>
      </c>
      <c r="P2052" s="142">
        <f>'Aug-Apr, 2023'!BI54</f>
        <v>0</v>
      </c>
      <c r="Q2052" s="142">
        <f>'Aug-Apr, 2023'!BJ54</f>
        <v>5400</v>
      </c>
    </row>
    <row r="2053" spans="1:17">
      <c r="A2053" t="s">
        <v>77</v>
      </c>
      <c r="B2053" t="s">
        <v>40</v>
      </c>
      <c r="C2053">
        <v>12</v>
      </c>
      <c r="D2053">
        <v>2023</v>
      </c>
      <c r="E2053" s="49" t="s">
        <v>153</v>
      </c>
      <c r="F2053" s="49" t="s">
        <v>163</v>
      </c>
      <c r="G2053">
        <f>'Aug-Apr, 2023'!BC55+'Aug-Apr, 2023'!BD55</f>
        <v>40</v>
      </c>
      <c r="H2053">
        <f>'Aug-Apr, 2023'!BE55</f>
        <v>0</v>
      </c>
      <c r="I2053">
        <f>'Aug-Apr, 2023'!BF55</f>
        <v>20</v>
      </c>
      <c r="J2053">
        <f>G2053*Parameters!$B$2*Parameters!$B$5</f>
        <v>85.163999999999987</v>
      </c>
      <c r="K2053">
        <f>H2053*Parameters!$B$3*Parameters!$B$6</f>
        <v>0</v>
      </c>
      <c r="L2053">
        <f>I2053*Parameters!$B$4*Parameters!$B$7</f>
        <v>161.928</v>
      </c>
      <c r="M2053">
        <f t="shared" si="32"/>
        <v>247.09199999999998</v>
      </c>
      <c r="N2053" s="142">
        <f>'Aug-Apr, 2023'!BG55</f>
        <v>4000</v>
      </c>
      <c r="O2053" s="142">
        <f>'Aug-Apr, 2023'!BH55</f>
        <v>0</v>
      </c>
      <c r="P2053" s="142">
        <f>'Aug-Apr, 2023'!BI55</f>
        <v>0</v>
      </c>
      <c r="Q2053" s="142">
        <f>'Aug-Apr, 2023'!BJ55</f>
        <v>6000</v>
      </c>
    </row>
    <row r="2054" spans="1:17">
      <c r="A2054" t="s">
        <v>78</v>
      </c>
      <c r="B2054" t="s">
        <v>32</v>
      </c>
      <c r="C2054">
        <v>6</v>
      </c>
      <c r="D2054">
        <v>2023</v>
      </c>
      <c r="E2054" s="49" t="s">
        <v>153</v>
      </c>
      <c r="F2054" s="49" t="s">
        <v>163</v>
      </c>
      <c r="G2054">
        <f>'Aug-Apr, 2023'!BC56+'Aug-Apr, 2023'!BD56</f>
        <v>39</v>
      </c>
      <c r="H2054">
        <f>'Aug-Apr, 2023'!BE56</f>
        <v>0</v>
      </c>
      <c r="I2054">
        <f>'Aug-Apr, 2023'!BF56</f>
        <v>20</v>
      </c>
      <c r="J2054">
        <f>G2054*Parameters!$B$2*Parameters!$B$5</f>
        <v>83.034899999999993</v>
      </c>
      <c r="K2054">
        <f>H2054*Parameters!$B$3*Parameters!$B$6</f>
        <v>0</v>
      </c>
      <c r="L2054">
        <f>I2054*Parameters!$B$4*Parameters!$B$7</f>
        <v>161.928</v>
      </c>
      <c r="M2054">
        <f t="shared" si="32"/>
        <v>244.96289999999999</v>
      </c>
      <c r="N2054" s="142">
        <f>'Aug-Apr, 2023'!BG56</f>
        <v>3900</v>
      </c>
      <c r="O2054" s="142">
        <f>'Aug-Apr, 2023'!BH56</f>
        <v>0</v>
      </c>
      <c r="P2054" s="142">
        <f>'Aug-Apr, 2023'!BI56</f>
        <v>0</v>
      </c>
      <c r="Q2054" s="142">
        <f>'Aug-Apr, 2023'!BJ56</f>
        <v>6000</v>
      </c>
    </row>
    <row r="2055" spans="1:17">
      <c r="A2055" t="s">
        <v>79</v>
      </c>
      <c r="B2055" t="s">
        <v>40</v>
      </c>
      <c r="C2055">
        <v>4</v>
      </c>
      <c r="D2055">
        <v>2023</v>
      </c>
      <c r="E2055" s="49" t="s">
        <v>153</v>
      </c>
      <c r="F2055" s="49" t="s">
        <v>163</v>
      </c>
      <c r="G2055">
        <f>'Aug-Apr, 2023'!BC57+'Aug-Apr, 2023'!BD57</f>
        <v>51</v>
      </c>
      <c r="H2055">
        <f>'Aug-Apr, 2023'!BE57</f>
        <v>0</v>
      </c>
      <c r="I2055">
        <f>'Aug-Apr, 2023'!BF57</f>
        <v>20</v>
      </c>
      <c r="J2055">
        <f>G2055*Parameters!$B$2*Parameters!$B$5</f>
        <v>108.58409999999999</v>
      </c>
      <c r="K2055">
        <f>H2055*Parameters!$B$3*Parameters!$B$6</f>
        <v>0</v>
      </c>
      <c r="L2055">
        <f>I2055*Parameters!$B$4*Parameters!$B$7</f>
        <v>161.928</v>
      </c>
      <c r="M2055">
        <f t="shared" si="32"/>
        <v>270.51209999999998</v>
      </c>
      <c r="N2055" s="142">
        <f>'Aug-Apr, 2023'!BG57</f>
        <v>5100</v>
      </c>
      <c r="O2055" s="142">
        <f>'Aug-Apr, 2023'!BH57</f>
        <v>0</v>
      </c>
      <c r="P2055" s="142">
        <f>'Aug-Apr, 2023'!BI57</f>
        <v>0</v>
      </c>
      <c r="Q2055" s="142">
        <f>'Aug-Apr, 2023'!BJ57</f>
        <v>6000</v>
      </c>
    </row>
    <row r="2056" spans="1:17">
      <c r="A2056" t="s">
        <v>80</v>
      </c>
      <c r="B2056" t="s">
        <v>26</v>
      </c>
      <c r="C2056">
        <v>7</v>
      </c>
      <c r="D2056">
        <v>2023</v>
      </c>
      <c r="E2056" s="49" t="s">
        <v>153</v>
      </c>
      <c r="F2056" s="49" t="s">
        <v>163</v>
      </c>
      <c r="G2056">
        <f>'Aug-Apr, 2023'!BC58+'Aug-Apr, 2023'!BD58</f>
        <v>49</v>
      </c>
      <c r="H2056">
        <f>'Aug-Apr, 2023'!BE58</f>
        <v>0</v>
      </c>
      <c r="I2056">
        <f>'Aug-Apr, 2023'!BF58</f>
        <v>18</v>
      </c>
      <c r="J2056">
        <f>G2056*Parameters!$B$2*Parameters!$B$5</f>
        <v>104.32589999999999</v>
      </c>
      <c r="K2056">
        <f>H2056*Parameters!$B$3*Parameters!$B$6</f>
        <v>0</v>
      </c>
      <c r="L2056">
        <f>I2056*Parameters!$B$4*Parameters!$B$7</f>
        <v>145.73520000000002</v>
      </c>
      <c r="M2056">
        <f t="shared" si="32"/>
        <v>250.06110000000001</v>
      </c>
      <c r="N2056" s="142">
        <f>'Aug-Apr, 2023'!BG58</f>
        <v>4900</v>
      </c>
      <c r="O2056" s="142">
        <f>'Aug-Apr, 2023'!BH58</f>
        <v>0</v>
      </c>
      <c r="P2056" s="142">
        <f>'Aug-Apr, 2023'!BI58</f>
        <v>0</v>
      </c>
      <c r="Q2056" s="142">
        <f>'Aug-Apr, 2023'!BJ58</f>
        <v>5400</v>
      </c>
    </row>
    <row r="2057" spans="1:17">
      <c r="A2057" t="s">
        <v>81</v>
      </c>
      <c r="B2057" t="s">
        <v>24</v>
      </c>
      <c r="C2057">
        <v>6</v>
      </c>
      <c r="D2057">
        <v>2023</v>
      </c>
      <c r="E2057" s="49" t="s">
        <v>153</v>
      </c>
      <c r="F2057" s="49" t="s">
        <v>163</v>
      </c>
      <c r="G2057">
        <f>'Aug-Apr, 2023'!BC59+'Aug-Apr, 2023'!BD59</f>
        <v>50</v>
      </c>
      <c r="H2057">
        <f>'Aug-Apr, 2023'!BE59</f>
        <v>0</v>
      </c>
      <c r="I2057">
        <f>'Aug-Apr, 2023'!BF59</f>
        <v>20</v>
      </c>
      <c r="J2057">
        <f>G2057*Parameters!$B$2*Parameters!$B$5</f>
        <v>106.45499999999998</v>
      </c>
      <c r="K2057">
        <f>H2057*Parameters!$B$3*Parameters!$B$6</f>
        <v>0</v>
      </c>
      <c r="L2057">
        <f>I2057*Parameters!$B$4*Parameters!$B$7</f>
        <v>161.928</v>
      </c>
      <c r="M2057">
        <f t="shared" si="32"/>
        <v>268.38299999999998</v>
      </c>
      <c r="N2057" s="142">
        <f>'Aug-Apr, 2023'!BG59</f>
        <v>5000</v>
      </c>
      <c r="O2057" s="142">
        <f>'Aug-Apr, 2023'!BH59</f>
        <v>0</v>
      </c>
      <c r="P2057" s="142">
        <f>'Aug-Apr, 2023'!BI59</f>
        <v>0</v>
      </c>
      <c r="Q2057" s="142">
        <f>'Aug-Apr, 2023'!BJ59</f>
        <v>6000</v>
      </c>
    </row>
    <row r="2058" spans="1:17">
      <c r="A2058" t="s">
        <v>82</v>
      </c>
      <c r="B2058" t="s">
        <v>83</v>
      </c>
      <c r="C2058">
        <v>4</v>
      </c>
      <c r="D2058">
        <v>2023</v>
      </c>
      <c r="E2058" s="49" t="s">
        <v>153</v>
      </c>
      <c r="F2058" s="49" t="s">
        <v>163</v>
      </c>
      <c r="G2058">
        <f>'Aug-Apr, 2023'!BC60+'Aug-Apr, 2023'!BD60</f>
        <v>33</v>
      </c>
      <c r="H2058">
        <f>'Aug-Apr, 2023'!BE60</f>
        <v>0</v>
      </c>
      <c r="I2058">
        <f>'Aug-Apr, 2023'!BF60</f>
        <v>14</v>
      </c>
      <c r="J2058">
        <f>G2058*Parameters!$B$2*Parameters!$B$5</f>
        <v>70.260300000000001</v>
      </c>
      <c r="K2058">
        <f>H2058*Parameters!$B$3*Parameters!$B$6</f>
        <v>0</v>
      </c>
      <c r="L2058">
        <f>I2058*Parameters!$B$4*Parameters!$B$7</f>
        <v>113.34960000000001</v>
      </c>
      <c r="M2058">
        <f t="shared" si="32"/>
        <v>183.60990000000001</v>
      </c>
      <c r="N2058" s="142">
        <f>'Aug-Apr, 2023'!BG60</f>
        <v>3300</v>
      </c>
      <c r="O2058" s="142">
        <f>'Aug-Apr, 2023'!BH60</f>
        <v>0</v>
      </c>
      <c r="P2058" s="142">
        <f>'Aug-Apr, 2023'!BI60</f>
        <v>0</v>
      </c>
      <c r="Q2058" s="142">
        <f>'Aug-Apr, 2023'!BJ60</f>
        <v>4200</v>
      </c>
    </row>
    <row r="2059" spans="1:17">
      <c r="A2059" t="s">
        <v>84</v>
      </c>
      <c r="B2059" t="s">
        <v>26</v>
      </c>
      <c r="C2059">
        <v>7</v>
      </c>
      <c r="D2059">
        <v>2023</v>
      </c>
      <c r="E2059" s="49" t="s">
        <v>153</v>
      </c>
      <c r="F2059" s="49" t="s">
        <v>163</v>
      </c>
      <c r="G2059">
        <f>'Aug-Apr, 2023'!BC61+'Aug-Apr, 2023'!BD61</f>
        <v>58</v>
      </c>
      <c r="H2059">
        <f>'Aug-Apr, 2023'!BE61</f>
        <v>0</v>
      </c>
      <c r="I2059">
        <f>'Aug-Apr, 2023'!BF61</f>
        <v>9</v>
      </c>
      <c r="J2059">
        <f>G2059*Parameters!$B$2*Parameters!$B$5</f>
        <v>123.48779999999998</v>
      </c>
      <c r="K2059">
        <f>H2059*Parameters!$B$3*Parameters!$B$6</f>
        <v>0</v>
      </c>
      <c r="L2059">
        <f>I2059*Parameters!$B$4*Parameters!$B$7</f>
        <v>72.86760000000001</v>
      </c>
      <c r="M2059">
        <f t="shared" si="32"/>
        <v>196.35539999999997</v>
      </c>
      <c r="N2059" s="142">
        <f>'Aug-Apr, 2023'!BG61</f>
        <v>5800</v>
      </c>
      <c r="O2059" s="142">
        <f>'Aug-Apr, 2023'!BH61</f>
        <v>0</v>
      </c>
      <c r="P2059" s="142">
        <f>'Aug-Apr, 2023'!BI61</f>
        <v>0</v>
      </c>
      <c r="Q2059" s="142">
        <f>'Aug-Apr, 2023'!BJ61</f>
        <v>2700</v>
      </c>
    </row>
    <row r="2060" spans="1:17">
      <c r="A2060" t="s">
        <v>85</v>
      </c>
      <c r="B2060" t="s">
        <v>24</v>
      </c>
      <c r="C2060">
        <v>6</v>
      </c>
      <c r="D2060">
        <v>2023</v>
      </c>
      <c r="E2060" s="49" t="s">
        <v>153</v>
      </c>
      <c r="F2060" s="49" t="s">
        <v>163</v>
      </c>
      <c r="G2060">
        <f>'Aug-Apr, 2023'!BC62+'Aug-Apr, 2023'!BD62</f>
        <v>45</v>
      </c>
      <c r="H2060">
        <f>'Aug-Apr, 2023'!BE62</f>
        <v>0</v>
      </c>
      <c r="I2060">
        <f>'Aug-Apr, 2023'!BF62</f>
        <v>14</v>
      </c>
      <c r="J2060">
        <f>G2060*Parameters!$B$2*Parameters!$B$5</f>
        <v>95.809499999999986</v>
      </c>
      <c r="K2060">
        <f>H2060*Parameters!$B$3*Parameters!$B$6</f>
        <v>0</v>
      </c>
      <c r="L2060">
        <f>I2060*Parameters!$B$4*Parameters!$B$7</f>
        <v>113.34960000000001</v>
      </c>
      <c r="M2060">
        <f t="shared" si="32"/>
        <v>209.1591</v>
      </c>
      <c r="N2060" s="142">
        <f>'Aug-Apr, 2023'!BG62</f>
        <v>4500</v>
      </c>
      <c r="O2060" s="142">
        <f>'Aug-Apr, 2023'!BH62</f>
        <v>0</v>
      </c>
      <c r="P2060" s="142">
        <f>'Aug-Apr, 2023'!BI62</f>
        <v>0</v>
      </c>
      <c r="Q2060" s="142">
        <f>'Aug-Apr, 2023'!BJ62</f>
        <v>4200</v>
      </c>
    </row>
    <row r="2061" spans="1:17">
      <c r="A2061" t="s">
        <v>86</v>
      </c>
      <c r="B2061" t="s">
        <v>32</v>
      </c>
      <c r="C2061">
        <v>4</v>
      </c>
      <c r="D2061">
        <v>2023</v>
      </c>
      <c r="E2061" s="49" t="s">
        <v>153</v>
      </c>
      <c r="F2061" s="49" t="s">
        <v>163</v>
      </c>
      <c r="G2061">
        <f>'Aug-Apr, 2023'!BC63+'Aug-Apr, 2023'!BD63</f>
        <v>40</v>
      </c>
      <c r="H2061">
        <f>'Aug-Apr, 2023'!BE63</f>
        <v>0</v>
      </c>
      <c r="I2061">
        <f>'Aug-Apr, 2023'!BF63</f>
        <v>20</v>
      </c>
      <c r="J2061">
        <f>G2061*Parameters!$B$2*Parameters!$B$5</f>
        <v>85.163999999999987</v>
      </c>
      <c r="K2061">
        <f>H2061*Parameters!$B$3*Parameters!$B$6</f>
        <v>0</v>
      </c>
      <c r="L2061">
        <f>I2061*Parameters!$B$4*Parameters!$B$7</f>
        <v>161.928</v>
      </c>
      <c r="M2061">
        <f t="shared" si="32"/>
        <v>247.09199999999998</v>
      </c>
      <c r="N2061" s="142">
        <f>'Aug-Apr, 2023'!BG63</f>
        <v>4000</v>
      </c>
      <c r="O2061" s="142">
        <f>'Aug-Apr, 2023'!BH63</f>
        <v>0</v>
      </c>
      <c r="P2061" s="142">
        <f>'Aug-Apr, 2023'!BI63</f>
        <v>0</v>
      </c>
      <c r="Q2061" s="142">
        <f>'Aug-Apr, 2023'!BJ63</f>
        <v>6000</v>
      </c>
    </row>
    <row r="2062" spans="1:17">
      <c r="A2062" t="s">
        <v>87</v>
      </c>
      <c r="B2062" t="s">
        <v>32</v>
      </c>
      <c r="C2062">
        <v>8</v>
      </c>
      <c r="D2062">
        <v>2023</v>
      </c>
      <c r="E2062" s="49" t="s">
        <v>153</v>
      </c>
      <c r="F2062" s="49" t="s">
        <v>163</v>
      </c>
      <c r="G2062">
        <f>'Aug-Apr, 2023'!BC64+'Aug-Apr, 2023'!BD64</f>
        <v>46</v>
      </c>
      <c r="H2062">
        <f>'Aug-Apr, 2023'!BE64</f>
        <v>0</v>
      </c>
      <c r="I2062">
        <f>'Aug-Apr, 2023'!BF64</f>
        <v>12</v>
      </c>
      <c r="J2062">
        <f>G2062*Parameters!$B$2*Parameters!$B$5</f>
        <v>97.938599999999994</v>
      </c>
      <c r="K2062">
        <f>H2062*Parameters!$B$3*Parameters!$B$6</f>
        <v>0</v>
      </c>
      <c r="L2062">
        <f>I2062*Parameters!$B$4*Parameters!$B$7</f>
        <v>97.156800000000018</v>
      </c>
      <c r="M2062">
        <f t="shared" si="32"/>
        <v>195.09540000000001</v>
      </c>
      <c r="N2062" s="142">
        <f>'Aug-Apr, 2023'!BG64</f>
        <v>4600</v>
      </c>
      <c r="O2062" s="142">
        <f>'Aug-Apr, 2023'!BH64</f>
        <v>0</v>
      </c>
      <c r="P2062" s="142">
        <f>'Aug-Apr, 2023'!BI64</f>
        <v>0</v>
      </c>
      <c r="Q2062" s="142">
        <f>'Aug-Apr, 2023'!BJ64</f>
        <v>3600</v>
      </c>
    </row>
    <row r="2063" spans="1:17">
      <c r="A2063" t="s">
        <v>88</v>
      </c>
      <c r="B2063" t="s">
        <v>32</v>
      </c>
      <c r="C2063">
        <v>7</v>
      </c>
      <c r="D2063">
        <v>2023</v>
      </c>
      <c r="E2063" s="49" t="s">
        <v>153</v>
      </c>
      <c r="F2063" s="49" t="s">
        <v>163</v>
      </c>
      <c r="G2063">
        <f>'Aug-Apr, 2023'!BC65+'Aug-Apr, 2023'!BD65</f>
        <v>47</v>
      </c>
      <c r="H2063">
        <f>'Aug-Apr, 2023'!BE65</f>
        <v>0</v>
      </c>
      <c r="I2063">
        <f>'Aug-Apr, 2023'!BF65</f>
        <v>10</v>
      </c>
      <c r="J2063">
        <f>G2063*Parameters!$B$2*Parameters!$B$5</f>
        <v>100.06769999999997</v>
      </c>
      <c r="K2063">
        <f>H2063*Parameters!$B$3*Parameters!$B$6</f>
        <v>0</v>
      </c>
      <c r="L2063">
        <f>I2063*Parameters!$B$4*Parameters!$B$7</f>
        <v>80.963999999999999</v>
      </c>
      <c r="M2063">
        <f t="shared" si="32"/>
        <v>181.03169999999997</v>
      </c>
      <c r="N2063" s="142">
        <f>'Aug-Apr, 2023'!BG65</f>
        <v>4700</v>
      </c>
      <c r="O2063" s="142">
        <f>'Aug-Apr, 2023'!BH65</f>
        <v>0</v>
      </c>
      <c r="P2063" s="142">
        <f>'Aug-Apr, 2023'!BI65</f>
        <v>0</v>
      </c>
      <c r="Q2063" s="142">
        <f>'Aug-Apr, 2023'!BJ65</f>
        <v>3000</v>
      </c>
    </row>
    <row r="2064" spans="1:17">
      <c r="A2064" t="s">
        <v>89</v>
      </c>
      <c r="B2064" t="s">
        <v>65</v>
      </c>
      <c r="C2064">
        <v>8</v>
      </c>
      <c r="D2064">
        <v>2023</v>
      </c>
      <c r="E2064" s="49" t="s">
        <v>153</v>
      </c>
      <c r="F2064" s="49" t="s">
        <v>163</v>
      </c>
      <c r="G2064">
        <f>'Aug-Apr, 2023'!BC66+'Aug-Apr, 2023'!BD66</f>
        <v>52</v>
      </c>
      <c r="H2064">
        <f>'Aug-Apr, 2023'!BE66</f>
        <v>0</v>
      </c>
      <c r="I2064">
        <f>'Aug-Apr, 2023'!BF66</f>
        <v>16</v>
      </c>
      <c r="J2064">
        <f>G2064*Parameters!$B$2*Parameters!$B$5</f>
        <v>110.71319999999999</v>
      </c>
      <c r="K2064">
        <f>H2064*Parameters!$B$3*Parameters!$B$6</f>
        <v>0</v>
      </c>
      <c r="L2064">
        <f>I2064*Parameters!$B$4*Parameters!$B$7</f>
        <v>129.54240000000001</v>
      </c>
      <c r="M2064">
        <f t="shared" si="32"/>
        <v>240.25560000000002</v>
      </c>
      <c r="N2064" s="142">
        <f>'Aug-Apr, 2023'!BG66</f>
        <v>5200</v>
      </c>
      <c r="O2064" s="142">
        <f>'Aug-Apr, 2023'!BH66</f>
        <v>0</v>
      </c>
      <c r="P2064" s="142">
        <f>'Aug-Apr, 2023'!BI66</f>
        <v>0</v>
      </c>
      <c r="Q2064" s="142">
        <f>'Aug-Apr, 2023'!BJ66</f>
        <v>4800</v>
      </c>
    </row>
    <row r="2065" spans="1:17">
      <c r="A2065" t="s">
        <v>90</v>
      </c>
      <c r="B2065" t="s">
        <v>32</v>
      </c>
      <c r="C2065">
        <v>6</v>
      </c>
      <c r="D2065">
        <v>2023</v>
      </c>
      <c r="E2065" s="49" t="s">
        <v>153</v>
      </c>
      <c r="F2065" s="49" t="s">
        <v>163</v>
      </c>
      <c r="G2065">
        <f>'Aug-Apr, 2023'!BC67+'Aug-Apr, 2023'!BD67</f>
        <v>45</v>
      </c>
      <c r="H2065">
        <f>'Aug-Apr, 2023'!BE67</f>
        <v>0</v>
      </c>
      <c r="I2065">
        <f>'Aug-Apr, 2023'!BF67</f>
        <v>20</v>
      </c>
      <c r="J2065">
        <f>G2065*Parameters!$B$2*Parameters!$B$5</f>
        <v>95.809499999999986</v>
      </c>
      <c r="K2065">
        <f>H2065*Parameters!$B$3*Parameters!$B$6</f>
        <v>0</v>
      </c>
      <c r="L2065">
        <f>I2065*Parameters!$B$4*Parameters!$B$7</f>
        <v>161.928</v>
      </c>
      <c r="M2065">
        <f t="shared" si="32"/>
        <v>257.73749999999995</v>
      </c>
      <c r="N2065" s="142">
        <f>'Aug-Apr, 2023'!BG67</f>
        <v>4500</v>
      </c>
      <c r="O2065" s="142">
        <f>'Aug-Apr, 2023'!BH67</f>
        <v>0</v>
      </c>
      <c r="P2065" s="142">
        <f>'Aug-Apr, 2023'!BI67</f>
        <v>0</v>
      </c>
      <c r="Q2065" s="142">
        <f>'Aug-Apr, 2023'!BJ67</f>
        <v>6000</v>
      </c>
    </row>
    <row r="2066" spans="1:17">
      <c r="A2066" t="s">
        <v>91</v>
      </c>
      <c r="B2066" t="s">
        <v>24</v>
      </c>
      <c r="C2066">
        <v>6</v>
      </c>
      <c r="D2066">
        <v>2023</v>
      </c>
      <c r="E2066" s="49" t="s">
        <v>153</v>
      </c>
      <c r="F2066" s="49" t="s">
        <v>163</v>
      </c>
      <c r="G2066">
        <f>'Aug-Apr, 2023'!BC68+'Aug-Apr, 2023'!BD68</f>
        <v>42</v>
      </c>
      <c r="H2066">
        <f>'Aug-Apr, 2023'!BE68</f>
        <v>0</v>
      </c>
      <c r="I2066">
        <f>'Aug-Apr, 2023'!BF68</f>
        <v>19</v>
      </c>
      <c r="J2066">
        <f>G2066*Parameters!$B$2*Parameters!$B$5</f>
        <v>89.422199999999975</v>
      </c>
      <c r="K2066">
        <f>H2066*Parameters!$B$3*Parameters!$B$6</f>
        <v>0</v>
      </c>
      <c r="L2066">
        <f>I2066*Parameters!$B$4*Parameters!$B$7</f>
        <v>153.83160000000001</v>
      </c>
      <c r="M2066">
        <f t="shared" si="32"/>
        <v>243.25379999999998</v>
      </c>
      <c r="N2066" s="142">
        <f>'Aug-Apr, 2023'!BG68</f>
        <v>4200</v>
      </c>
      <c r="O2066" s="142">
        <f>'Aug-Apr, 2023'!BH68</f>
        <v>0</v>
      </c>
      <c r="P2066" s="142">
        <f>'Aug-Apr, 2023'!BI68</f>
        <v>0</v>
      </c>
      <c r="Q2066" s="142">
        <f>'Aug-Apr, 2023'!BJ68</f>
        <v>5700</v>
      </c>
    </row>
    <row r="2067" spans="1:17">
      <c r="A2067" t="s">
        <v>92</v>
      </c>
      <c r="B2067" t="s">
        <v>17</v>
      </c>
      <c r="C2067">
        <v>4</v>
      </c>
      <c r="D2067">
        <v>2023</v>
      </c>
      <c r="E2067" s="49" t="s">
        <v>153</v>
      </c>
      <c r="F2067" s="49" t="s">
        <v>163</v>
      </c>
      <c r="G2067">
        <f>'Aug-Apr, 2023'!BC69+'Aug-Apr, 2023'!BD69</f>
        <v>66</v>
      </c>
      <c r="H2067">
        <f>'Aug-Apr, 2023'!BE69</f>
        <v>0</v>
      </c>
      <c r="I2067">
        <f>'Aug-Apr, 2023'!BF69</f>
        <v>12</v>
      </c>
      <c r="J2067">
        <f>G2067*Parameters!$B$2*Parameters!$B$5</f>
        <v>140.5206</v>
      </c>
      <c r="K2067">
        <f>H2067*Parameters!$B$3*Parameters!$B$6</f>
        <v>0</v>
      </c>
      <c r="L2067">
        <f>I2067*Parameters!$B$4*Parameters!$B$7</f>
        <v>97.156800000000018</v>
      </c>
      <c r="M2067">
        <f t="shared" si="32"/>
        <v>237.67740000000003</v>
      </c>
      <c r="N2067" s="142">
        <f>'Aug-Apr, 2023'!BG69</f>
        <v>5600</v>
      </c>
      <c r="O2067" s="142">
        <f>'Aug-Apr, 2023'!BH69</f>
        <v>1000</v>
      </c>
      <c r="P2067" s="142">
        <f>'Aug-Apr, 2023'!BI69</f>
        <v>0</v>
      </c>
      <c r="Q2067" s="142">
        <f>'Aug-Apr, 2023'!BJ69</f>
        <v>3600</v>
      </c>
    </row>
    <row r="2068" spans="1:17">
      <c r="A2068" t="s">
        <v>93</v>
      </c>
      <c r="B2068" t="s">
        <v>19</v>
      </c>
      <c r="C2068">
        <v>7</v>
      </c>
      <c r="D2068">
        <v>2023</v>
      </c>
      <c r="E2068" s="49" t="s">
        <v>153</v>
      </c>
      <c r="F2068" s="49" t="s">
        <v>163</v>
      </c>
      <c r="G2068">
        <f>'Aug-Apr, 2023'!BC70+'Aug-Apr, 2023'!BD70</f>
        <v>46</v>
      </c>
      <c r="H2068">
        <f>'Aug-Apr, 2023'!BE70</f>
        <v>0</v>
      </c>
      <c r="I2068">
        <f>'Aug-Apr, 2023'!BF70</f>
        <v>20</v>
      </c>
      <c r="J2068">
        <f>G2068*Parameters!$B$2*Parameters!$B$5</f>
        <v>97.938599999999994</v>
      </c>
      <c r="K2068">
        <f>H2068*Parameters!$B$3*Parameters!$B$6</f>
        <v>0</v>
      </c>
      <c r="L2068">
        <f>I2068*Parameters!$B$4*Parameters!$B$7</f>
        <v>161.928</v>
      </c>
      <c r="M2068">
        <f t="shared" si="32"/>
        <v>259.86660000000001</v>
      </c>
      <c r="N2068" s="142">
        <f>'Aug-Apr, 2023'!BG70</f>
        <v>4600</v>
      </c>
      <c r="O2068" s="142">
        <f>'Aug-Apr, 2023'!BH70</f>
        <v>0</v>
      </c>
      <c r="P2068" s="142">
        <f>'Aug-Apr, 2023'!BI70</f>
        <v>0</v>
      </c>
      <c r="Q2068" s="142">
        <f>'Aug-Apr, 2023'!BJ70</f>
        <v>6000</v>
      </c>
    </row>
    <row r="2069" spans="1:17">
      <c r="A2069" t="s">
        <v>94</v>
      </c>
      <c r="B2069" t="s">
        <v>19</v>
      </c>
      <c r="C2069">
        <v>6</v>
      </c>
      <c r="D2069">
        <v>2023</v>
      </c>
      <c r="E2069" s="49" t="s">
        <v>153</v>
      </c>
      <c r="F2069" s="49" t="s">
        <v>163</v>
      </c>
      <c r="G2069">
        <f>'Aug-Apr, 2023'!BC71+'Aug-Apr, 2023'!BD71</f>
        <v>35</v>
      </c>
      <c r="H2069">
        <f>'Aug-Apr, 2023'!BE71</f>
        <v>0</v>
      </c>
      <c r="I2069">
        <f>'Aug-Apr, 2023'!BF71</f>
        <v>16</v>
      </c>
      <c r="J2069">
        <f>G2069*Parameters!$B$2*Parameters!$B$5</f>
        <v>74.518499999999989</v>
      </c>
      <c r="K2069">
        <f>H2069*Parameters!$B$3*Parameters!$B$6</f>
        <v>0</v>
      </c>
      <c r="L2069">
        <f>I2069*Parameters!$B$4*Parameters!$B$7</f>
        <v>129.54240000000001</v>
      </c>
      <c r="M2069">
        <f t="shared" si="32"/>
        <v>204.0609</v>
      </c>
      <c r="N2069" s="142">
        <f>'Aug-Apr, 2023'!BG71</f>
        <v>3500</v>
      </c>
      <c r="O2069" s="142">
        <f>'Aug-Apr, 2023'!BH71</f>
        <v>0</v>
      </c>
      <c r="P2069" s="142">
        <f>'Aug-Apr, 2023'!BI71</f>
        <v>0</v>
      </c>
      <c r="Q2069" s="142">
        <f>'Aug-Apr, 2023'!BJ71</f>
        <v>4800</v>
      </c>
    </row>
    <row r="2070" spans="1:17">
      <c r="A2070" t="s">
        <v>95</v>
      </c>
      <c r="B2070" t="s">
        <v>26</v>
      </c>
      <c r="C2070">
        <v>8</v>
      </c>
      <c r="D2070">
        <v>2023</v>
      </c>
      <c r="E2070" s="49" t="s">
        <v>153</v>
      </c>
      <c r="F2070" s="49" t="s">
        <v>163</v>
      </c>
      <c r="G2070">
        <f>'Aug-Apr, 2023'!BC72+'Aug-Apr, 2023'!BD72</f>
        <v>48</v>
      </c>
      <c r="H2070">
        <f>'Aug-Apr, 2023'!BE72</f>
        <v>0</v>
      </c>
      <c r="I2070">
        <f>'Aug-Apr, 2023'!BF72</f>
        <v>18</v>
      </c>
      <c r="J2070">
        <f>G2070*Parameters!$B$2*Parameters!$B$5</f>
        <v>102.19679999999998</v>
      </c>
      <c r="K2070">
        <f>H2070*Parameters!$B$3*Parameters!$B$6</f>
        <v>0</v>
      </c>
      <c r="L2070">
        <f>I2070*Parameters!$B$4*Parameters!$B$7</f>
        <v>145.73520000000002</v>
      </c>
      <c r="M2070">
        <f t="shared" si="32"/>
        <v>247.93200000000002</v>
      </c>
      <c r="N2070" s="142">
        <f>'Aug-Apr, 2023'!BG72</f>
        <v>4800</v>
      </c>
      <c r="O2070" s="142">
        <f>'Aug-Apr, 2023'!BH72</f>
        <v>0</v>
      </c>
      <c r="P2070" s="142">
        <f>'Aug-Apr, 2023'!BI72</f>
        <v>0</v>
      </c>
      <c r="Q2070" s="142">
        <f>'Aug-Apr, 2023'!BJ72</f>
        <v>5400</v>
      </c>
    </row>
    <row r="2071" spans="1:17">
      <c r="A2071" t="s">
        <v>96</v>
      </c>
      <c r="B2071" t="s">
        <v>19</v>
      </c>
      <c r="C2071">
        <v>8</v>
      </c>
      <c r="D2071">
        <v>2023</v>
      </c>
      <c r="E2071" s="49" t="s">
        <v>153</v>
      </c>
      <c r="F2071" s="49" t="s">
        <v>163</v>
      </c>
      <c r="G2071">
        <f>'Aug-Apr, 2023'!BC73+'Aug-Apr, 2023'!BD73</f>
        <v>29</v>
      </c>
      <c r="H2071">
        <f>'Aug-Apr, 2023'!BE73</f>
        <v>6</v>
      </c>
      <c r="I2071">
        <f>'Aug-Apr, 2023'!BF73</f>
        <v>20</v>
      </c>
      <c r="J2071">
        <f>G2071*Parameters!$B$2*Parameters!$B$5</f>
        <v>61.743899999999989</v>
      </c>
      <c r="K2071">
        <f>H2071*Parameters!$B$3*Parameters!$B$6</f>
        <v>37.624799999999993</v>
      </c>
      <c r="L2071">
        <f>I2071*Parameters!$B$4*Parameters!$B$7</f>
        <v>161.928</v>
      </c>
      <c r="M2071">
        <f t="shared" si="32"/>
        <v>261.29669999999999</v>
      </c>
      <c r="N2071" s="142">
        <f>'Aug-Apr, 2023'!BG73</f>
        <v>2900</v>
      </c>
      <c r="O2071" s="142">
        <f>'Aug-Apr, 2023'!BH73</f>
        <v>0</v>
      </c>
      <c r="P2071" s="142">
        <f>'Aug-Apr, 2023'!BI73</f>
        <v>1800</v>
      </c>
      <c r="Q2071" s="142">
        <f>'Aug-Apr, 2023'!BJ73</f>
        <v>6000</v>
      </c>
    </row>
    <row r="2072" spans="1:17">
      <c r="A2072" t="s">
        <v>97</v>
      </c>
      <c r="B2072" t="s">
        <v>17</v>
      </c>
      <c r="C2072">
        <v>4</v>
      </c>
      <c r="D2072">
        <v>2023</v>
      </c>
      <c r="E2072" s="49" t="s">
        <v>153</v>
      </c>
      <c r="F2072" s="49" t="s">
        <v>163</v>
      </c>
      <c r="G2072">
        <f>'Aug-Apr, 2023'!BC74+'Aug-Apr, 2023'!BD74</f>
        <v>45</v>
      </c>
      <c r="H2072">
        <f>'Aug-Apr, 2023'!BE74</f>
        <v>0</v>
      </c>
      <c r="I2072">
        <f>'Aug-Apr, 2023'!BF74</f>
        <v>18</v>
      </c>
      <c r="J2072">
        <f>G2072*Parameters!$B$2*Parameters!$B$5</f>
        <v>95.809499999999986</v>
      </c>
      <c r="K2072">
        <f>H2072*Parameters!$B$3*Parameters!$B$6</f>
        <v>0</v>
      </c>
      <c r="L2072">
        <f>I2072*Parameters!$B$4*Parameters!$B$7</f>
        <v>145.73520000000002</v>
      </c>
      <c r="M2072">
        <f t="shared" si="32"/>
        <v>241.54470000000001</v>
      </c>
      <c r="N2072" s="142">
        <f>'Aug-Apr, 2023'!BG74</f>
        <v>4500</v>
      </c>
      <c r="O2072" s="142">
        <f>'Aug-Apr, 2023'!BH74</f>
        <v>0</v>
      </c>
      <c r="P2072" s="142">
        <f>'Aug-Apr, 2023'!BI74</f>
        <v>0</v>
      </c>
      <c r="Q2072" s="142">
        <f>'Aug-Apr, 2023'!BJ74</f>
        <v>5400</v>
      </c>
    </row>
    <row r="2073" spans="1:17">
      <c r="A2073" t="s">
        <v>98</v>
      </c>
      <c r="B2073" t="s">
        <v>65</v>
      </c>
      <c r="C2073">
        <v>5</v>
      </c>
      <c r="D2073">
        <v>2023</v>
      </c>
      <c r="E2073" s="49" t="s">
        <v>153</v>
      </c>
      <c r="F2073" s="49" t="s">
        <v>163</v>
      </c>
      <c r="G2073">
        <f>'Aug-Apr, 2023'!BC75+'Aug-Apr, 2023'!BD75</f>
        <v>38</v>
      </c>
      <c r="H2073">
        <f>'Aug-Apr, 2023'!BE75</f>
        <v>0</v>
      </c>
      <c r="I2073">
        <f>'Aug-Apr, 2023'!BF75</f>
        <v>16</v>
      </c>
      <c r="J2073">
        <f>G2073*Parameters!$B$2*Parameters!$B$5</f>
        <v>80.905799999999985</v>
      </c>
      <c r="K2073">
        <f>H2073*Parameters!$B$3*Parameters!$B$6</f>
        <v>0</v>
      </c>
      <c r="L2073">
        <f>I2073*Parameters!$B$4*Parameters!$B$7</f>
        <v>129.54240000000001</v>
      </c>
      <c r="M2073">
        <f t="shared" si="32"/>
        <v>210.44819999999999</v>
      </c>
      <c r="N2073" s="142">
        <f>'Aug-Apr, 2023'!BG75</f>
        <v>3600</v>
      </c>
      <c r="O2073" s="142">
        <f>'Aug-Apr, 2023'!BH75</f>
        <v>200</v>
      </c>
      <c r="P2073" s="142">
        <f>'Aug-Apr, 2023'!BI75</f>
        <v>0</v>
      </c>
      <c r="Q2073" s="142">
        <f>'Aug-Apr, 2023'!BJ75</f>
        <v>4800</v>
      </c>
    </row>
    <row r="2074" spans="1:17">
      <c r="A2074" t="s">
        <v>99</v>
      </c>
      <c r="B2074" t="s">
        <v>32</v>
      </c>
      <c r="C2074">
        <v>9</v>
      </c>
      <c r="D2074">
        <v>2023</v>
      </c>
      <c r="E2074" s="49" t="s">
        <v>153</v>
      </c>
      <c r="F2074" s="49" t="s">
        <v>163</v>
      </c>
      <c r="G2074">
        <f>'Aug-Apr, 2023'!BC76+'Aug-Apr, 2023'!BD76</f>
        <v>44</v>
      </c>
      <c r="H2074">
        <f>'Aug-Apr, 2023'!BE76</f>
        <v>0</v>
      </c>
      <c r="I2074">
        <f>'Aug-Apr, 2023'!BF76</f>
        <v>20</v>
      </c>
      <c r="J2074">
        <f>G2074*Parameters!$B$2*Parameters!$B$5</f>
        <v>93.680399999999992</v>
      </c>
      <c r="K2074">
        <f>H2074*Parameters!$B$3*Parameters!$B$6</f>
        <v>0</v>
      </c>
      <c r="L2074">
        <f>I2074*Parameters!$B$4*Parameters!$B$7</f>
        <v>161.928</v>
      </c>
      <c r="M2074">
        <f t="shared" si="32"/>
        <v>255.60839999999999</v>
      </c>
      <c r="N2074" s="142">
        <f>'Aug-Apr, 2023'!BG76</f>
        <v>4400</v>
      </c>
      <c r="O2074" s="142">
        <f>'Aug-Apr, 2023'!BH76</f>
        <v>0</v>
      </c>
      <c r="P2074" s="142">
        <f>'Aug-Apr, 2023'!BI76</f>
        <v>0</v>
      </c>
      <c r="Q2074" s="142">
        <f>'Aug-Apr, 2023'!BJ76</f>
        <v>6000</v>
      </c>
    </row>
    <row r="2075" spans="1:17">
      <c r="A2075" t="s">
        <v>100</v>
      </c>
      <c r="B2075" t="s">
        <v>40</v>
      </c>
      <c r="C2075">
        <v>8</v>
      </c>
      <c r="D2075">
        <v>2023</v>
      </c>
      <c r="E2075" s="49" t="s">
        <v>153</v>
      </c>
      <c r="F2075" s="49" t="s">
        <v>163</v>
      </c>
      <c r="G2075">
        <f>'Aug-Apr, 2023'!BC77+'Aug-Apr, 2023'!BD77</f>
        <v>48</v>
      </c>
      <c r="H2075">
        <f>'Aug-Apr, 2023'!BE77</f>
        <v>0</v>
      </c>
      <c r="I2075">
        <f>'Aug-Apr, 2023'!BF77</f>
        <v>15</v>
      </c>
      <c r="J2075">
        <f>G2075*Parameters!$B$2*Parameters!$B$5</f>
        <v>102.19679999999998</v>
      </c>
      <c r="K2075">
        <f>H2075*Parameters!$B$3*Parameters!$B$6</f>
        <v>0</v>
      </c>
      <c r="L2075">
        <f>I2075*Parameters!$B$4*Parameters!$B$7</f>
        <v>121.44600000000001</v>
      </c>
      <c r="M2075">
        <f t="shared" si="32"/>
        <v>223.64279999999999</v>
      </c>
      <c r="N2075" s="142">
        <f>'Aug-Apr, 2023'!BG77</f>
        <v>4800</v>
      </c>
      <c r="O2075" s="142">
        <f>'Aug-Apr, 2023'!BH77</f>
        <v>0</v>
      </c>
      <c r="P2075" s="142">
        <f>'Aug-Apr, 2023'!BI77</f>
        <v>0</v>
      </c>
      <c r="Q2075" s="142">
        <f>'Aug-Apr, 2023'!BJ77</f>
        <v>4500</v>
      </c>
    </row>
    <row r="2076" spans="1:17">
      <c r="A2076" t="s">
        <v>101</v>
      </c>
      <c r="B2076" t="s">
        <v>38</v>
      </c>
      <c r="C2076">
        <v>5</v>
      </c>
      <c r="D2076">
        <v>2023</v>
      </c>
      <c r="E2076" s="49" t="s">
        <v>153</v>
      </c>
      <c r="F2076" s="49" t="s">
        <v>163</v>
      </c>
      <c r="G2076">
        <f>'Aug-Apr, 2023'!BC78+'Aug-Apr, 2023'!BD78</f>
        <v>38</v>
      </c>
      <c r="H2076">
        <f>'Aug-Apr, 2023'!BE78</f>
        <v>0</v>
      </c>
      <c r="I2076">
        <f>'Aug-Apr, 2023'!BF78</f>
        <v>10</v>
      </c>
      <c r="J2076">
        <f>G2076*Parameters!$B$2*Parameters!$B$5</f>
        <v>80.905799999999985</v>
      </c>
      <c r="K2076">
        <f>H2076*Parameters!$B$3*Parameters!$B$6</f>
        <v>0</v>
      </c>
      <c r="L2076">
        <f>I2076*Parameters!$B$4*Parameters!$B$7</f>
        <v>80.963999999999999</v>
      </c>
      <c r="M2076">
        <f t="shared" si="32"/>
        <v>161.8698</v>
      </c>
      <c r="N2076" s="142">
        <f>'Aug-Apr, 2023'!BG78</f>
        <v>3800</v>
      </c>
      <c r="O2076" s="142">
        <f>'Aug-Apr, 2023'!BH78</f>
        <v>0</v>
      </c>
      <c r="P2076" s="142">
        <f>'Aug-Apr, 2023'!BI78</f>
        <v>0</v>
      </c>
      <c r="Q2076" s="142">
        <f>'Aug-Apr, 2023'!BJ78</f>
        <v>3000</v>
      </c>
    </row>
    <row r="2077" spans="1:17">
      <c r="A2077" t="s">
        <v>102</v>
      </c>
      <c r="B2077" t="s">
        <v>17</v>
      </c>
      <c r="C2077">
        <v>4</v>
      </c>
      <c r="D2077">
        <v>2023</v>
      </c>
      <c r="E2077" s="49" t="s">
        <v>153</v>
      </c>
      <c r="F2077" s="49" t="s">
        <v>163</v>
      </c>
      <c r="G2077">
        <f>'Aug-Apr, 2023'!BC79+'Aug-Apr, 2023'!BD79</f>
        <v>52</v>
      </c>
      <c r="H2077">
        <f>'Aug-Apr, 2023'!BE79</f>
        <v>0</v>
      </c>
      <c r="I2077">
        <f>'Aug-Apr, 2023'!BF79</f>
        <v>16</v>
      </c>
      <c r="J2077">
        <f>G2077*Parameters!$B$2*Parameters!$B$5</f>
        <v>110.71319999999999</v>
      </c>
      <c r="K2077">
        <f>H2077*Parameters!$B$3*Parameters!$B$6</f>
        <v>0</v>
      </c>
      <c r="L2077">
        <f>I2077*Parameters!$B$4*Parameters!$B$7</f>
        <v>129.54240000000001</v>
      </c>
      <c r="M2077">
        <f t="shared" si="32"/>
        <v>240.25560000000002</v>
      </c>
      <c r="N2077" s="142">
        <f>'Aug-Apr, 2023'!BG79</f>
        <v>5200</v>
      </c>
      <c r="O2077" s="142">
        <f>'Aug-Apr, 2023'!BH79</f>
        <v>0</v>
      </c>
      <c r="P2077" s="142">
        <f>'Aug-Apr, 2023'!BI79</f>
        <v>0</v>
      </c>
      <c r="Q2077" s="142">
        <f>'Aug-Apr, 2023'!BJ79</f>
        <v>4800</v>
      </c>
    </row>
    <row r="2078" spans="1:17">
      <c r="A2078" t="s">
        <v>103</v>
      </c>
      <c r="B2078" t="s">
        <v>26</v>
      </c>
      <c r="C2078">
        <v>6</v>
      </c>
      <c r="D2078">
        <v>2023</v>
      </c>
      <c r="E2078" s="49" t="s">
        <v>153</v>
      </c>
      <c r="F2078" s="49" t="s">
        <v>163</v>
      </c>
      <c r="G2078">
        <f>'Aug-Apr, 2023'!BC80+'Aug-Apr, 2023'!BD80</f>
        <v>40</v>
      </c>
      <c r="H2078">
        <f>'Aug-Apr, 2023'!BE80</f>
        <v>0</v>
      </c>
      <c r="I2078">
        <f>'Aug-Apr, 2023'!BF80</f>
        <v>20</v>
      </c>
      <c r="J2078">
        <f>G2078*Parameters!$B$2*Parameters!$B$5</f>
        <v>85.163999999999987</v>
      </c>
      <c r="K2078">
        <f>H2078*Parameters!$B$3*Parameters!$B$6</f>
        <v>0</v>
      </c>
      <c r="L2078">
        <f>I2078*Parameters!$B$4*Parameters!$B$7</f>
        <v>161.928</v>
      </c>
      <c r="M2078">
        <f t="shared" si="32"/>
        <v>247.09199999999998</v>
      </c>
      <c r="N2078" s="142">
        <f>'Aug-Apr, 2023'!BG80</f>
        <v>4000</v>
      </c>
      <c r="O2078" s="142">
        <f>'Aug-Apr, 2023'!BH80</f>
        <v>0</v>
      </c>
      <c r="P2078" s="142">
        <f>'Aug-Apr, 2023'!BI80</f>
        <v>0</v>
      </c>
      <c r="Q2078" s="142">
        <f>'Aug-Apr, 2023'!BJ80</f>
        <v>6000</v>
      </c>
    </row>
    <row r="2079" spans="1:17">
      <c r="A2079" t="s">
        <v>104</v>
      </c>
      <c r="B2079" t="s">
        <v>26</v>
      </c>
      <c r="C2079">
        <v>7</v>
      </c>
      <c r="D2079">
        <v>2023</v>
      </c>
      <c r="E2079" s="49" t="s">
        <v>153</v>
      </c>
      <c r="F2079" s="49" t="s">
        <v>163</v>
      </c>
      <c r="G2079">
        <f>'Aug-Apr, 2023'!BC81+'Aug-Apr, 2023'!BD81</f>
        <v>42</v>
      </c>
      <c r="H2079">
        <f>'Aug-Apr, 2023'!BE81</f>
        <v>0</v>
      </c>
      <c r="I2079">
        <f>'Aug-Apr, 2023'!BF81</f>
        <v>15</v>
      </c>
      <c r="J2079">
        <f>G2079*Parameters!$B$2*Parameters!$B$5</f>
        <v>89.422199999999975</v>
      </c>
      <c r="K2079">
        <f>H2079*Parameters!$B$3*Parameters!$B$6</f>
        <v>0</v>
      </c>
      <c r="L2079">
        <f>I2079*Parameters!$B$4*Parameters!$B$7</f>
        <v>121.44600000000001</v>
      </c>
      <c r="M2079">
        <f t="shared" si="32"/>
        <v>210.8682</v>
      </c>
      <c r="N2079" s="142">
        <f>'Aug-Apr, 2023'!BG81</f>
        <v>4200</v>
      </c>
      <c r="O2079" s="142">
        <f>'Aug-Apr, 2023'!BH81</f>
        <v>0</v>
      </c>
      <c r="P2079" s="142">
        <f>'Aug-Apr, 2023'!BI81</f>
        <v>0</v>
      </c>
      <c r="Q2079" s="142">
        <f>'Aug-Apr, 2023'!BJ81</f>
        <v>4500</v>
      </c>
    </row>
    <row r="2080" spans="1:17">
      <c r="A2080" t="s">
        <v>105</v>
      </c>
      <c r="B2080" t="s">
        <v>21</v>
      </c>
      <c r="C2080">
        <v>5</v>
      </c>
      <c r="D2080">
        <v>2023</v>
      </c>
      <c r="E2080" s="49" t="s">
        <v>153</v>
      </c>
      <c r="F2080" s="49" t="s">
        <v>163</v>
      </c>
      <c r="G2080">
        <f>'Aug-Apr, 2023'!BC82+'Aug-Apr, 2023'!BD82</f>
        <v>38</v>
      </c>
      <c r="H2080">
        <f>'Aug-Apr, 2023'!BE82</f>
        <v>0</v>
      </c>
      <c r="I2080">
        <f>'Aug-Apr, 2023'!BF82</f>
        <v>18</v>
      </c>
      <c r="J2080">
        <f>G2080*Parameters!$B$2*Parameters!$B$5</f>
        <v>80.905799999999985</v>
      </c>
      <c r="K2080">
        <f>H2080*Parameters!$B$3*Parameters!$B$6</f>
        <v>0</v>
      </c>
      <c r="L2080">
        <f>I2080*Parameters!$B$4*Parameters!$B$7</f>
        <v>145.73520000000002</v>
      </c>
      <c r="M2080">
        <f t="shared" si="32"/>
        <v>226.64100000000002</v>
      </c>
      <c r="N2080" s="142">
        <f>'Aug-Apr, 2023'!BG82</f>
        <v>3800</v>
      </c>
      <c r="O2080" s="142">
        <f>'Aug-Apr, 2023'!BH82</f>
        <v>0</v>
      </c>
      <c r="P2080" s="142">
        <f>'Aug-Apr, 2023'!BI82</f>
        <v>0</v>
      </c>
      <c r="Q2080" s="142">
        <f>'Aug-Apr, 2023'!BJ82</f>
        <v>5400</v>
      </c>
    </row>
    <row r="2081" spans="1:17">
      <c r="A2081" t="s">
        <v>106</v>
      </c>
      <c r="B2081" t="s">
        <v>24</v>
      </c>
      <c r="C2081">
        <v>6</v>
      </c>
      <c r="D2081">
        <v>2023</v>
      </c>
      <c r="E2081" s="49" t="s">
        <v>153</v>
      </c>
      <c r="F2081" s="49" t="s">
        <v>163</v>
      </c>
      <c r="G2081">
        <f>'Aug-Apr, 2023'!BC83+'Aug-Apr, 2023'!BD83</f>
        <v>65</v>
      </c>
      <c r="H2081">
        <f>'Aug-Apr, 2023'!BE83</f>
        <v>0</v>
      </c>
      <c r="I2081">
        <f>'Aug-Apr, 2023'!BF83</f>
        <v>8</v>
      </c>
      <c r="J2081">
        <f>G2081*Parameters!$B$2*Parameters!$B$5</f>
        <v>138.39149999999998</v>
      </c>
      <c r="K2081">
        <f>H2081*Parameters!$B$3*Parameters!$B$6</f>
        <v>0</v>
      </c>
      <c r="L2081">
        <f>I2081*Parameters!$B$4*Parameters!$B$7</f>
        <v>64.771200000000007</v>
      </c>
      <c r="M2081">
        <f t="shared" si="32"/>
        <v>203.16269999999997</v>
      </c>
      <c r="N2081" s="142">
        <f>'Aug-Apr, 2023'!BG83</f>
        <v>6500</v>
      </c>
      <c r="O2081" s="142">
        <f>'Aug-Apr, 2023'!BH83</f>
        <v>0</v>
      </c>
      <c r="P2081" s="142">
        <f>'Aug-Apr, 2023'!BI83</f>
        <v>0</v>
      </c>
      <c r="Q2081" s="142">
        <f>'Aug-Apr, 2023'!BJ83</f>
        <v>2400</v>
      </c>
    </row>
    <row r="2082" spans="1:17">
      <c r="A2082" t="s">
        <v>107</v>
      </c>
      <c r="B2082" t="s">
        <v>21</v>
      </c>
      <c r="C2082">
        <v>4</v>
      </c>
      <c r="D2082">
        <v>2023</v>
      </c>
      <c r="E2082" s="49" t="s">
        <v>153</v>
      </c>
      <c r="F2082" s="49" t="s">
        <v>163</v>
      </c>
      <c r="G2082">
        <f>'Aug-Apr, 2023'!BC84+'Aug-Apr, 2023'!BD84</f>
        <v>50</v>
      </c>
      <c r="H2082">
        <f>'Aug-Apr, 2023'!BE84</f>
        <v>0</v>
      </c>
      <c r="I2082">
        <f>'Aug-Apr, 2023'!BF84</f>
        <v>10</v>
      </c>
      <c r="J2082">
        <f>G2082*Parameters!$B$2*Parameters!$B$5</f>
        <v>106.45499999999998</v>
      </c>
      <c r="K2082">
        <f>H2082*Parameters!$B$3*Parameters!$B$6</f>
        <v>0</v>
      </c>
      <c r="L2082">
        <f>I2082*Parameters!$B$4*Parameters!$B$7</f>
        <v>80.963999999999999</v>
      </c>
      <c r="M2082">
        <f t="shared" si="32"/>
        <v>187.41899999999998</v>
      </c>
      <c r="N2082" s="142">
        <f>'Aug-Apr, 2023'!BG84</f>
        <v>5000</v>
      </c>
      <c r="O2082" s="142">
        <f>'Aug-Apr, 2023'!BH84</f>
        <v>0</v>
      </c>
      <c r="P2082" s="142">
        <f>'Aug-Apr, 2023'!BI84</f>
        <v>0</v>
      </c>
      <c r="Q2082" s="142">
        <f>'Aug-Apr, 2023'!BJ84</f>
        <v>3000</v>
      </c>
    </row>
    <row r="2083" spans="1:17">
      <c r="A2083" t="s">
        <v>108</v>
      </c>
      <c r="B2083" t="s">
        <v>24</v>
      </c>
      <c r="C2083">
        <v>5</v>
      </c>
      <c r="D2083">
        <v>2023</v>
      </c>
      <c r="E2083" s="49" t="s">
        <v>153</v>
      </c>
      <c r="F2083" s="49" t="s">
        <v>163</v>
      </c>
      <c r="G2083">
        <f>'Aug-Apr, 2023'!BC85+'Aug-Apr, 2023'!BD85</f>
        <v>52</v>
      </c>
      <c r="H2083">
        <f>'Aug-Apr, 2023'!BE85</f>
        <v>0</v>
      </c>
      <c r="I2083">
        <f>'Aug-Apr, 2023'!BF85</f>
        <v>13</v>
      </c>
      <c r="J2083">
        <f>G2083*Parameters!$B$2*Parameters!$B$5</f>
        <v>110.71319999999999</v>
      </c>
      <c r="K2083">
        <f>H2083*Parameters!$B$3*Parameters!$B$6</f>
        <v>0</v>
      </c>
      <c r="L2083">
        <f>I2083*Parameters!$B$4*Parameters!$B$7</f>
        <v>105.25320000000001</v>
      </c>
      <c r="M2083">
        <f t="shared" si="32"/>
        <v>215.96639999999999</v>
      </c>
      <c r="N2083" s="142">
        <f>'Aug-Apr, 2023'!BG85</f>
        <v>5200</v>
      </c>
      <c r="O2083" s="142">
        <f>'Aug-Apr, 2023'!BH85</f>
        <v>0</v>
      </c>
      <c r="P2083" s="142">
        <f>'Aug-Apr, 2023'!BI85</f>
        <v>0</v>
      </c>
      <c r="Q2083" s="142">
        <f>'Aug-Apr, 2023'!BJ85</f>
        <v>3900</v>
      </c>
    </row>
    <row r="2084" spans="1:17">
      <c r="A2084" t="s">
        <v>109</v>
      </c>
      <c r="B2084" t="s">
        <v>32</v>
      </c>
      <c r="C2084">
        <v>6</v>
      </c>
      <c r="D2084">
        <v>2023</v>
      </c>
      <c r="E2084" s="49" t="s">
        <v>153</v>
      </c>
      <c r="F2084" s="49" t="s">
        <v>163</v>
      </c>
      <c r="G2084">
        <f>'Aug-Apr, 2023'!BC86+'Aug-Apr, 2023'!BD86</f>
        <v>45</v>
      </c>
      <c r="H2084">
        <f>'Aug-Apr, 2023'!BE86</f>
        <v>0</v>
      </c>
      <c r="I2084">
        <f>'Aug-Apr, 2023'!BF86</f>
        <v>20</v>
      </c>
      <c r="J2084">
        <f>G2084*Parameters!$B$2*Parameters!$B$5</f>
        <v>95.809499999999986</v>
      </c>
      <c r="K2084">
        <f>H2084*Parameters!$B$3*Parameters!$B$6</f>
        <v>0</v>
      </c>
      <c r="L2084">
        <f>I2084*Parameters!$B$4*Parameters!$B$7</f>
        <v>161.928</v>
      </c>
      <c r="M2084">
        <f t="shared" si="32"/>
        <v>257.73749999999995</v>
      </c>
      <c r="N2084" s="142">
        <f>'Aug-Apr, 2023'!BG86</f>
        <v>4500</v>
      </c>
      <c r="O2084" s="142">
        <f>'Aug-Apr, 2023'!BH86</f>
        <v>0</v>
      </c>
      <c r="P2084" s="142">
        <f>'Aug-Apr, 2023'!BI86</f>
        <v>0</v>
      </c>
      <c r="Q2084" s="142">
        <f>'Aug-Apr, 2023'!BJ86</f>
        <v>6000</v>
      </c>
    </row>
    <row r="2085" spans="1:17">
      <c r="A2085" t="s">
        <v>110</v>
      </c>
      <c r="B2085" t="s">
        <v>21</v>
      </c>
      <c r="C2085">
        <v>3</v>
      </c>
      <c r="D2085">
        <v>2023</v>
      </c>
      <c r="E2085" s="49" t="s">
        <v>153</v>
      </c>
      <c r="F2085" s="49" t="s">
        <v>163</v>
      </c>
      <c r="G2085">
        <f>'Aug-Apr, 2023'!BC87+'Aug-Apr, 2023'!BD87</f>
        <v>48</v>
      </c>
      <c r="H2085">
        <f>'Aug-Apr, 2023'!BE87</f>
        <v>0</v>
      </c>
      <c r="I2085">
        <f>'Aug-Apr, 2023'!BF87</f>
        <v>16</v>
      </c>
      <c r="J2085">
        <f>G2085*Parameters!$B$2*Parameters!$B$5</f>
        <v>102.19679999999998</v>
      </c>
      <c r="K2085">
        <f>H2085*Parameters!$B$3*Parameters!$B$6</f>
        <v>0</v>
      </c>
      <c r="L2085">
        <f>I2085*Parameters!$B$4*Parameters!$B$7</f>
        <v>129.54240000000001</v>
      </c>
      <c r="M2085">
        <f t="shared" si="32"/>
        <v>231.73919999999998</v>
      </c>
      <c r="N2085" s="142">
        <f>'Aug-Apr, 2023'!BG87</f>
        <v>4800</v>
      </c>
      <c r="O2085" s="142">
        <f>'Aug-Apr, 2023'!BH87</f>
        <v>0</v>
      </c>
      <c r="P2085" s="142">
        <f>'Aug-Apr, 2023'!BI87</f>
        <v>0</v>
      </c>
      <c r="Q2085" s="142">
        <f>'Aug-Apr, 2023'!BJ87</f>
        <v>4800</v>
      </c>
    </row>
    <row r="2086" spans="1:17">
      <c r="A2086" t="s">
        <v>111</v>
      </c>
      <c r="B2086" t="s">
        <v>26</v>
      </c>
      <c r="C2086">
        <v>6</v>
      </c>
      <c r="D2086">
        <v>2023</v>
      </c>
      <c r="E2086" s="49" t="s">
        <v>153</v>
      </c>
      <c r="F2086" s="49" t="s">
        <v>163</v>
      </c>
      <c r="G2086">
        <f>'Aug-Apr, 2023'!BC88+'Aug-Apr, 2023'!BD88</f>
        <v>45</v>
      </c>
      <c r="H2086">
        <f>'Aug-Apr, 2023'!BE88</f>
        <v>0</v>
      </c>
      <c r="I2086">
        <f>'Aug-Apr, 2023'!BF88</f>
        <v>17</v>
      </c>
      <c r="J2086">
        <f>G2086*Parameters!$B$2*Parameters!$B$5</f>
        <v>95.809499999999986</v>
      </c>
      <c r="K2086">
        <f>H2086*Parameters!$B$3*Parameters!$B$6</f>
        <v>0</v>
      </c>
      <c r="L2086">
        <f>I2086*Parameters!$B$4*Parameters!$B$7</f>
        <v>137.63880000000003</v>
      </c>
      <c r="M2086">
        <f t="shared" si="32"/>
        <v>233.44830000000002</v>
      </c>
      <c r="N2086" s="142">
        <f>'Aug-Apr, 2023'!BG88</f>
        <v>4500</v>
      </c>
      <c r="O2086" s="142">
        <f>'Aug-Apr, 2023'!BH88</f>
        <v>0</v>
      </c>
      <c r="P2086" s="142">
        <f>'Aug-Apr, 2023'!BI88</f>
        <v>0</v>
      </c>
      <c r="Q2086" s="142">
        <f>'Aug-Apr, 2023'!BJ88</f>
        <v>5100</v>
      </c>
    </row>
    <row r="2087" spans="1:17">
      <c r="A2087" t="s">
        <v>112</v>
      </c>
      <c r="B2087" t="s">
        <v>19</v>
      </c>
      <c r="C2087">
        <v>7</v>
      </c>
      <c r="D2087">
        <v>2023</v>
      </c>
      <c r="E2087" s="49" t="s">
        <v>153</v>
      </c>
      <c r="F2087" s="49" t="s">
        <v>163</v>
      </c>
      <c r="G2087">
        <f>'Aug-Apr, 2023'!BC89+'Aug-Apr, 2023'!BD89</f>
        <v>38</v>
      </c>
      <c r="H2087">
        <f>'Aug-Apr, 2023'!BE89</f>
        <v>0</v>
      </c>
      <c r="I2087">
        <f>'Aug-Apr, 2023'!BF89</f>
        <v>20</v>
      </c>
      <c r="J2087">
        <f>G2087*Parameters!$B$2*Parameters!$B$5</f>
        <v>80.905799999999985</v>
      </c>
      <c r="K2087">
        <f>H2087*Parameters!$B$3*Parameters!$B$6</f>
        <v>0</v>
      </c>
      <c r="L2087">
        <f>I2087*Parameters!$B$4*Parameters!$B$7</f>
        <v>161.928</v>
      </c>
      <c r="M2087">
        <f t="shared" si="32"/>
        <v>242.8338</v>
      </c>
      <c r="N2087" s="142">
        <f>'Aug-Apr, 2023'!BG89</f>
        <v>0</v>
      </c>
      <c r="O2087" s="142">
        <f>'Aug-Apr, 2023'!BH89</f>
        <v>3800</v>
      </c>
      <c r="P2087" s="142">
        <f>'Aug-Apr, 2023'!BI89</f>
        <v>0</v>
      </c>
      <c r="Q2087" s="142">
        <f>'Aug-Apr, 2023'!BJ89</f>
        <v>6000</v>
      </c>
    </row>
    <row r="2088" spans="1:17">
      <c r="A2088" t="s">
        <v>113</v>
      </c>
      <c r="B2088" t="s">
        <v>26</v>
      </c>
      <c r="C2088">
        <v>4</v>
      </c>
      <c r="D2088">
        <v>2023</v>
      </c>
      <c r="E2088" s="49" t="s">
        <v>153</v>
      </c>
      <c r="F2088" s="49" t="s">
        <v>163</v>
      </c>
      <c r="G2088">
        <f>'Aug-Apr, 2023'!BC90+'Aug-Apr, 2023'!BD90</f>
        <v>46</v>
      </c>
      <c r="H2088">
        <f>'Aug-Apr, 2023'!BE90</f>
        <v>0</v>
      </c>
      <c r="I2088">
        <f>'Aug-Apr, 2023'!BF90</f>
        <v>18</v>
      </c>
      <c r="J2088">
        <f>G2088*Parameters!$B$2*Parameters!$B$5</f>
        <v>97.938599999999994</v>
      </c>
      <c r="K2088">
        <f>H2088*Parameters!$B$3*Parameters!$B$6</f>
        <v>0</v>
      </c>
      <c r="L2088">
        <f>I2088*Parameters!$B$4*Parameters!$B$7</f>
        <v>145.73520000000002</v>
      </c>
      <c r="M2088">
        <f t="shared" si="32"/>
        <v>243.67380000000003</v>
      </c>
      <c r="N2088" s="142">
        <f>'Aug-Apr, 2023'!BG90</f>
        <v>4600</v>
      </c>
      <c r="O2088" s="142">
        <f>'Aug-Apr, 2023'!BH90</f>
        <v>0</v>
      </c>
      <c r="P2088" s="142">
        <f>'Aug-Apr, 2023'!BI90</f>
        <v>0</v>
      </c>
      <c r="Q2088" s="142">
        <f>'Aug-Apr, 2023'!BJ90</f>
        <v>5400</v>
      </c>
    </row>
    <row r="2089" spans="1:17">
      <c r="A2089" t="s">
        <v>114</v>
      </c>
      <c r="B2089" t="s">
        <v>65</v>
      </c>
      <c r="C2089">
        <v>8</v>
      </c>
      <c r="D2089">
        <v>2023</v>
      </c>
      <c r="E2089" s="49" t="s">
        <v>153</v>
      </c>
      <c r="F2089" s="49" t="s">
        <v>163</v>
      </c>
      <c r="G2089">
        <f>'Aug-Apr, 2023'!BC91+'Aug-Apr, 2023'!BD91</f>
        <v>55</v>
      </c>
      <c r="H2089">
        <f>'Aug-Apr, 2023'!BE91</f>
        <v>0</v>
      </c>
      <c r="I2089">
        <f>'Aug-Apr, 2023'!BF91</f>
        <v>8</v>
      </c>
      <c r="J2089">
        <f>G2089*Parameters!$B$2*Parameters!$B$5</f>
        <v>117.10049999999998</v>
      </c>
      <c r="K2089">
        <f>H2089*Parameters!$B$3*Parameters!$B$6</f>
        <v>0</v>
      </c>
      <c r="L2089">
        <f>I2089*Parameters!$B$4*Parameters!$B$7</f>
        <v>64.771200000000007</v>
      </c>
      <c r="M2089">
        <f t="shared" si="32"/>
        <v>181.87169999999998</v>
      </c>
      <c r="N2089" s="142">
        <f>'Aug-Apr, 2023'!BG91</f>
        <v>5500</v>
      </c>
      <c r="O2089" s="142">
        <f>'Aug-Apr, 2023'!BH91</f>
        <v>0</v>
      </c>
      <c r="P2089" s="142">
        <f>'Aug-Apr, 2023'!BI91</f>
        <v>0</v>
      </c>
      <c r="Q2089" s="142">
        <f>'Aug-Apr, 2023'!BJ91</f>
        <v>2400</v>
      </c>
    </row>
    <row r="2090" spans="1:17">
      <c r="A2090" t="s">
        <v>115</v>
      </c>
      <c r="B2090" t="s">
        <v>19</v>
      </c>
      <c r="C2090">
        <v>8</v>
      </c>
      <c r="D2090">
        <v>2023</v>
      </c>
      <c r="E2090" s="49" t="s">
        <v>153</v>
      </c>
      <c r="F2090" s="49" t="s">
        <v>163</v>
      </c>
      <c r="G2090">
        <f>'Aug-Apr, 2023'!BC92+'Aug-Apr, 2023'!BD92</f>
        <v>50</v>
      </c>
      <c r="H2090">
        <f>'Aug-Apr, 2023'!BE92</f>
        <v>0</v>
      </c>
      <c r="I2090">
        <f>'Aug-Apr, 2023'!BF92</f>
        <v>18</v>
      </c>
      <c r="J2090">
        <f>G2090*Parameters!$B$2*Parameters!$B$5</f>
        <v>106.45499999999998</v>
      </c>
      <c r="K2090">
        <f>H2090*Parameters!$B$3*Parameters!$B$6</f>
        <v>0</v>
      </c>
      <c r="L2090">
        <f>I2090*Parameters!$B$4*Parameters!$B$7</f>
        <v>145.73520000000002</v>
      </c>
      <c r="M2090">
        <f t="shared" si="32"/>
        <v>252.1902</v>
      </c>
      <c r="N2090" s="142">
        <f>'Aug-Apr, 2023'!BG92</f>
        <v>5000</v>
      </c>
      <c r="O2090" s="142">
        <f>'Aug-Apr, 2023'!BH92</f>
        <v>0</v>
      </c>
      <c r="P2090" s="142">
        <f>'Aug-Apr, 2023'!BI92</f>
        <v>0</v>
      </c>
      <c r="Q2090" s="142">
        <f>'Aug-Apr, 2023'!BJ92</f>
        <v>5400</v>
      </c>
    </row>
    <row r="2091" spans="1:17">
      <c r="A2091" t="s">
        <v>116</v>
      </c>
      <c r="B2091" t="s">
        <v>21</v>
      </c>
      <c r="C2091">
        <v>4</v>
      </c>
      <c r="D2091">
        <v>2023</v>
      </c>
      <c r="E2091" s="49" t="s">
        <v>153</v>
      </c>
      <c r="F2091" s="49" t="s">
        <v>163</v>
      </c>
      <c r="G2091">
        <f>'Aug-Apr, 2023'!BC93+'Aug-Apr, 2023'!BD93</f>
        <v>36</v>
      </c>
      <c r="H2091">
        <f>'Aug-Apr, 2023'!BE93</f>
        <v>0</v>
      </c>
      <c r="I2091">
        <f>'Aug-Apr, 2023'!BF93</f>
        <v>12</v>
      </c>
      <c r="J2091">
        <f>G2091*Parameters!$B$2*Parameters!$B$5</f>
        <v>76.647599999999997</v>
      </c>
      <c r="K2091">
        <f>H2091*Parameters!$B$3*Parameters!$B$6</f>
        <v>0</v>
      </c>
      <c r="L2091">
        <f>I2091*Parameters!$B$4*Parameters!$B$7</f>
        <v>97.156800000000018</v>
      </c>
      <c r="M2091">
        <f t="shared" si="32"/>
        <v>173.80440000000002</v>
      </c>
      <c r="N2091" s="142">
        <f>'Aug-Apr, 2023'!BG93</f>
        <v>3600</v>
      </c>
      <c r="O2091" s="142">
        <f>'Aug-Apr, 2023'!BH93</f>
        <v>0</v>
      </c>
      <c r="P2091" s="142">
        <f>'Aug-Apr, 2023'!BI93</f>
        <v>0</v>
      </c>
      <c r="Q2091" s="142">
        <f>'Aug-Apr, 2023'!BJ93</f>
        <v>3600</v>
      </c>
    </row>
    <row r="2092" spans="1:17">
      <c r="A2092" t="s">
        <v>117</v>
      </c>
      <c r="B2092" t="s">
        <v>17</v>
      </c>
      <c r="C2092">
        <v>9</v>
      </c>
      <c r="D2092">
        <v>2023</v>
      </c>
      <c r="E2092" s="49" t="s">
        <v>153</v>
      </c>
      <c r="F2092" s="49" t="s">
        <v>163</v>
      </c>
      <c r="G2092">
        <f>'Aug-Apr, 2023'!BC94+'Aug-Apr, 2023'!BD94</f>
        <v>60</v>
      </c>
      <c r="H2092">
        <f>'Aug-Apr, 2023'!BE94</f>
        <v>0</v>
      </c>
      <c r="I2092">
        <f>'Aug-Apr, 2023'!BF94</f>
        <v>6</v>
      </c>
      <c r="J2092">
        <f>G2092*Parameters!$B$2*Parameters!$B$5</f>
        <v>127.74599999999998</v>
      </c>
      <c r="K2092">
        <f>H2092*Parameters!$B$3*Parameters!$B$6</f>
        <v>0</v>
      </c>
      <c r="L2092">
        <f>I2092*Parameters!$B$4*Parameters!$B$7</f>
        <v>48.578400000000009</v>
      </c>
      <c r="M2092">
        <f t="shared" si="32"/>
        <v>176.3244</v>
      </c>
      <c r="N2092" s="142">
        <f>'Aug-Apr, 2023'!BG94</f>
        <v>6000</v>
      </c>
      <c r="O2092" s="142">
        <f>'Aug-Apr, 2023'!BH94</f>
        <v>0</v>
      </c>
      <c r="P2092" s="142">
        <f>'Aug-Apr, 2023'!BI94</f>
        <v>0</v>
      </c>
      <c r="Q2092" s="142">
        <f>'Aug-Apr, 2023'!BJ94</f>
        <v>1800</v>
      </c>
    </row>
    <row r="2093" spans="1:17">
      <c r="A2093" t="s">
        <v>118</v>
      </c>
      <c r="B2093" t="s">
        <v>19</v>
      </c>
      <c r="C2093">
        <v>4</v>
      </c>
      <c r="D2093">
        <v>2023</v>
      </c>
      <c r="E2093" s="49" t="s">
        <v>153</v>
      </c>
      <c r="F2093" s="49" t="s">
        <v>163</v>
      </c>
      <c r="G2093">
        <f>'Aug-Apr, 2023'!BC95+'Aug-Apr, 2023'!BD95</f>
        <v>32</v>
      </c>
      <c r="H2093">
        <f>'Aug-Apr, 2023'!BE95</f>
        <v>0</v>
      </c>
      <c r="I2093">
        <f>'Aug-Apr, 2023'!BF95</f>
        <v>12</v>
      </c>
      <c r="J2093">
        <f>G2093*Parameters!$B$2*Parameters!$B$5</f>
        <v>68.131199999999993</v>
      </c>
      <c r="K2093">
        <f>H2093*Parameters!$B$3*Parameters!$B$6</f>
        <v>0</v>
      </c>
      <c r="L2093">
        <f>I2093*Parameters!$B$4*Parameters!$B$7</f>
        <v>97.156800000000018</v>
      </c>
      <c r="M2093">
        <f t="shared" si="32"/>
        <v>165.28800000000001</v>
      </c>
      <c r="N2093" s="142">
        <f>'Aug-Apr, 2023'!BG95</f>
        <v>3200</v>
      </c>
      <c r="O2093" s="142">
        <f>'Aug-Apr, 2023'!BH95</f>
        <v>0</v>
      </c>
      <c r="P2093" s="142">
        <f>'Aug-Apr, 2023'!BI95</f>
        <v>0</v>
      </c>
      <c r="Q2093" s="142">
        <f>'Aug-Apr, 2023'!BJ95</f>
        <v>3600</v>
      </c>
    </row>
    <row r="2094" spans="1:17">
      <c r="A2094" t="s">
        <v>119</v>
      </c>
      <c r="B2094" t="s">
        <v>40</v>
      </c>
      <c r="C2094">
        <v>6</v>
      </c>
      <c r="D2094">
        <v>2023</v>
      </c>
      <c r="E2094" s="49" t="s">
        <v>153</v>
      </c>
      <c r="F2094" s="49" t="s">
        <v>163</v>
      </c>
      <c r="G2094">
        <f>'Aug-Apr, 2023'!BC96+'Aug-Apr, 2023'!BD96</f>
        <v>42</v>
      </c>
      <c r="H2094">
        <f>'Aug-Apr, 2023'!BE96</f>
        <v>0</v>
      </c>
      <c r="I2094">
        <f>'Aug-Apr, 2023'!BF96</f>
        <v>9</v>
      </c>
      <c r="J2094">
        <f>G2094*Parameters!$B$2*Parameters!$B$5</f>
        <v>89.422199999999975</v>
      </c>
      <c r="K2094">
        <f>H2094*Parameters!$B$3*Parameters!$B$6</f>
        <v>0</v>
      </c>
      <c r="L2094">
        <f>I2094*Parameters!$B$4*Parameters!$B$7</f>
        <v>72.86760000000001</v>
      </c>
      <c r="M2094">
        <f t="shared" si="32"/>
        <v>162.28979999999999</v>
      </c>
      <c r="N2094" s="142">
        <f>'Aug-Apr, 2023'!BG96</f>
        <v>0</v>
      </c>
      <c r="O2094" s="142">
        <f>'Aug-Apr, 2023'!BH96</f>
        <v>4200</v>
      </c>
      <c r="P2094" s="142">
        <f>'Aug-Apr, 2023'!BI96</f>
        <v>0</v>
      </c>
      <c r="Q2094" s="142">
        <f>'Aug-Apr, 2023'!BJ96</f>
        <v>2700</v>
      </c>
    </row>
    <row r="2095" spans="1:17">
      <c r="A2095" t="s">
        <v>120</v>
      </c>
      <c r="B2095" t="s">
        <v>32</v>
      </c>
      <c r="C2095">
        <v>8</v>
      </c>
      <c r="D2095">
        <v>2023</v>
      </c>
      <c r="E2095" s="49" t="s">
        <v>153</v>
      </c>
      <c r="F2095" s="49" t="s">
        <v>163</v>
      </c>
      <c r="G2095">
        <f>'Aug-Apr, 2023'!BC97+'Aug-Apr, 2023'!BD97</f>
        <v>58</v>
      </c>
      <c r="H2095">
        <f>'Aug-Apr, 2023'!BE97</f>
        <v>0</v>
      </c>
      <c r="I2095">
        <f>'Aug-Apr, 2023'!BF97</f>
        <v>2</v>
      </c>
      <c r="J2095">
        <f>G2095*Parameters!$B$2*Parameters!$B$5</f>
        <v>123.48779999999998</v>
      </c>
      <c r="K2095">
        <f>H2095*Parameters!$B$3*Parameters!$B$6</f>
        <v>0</v>
      </c>
      <c r="L2095">
        <f>I2095*Parameters!$B$4*Parameters!$B$7</f>
        <v>16.192800000000002</v>
      </c>
      <c r="M2095">
        <f t="shared" si="32"/>
        <v>139.68059999999997</v>
      </c>
      <c r="N2095" s="142">
        <f>'Aug-Apr, 2023'!BG97</f>
        <v>5800</v>
      </c>
      <c r="O2095" s="142">
        <f>'Aug-Apr, 2023'!BH97</f>
        <v>0</v>
      </c>
      <c r="P2095" s="142">
        <f>'Aug-Apr, 2023'!BI97</f>
        <v>0</v>
      </c>
      <c r="Q2095" s="142">
        <f>'Aug-Apr, 2023'!BJ97</f>
        <v>600</v>
      </c>
    </row>
    <row r="2096" spans="1:17">
      <c r="A2096" t="s">
        <v>121</v>
      </c>
      <c r="B2096" t="s">
        <v>24</v>
      </c>
      <c r="C2096">
        <v>5</v>
      </c>
      <c r="D2096">
        <v>2023</v>
      </c>
      <c r="E2096" s="49" t="s">
        <v>153</v>
      </c>
      <c r="F2096" s="49" t="s">
        <v>163</v>
      </c>
      <c r="G2096">
        <f>'Aug-Apr, 2023'!BC98+'Aug-Apr, 2023'!BD98</f>
        <v>51</v>
      </c>
      <c r="H2096">
        <f>'Aug-Apr, 2023'!BE98</f>
        <v>0</v>
      </c>
      <c r="I2096">
        <f>'Aug-Apr, 2023'!BF98</f>
        <v>8</v>
      </c>
      <c r="J2096">
        <f>G2096*Parameters!$B$2*Parameters!$B$5</f>
        <v>108.58409999999999</v>
      </c>
      <c r="K2096">
        <f>H2096*Parameters!$B$3*Parameters!$B$6</f>
        <v>0</v>
      </c>
      <c r="L2096">
        <f>I2096*Parameters!$B$4*Parameters!$B$7</f>
        <v>64.771200000000007</v>
      </c>
      <c r="M2096">
        <f t="shared" si="32"/>
        <v>173.3553</v>
      </c>
      <c r="N2096" s="142">
        <f>'Aug-Apr, 2023'!BG98</f>
        <v>5100</v>
      </c>
      <c r="O2096" s="142">
        <f>'Aug-Apr, 2023'!BH98</f>
        <v>0</v>
      </c>
      <c r="P2096" s="142">
        <f>'Aug-Apr, 2023'!BI98</f>
        <v>0</v>
      </c>
      <c r="Q2096" s="142">
        <f>'Aug-Apr, 2023'!BJ98</f>
        <v>2400</v>
      </c>
    </row>
    <row r="2097" spans="1:17">
      <c r="A2097" t="s">
        <v>122</v>
      </c>
      <c r="B2097" t="s">
        <v>26</v>
      </c>
      <c r="C2097">
        <v>6</v>
      </c>
      <c r="D2097">
        <v>2023</v>
      </c>
      <c r="E2097" s="49" t="s">
        <v>153</v>
      </c>
      <c r="F2097" s="49" t="s">
        <v>163</v>
      </c>
      <c r="G2097">
        <f>'Aug-Apr, 2023'!BC99+'Aug-Apr, 2023'!BD99</f>
        <v>38</v>
      </c>
      <c r="H2097">
        <f>'Aug-Apr, 2023'!BE99</f>
        <v>0</v>
      </c>
      <c r="I2097">
        <f>'Aug-Apr, 2023'!BF99</f>
        <v>11</v>
      </c>
      <c r="J2097">
        <f>G2097*Parameters!$B$2*Parameters!$B$5</f>
        <v>80.905799999999985</v>
      </c>
      <c r="K2097">
        <f>H2097*Parameters!$B$3*Parameters!$B$6</f>
        <v>0</v>
      </c>
      <c r="L2097">
        <f>I2097*Parameters!$B$4*Parameters!$B$7</f>
        <v>89.060400000000016</v>
      </c>
      <c r="M2097">
        <f t="shared" si="32"/>
        <v>169.96620000000001</v>
      </c>
      <c r="N2097" s="142">
        <f>'Aug-Apr, 2023'!BG99</f>
        <v>3800</v>
      </c>
      <c r="O2097" s="142">
        <f>'Aug-Apr, 2023'!BH99</f>
        <v>0</v>
      </c>
      <c r="P2097" s="142">
        <f>'Aug-Apr, 2023'!BI99</f>
        <v>0</v>
      </c>
      <c r="Q2097" s="142">
        <f>'Aug-Apr, 2023'!BJ99</f>
        <v>3300</v>
      </c>
    </row>
    <row r="2098" spans="1:17">
      <c r="A2098" t="s">
        <v>123</v>
      </c>
      <c r="B2098" t="s">
        <v>19</v>
      </c>
      <c r="C2098">
        <v>8</v>
      </c>
      <c r="D2098">
        <v>2023</v>
      </c>
      <c r="E2098" s="49" t="s">
        <v>153</v>
      </c>
      <c r="F2098" s="49" t="s">
        <v>163</v>
      </c>
      <c r="G2098">
        <f>'Aug-Apr, 2023'!BC100+'Aug-Apr, 2023'!BD100</f>
        <v>45</v>
      </c>
      <c r="H2098">
        <f>'Aug-Apr, 2023'!BE100</f>
        <v>0</v>
      </c>
      <c r="I2098">
        <f>'Aug-Apr, 2023'!BF100</f>
        <v>10</v>
      </c>
      <c r="J2098">
        <f>G2098*Parameters!$B$2*Parameters!$B$5</f>
        <v>95.809499999999986</v>
      </c>
      <c r="K2098">
        <f>H2098*Parameters!$B$3*Parameters!$B$6</f>
        <v>0</v>
      </c>
      <c r="L2098">
        <f>I2098*Parameters!$B$4*Parameters!$B$7</f>
        <v>80.963999999999999</v>
      </c>
      <c r="M2098">
        <f t="shared" si="32"/>
        <v>176.77349999999998</v>
      </c>
      <c r="N2098" s="142">
        <f>'Aug-Apr, 2023'!BG100</f>
        <v>4500</v>
      </c>
      <c r="O2098" s="142">
        <f>'Aug-Apr, 2023'!BH100</f>
        <v>0</v>
      </c>
      <c r="P2098" s="142">
        <f>'Aug-Apr, 2023'!BI100</f>
        <v>0</v>
      </c>
      <c r="Q2098" s="142">
        <f>'Aug-Apr, 2023'!BJ100</f>
        <v>3000</v>
      </c>
    </row>
    <row r="2099" spans="1:17">
      <c r="A2099" t="s">
        <v>124</v>
      </c>
      <c r="B2099" t="s">
        <v>56</v>
      </c>
      <c r="C2099">
        <v>9</v>
      </c>
      <c r="D2099">
        <v>2023</v>
      </c>
      <c r="E2099" s="49" t="s">
        <v>153</v>
      </c>
      <c r="F2099" s="49" t="s">
        <v>163</v>
      </c>
      <c r="G2099">
        <f>'Aug-Apr, 2023'!BC101+'Aug-Apr, 2023'!BD101</f>
        <v>50</v>
      </c>
      <c r="H2099">
        <f>'Aug-Apr, 2023'!BE101</f>
        <v>0</v>
      </c>
      <c r="I2099">
        <f>'Aug-Apr, 2023'!BF101</f>
        <v>12</v>
      </c>
      <c r="J2099">
        <f>G2099*Parameters!$B$2*Parameters!$B$5</f>
        <v>106.45499999999998</v>
      </c>
      <c r="K2099">
        <f>H2099*Parameters!$B$3*Parameters!$B$6</f>
        <v>0</v>
      </c>
      <c r="L2099">
        <f>I2099*Parameters!$B$4*Parameters!$B$7</f>
        <v>97.156800000000018</v>
      </c>
      <c r="M2099">
        <f t="shared" si="32"/>
        <v>203.61180000000002</v>
      </c>
      <c r="N2099" s="142">
        <f>'Aug-Apr, 2023'!BG101</f>
        <v>5000</v>
      </c>
      <c r="O2099" s="142">
        <f>'Aug-Apr, 2023'!BH101</f>
        <v>0</v>
      </c>
      <c r="P2099" s="142">
        <f>'Aug-Apr, 2023'!BI101</f>
        <v>0</v>
      </c>
      <c r="Q2099" s="142">
        <f>'Aug-Apr, 2023'!BJ101</f>
        <v>3600</v>
      </c>
    </row>
    <row r="2100" spans="1:17">
      <c r="A2100" t="s">
        <v>125</v>
      </c>
      <c r="B2100" t="s">
        <v>65</v>
      </c>
      <c r="C2100">
        <v>7</v>
      </c>
      <c r="D2100">
        <v>2023</v>
      </c>
      <c r="E2100" s="49" t="s">
        <v>153</v>
      </c>
      <c r="F2100" s="49" t="s">
        <v>163</v>
      </c>
      <c r="G2100">
        <f>'Aug-Apr, 2023'!BC102+'Aug-Apr, 2023'!BD102</f>
        <v>56</v>
      </c>
      <c r="H2100">
        <f>'Aug-Apr, 2023'!BE102</f>
        <v>0</v>
      </c>
      <c r="I2100">
        <f>'Aug-Apr, 2023'!BF102</f>
        <v>12</v>
      </c>
      <c r="J2100">
        <f>G2100*Parameters!$B$2*Parameters!$B$5</f>
        <v>119.22959999999999</v>
      </c>
      <c r="K2100">
        <f>H2100*Parameters!$B$3*Parameters!$B$6</f>
        <v>0</v>
      </c>
      <c r="L2100">
        <f>I2100*Parameters!$B$4*Parameters!$B$7</f>
        <v>97.156800000000018</v>
      </c>
      <c r="M2100">
        <f t="shared" si="32"/>
        <v>216.38640000000001</v>
      </c>
      <c r="N2100" s="142">
        <f>'Aug-Apr, 2023'!BG102</f>
        <v>5600</v>
      </c>
      <c r="O2100" s="142">
        <f>'Aug-Apr, 2023'!BH102</f>
        <v>0</v>
      </c>
      <c r="P2100" s="142">
        <f>'Aug-Apr, 2023'!BI102</f>
        <v>0</v>
      </c>
      <c r="Q2100" s="142">
        <f>'Aug-Apr, 2023'!BJ102</f>
        <v>3600</v>
      </c>
    </row>
    <row r="2101" spans="1:17">
      <c r="A2101" t="s">
        <v>126</v>
      </c>
      <c r="B2101" t="s">
        <v>65</v>
      </c>
      <c r="C2101">
        <v>6</v>
      </c>
      <c r="D2101">
        <v>2023</v>
      </c>
      <c r="E2101" s="49" t="s">
        <v>153</v>
      </c>
      <c r="F2101" s="49" t="s">
        <v>163</v>
      </c>
      <c r="G2101">
        <f>'Aug-Apr, 2023'!BC103+'Aug-Apr, 2023'!BD103</f>
        <v>55</v>
      </c>
      <c r="H2101">
        <f>'Aug-Apr, 2023'!BE103</f>
        <v>0</v>
      </c>
      <c r="I2101">
        <f>'Aug-Apr, 2023'!BF103</f>
        <v>0</v>
      </c>
      <c r="J2101">
        <f>G2101*Parameters!$B$2*Parameters!$B$5</f>
        <v>117.10049999999998</v>
      </c>
      <c r="K2101">
        <f>H2101*Parameters!$B$3*Parameters!$B$6</f>
        <v>0</v>
      </c>
      <c r="L2101">
        <f>I2101*Parameters!$B$4*Parameters!$B$7</f>
        <v>0</v>
      </c>
      <c r="M2101">
        <f t="shared" si="32"/>
        <v>117.10049999999998</v>
      </c>
      <c r="N2101" s="142">
        <f>'Aug-Apr, 2023'!BG103</f>
        <v>5500</v>
      </c>
      <c r="O2101" s="142">
        <f>'Aug-Apr, 2023'!BH103</f>
        <v>0</v>
      </c>
      <c r="P2101" s="142">
        <f>'Aug-Apr, 2023'!BI103</f>
        <v>0</v>
      </c>
      <c r="Q2101" s="142">
        <f>'Aug-Apr, 2023'!BJ103</f>
        <v>0</v>
      </c>
    </row>
    <row r="2102" spans="1:17">
      <c r="A2102" t="s">
        <v>16</v>
      </c>
      <c r="B2102" t="s">
        <v>17</v>
      </c>
      <c r="C2102">
        <v>8</v>
      </c>
      <c r="D2102">
        <v>2023</v>
      </c>
      <c r="E2102" s="49" t="s">
        <v>154</v>
      </c>
      <c r="F2102" s="49" t="s">
        <v>163</v>
      </c>
      <c r="G2102">
        <f>'Aug-Apr, 2023'!BK4+'Aug-Apr, 2023'!BL4</f>
        <v>52</v>
      </c>
      <c r="H2102">
        <f>'Aug-Apr, 2023'!BM4</f>
        <v>0</v>
      </c>
      <c r="I2102">
        <f>'Aug-Apr, 2023'!BN4</f>
        <v>20</v>
      </c>
      <c r="J2102">
        <f>G2102*Parameters!$B$2*Parameters!$B$5</f>
        <v>110.71319999999999</v>
      </c>
      <c r="K2102">
        <f>H2102*Parameters!$B$3*Parameters!$B$6</f>
        <v>0</v>
      </c>
      <c r="L2102">
        <f>I2102*Parameters!$B$4*Parameters!$B$7</f>
        <v>161.928</v>
      </c>
      <c r="M2102">
        <f t="shared" si="32"/>
        <v>272.64119999999997</v>
      </c>
      <c r="N2102" s="142">
        <f>'Aug-Apr, 2023'!BO4</f>
        <v>5200</v>
      </c>
      <c r="O2102" s="142">
        <f>'Aug-Apr, 2023'!BP4</f>
        <v>0</v>
      </c>
      <c r="P2102" s="142">
        <f>'Aug-Apr, 2023'!BQ4</f>
        <v>0</v>
      </c>
      <c r="Q2102" s="142">
        <f>'Aug-Apr, 2023'!BR4</f>
        <v>6000</v>
      </c>
    </row>
    <row r="2103" spans="1:17">
      <c r="A2103" t="s">
        <v>18</v>
      </c>
      <c r="B2103" t="s">
        <v>19</v>
      </c>
      <c r="C2103">
        <v>7</v>
      </c>
      <c r="D2103">
        <v>2023</v>
      </c>
      <c r="E2103" s="49" t="s">
        <v>154</v>
      </c>
      <c r="F2103" s="49" t="s">
        <v>163</v>
      </c>
      <c r="G2103">
        <f>'Aug-Apr, 2023'!BK5+'Aug-Apr, 2023'!BL5</f>
        <v>48</v>
      </c>
      <c r="H2103">
        <f>'Aug-Apr, 2023'!BM5</f>
        <v>0</v>
      </c>
      <c r="I2103">
        <f>'Aug-Apr, 2023'!BN5</f>
        <v>12</v>
      </c>
      <c r="J2103">
        <f>G2103*Parameters!$B$2*Parameters!$B$5</f>
        <v>102.19679999999998</v>
      </c>
      <c r="K2103">
        <f>H2103*Parameters!$B$3*Parameters!$B$6</f>
        <v>0</v>
      </c>
      <c r="L2103">
        <f>I2103*Parameters!$B$4*Parameters!$B$7</f>
        <v>97.156800000000018</v>
      </c>
      <c r="M2103">
        <f t="shared" si="32"/>
        <v>199.3536</v>
      </c>
      <c r="N2103" s="142">
        <f>'Aug-Apr, 2023'!BO5</f>
        <v>4800</v>
      </c>
      <c r="O2103" s="142">
        <f>'Aug-Apr, 2023'!BP5</f>
        <v>0</v>
      </c>
      <c r="P2103" s="142">
        <f>'Aug-Apr, 2023'!BQ5</f>
        <v>0</v>
      </c>
      <c r="Q2103" s="142">
        <f>'Aug-Apr, 2023'!BR5</f>
        <v>3600</v>
      </c>
    </row>
    <row r="2104" spans="1:17">
      <c r="A2104" t="s">
        <v>20</v>
      </c>
      <c r="B2104" t="s">
        <v>21</v>
      </c>
      <c r="C2104">
        <v>10</v>
      </c>
      <c r="D2104">
        <v>2023</v>
      </c>
      <c r="E2104" s="49" t="s">
        <v>154</v>
      </c>
      <c r="F2104" s="49" t="s">
        <v>163</v>
      </c>
      <c r="G2104">
        <f>'Aug-Apr, 2023'!BK6+'Aug-Apr, 2023'!BL6</f>
        <v>44</v>
      </c>
      <c r="H2104">
        <f>'Aug-Apr, 2023'!BM6</f>
        <v>0</v>
      </c>
      <c r="I2104">
        <f>'Aug-Apr, 2023'!BN6</f>
        <v>20</v>
      </c>
      <c r="J2104">
        <f>G2104*Parameters!$B$2*Parameters!$B$5</f>
        <v>93.680399999999992</v>
      </c>
      <c r="K2104">
        <f>H2104*Parameters!$B$3*Parameters!$B$6</f>
        <v>0</v>
      </c>
      <c r="L2104">
        <f>I2104*Parameters!$B$4*Parameters!$B$7</f>
        <v>161.928</v>
      </c>
      <c r="M2104">
        <f t="shared" si="32"/>
        <v>255.60839999999999</v>
      </c>
      <c r="N2104" s="142">
        <f>'Aug-Apr, 2023'!BO6</f>
        <v>4400</v>
      </c>
      <c r="O2104" s="142">
        <f>'Aug-Apr, 2023'!BP6</f>
        <v>0</v>
      </c>
      <c r="P2104" s="142">
        <f>'Aug-Apr, 2023'!BQ6</f>
        <v>0</v>
      </c>
      <c r="Q2104" s="142">
        <f>'Aug-Apr, 2023'!BR6</f>
        <v>6000</v>
      </c>
    </row>
    <row r="2105" spans="1:17">
      <c r="A2105" t="s">
        <v>22</v>
      </c>
      <c r="B2105" t="s">
        <v>19</v>
      </c>
      <c r="C2105">
        <v>7</v>
      </c>
      <c r="D2105">
        <v>2023</v>
      </c>
      <c r="E2105" s="49" t="s">
        <v>154</v>
      </c>
      <c r="F2105" s="49" t="s">
        <v>163</v>
      </c>
      <c r="G2105">
        <f>'Aug-Apr, 2023'!BK7+'Aug-Apr, 2023'!BL7</f>
        <v>61</v>
      </c>
      <c r="H2105">
        <f>'Aug-Apr, 2023'!BM7</f>
        <v>0</v>
      </c>
      <c r="I2105">
        <f>'Aug-Apr, 2023'!BN7</f>
        <v>16</v>
      </c>
      <c r="J2105">
        <f>G2105*Parameters!$B$2*Parameters!$B$5</f>
        <v>129.8751</v>
      </c>
      <c r="K2105">
        <f>H2105*Parameters!$B$3*Parameters!$B$6</f>
        <v>0</v>
      </c>
      <c r="L2105">
        <f>I2105*Parameters!$B$4*Parameters!$B$7</f>
        <v>129.54240000000001</v>
      </c>
      <c r="M2105">
        <f t="shared" si="32"/>
        <v>259.41750000000002</v>
      </c>
      <c r="N2105" s="142">
        <f>'Aug-Apr, 2023'!BO7</f>
        <v>6100</v>
      </c>
      <c r="O2105" s="142">
        <f>'Aug-Apr, 2023'!BP7</f>
        <v>0</v>
      </c>
      <c r="P2105" s="142">
        <f>'Aug-Apr, 2023'!BQ7</f>
        <v>0</v>
      </c>
      <c r="Q2105" s="142">
        <f>'Aug-Apr, 2023'!BR7</f>
        <v>4800</v>
      </c>
    </row>
    <row r="2106" spans="1:17">
      <c r="A2106" t="s">
        <v>23</v>
      </c>
      <c r="B2106" t="s">
        <v>24</v>
      </c>
      <c r="C2106">
        <v>4</v>
      </c>
      <c r="D2106">
        <v>2023</v>
      </c>
      <c r="E2106" s="49" t="s">
        <v>154</v>
      </c>
      <c r="F2106" s="49" t="s">
        <v>163</v>
      </c>
      <c r="G2106">
        <f>'Aug-Apr, 2023'!BK8+'Aug-Apr, 2023'!BL8</f>
        <v>42</v>
      </c>
      <c r="H2106">
        <f>'Aug-Apr, 2023'!BM8</f>
        <v>0</v>
      </c>
      <c r="I2106">
        <f>'Aug-Apr, 2023'!BN8</f>
        <v>20</v>
      </c>
      <c r="J2106">
        <f>G2106*Parameters!$B$2*Parameters!$B$5</f>
        <v>89.422199999999975</v>
      </c>
      <c r="K2106">
        <f>H2106*Parameters!$B$3*Parameters!$B$6</f>
        <v>0</v>
      </c>
      <c r="L2106">
        <f>I2106*Parameters!$B$4*Parameters!$B$7</f>
        <v>161.928</v>
      </c>
      <c r="M2106">
        <f t="shared" si="32"/>
        <v>251.35019999999997</v>
      </c>
      <c r="N2106" s="142">
        <f>'Aug-Apr, 2023'!BO8</f>
        <v>4200</v>
      </c>
      <c r="O2106" s="142">
        <f>'Aug-Apr, 2023'!BP8</f>
        <v>0</v>
      </c>
      <c r="P2106" s="142">
        <f>'Aug-Apr, 2023'!BQ8</f>
        <v>0</v>
      </c>
      <c r="Q2106" s="142">
        <f>'Aug-Apr, 2023'!BR8</f>
        <v>6000</v>
      </c>
    </row>
    <row r="2107" spans="1:17">
      <c r="A2107" t="s">
        <v>25</v>
      </c>
      <c r="B2107" t="s">
        <v>26</v>
      </c>
      <c r="C2107">
        <v>3</v>
      </c>
      <c r="D2107">
        <v>2023</v>
      </c>
      <c r="E2107" s="49" t="s">
        <v>154</v>
      </c>
      <c r="F2107" s="49" t="s">
        <v>163</v>
      </c>
      <c r="G2107">
        <f>'Aug-Apr, 2023'!BK9+'Aug-Apr, 2023'!BL9</f>
        <v>40</v>
      </c>
      <c r="H2107">
        <f>'Aug-Apr, 2023'!BM9</f>
        <v>0</v>
      </c>
      <c r="I2107">
        <f>'Aug-Apr, 2023'!BN9</f>
        <v>19</v>
      </c>
      <c r="J2107">
        <f>G2107*Parameters!$B$2*Parameters!$B$5</f>
        <v>85.163999999999987</v>
      </c>
      <c r="K2107">
        <f>H2107*Parameters!$B$3*Parameters!$B$6</f>
        <v>0</v>
      </c>
      <c r="L2107">
        <f>I2107*Parameters!$B$4*Parameters!$B$7</f>
        <v>153.83160000000001</v>
      </c>
      <c r="M2107">
        <f t="shared" si="32"/>
        <v>238.9956</v>
      </c>
      <c r="N2107" s="142">
        <f>'Aug-Apr, 2023'!BO9</f>
        <v>4000</v>
      </c>
      <c r="O2107" s="142">
        <f>'Aug-Apr, 2023'!BP9</f>
        <v>0</v>
      </c>
      <c r="P2107" s="142">
        <f>'Aug-Apr, 2023'!BQ9</f>
        <v>0</v>
      </c>
      <c r="Q2107" s="142">
        <f>'Aug-Apr, 2023'!BR9</f>
        <v>5700</v>
      </c>
    </row>
    <row r="2108" spans="1:17">
      <c r="A2108" t="s">
        <v>27</v>
      </c>
      <c r="B2108" t="s">
        <v>21</v>
      </c>
      <c r="C2108">
        <v>6</v>
      </c>
      <c r="D2108">
        <v>2023</v>
      </c>
      <c r="E2108" s="49" t="s">
        <v>154</v>
      </c>
      <c r="F2108" s="49" t="s">
        <v>163</v>
      </c>
      <c r="G2108">
        <f>'Aug-Apr, 2023'!BK10+'Aug-Apr, 2023'!BL10</f>
        <v>52</v>
      </c>
      <c r="H2108">
        <f>'Aug-Apr, 2023'!BM10</f>
        <v>0</v>
      </c>
      <c r="I2108">
        <f>'Aug-Apr, 2023'!BN10</f>
        <v>16</v>
      </c>
      <c r="J2108">
        <f>G2108*Parameters!$B$2*Parameters!$B$5</f>
        <v>110.71319999999999</v>
      </c>
      <c r="K2108">
        <f>H2108*Parameters!$B$3*Parameters!$B$6</f>
        <v>0</v>
      </c>
      <c r="L2108">
        <f>I2108*Parameters!$B$4*Parameters!$B$7</f>
        <v>129.54240000000001</v>
      </c>
      <c r="M2108">
        <f t="shared" si="32"/>
        <v>240.25560000000002</v>
      </c>
      <c r="N2108" s="142">
        <f>'Aug-Apr, 2023'!BO10</f>
        <v>5200</v>
      </c>
      <c r="O2108" s="142">
        <f>'Aug-Apr, 2023'!BP10</f>
        <v>0</v>
      </c>
      <c r="P2108" s="142">
        <f>'Aug-Apr, 2023'!BQ10</f>
        <v>0</v>
      </c>
      <c r="Q2108" s="142">
        <f>'Aug-Apr, 2023'!BR10</f>
        <v>4800</v>
      </c>
    </row>
    <row r="2109" spans="1:17">
      <c r="A2109" t="s">
        <v>28</v>
      </c>
      <c r="B2109" t="s">
        <v>19</v>
      </c>
      <c r="C2109">
        <v>9</v>
      </c>
      <c r="D2109">
        <v>2023</v>
      </c>
      <c r="E2109" s="49" t="s">
        <v>154</v>
      </c>
      <c r="F2109" s="49" t="s">
        <v>163</v>
      </c>
      <c r="G2109">
        <f>'Aug-Apr, 2023'!BK11+'Aug-Apr, 2023'!BL11</f>
        <v>54</v>
      </c>
      <c r="H2109">
        <f>'Aug-Apr, 2023'!BM11</f>
        <v>0</v>
      </c>
      <c r="I2109">
        <f>'Aug-Apr, 2023'!BN11</f>
        <v>18</v>
      </c>
      <c r="J2109">
        <f>G2109*Parameters!$B$2*Parameters!$B$5</f>
        <v>114.97139999999999</v>
      </c>
      <c r="K2109">
        <f>H2109*Parameters!$B$3*Parameters!$B$6</f>
        <v>0</v>
      </c>
      <c r="L2109">
        <f>I2109*Parameters!$B$4*Parameters!$B$7</f>
        <v>145.73520000000002</v>
      </c>
      <c r="M2109">
        <f t="shared" si="32"/>
        <v>260.70659999999998</v>
      </c>
      <c r="N2109" s="142">
        <f>'Aug-Apr, 2023'!BO11</f>
        <v>5400</v>
      </c>
      <c r="O2109" s="142">
        <f>'Aug-Apr, 2023'!BP11</f>
        <v>0</v>
      </c>
      <c r="P2109" s="142">
        <f>'Aug-Apr, 2023'!BQ11</f>
        <v>0</v>
      </c>
      <c r="Q2109" s="142">
        <f>'Aug-Apr, 2023'!BR11</f>
        <v>5400</v>
      </c>
    </row>
    <row r="2110" spans="1:17">
      <c r="A2110" t="s">
        <v>29</v>
      </c>
      <c r="B2110" t="s">
        <v>24</v>
      </c>
      <c r="C2110">
        <v>4</v>
      </c>
      <c r="D2110">
        <v>2023</v>
      </c>
      <c r="E2110" s="49" t="s">
        <v>154</v>
      </c>
      <c r="F2110" s="49" t="s">
        <v>163</v>
      </c>
      <c r="G2110">
        <f>'Aug-Apr, 2023'!BK12+'Aug-Apr, 2023'!BL12</f>
        <v>48</v>
      </c>
      <c r="H2110">
        <f>'Aug-Apr, 2023'!BM12</f>
        <v>0</v>
      </c>
      <c r="I2110">
        <f>'Aug-Apr, 2023'!BN12</f>
        <v>20</v>
      </c>
      <c r="J2110">
        <f>G2110*Parameters!$B$2*Parameters!$B$5</f>
        <v>102.19679999999998</v>
      </c>
      <c r="K2110">
        <f>H2110*Parameters!$B$3*Parameters!$B$6</f>
        <v>0</v>
      </c>
      <c r="L2110">
        <f>I2110*Parameters!$B$4*Parameters!$B$7</f>
        <v>161.928</v>
      </c>
      <c r="M2110">
        <f t="shared" si="32"/>
        <v>264.12479999999999</v>
      </c>
      <c r="N2110" s="142">
        <f>'Aug-Apr, 2023'!BO12</f>
        <v>4800</v>
      </c>
      <c r="O2110" s="142">
        <f>'Aug-Apr, 2023'!BP12</f>
        <v>0</v>
      </c>
      <c r="P2110" s="142">
        <f>'Aug-Apr, 2023'!BQ12</f>
        <v>0</v>
      </c>
      <c r="Q2110" s="142">
        <f>'Aug-Apr, 2023'!BR12</f>
        <v>6000</v>
      </c>
    </row>
    <row r="2111" spans="1:17">
      <c r="A2111" t="s">
        <v>30</v>
      </c>
      <c r="B2111" t="s">
        <v>21</v>
      </c>
      <c r="C2111">
        <v>6</v>
      </c>
      <c r="D2111">
        <v>2023</v>
      </c>
      <c r="E2111" s="49" t="s">
        <v>154</v>
      </c>
      <c r="F2111" s="49" t="s">
        <v>163</v>
      </c>
      <c r="G2111">
        <f>'Aug-Apr, 2023'!BK13+'Aug-Apr, 2023'!BL13</f>
        <v>38</v>
      </c>
      <c r="H2111">
        <f>'Aug-Apr, 2023'!BM13</f>
        <v>0</v>
      </c>
      <c r="I2111">
        <f>'Aug-Apr, 2023'!BN13</f>
        <v>20</v>
      </c>
      <c r="J2111">
        <f>G2111*Parameters!$B$2*Parameters!$B$5</f>
        <v>80.905799999999985</v>
      </c>
      <c r="K2111">
        <f>H2111*Parameters!$B$3*Parameters!$B$6</f>
        <v>0</v>
      </c>
      <c r="L2111">
        <f>I2111*Parameters!$B$4*Parameters!$B$7</f>
        <v>161.928</v>
      </c>
      <c r="M2111">
        <f t="shared" si="32"/>
        <v>242.8338</v>
      </c>
      <c r="N2111" s="142">
        <f>'Aug-Apr, 2023'!BO13</f>
        <v>3800</v>
      </c>
      <c r="O2111" s="142">
        <f>'Aug-Apr, 2023'!BP13</f>
        <v>0</v>
      </c>
      <c r="P2111" s="142">
        <f>'Aug-Apr, 2023'!BQ13</f>
        <v>0</v>
      </c>
      <c r="Q2111" s="142">
        <f>'Aug-Apr, 2023'!BR13</f>
        <v>6000</v>
      </c>
    </row>
    <row r="2112" spans="1:17">
      <c r="A2112" t="s">
        <v>31</v>
      </c>
      <c r="B2112" t="s">
        <v>32</v>
      </c>
      <c r="C2112">
        <v>4</v>
      </c>
      <c r="D2112">
        <v>2023</v>
      </c>
      <c r="E2112" s="49" t="s">
        <v>154</v>
      </c>
      <c r="F2112" s="49" t="s">
        <v>163</v>
      </c>
      <c r="G2112">
        <f>'Aug-Apr, 2023'!BK14+'Aug-Apr, 2023'!BL14</f>
        <v>53</v>
      </c>
      <c r="H2112">
        <f>'Aug-Apr, 2023'!BM14</f>
        <v>0</v>
      </c>
      <c r="I2112">
        <f>'Aug-Apr, 2023'!BN14</f>
        <v>20</v>
      </c>
      <c r="J2112">
        <f>G2112*Parameters!$B$2*Parameters!$B$5</f>
        <v>112.84229999999998</v>
      </c>
      <c r="K2112">
        <f>H2112*Parameters!$B$3*Parameters!$B$6</f>
        <v>0</v>
      </c>
      <c r="L2112">
        <f>I2112*Parameters!$B$4*Parameters!$B$7</f>
        <v>161.928</v>
      </c>
      <c r="M2112">
        <f t="shared" si="32"/>
        <v>274.77029999999996</v>
      </c>
      <c r="N2112" s="142">
        <f>'Aug-Apr, 2023'!BO14</f>
        <v>5300</v>
      </c>
      <c r="O2112" s="142">
        <f>'Aug-Apr, 2023'!BP14</f>
        <v>0</v>
      </c>
      <c r="P2112" s="142">
        <f>'Aug-Apr, 2023'!BQ14</f>
        <v>0</v>
      </c>
      <c r="Q2112" s="142">
        <f>'Aug-Apr, 2023'!BR14</f>
        <v>6000</v>
      </c>
    </row>
    <row r="2113" spans="1:17">
      <c r="A2113" t="s">
        <v>33</v>
      </c>
      <c r="B2113" t="s">
        <v>32</v>
      </c>
      <c r="C2113">
        <v>6</v>
      </c>
      <c r="D2113">
        <v>2023</v>
      </c>
      <c r="E2113" s="49" t="s">
        <v>154</v>
      </c>
      <c r="F2113" s="49" t="s">
        <v>163</v>
      </c>
      <c r="G2113">
        <f>'Aug-Apr, 2023'!BK15+'Aug-Apr, 2023'!BL15</f>
        <v>48</v>
      </c>
      <c r="H2113">
        <f>'Aug-Apr, 2023'!BM15</f>
        <v>0</v>
      </c>
      <c r="I2113">
        <f>'Aug-Apr, 2023'!BN15</f>
        <v>20</v>
      </c>
      <c r="J2113">
        <f>G2113*Parameters!$B$2*Parameters!$B$5</f>
        <v>102.19679999999998</v>
      </c>
      <c r="K2113">
        <f>H2113*Parameters!$B$3*Parameters!$B$6</f>
        <v>0</v>
      </c>
      <c r="L2113">
        <f>I2113*Parameters!$B$4*Parameters!$B$7</f>
        <v>161.928</v>
      </c>
      <c r="M2113">
        <f t="shared" si="32"/>
        <v>264.12479999999999</v>
      </c>
      <c r="N2113" s="142">
        <f>'Aug-Apr, 2023'!BO15</f>
        <v>4800</v>
      </c>
      <c r="O2113" s="142">
        <f>'Aug-Apr, 2023'!BP15</f>
        <v>0</v>
      </c>
      <c r="P2113" s="142">
        <f>'Aug-Apr, 2023'!BQ15</f>
        <v>0</v>
      </c>
      <c r="Q2113" s="142">
        <f>'Aug-Apr, 2023'!BR15</f>
        <v>6000</v>
      </c>
    </row>
    <row r="2114" spans="1:17">
      <c r="A2114" t="s">
        <v>34</v>
      </c>
      <c r="B2114" t="s">
        <v>21</v>
      </c>
      <c r="C2114">
        <v>9</v>
      </c>
      <c r="D2114">
        <v>2023</v>
      </c>
      <c r="E2114" s="49" t="s">
        <v>154</v>
      </c>
      <c r="F2114" s="49" t="s">
        <v>163</v>
      </c>
      <c r="G2114">
        <f>'Aug-Apr, 2023'!BK16+'Aug-Apr, 2023'!BL16</f>
        <v>42</v>
      </c>
      <c r="H2114">
        <f>'Aug-Apr, 2023'!BM16</f>
        <v>0</v>
      </c>
      <c r="I2114">
        <f>'Aug-Apr, 2023'!BN16</f>
        <v>18</v>
      </c>
      <c r="J2114">
        <f>G2114*Parameters!$B$2*Parameters!$B$5</f>
        <v>89.422199999999975</v>
      </c>
      <c r="K2114">
        <f>H2114*Parameters!$B$3*Parameters!$B$6</f>
        <v>0</v>
      </c>
      <c r="L2114">
        <f>I2114*Parameters!$B$4*Parameters!$B$7</f>
        <v>145.73520000000002</v>
      </c>
      <c r="M2114">
        <f t="shared" si="32"/>
        <v>235.1574</v>
      </c>
      <c r="N2114" s="142">
        <f>'Aug-Apr, 2023'!BO16</f>
        <v>4200</v>
      </c>
      <c r="O2114" s="142">
        <f>'Aug-Apr, 2023'!BP16</f>
        <v>0</v>
      </c>
      <c r="P2114" s="142">
        <f>'Aug-Apr, 2023'!BQ16</f>
        <v>0</v>
      </c>
      <c r="Q2114" s="142">
        <f>'Aug-Apr, 2023'!BR16</f>
        <v>5400</v>
      </c>
    </row>
    <row r="2115" spans="1:17">
      <c r="A2115" t="s">
        <v>35</v>
      </c>
      <c r="B2115" t="s">
        <v>21</v>
      </c>
      <c r="C2115">
        <v>6</v>
      </c>
      <c r="D2115">
        <v>2023</v>
      </c>
      <c r="E2115" s="49" t="s">
        <v>154</v>
      </c>
      <c r="F2115" s="49" t="s">
        <v>163</v>
      </c>
      <c r="G2115">
        <f>'Aug-Apr, 2023'!BK17+'Aug-Apr, 2023'!BL17</f>
        <v>68</v>
      </c>
      <c r="H2115">
        <f>'Aug-Apr, 2023'!BM17</f>
        <v>0</v>
      </c>
      <c r="I2115">
        <f>'Aug-Apr, 2023'!BN17</f>
        <v>20</v>
      </c>
      <c r="J2115">
        <f>G2115*Parameters!$B$2*Parameters!$B$5</f>
        <v>144.77879999999999</v>
      </c>
      <c r="K2115">
        <f>H2115*Parameters!$B$3*Parameters!$B$6</f>
        <v>0</v>
      </c>
      <c r="L2115">
        <f>I2115*Parameters!$B$4*Parameters!$B$7</f>
        <v>161.928</v>
      </c>
      <c r="M2115">
        <f t="shared" ref="M2115:M2178" si="33">SUM(J2115:L2115)</f>
        <v>306.70679999999999</v>
      </c>
      <c r="N2115" s="142">
        <f>'Aug-Apr, 2023'!BO17</f>
        <v>1800</v>
      </c>
      <c r="O2115" s="142">
        <f>'Aug-Apr, 2023'!BP17</f>
        <v>5000</v>
      </c>
      <c r="P2115" s="142">
        <f>'Aug-Apr, 2023'!BQ17</f>
        <v>0</v>
      </c>
      <c r="Q2115" s="142">
        <f>'Aug-Apr, 2023'!BR17</f>
        <v>6000</v>
      </c>
    </row>
    <row r="2116" spans="1:17">
      <c r="A2116" t="s">
        <v>36</v>
      </c>
      <c r="B2116" t="s">
        <v>21</v>
      </c>
      <c r="C2116">
        <v>12</v>
      </c>
      <c r="D2116">
        <v>2023</v>
      </c>
      <c r="E2116" s="49" t="s">
        <v>154</v>
      </c>
      <c r="F2116" s="49" t="s">
        <v>163</v>
      </c>
      <c r="G2116">
        <f>'Aug-Apr, 2023'!BK18+'Aug-Apr, 2023'!BL18</f>
        <v>38</v>
      </c>
      <c r="H2116">
        <f>'Aug-Apr, 2023'!BM18</f>
        <v>0</v>
      </c>
      <c r="I2116">
        <f>'Aug-Apr, 2023'!BN18</f>
        <v>20</v>
      </c>
      <c r="J2116">
        <f>G2116*Parameters!$B$2*Parameters!$B$5</f>
        <v>80.905799999999985</v>
      </c>
      <c r="K2116">
        <f>H2116*Parameters!$B$3*Parameters!$B$6</f>
        <v>0</v>
      </c>
      <c r="L2116">
        <f>I2116*Parameters!$B$4*Parameters!$B$7</f>
        <v>161.928</v>
      </c>
      <c r="M2116">
        <f t="shared" si="33"/>
        <v>242.8338</v>
      </c>
      <c r="N2116" s="142">
        <f>'Aug-Apr, 2023'!BO18</f>
        <v>3800</v>
      </c>
      <c r="O2116" s="142">
        <f>'Aug-Apr, 2023'!BP18</f>
        <v>0</v>
      </c>
      <c r="P2116" s="142">
        <f>'Aug-Apr, 2023'!BQ18</f>
        <v>0</v>
      </c>
      <c r="Q2116" s="142">
        <f>'Aug-Apr, 2023'!BR18</f>
        <v>6000</v>
      </c>
    </row>
    <row r="2117" spans="1:17">
      <c r="A2117" t="s">
        <v>37</v>
      </c>
      <c r="B2117" t="s">
        <v>38</v>
      </c>
      <c r="C2117">
        <v>7</v>
      </c>
      <c r="D2117">
        <v>2023</v>
      </c>
      <c r="E2117" s="49" t="s">
        <v>154</v>
      </c>
      <c r="F2117" s="49" t="s">
        <v>163</v>
      </c>
      <c r="G2117">
        <f>'Aug-Apr, 2023'!BK19+'Aug-Apr, 2023'!BL19</f>
        <v>42</v>
      </c>
      <c r="H2117">
        <f>'Aug-Apr, 2023'!BM19</f>
        <v>0</v>
      </c>
      <c r="I2117">
        <f>'Aug-Apr, 2023'!BN19</f>
        <v>18</v>
      </c>
      <c r="J2117">
        <f>G2117*Parameters!$B$2*Parameters!$B$5</f>
        <v>89.422199999999975</v>
      </c>
      <c r="K2117">
        <f>H2117*Parameters!$B$3*Parameters!$B$6</f>
        <v>0</v>
      </c>
      <c r="L2117">
        <f>I2117*Parameters!$B$4*Parameters!$B$7</f>
        <v>145.73520000000002</v>
      </c>
      <c r="M2117">
        <f t="shared" si="33"/>
        <v>235.1574</v>
      </c>
      <c r="N2117" s="142">
        <f>'Aug-Apr, 2023'!BO19</f>
        <v>4200</v>
      </c>
      <c r="O2117" s="142">
        <f>'Aug-Apr, 2023'!BP19</f>
        <v>0</v>
      </c>
      <c r="P2117" s="142">
        <f>'Aug-Apr, 2023'!BQ19</f>
        <v>0</v>
      </c>
      <c r="Q2117" s="142">
        <f>'Aug-Apr, 2023'!BR19</f>
        <v>5400</v>
      </c>
    </row>
    <row r="2118" spans="1:17">
      <c r="A2118" t="s">
        <v>39</v>
      </c>
      <c r="B2118" t="s">
        <v>40</v>
      </c>
      <c r="C2118">
        <v>6</v>
      </c>
      <c r="D2118">
        <v>2023</v>
      </c>
      <c r="E2118" s="49" t="s">
        <v>154</v>
      </c>
      <c r="F2118" s="49" t="s">
        <v>163</v>
      </c>
      <c r="G2118">
        <f>'Aug-Apr, 2023'!BK20+'Aug-Apr, 2023'!BL20</f>
        <v>77</v>
      </c>
      <c r="H2118">
        <f>'Aug-Apr, 2023'!BM20</f>
        <v>0</v>
      </c>
      <c r="I2118">
        <f>'Aug-Apr, 2023'!BN20</f>
        <v>20</v>
      </c>
      <c r="J2118">
        <f>G2118*Parameters!$B$2*Parameters!$B$5</f>
        <v>163.94069999999999</v>
      </c>
      <c r="K2118">
        <f>H2118*Parameters!$B$3*Parameters!$B$6</f>
        <v>0</v>
      </c>
      <c r="L2118">
        <f>I2118*Parameters!$B$4*Parameters!$B$7</f>
        <v>161.928</v>
      </c>
      <c r="M2118">
        <f t="shared" si="33"/>
        <v>325.86869999999999</v>
      </c>
      <c r="N2118" s="142">
        <f>'Aug-Apr, 2023'!BO20</f>
        <v>5200</v>
      </c>
      <c r="O2118" s="142">
        <f>'Aug-Apr, 2023'!BP20</f>
        <v>2500</v>
      </c>
      <c r="P2118" s="142">
        <f>'Aug-Apr, 2023'!BQ20</f>
        <v>0</v>
      </c>
      <c r="Q2118" s="142">
        <f>'Aug-Apr, 2023'!BR20</f>
        <v>6000</v>
      </c>
    </row>
    <row r="2119" spans="1:17">
      <c r="A2119" t="s">
        <v>41</v>
      </c>
      <c r="B2119" t="s">
        <v>26</v>
      </c>
      <c r="C2119">
        <v>5</v>
      </c>
      <c r="D2119">
        <v>2023</v>
      </c>
      <c r="E2119" s="49" t="s">
        <v>154</v>
      </c>
      <c r="F2119" s="49" t="s">
        <v>163</v>
      </c>
      <c r="G2119">
        <f>'Aug-Apr, 2023'!BK21+'Aug-Apr, 2023'!BL21</f>
        <v>46</v>
      </c>
      <c r="H2119">
        <f>'Aug-Apr, 2023'!BM21</f>
        <v>0</v>
      </c>
      <c r="I2119">
        <f>'Aug-Apr, 2023'!BN21</f>
        <v>8</v>
      </c>
      <c r="J2119">
        <f>G2119*Parameters!$B$2*Parameters!$B$5</f>
        <v>97.938599999999994</v>
      </c>
      <c r="K2119">
        <f>H2119*Parameters!$B$3*Parameters!$B$6</f>
        <v>0</v>
      </c>
      <c r="L2119">
        <f>I2119*Parameters!$B$4*Parameters!$B$7</f>
        <v>64.771200000000007</v>
      </c>
      <c r="M2119">
        <f t="shared" si="33"/>
        <v>162.7098</v>
      </c>
      <c r="N2119" s="142">
        <f>'Aug-Apr, 2023'!BO21</f>
        <v>4600</v>
      </c>
      <c r="O2119" s="142">
        <f>'Aug-Apr, 2023'!BP21</f>
        <v>0</v>
      </c>
      <c r="P2119" s="142">
        <f>'Aug-Apr, 2023'!BQ21</f>
        <v>0</v>
      </c>
      <c r="Q2119" s="142">
        <f>'Aug-Apr, 2023'!BR21</f>
        <v>2400</v>
      </c>
    </row>
    <row r="2120" spans="1:17">
      <c r="A2120" t="s">
        <v>42</v>
      </c>
      <c r="B2120" t="s">
        <v>24</v>
      </c>
      <c r="C2120">
        <v>5</v>
      </c>
      <c r="D2120">
        <v>2023</v>
      </c>
      <c r="E2120" s="49" t="s">
        <v>154</v>
      </c>
      <c r="F2120" s="49" t="s">
        <v>163</v>
      </c>
      <c r="G2120">
        <f>'Aug-Apr, 2023'!BK22+'Aug-Apr, 2023'!BL22</f>
        <v>46</v>
      </c>
      <c r="H2120">
        <f>'Aug-Apr, 2023'!BM22</f>
        <v>0</v>
      </c>
      <c r="I2120">
        <f>'Aug-Apr, 2023'!BN22</f>
        <v>16</v>
      </c>
      <c r="J2120">
        <f>G2120*Parameters!$B$2*Parameters!$B$5</f>
        <v>97.938599999999994</v>
      </c>
      <c r="K2120">
        <f>H2120*Parameters!$B$3*Parameters!$B$6</f>
        <v>0</v>
      </c>
      <c r="L2120">
        <f>I2120*Parameters!$B$4*Parameters!$B$7</f>
        <v>129.54240000000001</v>
      </c>
      <c r="M2120">
        <f t="shared" si="33"/>
        <v>227.48099999999999</v>
      </c>
      <c r="N2120" s="142">
        <f>'Aug-Apr, 2023'!BO22</f>
        <v>4600</v>
      </c>
      <c r="O2120" s="142">
        <f>'Aug-Apr, 2023'!BP22</f>
        <v>0</v>
      </c>
      <c r="P2120" s="142">
        <f>'Aug-Apr, 2023'!BQ22</f>
        <v>0</v>
      </c>
      <c r="Q2120" s="142">
        <f>'Aug-Apr, 2023'!BR22</f>
        <v>4800</v>
      </c>
    </row>
    <row r="2121" spans="1:17">
      <c r="A2121" t="s">
        <v>43</v>
      </c>
      <c r="B2121" t="s">
        <v>19</v>
      </c>
      <c r="C2121">
        <v>8</v>
      </c>
      <c r="D2121">
        <v>2023</v>
      </c>
      <c r="E2121" s="49" t="s">
        <v>154</v>
      </c>
      <c r="F2121" s="49" t="s">
        <v>163</v>
      </c>
      <c r="G2121">
        <f>'Aug-Apr, 2023'!BK23+'Aug-Apr, 2023'!BL23</f>
        <v>55</v>
      </c>
      <c r="H2121">
        <f>'Aug-Apr, 2023'!BM23</f>
        <v>0</v>
      </c>
      <c r="I2121">
        <f>'Aug-Apr, 2023'!BN23</f>
        <v>20</v>
      </c>
      <c r="J2121">
        <f>G2121*Parameters!$B$2*Parameters!$B$5</f>
        <v>117.10049999999998</v>
      </c>
      <c r="K2121">
        <f>H2121*Parameters!$B$3*Parameters!$B$6</f>
        <v>0</v>
      </c>
      <c r="L2121">
        <f>I2121*Parameters!$B$4*Parameters!$B$7</f>
        <v>161.928</v>
      </c>
      <c r="M2121">
        <f t="shared" si="33"/>
        <v>279.02850000000001</v>
      </c>
      <c r="N2121" s="142">
        <f>'Aug-Apr, 2023'!BO23</f>
        <v>5500</v>
      </c>
      <c r="O2121" s="142">
        <f>'Aug-Apr, 2023'!BP23</f>
        <v>0</v>
      </c>
      <c r="P2121" s="142">
        <f>'Aug-Apr, 2023'!BQ23</f>
        <v>0</v>
      </c>
      <c r="Q2121" s="142">
        <f>'Aug-Apr, 2023'!BR23</f>
        <v>6000</v>
      </c>
    </row>
    <row r="2122" spans="1:17">
      <c r="A2122" t="s">
        <v>44</v>
      </c>
      <c r="B2122" t="s">
        <v>40</v>
      </c>
      <c r="C2122">
        <v>10</v>
      </c>
      <c r="D2122">
        <v>2023</v>
      </c>
      <c r="E2122" s="49" t="s">
        <v>154</v>
      </c>
      <c r="F2122" s="49" t="s">
        <v>163</v>
      </c>
      <c r="G2122">
        <f>'Aug-Apr, 2023'!BK24+'Aug-Apr, 2023'!BL24</f>
        <v>46</v>
      </c>
      <c r="H2122">
        <f>'Aug-Apr, 2023'!BM24</f>
        <v>0</v>
      </c>
      <c r="I2122">
        <f>'Aug-Apr, 2023'!BN24</f>
        <v>18</v>
      </c>
      <c r="J2122">
        <f>G2122*Parameters!$B$2*Parameters!$B$5</f>
        <v>97.938599999999994</v>
      </c>
      <c r="K2122">
        <f>H2122*Parameters!$B$3*Parameters!$B$6</f>
        <v>0</v>
      </c>
      <c r="L2122">
        <f>I2122*Parameters!$B$4*Parameters!$B$7</f>
        <v>145.73520000000002</v>
      </c>
      <c r="M2122">
        <f t="shared" si="33"/>
        <v>243.67380000000003</v>
      </c>
      <c r="N2122" s="142">
        <f>'Aug-Apr, 2023'!BO24</f>
        <v>4600</v>
      </c>
      <c r="O2122" s="142">
        <f>'Aug-Apr, 2023'!BP24</f>
        <v>0</v>
      </c>
      <c r="P2122" s="142">
        <f>'Aug-Apr, 2023'!BQ24</f>
        <v>0</v>
      </c>
      <c r="Q2122" s="142">
        <f>'Aug-Apr, 2023'!BR24</f>
        <v>5400</v>
      </c>
    </row>
    <row r="2123" spans="1:17">
      <c r="A2123" t="s">
        <v>45</v>
      </c>
      <c r="B2123" t="s">
        <v>24</v>
      </c>
      <c r="C2123">
        <v>8</v>
      </c>
      <c r="D2123">
        <v>2023</v>
      </c>
      <c r="E2123" s="49" t="s">
        <v>154</v>
      </c>
      <c r="F2123" s="49" t="s">
        <v>163</v>
      </c>
      <c r="G2123">
        <f>'Aug-Apr, 2023'!BK25+'Aug-Apr, 2023'!BL25</f>
        <v>50</v>
      </c>
      <c r="H2123">
        <f>'Aug-Apr, 2023'!BM25</f>
        <v>0</v>
      </c>
      <c r="I2123">
        <f>'Aug-Apr, 2023'!BN25</f>
        <v>20</v>
      </c>
      <c r="J2123">
        <f>G2123*Parameters!$B$2*Parameters!$B$5</f>
        <v>106.45499999999998</v>
      </c>
      <c r="K2123">
        <f>H2123*Parameters!$B$3*Parameters!$B$6</f>
        <v>0</v>
      </c>
      <c r="L2123">
        <f>I2123*Parameters!$B$4*Parameters!$B$7</f>
        <v>161.928</v>
      </c>
      <c r="M2123">
        <f t="shared" si="33"/>
        <v>268.38299999999998</v>
      </c>
      <c r="N2123" s="142">
        <f>'Aug-Apr, 2023'!BO25</f>
        <v>5000</v>
      </c>
      <c r="O2123" s="142">
        <f>'Aug-Apr, 2023'!BP25</f>
        <v>0</v>
      </c>
      <c r="P2123" s="142">
        <f>'Aug-Apr, 2023'!BQ25</f>
        <v>0</v>
      </c>
      <c r="Q2123" s="142">
        <f>'Aug-Apr, 2023'!BR25</f>
        <v>6000</v>
      </c>
    </row>
    <row r="2124" spans="1:17">
      <c r="A2124" t="s">
        <v>46</v>
      </c>
      <c r="B2124" t="s">
        <v>24</v>
      </c>
      <c r="C2124">
        <v>4</v>
      </c>
      <c r="D2124">
        <v>2023</v>
      </c>
      <c r="E2124" s="49" t="s">
        <v>154</v>
      </c>
      <c r="F2124" s="49" t="s">
        <v>163</v>
      </c>
      <c r="G2124">
        <f>'Aug-Apr, 2023'!BK26+'Aug-Apr, 2023'!BL26</f>
        <v>38</v>
      </c>
      <c r="H2124">
        <f>'Aug-Apr, 2023'!BM26</f>
        <v>15</v>
      </c>
      <c r="I2124">
        <f>'Aug-Apr, 2023'!BN26</f>
        <v>16</v>
      </c>
      <c r="J2124">
        <f>G2124*Parameters!$B$2*Parameters!$B$5</f>
        <v>80.905799999999985</v>
      </c>
      <c r="K2124">
        <f>H2124*Parameters!$B$3*Parameters!$B$6</f>
        <v>94.061999999999998</v>
      </c>
      <c r="L2124">
        <f>I2124*Parameters!$B$4*Parameters!$B$7</f>
        <v>129.54240000000001</v>
      </c>
      <c r="M2124">
        <f t="shared" si="33"/>
        <v>304.5102</v>
      </c>
      <c r="N2124" s="142">
        <f>'Aug-Apr, 2023'!BO26</f>
        <v>3800</v>
      </c>
      <c r="O2124" s="142">
        <f>'Aug-Apr, 2023'!BP26</f>
        <v>0</v>
      </c>
      <c r="P2124" s="142">
        <f>'Aug-Apr, 2023'!BQ26</f>
        <v>4500</v>
      </c>
      <c r="Q2124" s="142">
        <f>'Aug-Apr, 2023'!BR26</f>
        <v>4800</v>
      </c>
    </row>
    <row r="2125" spans="1:17">
      <c r="A2125" t="s">
        <v>47</v>
      </c>
      <c r="B2125" t="s">
        <v>19</v>
      </c>
      <c r="C2125">
        <v>6</v>
      </c>
      <c r="D2125">
        <v>2023</v>
      </c>
      <c r="E2125" s="49" t="s">
        <v>154</v>
      </c>
      <c r="F2125" s="49" t="s">
        <v>163</v>
      </c>
      <c r="G2125">
        <f>'Aug-Apr, 2023'!BK27+'Aug-Apr, 2023'!BL27</f>
        <v>44</v>
      </c>
      <c r="H2125">
        <f>'Aug-Apr, 2023'!BM27</f>
        <v>0</v>
      </c>
      <c r="I2125">
        <f>'Aug-Apr, 2023'!BN27</f>
        <v>18</v>
      </c>
      <c r="J2125">
        <f>G2125*Parameters!$B$2*Parameters!$B$5</f>
        <v>93.680399999999992</v>
      </c>
      <c r="K2125">
        <f>H2125*Parameters!$B$3*Parameters!$B$6</f>
        <v>0</v>
      </c>
      <c r="L2125">
        <f>I2125*Parameters!$B$4*Parameters!$B$7</f>
        <v>145.73520000000002</v>
      </c>
      <c r="M2125">
        <f t="shared" si="33"/>
        <v>239.41560000000001</v>
      </c>
      <c r="N2125" s="142">
        <f>'Aug-Apr, 2023'!BO27</f>
        <v>4400</v>
      </c>
      <c r="O2125" s="142">
        <f>'Aug-Apr, 2023'!BP27</f>
        <v>0</v>
      </c>
      <c r="P2125" s="142">
        <f>'Aug-Apr, 2023'!BQ27</f>
        <v>0</v>
      </c>
      <c r="Q2125" s="142">
        <f>'Aug-Apr, 2023'!BR27</f>
        <v>5400</v>
      </c>
    </row>
    <row r="2126" spans="1:17">
      <c r="A2126" t="s">
        <v>48</v>
      </c>
      <c r="B2126" t="s">
        <v>24</v>
      </c>
      <c r="C2126">
        <v>4</v>
      </c>
      <c r="D2126">
        <v>2023</v>
      </c>
      <c r="E2126" s="49" t="s">
        <v>154</v>
      </c>
      <c r="F2126" s="49" t="s">
        <v>163</v>
      </c>
      <c r="G2126">
        <f>'Aug-Apr, 2023'!BK28+'Aug-Apr, 2023'!BL28</f>
        <v>49</v>
      </c>
      <c r="H2126">
        <f>'Aug-Apr, 2023'!BM28</f>
        <v>0</v>
      </c>
      <c r="I2126">
        <f>'Aug-Apr, 2023'!BN28</f>
        <v>20</v>
      </c>
      <c r="J2126">
        <f>G2126*Parameters!$B$2*Parameters!$B$5</f>
        <v>104.32589999999999</v>
      </c>
      <c r="K2126">
        <f>H2126*Parameters!$B$3*Parameters!$B$6</f>
        <v>0</v>
      </c>
      <c r="L2126">
        <f>I2126*Parameters!$B$4*Parameters!$B$7</f>
        <v>161.928</v>
      </c>
      <c r="M2126">
        <f t="shared" si="33"/>
        <v>266.25389999999999</v>
      </c>
      <c r="N2126" s="142">
        <f>'Aug-Apr, 2023'!BO28</f>
        <v>4900</v>
      </c>
      <c r="O2126" s="142">
        <f>'Aug-Apr, 2023'!BP28</f>
        <v>0</v>
      </c>
      <c r="P2126" s="142">
        <f>'Aug-Apr, 2023'!BQ28</f>
        <v>0</v>
      </c>
      <c r="Q2126" s="142">
        <f>'Aug-Apr, 2023'!BR28</f>
        <v>6000</v>
      </c>
    </row>
    <row r="2127" spans="1:17">
      <c r="A2127" t="s">
        <v>49</v>
      </c>
      <c r="B2127" t="s">
        <v>38</v>
      </c>
      <c r="C2127">
        <v>2</v>
      </c>
      <c r="D2127">
        <v>2023</v>
      </c>
      <c r="E2127" s="49" t="s">
        <v>154</v>
      </c>
      <c r="F2127" s="49" t="s">
        <v>163</v>
      </c>
      <c r="G2127">
        <f>'Aug-Apr, 2023'!BK29+'Aug-Apr, 2023'!BL29</f>
        <v>52</v>
      </c>
      <c r="H2127">
        <f>'Aug-Apr, 2023'!BM29</f>
        <v>0</v>
      </c>
      <c r="I2127">
        <f>'Aug-Apr, 2023'!BN29</f>
        <v>20</v>
      </c>
      <c r="J2127">
        <f>G2127*Parameters!$B$2*Parameters!$B$5</f>
        <v>110.71319999999999</v>
      </c>
      <c r="K2127">
        <f>H2127*Parameters!$B$3*Parameters!$B$6</f>
        <v>0</v>
      </c>
      <c r="L2127">
        <f>I2127*Parameters!$B$4*Parameters!$B$7</f>
        <v>161.928</v>
      </c>
      <c r="M2127">
        <f t="shared" si="33"/>
        <v>272.64119999999997</v>
      </c>
      <c r="N2127" s="142">
        <f>'Aug-Apr, 2023'!BO29</f>
        <v>5200</v>
      </c>
      <c r="O2127" s="142">
        <f>'Aug-Apr, 2023'!BP29</f>
        <v>0</v>
      </c>
      <c r="P2127" s="142">
        <f>'Aug-Apr, 2023'!BQ29</f>
        <v>0</v>
      </c>
      <c r="Q2127" s="142">
        <f>'Aug-Apr, 2023'!BR29</f>
        <v>6000</v>
      </c>
    </row>
    <row r="2128" spans="1:17">
      <c r="A2128" t="s">
        <v>50</v>
      </c>
      <c r="B2128" t="s">
        <v>19</v>
      </c>
      <c r="C2128">
        <v>8</v>
      </c>
      <c r="D2128">
        <v>2023</v>
      </c>
      <c r="E2128" s="49" t="s">
        <v>154</v>
      </c>
      <c r="F2128" s="49" t="s">
        <v>163</v>
      </c>
      <c r="G2128">
        <f>'Aug-Apr, 2023'!BK30+'Aug-Apr, 2023'!BL30</f>
        <v>50</v>
      </c>
      <c r="H2128">
        <f>'Aug-Apr, 2023'!BM30</f>
        <v>0</v>
      </c>
      <c r="I2128">
        <f>'Aug-Apr, 2023'!BN30</f>
        <v>18</v>
      </c>
      <c r="J2128">
        <f>G2128*Parameters!$B$2*Parameters!$B$5</f>
        <v>106.45499999999998</v>
      </c>
      <c r="K2128">
        <f>H2128*Parameters!$B$3*Parameters!$B$6</f>
        <v>0</v>
      </c>
      <c r="L2128">
        <f>I2128*Parameters!$B$4*Parameters!$B$7</f>
        <v>145.73520000000002</v>
      </c>
      <c r="M2128">
        <f t="shared" si="33"/>
        <v>252.1902</v>
      </c>
      <c r="N2128" s="142">
        <f>'Aug-Apr, 2023'!BO30</f>
        <v>5000</v>
      </c>
      <c r="O2128" s="142">
        <f>'Aug-Apr, 2023'!BP30</f>
        <v>0</v>
      </c>
      <c r="P2128" s="142">
        <f>'Aug-Apr, 2023'!BQ30</f>
        <v>0</v>
      </c>
      <c r="Q2128" s="142">
        <f>'Aug-Apr, 2023'!BR30</f>
        <v>5400</v>
      </c>
    </row>
    <row r="2129" spans="1:17">
      <c r="A2129" t="s">
        <v>51</v>
      </c>
      <c r="B2129" t="s">
        <v>19</v>
      </c>
      <c r="C2129">
        <v>6</v>
      </c>
      <c r="D2129">
        <v>2023</v>
      </c>
      <c r="E2129" s="49" t="s">
        <v>154</v>
      </c>
      <c r="F2129" s="49" t="s">
        <v>163</v>
      </c>
      <c r="G2129">
        <f>'Aug-Apr, 2023'!BK31+'Aug-Apr, 2023'!BL31</f>
        <v>49</v>
      </c>
      <c r="H2129">
        <f>'Aug-Apr, 2023'!BM31</f>
        <v>0</v>
      </c>
      <c r="I2129">
        <f>'Aug-Apr, 2023'!BN31</f>
        <v>20</v>
      </c>
      <c r="J2129">
        <f>G2129*Parameters!$B$2*Parameters!$B$5</f>
        <v>104.32589999999999</v>
      </c>
      <c r="K2129">
        <f>H2129*Parameters!$B$3*Parameters!$B$6</f>
        <v>0</v>
      </c>
      <c r="L2129">
        <f>I2129*Parameters!$B$4*Parameters!$B$7</f>
        <v>161.928</v>
      </c>
      <c r="M2129">
        <f t="shared" si="33"/>
        <v>266.25389999999999</v>
      </c>
      <c r="N2129" s="142">
        <f>'Aug-Apr, 2023'!BO31</f>
        <v>4900</v>
      </c>
      <c r="O2129" s="142">
        <f>'Aug-Apr, 2023'!BP31</f>
        <v>0</v>
      </c>
      <c r="P2129" s="142">
        <f>'Aug-Apr, 2023'!BQ31</f>
        <v>0</v>
      </c>
      <c r="Q2129" s="142">
        <f>'Aug-Apr, 2023'!BR31</f>
        <v>6000</v>
      </c>
    </row>
    <row r="2130" spans="1:17">
      <c r="A2130" t="s">
        <v>52</v>
      </c>
      <c r="B2130" t="s">
        <v>38</v>
      </c>
      <c r="C2130">
        <v>12</v>
      </c>
      <c r="D2130">
        <v>2023</v>
      </c>
      <c r="E2130" s="49" t="s">
        <v>154</v>
      </c>
      <c r="F2130" s="49" t="s">
        <v>163</v>
      </c>
      <c r="G2130">
        <f>'Aug-Apr, 2023'!BK32+'Aug-Apr, 2023'!BL32</f>
        <v>60</v>
      </c>
      <c r="H2130">
        <f>'Aug-Apr, 2023'!BM32</f>
        <v>0</v>
      </c>
      <c r="I2130">
        <f>'Aug-Apr, 2023'!BN32</f>
        <v>18</v>
      </c>
      <c r="J2130">
        <f>G2130*Parameters!$B$2*Parameters!$B$5</f>
        <v>127.74599999999998</v>
      </c>
      <c r="K2130">
        <f>H2130*Parameters!$B$3*Parameters!$B$6</f>
        <v>0</v>
      </c>
      <c r="L2130">
        <f>I2130*Parameters!$B$4*Parameters!$B$7</f>
        <v>145.73520000000002</v>
      </c>
      <c r="M2130">
        <f t="shared" si="33"/>
        <v>273.4812</v>
      </c>
      <c r="N2130" s="142">
        <f>'Aug-Apr, 2023'!BO32</f>
        <v>6000</v>
      </c>
      <c r="O2130" s="142">
        <f>'Aug-Apr, 2023'!BP32</f>
        <v>0</v>
      </c>
      <c r="P2130" s="142">
        <f>'Aug-Apr, 2023'!BQ32</f>
        <v>0</v>
      </c>
      <c r="Q2130" s="142">
        <f>'Aug-Apr, 2023'!BR32</f>
        <v>5400</v>
      </c>
    </row>
    <row r="2131" spans="1:17">
      <c r="A2131" t="s">
        <v>53</v>
      </c>
      <c r="B2131" t="s">
        <v>40</v>
      </c>
      <c r="C2131">
        <v>8</v>
      </c>
      <c r="D2131">
        <v>2023</v>
      </c>
      <c r="E2131" s="49" t="s">
        <v>154</v>
      </c>
      <c r="F2131" s="49" t="s">
        <v>163</v>
      </c>
      <c r="G2131">
        <f>'Aug-Apr, 2023'!BK33+'Aug-Apr, 2023'!BL33</f>
        <v>53</v>
      </c>
      <c r="H2131">
        <f>'Aug-Apr, 2023'!BM33</f>
        <v>0</v>
      </c>
      <c r="I2131">
        <f>'Aug-Apr, 2023'!BN33</f>
        <v>19</v>
      </c>
      <c r="J2131">
        <f>G2131*Parameters!$B$2*Parameters!$B$5</f>
        <v>112.84229999999998</v>
      </c>
      <c r="K2131">
        <f>H2131*Parameters!$B$3*Parameters!$B$6</f>
        <v>0</v>
      </c>
      <c r="L2131">
        <f>I2131*Parameters!$B$4*Parameters!$B$7</f>
        <v>153.83160000000001</v>
      </c>
      <c r="M2131">
        <f t="shared" si="33"/>
        <v>266.6739</v>
      </c>
      <c r="N2131" s="142">
        <f>'Aug-Apr, 2023'!BO33</f>
        <v>5300</v>
      </c>
      <c r="O2131" s="142">
        <f>'Aug-Apr, 2023'!BP33</f>
        <v>0</v>
      </c>
      <c r="P2131" s="142">
        <f>'Aug-Apr, 2023'!BQ33</f>
        <v>0</v>
      </c>
      <c r="Q2131" s="142">
        <f>'Aug-Apr, 2023'!BR33</f>
        <v>5700</v>
      </c>
    </row>
    <row r="2132" spans="1:17">
      <c r="A2132" t="s">
        <v>54</v>
      </c>
      <c r="B2132" t="s">
        <v>40</v>
      </c>
      <c r="C2132">
        <v>6</v>
      </c>
      <c r="D2132">
        <v>2023</v>
      </c>
      <c r="E2132" s="49" t="s">
        <v>154</v>
      </c>
      <c r="F2132" s="49" t="s">
        <v>163</v>
      </c>
      <c r="G2132">
        <f>'Aug-Apr, 2023'!BK34+'Aug-Apr, 2023'!BL34</f>
        <v>51</v>
      </c>
      <c r="H2132">
        <f>'Aug-Apr, 2023'!BM34</f>
        <v>0</v>
      </c>
      <c r="I2132">
        <f>'Aug-Apr, 2023'!BN34</f>
        <v>20</v>
      </c>
      <c r="J2132">
        <f>G2132*Parameters!$B$2*Parameters!$B$5</f>
        <v>108.58409999999999</v>
      </c>
      <c r="K2132">
        <f>H2132*Parameters!$B$3*Parameters!$B$6</f>
        <v>0</v>
      </c>
      <c r="L2132">
        <f>I2132*Parameters!$B$4*Parameters!$B$7</f>
        <v>161.928</v>
      </c>
      <c r="M2132">
        <f t="shared" si="33"/>
        <v>270.51209999999998</v>
      </c>
      <c r="N2132" s="142">
        <f>'Aug-Apr, 2023'!BO34</f>
        <v>5100</v>
      </c>
      <c r="O2132" s="142">
        <f>'Aug-Apr, 2023'!BP34</f>
        <v>0</v>
      </c>
      <c r="P2132" s="142">
        <f>'Aug-Apr, 2023'!BQ34</f>
        <v>0</v>
      </c>
      <c r="Q2132" s="142">
        <f>'Aug-Apr, 2023'!BR34</f>
        <v>6000</v>
      </c>
    </row>
    <row r="2133" spans="1:17">
      <c r="A2133" t="s">
        <v>55</v>
      </c>
      <c r="B2133" t="s">
        <v>56</v>
      </c>
      <c r="C2133">
        <v>4</v>
      </c>
      <c r="D2133">
        <v>2023</v>
      </c>
      <c r="E2133" s="49" t="s">
        <v>154</v>
      </c>
      <c r="F2133" s="49" t="s">
        <v>163</v>
      </c>
      <c r="G2133">
        <f>'Aug-Apr, 2023'!BK35+'Aug-Apr, 2023'!BL35</f>
        <v>52</v>
      </c>
      <c r="H2133">
        <f>'Aug-Apr, 2023'!BM35</f>
        <v>0</v>
      </c>
      <c r="I2133">
        <f>'Aug-Apr, 2023'!BN35</f>
        <v>20</v>
      </c>
      <c r="J2133">
        <f>G2133*Parameters!$B$2*Parameters!$B$5</f>
        <v>110.71319999999999</v>
      </c>
      <c r="K2133">
        <f>H2133*Parameters!$B$3*Parameters!$B$6</f>
        <v>0</v>
      </c>
      <c r="L2133">
        <f>I2133*Parameters!$B$4*Parameters!$B$7</f>
        <v>161.928</v>
      </c>
      <c r="M2133">
        <f t="shared" si="33"/>
        <v>272.64119999999997</v>
      </c>
      <c r="N2133" s="142">
        <f>'Aug-Apr, 2023'!BO35</f>
        <v>5200</v>
      </c>
      <c r="O2133" s="142">
        <f>'Aug-Apr, 2023'!BP35</f>
        <v>0</v>
      </c>
      <c r="P2133" s="142">
        <f>'Aug-Apr, 2023'!BQ35</f>
        <v>0</v>
      </c>
      <c r="Q2133" s="142">
        <f>'Aug-Apr, 2023'!BR35</f>
        <v>6000</v>
      </c>
    </row>
    <row r="2134" spans="1:17">
      <c r="A2134" t="s">
        <v>57</v>
      </c>
      <c r="B2134" t="s">
        <v>40</v>
      </c>
      <c r="C2134">
        <v>4</v>
      </c>
      <c r="D2134">
        <v>2023</v>
      </c>
      <c r="E2134" s="49" t="s">
        <v>154</v>
      </c>
      <c r="F2134" s="49" t="s">
        <v>163</v>
      </c>
      <c r="G2134">
        <f>'Aug-Apr, 2023'!BK36+'Aug-Apr, 2023'!BL36</f>
        <v>55</v>
      </c>
      <c r="H2134">
        <f>'Aug-Apr, 2023'!BM36</f>
        <v>0</v>
      </c>
      <c r="I2134">
        <f>'Aug-Apr, 2023'!BN36</f>
        <v>20</v>
      </c>
      <c r="J2134">
        <f>G2134*Parameters!$B$2*Parameters!$B$5</f>
        <v>117.10049999999998</v>
      </c>
      <c r="K2134">
        <f>H2134*Parameters!$B$3*Parameters!$B$6</f>
        <v>0</v>
      </c>
      <c r="L2134">
        <f>I2134*Parameters!$B$4*Parameters!$B$7</f>
        <v>161.928</v>
      </c>
      <c r="M2134">
        <f t="shared" si="33"/>
        <v>279.02850000000001</v>
      </c>
      <c r="N2134" s="142">
        <f>'Aug-Apr, 2023'!BO36</f>
        <v>5500</v>
      </c>
      <c r="O2134" s="142">
        <f>'Aug-Apr, 2023'!BP36</f>
        <v>0</v>
      </c>
      <c r="P2134" s="142">
        <f>'Aug-Apr, 2023'!BQ36</f>
        <v>0</v>
      </c>
      <c r="Q2134" s="142">
        <f>'Aug-Apr, 2023'!BR36</f>
        <v>6000</v>
      </c>
    </row>
    <row r="2135" spans="1:17">
      <c r="A2135" t="s">
        <v>58</v>
      </c>
      <c r="B2135" t="s">
        <v>26</v>
      </c>
      <c r="C2135">
        <v>6</v>
      </c>
      <c r="D2135">
        <v>2023</v>
      </c>
      <c r="E2135" s="49" t="s">
        <v>154</v>
      </c>
      <c r="F2135" s="49" t="s">
        <v>163</v>
      </c>
      <c r="G2135">
        <f>'Aug-Apr, 2023'!BK37+'Aug-Apr, 2023'!BL37</f>
        <v>62</v>
      </c>
      <c r="H2135">
        <f>'Aug-Apr, 2023'!BM37</f>
        <v>0</v>
      </c>
      <c r="I2135">
        <f>'Aug-Apr, 2023'!BN37</f>
        <v>16</v>
      </c>
      <c r="J2135">
        <f>G2135*Parameters!$B$2*Parameters!$B$5</f>
        <v>132.00419999999997</v>
      </c>
      <c r="K2135">
        <f>H2135*Parameters!$B$3*Parameters!$B$6</f>
        <v>0</v>
      </c>
      <c r="L2135">
        <f>I2135*Parameters!$B$4*Parameters!$B$7</f>
        <v>129.54240000000001</v>
      </c>
      <c r="M2135">
        <f t="shared" si="33"/>
        <v>261.54660000000001</v>
      </c>
      <c r="N2135" s="142">
        <f>'Aug-Apr, 2023'!BO37</f>
        <v>6200</v>
      </c>
      <c r="O2135" s="142">
        <f>'Aug-Apr, 2023'!BP37</f>
        <v>0</v>
      </c>
      <c r="P2135" s="142">
        <f>'Aug-Apr, 2023'!BQ37</f>
        <v>0</v>
      </c>
      <c r="Q2135" s="142">
        <f>'Aug-Apr, 2023'!BR37</f>
        <v>4800</v>
      </c>
    </row>
    <row r="2136" spans="1:17">
      <c r="A2136" t="s">
        <v>59</v>
      </c>
      <c r="B2136" t="s">
        <v>26</v>
      </c>
      <c r="C2136">
        <v>7</v>
      </c>
      <c r="D2136">
        <v>2023</v>
      </c>
      <c r="E2136" s="49" t="s">
        <v>154</v>
      </c>
      <c r="F2136" s="49" t="s">
        <v>163</v>
      </c>
      <c r="G2136">
        <f>'Aug-Apr, 2023'!BK38+'Aug-Apr, 2023'!BL38</f>
        <v>46</v>
      </c>
      <c r="H2136">
        <f>'Aug-Apr, 2023'!BM38</f>
        <v>0</v>
      </c>
      <c r="I2136">
        <f>'Aug-Apr, 2023'!BN38</f>
        <v>20</v>
      </c>
      <c r="J2136">
        <f>G2136*Parameters!$B$2*Parameters!$B$5</f>
        <v>97.938599999999994</v>
      </c>
      <c r="K2136">
        <f>H2136*Parameters!$B$3*Parameters!$B$6</f>
        <v>0</v>
      </c>
      <c r="L2136">
        <f>I2136*Parameters!$B$4*Parameters!$B$7</f>
        <v>161.928</v>
      </c>
      <c r="M2136">
        <f t="shared" si="33"/>
        <v>259.86660000000001</v>
      </c>
      <c r="N2136" s="142">
        <f>'Aug-Apr, 2023'!BO38</f>
        <v>4600</v>
      </c>
      <c r="O2136" s="142">
        <f>'Aug-Apr, 2023'!BP38</f>
        <v>0</v>
      </c>
      <c r="P2136" s="142">
        <f>'Aug-Apr, 2023'!BQ38</f>
        <v>0</v>
      </c>
      <c r="Q2136" s="142">
        <f>'Aug-Apr, 2023'!BR38</f>
        <v>6000</v>
      </c>
    </row>
    <row r="2137" spans="1:17">
      <c r="A2137" t="s">
        <v>60</v>
      </c>
      <c r="B2137" t="s">
        <v>26</v>
      </c>
      <c r="C2137">
        <v>8</v>
      </c>
      <c r="D2137">
        <v>2023</v>
      </c>
      <c r="E2137" s="49" t="s">
        <v>154</v>
      </c>
      <c r="F2137" s="49" t="s">
        <v>163</v>
      </c>
      <c r="G2137">
        <f>'Aug-Apr, 2023'!BK39+'Aug-Apr, 2023'!BL39</f>
        <v>50</v>
      </c>
      <c r="H2137">
        <f>'Aug-Apr, 2023'!BM39</f>
        <v>0</v>
      </c>
      <c r="I2137">
        <f>'Aug-Apr, 2023'!BN39</f>
        <v>20</v>
      </c>
      <c r="J2137">
        <f>G2137*Parameters!$B$2*Parameters!$B$5</f>
        <v>106.45499999999998</v>
      </c>
      <c r="K2137">
        <f>H2137*Parameters!$B$3*Parameters!$B$6</f>
        <v>0</v>
      </c>
      <c r="L2137">
        <f>I2137*Parameters!$B$4*Parameters!$B$7</f>
        <v>161.928</v>
      </c>
      <c r="M2137">
        <f t="shared" si="33"/>
        <v>268.38299999999998</v>
      </c>
      <c r="N2137" s="142">
        <f>'Aug-Apr, 2023'!BO39</f>
        <v>5000</v>
      </c>
      <c r="O2137" s="142">
        <f>'Aug-Apr, 2023'!BP39</f>
        <v>0</v>
      </c>
      <c r="P2137" s="142">
        <f>'Aug-Apr, 2023'!BQ39</f>
        <v>0</v>
      </c>
      <c r="Q2137" s="142">
        <f>'Aug-Apr, 2023'!BR39</f>
        <v>6000</v>
      </c>
    </row>
    <row r="2138" spans="1:17">
      <c r="A2138" t="s">
        <v>61</v>
      </c>
      <c r="B2138" t="s">
        <v>56</v>
      </c>
      <c r="C2138">
        <v>5</v>
      </c>
      <c r="D2138">
        <v>2023</v>
      </c>
      <c r="E2138" s="49" t="s">
        <v>154</v>
      </c>
      <c r="F2138" s="49" t="s">
        <v>163</v>
      </c>
      <c r="G2138">
        <f>'Aug-Apr, 2023'!BK40+'Aug-Apr, 2023'!BL40</f>
        <v>62</v>
      </c>
      <c r="H2138">
        <f>'Aug-Apr, 2023'!BM40</f>
        <v>0</v>
      </c>
      <c r="I2138">
        <f>'Aug-Apr, 2023'!BN40</f>
        <v>18</v>
      </c>
      <c r="J2138">
        <f>G2138*Parameters!$B$2*Parameters!$B$5</f>
        <v>132.00419999999997</v>
      </c>
      <c r="K2138">
        <f>H2138*Parameters!$B$3*Parameters!$B$6</f>
        <v>0</v>
      </c>
      <c r="L2138">
        <f>I2138*Parameters!$B$4*Parameters!$B$7</f>
        <v>145.73520000000002</v>
      </c>
      <c r="M2138">
        <f t="shared" si="33"/>
        <v>277.73939999999999</v>
      </c>
      <c r="N2138" s="142">
        <f>'Aug-Apr, 2023'!BO40</f>
        <v>6200</v>
      </c>
      <c r="O2138" s="142">
        <f>'Aug-Apr, 2023'!BP40</f>
        <v>0</v>
      </c>
      <c r="P2138" s="142">
        <f>'Aug-Apr, 2023'!BQ40</f>
        <v>0</v>
      </c>
      <c r="Q2138" s="142">
        <f>'Aug-Apr, 2023'!BR40</f>
        <v>5400</v>
      </c>
    </row>
    <row r="2139" spans="1:17">
      <c r="A2139" t="s">
        <v>62</v>
      </c>
      <c r="B2139" t="s">
        <v>21</v>
      </c>
      <c r="C2139">
        <v>6</v>
      </c>
      <c r="D2139">
        <v>2023</v>
      </c>
      <c r="E2139" s="49" t="s">
        <v>154</v>
      </c>
      <c r="F2139" s="49" t="s">
        <v>163</v>
      </c>
      <c r="G2139">
        <f>'Aug-Apr, 2023'!BK41+'Aug-Apr, 2023'!BL41</f>
        <v>48</v>
      </c>
      <c r="H2139">
        <f>'Aug-Apr, 2023'!BM41</f>
        <v>0</v>
      </c>
      <c r="I2139">
        <f>'Aug-Apr, 2023'!BN41</f>
        <v>20</v>
      </c>
      <c r="J2139">
        <f>G2139*Parameters!$B$2*Parameters!$B$5</f>
        <v>102.19679999999998</v>
      </c>
      <c r="K2139">
        <f>H2139*Parameters!$B$3*Parameters!$B$6</f>
        <v>0</v>
      </c>
      <c r="L2139">
        <f>I2139*Parameters!$B$4*Parameters!$B$7</f>
        <v>161.928</v>
      </c>
      <c r="M2139">
        <f t="shared" si="33"/>
        <v>264.12479999999999</v>
      </c>
      <c r="N2139" s="142">
        <f>'Aug-Apr, 2023'!BO41</f>
        <v>4800</v>
      </c>
      <c r="O2139" s="142">
        <f>'Aug-Apr, 2023'!BP41</f>
        <v>0</v>
      </c>
      <c r="P2139" s="142">
        <f>'Aug-Apr, 2023'!BQ41</f>
        <v>0</v>
      </c>
      <c r="Q2139" s="142">
        <f>'Aug-Apr, 2023'!BR41</f>
        <v>6000</v>
      </c>
    </row>
    <row r="2140" spans="1:17">
      <c r="A2140" t="s">
        <v>63</v>
      </c>
      <c r="B2140" t="s">
        <v>21</v>
      </c>
      <c r="C2140">
        <v>9</v>
      </c>
      <c r="D2140">
        <v>2023</v>
      </c>
      <c r="E2140" s="49" t="s">
        <v>154</v>
      </c>
      <c r="F2140" s="49" t="s">
        <v>163</v>
      </c>
      <c r="G2140">
        <f>'Aug-Apr, 2023'!BK42+'Aug-Apr, 2023'!BL42</f>
        <v>52</v>
      </c>
      <c r="H2140">
        <f>'Aug-Apr, 2023'!BM42</f>
        <v>0</v>
      </c>
      <c r="I2140">
        <f>'Aug-Apr, 2023'!BN42</f>
        <v>20</v>
      </c>
      <c r="J2140">
        <f>G2140*Parameters!$B$2*Parameters!$B$5</f>
        <v>110.71319999999999</v>
      </c>
      <c r="K2140">
        <f>H2140*Parameters!$B$3*Parameters!$B$6</f>
        <v>0</v>
      </c>
      <c r="L2140">
        <f>I2140*Parameters!$B$4*Parameters!$B$7</f>
        <v>161.928</v>
      </c>
      <c r="M2140">
        <f t="shared" si="33"/>
        <v>272.64119999999997</v>
      </c>
      <c r="N2140" s="142">
        <f>'Aug-Apr, 2023'!BO42</f>
        <v>5200</v>
      </c>
      <c r="O2140" s="142">
        <f>'Aug-Apr, 2023'!BP42</f>
        <v>0</v>
      </c>
      <c r="P2140" s="142">
        <f>'Aug-Apr, 2023'!BQ42</f>
        <v>0</v>
      </c>
      <c r="Q2140" s="142">
        <f>'Aug-Apr, 2023'!BR42</f>
        <v>6000</v>
      </c>
    </row>
    <row r="2141" spans="1:17">
      <c r="A2141" t="s">
        <v>64</v>
      </c>
      <c r="B2141" t="s">
        <v>65</v>
      </c>
      <c r="C2141">
        <v>3</v>
      </c>
      <c r="D2141">
        <v>2023</v>
      </c>
      <c r="E2141" s="49" t="s">
        <v>154</v>
      </c>
      <c r="F2141" s="49" t="s">
        <v>163</v>
      </c>
      <c r="G2141">
        <f>'Aug-Apr, 2023'!BK43+'Aug-Apr, 2023'!BL43</f>
        <v>104</v>
      </c>
      <c r="H2141">
        <f>'Aug-Apr, 2023'!BM43</f>
        <v>0</v>
      </c>
      <c r="I2141">
        <f>'Aug-Apr, 2023'!BN43</f>
        <v>10</v>
      </c>
      <c r="J2141">
        <f>G2141*Parameters!$B$2*Parameters!$B$5</f>
        <v>221.42639999999997</v>
      </c>
      <c r="K2141">
        <f>H2141*Parameters!$B$3*Parameters!$B$6</f>
        <v>0</v>
      </c>
      <c r="L2141">
        <f>I2141*Parameters!$B$4*Parameters!$B$7</f>
        <v>80.963999999999999</v>
      </c>
      <c r="M2141">
        <f t="shared" si="33"/>
        <v>302.3904</v>
      </c>
      <c r="N2141" s="142">
        <f>'Aug-Apr, 2023'!BO43</f>
        <v>5400</v>
      </c>
      <c r="O2141" s="142">
        <f>'Aug-Apr, 2023'!BP43</f>
        <v>5000</v>
      </c>
      <c r="P2141" s="142">
        <f>'Aug-Apr, 2023'!BQ43</f>
        <v>0</v>
      </c>
      <c r="Q2141" s="142">
        <f>'Aug-Apr, 2023'!BR43</f>
        <v>3000</v>
      </c>
    </row>
    <row r="2142" spans="1:17">
      <c r="A2142" t="s">
        <v>66</v>
      </c>
      <c r="B2142" t="s">
        <v>24</v>
      </c>
      <c r="C2142">
        <v>4</v>
      </c>
      <c r="D2142">
        <v>2023</v>
      </c>
      <c r="E2142" s="49" t="s">
        <v>154</v>
      </c>
      <c r="F2142" s="49" t="s">
        <v>163</v>
      </c>
      <c r="G2142">
        <f>'Aug-Apr, 2023'!BK44+'Aug-Apr, 2023'!BL44</f>
        <v>55</v>
      </c>
      <c r="H2142">
        <f>'Aug-Apr, 2023'!BM44</f>
        <v>0</v>
      </c>
      <c r="I2142">
        <f>'Aug-Apr, 2023'!BN44</f>
        <v>18</v>
      </c>
      <c r="J2142">
        <f>G2142*Parameters!$B$2*Parameters!$B$5</f>
        <v>117.10049999999998</v>
      </c>
      <c r="K2142">
        <f>H2142*Parameters!$B$3*Parameters!$B$6</f>
        <v>0</v>
      </c>
      <c r="L2142">
        <f>I2142*Parameters!$B$4*Parameters!$B$7</f>
        <v>145.73520000000002</v>
      </c>
      <c r="M2142">
        <f t="shared" si="33"/>
        <v>262.83569999999997</v>
      </c>
      <c r="N2142" s="142">
        <f>'Aug-Apr, 2023'!BO44</f>
        <v>5500</v>
      </c>
      <c r="O2142" s="142">
        <f>'Aug-Apr, 2023'!BP44</f>
        <v>0</v>
      </c>
      <c r="P2142" s="142">
        <f>'Aug-Apr, 2023'!BQ44</f>
        <v>0</v>
      </c>
      <c r="Q2142" s="142">
        <f>'Aug-Apr, 2023'!BR44</f>
        <v>5400</v>
      </c>
    </row>
    <row r="2143" spans="1:17">
      <c r="A2143" t="s">
        <v>67</v>
      </c>
      <c r="B2143" t="s">
        <v>56</v>
      </c>
      <c r="C2143">
        <v>6</v>
      </c>
      <c r="D2143">
        <v>2023</v>
      </c>
      <c r="E2143" s="49" t="s">
        <v>154</v>
      </c>
      <c r="F2143" s="49" t="s">
        <v>163</v>
      </c>
      <c r="G2143">
        <f>'Aug-Apr, 2023'!BK45+'Aug-Apr, 2023'!BL45</f>
        <v>52</v>
      </c>
      <c r="H2143">
        <f>'Aug-Apr, 2023'!BM45</f>
        <v>0</v>
      </c>
      <c r="I2143">
        <f>'Aug-Apr, 2023'!BN45</f>
        <v>20</v>
      </c>
      <c r="J2143">
        <f>G2143*Parameters!$B$2*Parameters!$B$5</f>
        <v>110.71319999999999</v>
      </c>
      <c r="K2143">
        <f>H2143*Parameters!$B$3*Parameters!$B$6</f>
        <v>0</v>
      </c>
      <c r="L2143">
        <f>I2143*Parameters!$B$4*Parameters!$B$7</f>
        <v>161.928</v>
      </c>
      <c r="M2143">
        <f t="shared" si="33"/>
        <v>272.64119999999997</v>
      </c>
      <c r="N2143" s="142">
        <f>'Aug-Apr, 2023'!BO45</f>
        <v>5200</v>
      </c>
      <c r="O2143" s="142">
        <f>'Aug-Apr, 2023'!BP45</f>
        <v>0</v>
      </c>
      <c r="P2143" s="142">
        <f>'Aug-Apr, 2023'!BQ45</f>
        <v>0</v>
      </c>
      <c r="Q2143" s="142">
        <f>'Aug-Apr, 2023'!BR45</f>
        <v>6000</v>
      </c>
    </row>
    <row r="2144" spans="1:17">
      <c r="A2144" t="s">
        <v>68</v>
      </c>
      <c r="B2144" t="s">
        <v>21</v>
      </c>
      <c r="C2144">
        <v>4</v>
      </c>
      <c r="D2144">
        <v>2023</v>
      </c>
      <c r="E2144" s="49" t="s">
        <v>154</v>
      </c>
      <c r="F2144" s="49" t="s">
        <v>163</v>
      </c>
      <c r="G2144">
        <f>'Aug-Apr, 2023'!BK46+'Aug-Apr, 2023'!BL46</f>
        <v>55</v>
      </c>
      <c r="H2144">
        <f>'Aug-Apr, 2023'!BM46</f>
        <v>0</v>
      </c>
      <c r="I2144">
        <f>'Aug-Apr, 2023'!BN46</f>
        <v>15</v>
      </c>
      <c r="J2144">
        <f>G2144*Parameters!$B$2*Parameters!$B$5</f>
        <v>117.10049999999998</v>
      </c>
      <c r="K2144">
        <f>H2144*Parameters!$B$3*Parameters!$B$6</f>
        <v>0</v>
      </c>
      <c r="L2144">
        <f>I2144*Parameters!$B$4*Parameters!$B$7</f>
        <v>121.44600000000001</v>
      </c>
      <c r="M2144">
        <f t="shared" si="33"/>
        <v>238.54649999999998</v>
      </c>
      <c r="N2144" s="142">
        <f>'Aug-Apr, 2023'!BO46</f>
        <v>5500</v>
      </c>
      <c r="O2144" s="142">
        <f>'Aug-Apr, 2023'!BP46</f>
        <v>0</v>
      </c>
      <c r="P2144" s="142">
        <f>'Aug-Apr, 2023'!BQ46</f>
        <v>0</v>
      </c>
      <c r="Q2144" s="142">
        <f>'Aug-Apr, 2023'!BR46</f>
        <v>4500</v>
      </c>
    </row>
    <row r="2145" spans="1:17">
      <c r="A2145" t="s">
        <v>69</v>
      </c>
      <c r="B2145" t="s">
        <v>24</v>
      </c>
      <c r="C2145">
        <v>6</v>
      </c>
      <c r="D2145">
        <v>2023</v>
      </c>
      <c r="E2145" s="49" t="s">
        <v>154</v>
      </c>
      <c r="F2145" s="49" t="s">
        <v>163</v>
      </c>
      <c r="G2145">
        <f>'Aug-Apr, 2023'!BK47+'Aug-Apr, 2023'!BL47</f>
        <v>60</v>
      </c>
      <c r="H2145">
        <f>'Aug-Apr, 2023'!BM47</f>
        <v>0</v>
      </c>
      <c r="I2145">
        <f>'Aug-Apr, 2023'!BN47</f>
        <v>20</v>
      </c>
      <c r="J2145">
        <f>G2145*Parameters!$B$2*Parameters!$B$5</f>
        <v>127.74599999999998</v>
      </c>
      <c r="K2145">
        <f>H2145*Parameters!$B$3*Parameters!$B$6</f>
        <v>0</v>
      </c>
      <c r="L2145">
        <f>I2145*Parameters!$B$4*Parameters!$B$7</f>
        <v>161.928</v>
      </c>
      <c r="M2145">
        <f t="shared" si="33"/>
        <v>289.67399999999998</v>
      </c>
      <c r="N2145" s="142">
        <f>'Aug-Apr, 2023'!BO47</f>
        <v>6000</v>
      </c>
      <c r="O2145" s="142">
        <f>'Aug-Apr, 2023'!BP47</f>
        <v>0</v>
      </c>
      <c r="P2145" s="142">
        <f>'Aug-Apr, 2023'!BQ47</f>
        <v>0</v>
      </c>
      <c r="Q2145" s="142">
        <f>'Aug-Apr, 2023'!BR47</f>
        <v>6000</v>
      </c>
    </row>
    <row r="2146" spans="1:17">
      <c r="A2146" t="s">
        <v>70</v>
      </c>
      <c r="B2146" t="s">
        <v>26</v>
      </c>
      <c r="C2146">
        <v>6</v>
      </c>
      <c r="D2146">
        <v>2023</v>
      </c>
      <c r="E2146" s="49" t="s">
        <v>154</v>
      </c>
      <c r="F2146" s="49" t="s">
        <v>163</v>
      </c>
      <c r="G2146">
        <f>'Aug-Apr, 2023'!BK48+'Aug-Apr, 2023'!BL48</f>
        <v>39</v>
      </c>
      <c r="H2146">
        <f>'Aug-Apr, 2023'!BM48</f>
        <v>0</v>
      </c>
      <c r="I2146">
        <f>'Aug-Apr, 2023'!BN48</f>
        <v>18</v>
      </c>
      <c r="J2146">
        <f>G2146*Parameters!$B$2*Parameters!$B$5</f>
        <v>83.034899999999993</v>
      </c>
      <c r="K2146">
        <f>H2146*Parameters!$B$3*Parameters!$B$6</f>
        <v>0</v>
      </c>
      <c r="L2146">
        <f>I2146*Parameters!$B$4*Parameters!$B$7</f>
        <v>145.73520000000002</v>
      </c>
      <c r="M2146">
        <f t="shared" si="33"/>
        <v>228.77010000000001</v>
      </c>
      <c r="N2146" s="142">
        <f>'Aug-Apr, 2023'!BO48</f>
        <v>3900</v>
      </c>
      <c r="O2146" s="142">
        <f>'Aug-Apr, 2023'!BP48</f>
        <v>0</v>
      </c>
      <c r="P2146" s="142">
        <f>'Aug-Apr, 2023'!BQ48</f>
        <v>0</v>
      </c>
      <c r="Q2146" s="142">
        <f>'Aug-Apr, 2023'!BR48</f>
        <v>5400</v>
      </c>
    </row>
    <row r="2147" spans="1:17">
      <c r="A2147" t="s">
        <v>71</v>
      </c>
      <c r="B2147" t="s">
        <v>26</v>
      </c>
      <c r="C2147">
        <v>5</v>
      </c>
      <c r="D2147">
        <v>2023</v>
      </c>
      <c r="E2147" s="49" t="s">
        <v>154</v>
      </c>
      <c r="F2147" s="49" t="s">
        <v>163</v>
      </c>
      <c r="G2147">
        <f>'Aug-Apr, 2023'!BK49+'Aug-Apr, 2023'!BL49</f>
        <v>48</v>
      </c>
      <c r="H2147">
        <f>'Aug-Apr, 2023'!BM49</f>
        <v>0</v>
      </c>
      <c r="I2147">
        <f>'Aug-Apr, 2023'!BN49</f>
        <v>20</v>
      </c>
      <c r="J2147">
        <f>G2147*Parameters!$B$2*Parameters!$B$5</f>
        <v>102.19679999999998</v>
      </c>
      <c r="K2147">
        <f>H2147*Parameters!$B$3*Parameters!$B$6</f>
        <v>0</v>
      </c>
      <c r="L2147">
        <f>I2147*Parameters!$B$4*Parameters!$B$7</f>
        <v>161.928</v>
      </c>
      <c r="M2147">
        <f t="shared" si="33"/>
        <v>264.12479999999999</v>
      </c>
      <c r="N2147" s="142">
        <f>'Aug-Apr, 2023'!BO49</f>
        <v>4800</v>
      </c>
      <c r="O2147" s="142">
        <f>'Aug-Apr, 2023'!BP49</f>
        <v>0</v>
      </c>
      <c r="P2147" s="142">
        <f>'Aug-Apr, 2023'!BQ49</f>
        <v>0</v>
      </c>
      <c r="Q2147" s="142">
        <f>'Aug-Apr, 2023'!BR49</f>
        <v>6000</v>
      </c>
    </row>
    <row r="2148" spans="1:17">
      <c r="A2148" t="s">
        <v>72</v>
      </c>
      <c r="B2148" t="s">
        <v>26</v>
      </c>
      <c r="C2148">
        <v>8</v>
      </c>
      <c r="D2148">
        <v>2023</v>
      </c>
      <c r="E2148" s="49" t="s">
        <v>154</v>
      </c>
      <c r="F2148" s="49" t="s">
        <v>163</v>
      </c>
      <c r="G2148">
        <f>'Aug-Apr, 2023'!BK50+'Aug-Apr, 2023'!BL50</f>
        <v>51</v>
      </c>
      <c r="H2148">
        <f>'Aug-Apr, 2023'!BM50</f>
        <v>0</v>
      </c>
      <c r="I2148">
        <f>'Aug-Apr, 2023'!BN50</f>
        <v>18</v>
      </c>
      <c r="J2148">
        <f>G2148*Parameters!$B$2*Parameters!$B$5</f>
        <v>108.58409999999999</v>
      </c>
      <c r="K2148">
        <f>H2148*Parameters!$B$3*Parameters!$B$6</f>
        <v>0</v>
      </c>
      <c r="L2148">
        <f>I2148*Parameters!$B$4*Parameters!$B$7</f>
        <v>145.73520000000002</v>
      </c>
      <c r="M2148">
        <f t="shared" si="33"/>
        <v>254.3193</v>
      </c>
      <c r="N2148" s="142">
        <f>'Aug-Apr, 2023'!BO50</f>
        <v>5100</v>
      </c>
      <c r="O2148" s="142">
        <f>'Aug-Apr, 2023'!BP50</f>
        <v>0</v>
      </c>
      <c r="P2148" s="142">
        <f>'Aug-Apr, 2023'!BQ50</f>
        <v>0</v>
      </c>
      <c r="Q2148" s="142">
        <f>'Aug-Apr, 2023'!BR50</f>
        <v>5400</v>
      </c>
    </row>
    <row r="2149" spans="1:17">
      <c r="A2149" t="s">
        <v>73</v>
      </c>
      <c r="B2149" t="s">
        <v>17</v>
      </c>
      <c r="C2149">
        <v>4</v>
      </c>
      <c r="D2149">
        <v>2023</v>
      </c>
      <c r="E2149" s="49" t="s">
        <v>154</v>
      </c>
      <c r="F2149" s="49" t="s">
        <v>163</v>
      </c>
      <c r="G2149">
        <f>'Aug-Apr, 2023'!BK51+'Aug-Apr, 2023'!BL51</f>
        <v>55</v>
      </c>
      <c r="H2149">
        <f>'Aug-Apr, 2023'!BM51</f>
        <v>0</v>
      </c>
      <c r="I2149">
        <f>'Aug-Apr, 2023'!BN51</f>
        <v>20</v>
      </c>
      <c r="J2149">
        <f>G2149*Parameters!$B$2*Parameters!$B$5</f>
        <v>117.10049999999998</v>
      </c>
      <c r="K2149">
        <f>H2149*Parameters!$B$3*Parameters!$B$6</f>
        <v>0</v>
      </c>
      <c r="L2149">
        <f>I2149*Parameters!$B$4*Parameters!$B$7</f>
        <v>161.928</v>
      </c>
      <c r="M2149">
        <f t="shared" si="33"/>
        <v>279.02850000000001</v>
      </c>
      <c r="N2149" s="142">
        <f>'Aug-Apr, 2023'!BO51</f>
        <v>5500</v>
      </c>
      <c r="O2149" s="142">
        <f>'Aug-Apr, 2023'!BP51</f>
        <v>0</v>
      </c>
      <c r="P2149" s="142">
        <f>'Aug-Apr, 2023'!BQ51</f>
        <v>0</v>
      </c>
      <c r="Q2149" s="142">
        <f>'Aug-Apr, 2023'!BR51</f>
        <v>6000</v>
      </c>
    </row>
    <row r="2150" spans="1:17">
      <c r="A2150" t="s">
        <v>74</v>
      </c>
      <c r="B2150" t="s">
        <v>65</v>
      </c>
      <c r="C2150">
        <v>8</v>
      </c>
      <c r="D2150">
        <v>2023</v>
      </c>
      <c r="E2150" s="49" t="s">
        <v>154</v>
      </c>
      <c r="F2150" s="49" t="s">
        <v>163</v>
      </c>
      <c r="G2150">
        <f>'Aug-Apr, 2023'!BK52+'Aug-Apr, 2023'!BL52</f>
        <v>71</v>
      </c>
      <c r="H2150">
        <f>'Aug-Apr, 2023'!BM52</f>
        <v>8</v>
      </c>
      <c r="I2150">
        <f>'Aug-Apr, 2023'!BN52</f>
        <v>0</v>
      </c>
      <c r="J2150">
        <f>G2150*Parameters!$B$2*Parameters!$B$5</f>
        <v>151.16609999999997</v>
      </c>
      <c r="K2150">
        <f>H2150*Parameters!$B$3*Parameters!$B$6</f>
        <v>50.166399999999996</v>
      </c>
      <c r="L2150">
        <f>I2150*Parameters!$B$4*Parameters!$B$7</f>
        <v>0</v>
      </c>
      <c r="M2150">
        <f t="shared" si="33"/>
        <v>201.33249999999998</v>
      </c>
      <c r="N2150" s="142">
        <f>'Aug-Apr, 2023'!BO52</f>
        <v>3600</v>
      </c>
      <c r="O2150" s="142">
        <f>'Aug-Apr, 2023'!BP52</f>
        <v>3500</v>
      </c>
      <c r="P2150" s="142">
        <f>'Aug-Apr, 2023'!BQ52</f>
        <v>2400</v>
      </c>
      <c r="Q2150" s="142">
        <f>'Aug-Apr, 2023'!BR52</f>
        <v>0</v>
      </c>
    </row>
    <row r="2151" spans="1:17">
      <c r="A2151" t="s">
        <v>75</v>
      </c>
      <c r="B2151" t="s">
        <v>24</v>
      </c>
      <c r="C2151">
        <v>4</v>
      </c>
      <c r="D2151">
        <v>2023</v>
      </c>
      <c r="E2151" s="49" t="s">
        <v>154</v>
      </c>
      <c r="F2151" s="49" t="s">
        <v>163</v>
      </c>
      <c r="G2151">
        <f>'Aug-Apr, 2023'!BK53+'Aug-Apr, 2023'!BL53</f>
        <v>49</v>
      </c>
      <c r="H2151">
        <f>'Aug-Apr, 2023'!BM53</f>
        <v>0</v>
      </c>
      <c r="I2151">
        <f>'Aug-Apr, 2023'!BN53</f>
        <v>20</v>
      </c>
      <c r="J2151">
        <f>G2151*Parameters!$B$2*Parameters!$B$5</f>
        <v>104.32589999999999</v>
      </c>
      <c r="K2151">
        <f>H2151*Parameters!$B$3*Parameters!$B$6</f>
        <v>0</v>
      </c>
      <c r="L2151">
        <f>I2151*Parameters!$B$4*Parameters!$B$7</f>
        <v>161.928</v>
      </c>
      <c r="M2151">
        <f t="shared" si="33"/>
        <v>266.25389999999999</v>
      </c>
      <c r="N2151" s="142">
        <f>'Aug-Apr, 2023'!BO53</f>
        <v>4900</v>
      </c>
      <c r="O2151" s="142">
        <f>'Aug-Apr, 2023'!BP53</f>
        <v>0</v>
      </c>
      <c r="P2151" s="142">
        <f>'Aug-Apr, 2023'!BQ53</f>
        <v>0</v>
      </c>
      <c r="Q2151" s="142">
        <f>'Aug-Apr, 2023'!BR53</f>
        <v>6000</v>
      </c>
    </row>
    <row r="2152" spans="1:17">
      <c r="A2152" t="s">
        <v>76</v>
      </c>
      <c r="B2152" t="s">
        <v>56</v>
      </c>
      <c r="C2152">
        <v>4</v>
      </c>
      <c r="D2152">
        <v>2023</v>
      </c>
      <c r="E2152" s="49" t="s">
        <v>154</v>
      </c>
      <c r="F2152" s="49" t="s">
        <v>163</v>
      </c>
      <c r="G2152">
        <f>'Aug-Apr, 2023'!BK54+'Aug-Apr, 2023'!BL54</f>
        <v>53</v>
      </c>
      <c r="H2152">
        <f>'Aug-Apr, 2023'!BM54</f>
        <v>0</v>
      </c>
      <c r="I2152">
        <f>'Aug-Apr, 2023'!BN54</f>
        <v>18</v>
      </c>
      <c r="J2152">
        <f>G2152*Parameters!$B$2*Parameters!$B$5</f>
        <v>112.84229999999998</v>
      </c>
      <c r="K2152">
        <f>H2152*Parameters!$B$3*Parameters!$B$6</f>
        <v>0</v>
      </c>
      <c r="L2152">
        <f>I2152*Parameters!$B$4*Parameters!$B$7</f>
        <v>145.73520000000002</v>
      </c>
      <c r="M2152">
        <f t="shared" si="33"/>
        <v>258.57749999999999</v>
      </c>
      <c r="N2152" s="142">
        <f>'Aug-Apr, 2023'!BO54</f>
        <v>5300</v>
      </c>
      <c r="O2152" s="142">
        <f>'Aug-Apr, 2023'!BP54</f>
        <v>0</v>
      </c>
      <c r="P2152" s="142">
        <f>'Aug-Apr, 2023'!BQ54</f>
        <v>0</v>
      </c>
      <c r="Q2152" s="142">
        <f>'Aug-Apr, 2023'!BR54</f>
        <v>5400</v>
      </c>
    </row>
    <row r="2153" spans="1:17">
      <c r="A2153" t="s">
        <v>77</v>
      </c>
      <c r="B2153" t="s">
        <v>40</v>
      </c>
      <c r="C2153">
        <v>12</v>
      </c>
      <c r="D2153">
        <v>2023</v>
      </c>
      <c r="E2153" s="49" t="s">
        <v>154</v>
      </c>
      <c r="F2153" s="49" t="s">
        <v>163</v>
      </c>
      <c r="G2153">
        <f>'Aug-Apr, 2023'!BK55+'Aug-Apr, 2023'!BL55</f>
        <v>40</v>
      </c>
      <c r="H2153">
        <f>'Aug-Apr, 2023'!BM55</f>
        <v>0</v>
      </c>
      <c r="I2153">
        <f>'Aug-Apr, 2023'!BN55</f>
        <v>20</v>
      </c>
      <c r="J2153">
        <f>G2153*Parameters!$B$2*Parameters!$B$5</f>
        <v>85.163999999999987</v>
      </c>
      <c r="K2153">
        <f>H2153*Parameters!$B$3*Parameters!$B$6</f>
        <v>0</v>
      </c>
      <c r="L2153">
        <f>I2153*Parameters!$B$4*Parameters!$B$7</f>
        <v>161.928</v>
      </c>
      <c r="M2153">
        <f t="shared" si="33"/>
        <v>247.09199999999998</v>
      </c>
      <c r="N2153" s="142">
        <f>'Aug-Apr, 2023'!BO55</f>
        <v>4000</v>
      </c>
      <c r="O2153" s="142">
        <f>'Aug-Apr, 2023'!BP55</f>
        <v>0</v>
      </c>
      <c r="P2153" s="142">
        <f>'Aug-Apr, 2023'!BQ55</f>
        <v>0</v>
      </c>
      <c r="Q2153" s="142">
        <f>'Aug-Apr, 2023'!BR55</f>
        <v>6000</v>
      </c>
    </row>
    <row r="2154" spans="1:17">
      <c r="A2154" t="s">
        <v>78</v>
      </c>
      <c r="B2154" t="s">
        <v>32</v>
      </c>
      <c r="C2154">
        <v>6</v>
      </c>
      <c r="D2154">
        <v>2023</v>
      </c>
      <c r="E2154" s="49" t="s">
        <v>154</v>
      </c>
      <c r="F2154" s="49" t="s">
        <v>163</v>
      </c>
      <c r="G2154">
        <f>'Aug-Apr, 2023'!BK56+'Aug-Apr, 2023'!BL56</f>
        <v>44</v>
      </c>
      <c r="H2154">
        <f>'Aug-Apr, 2023'!BM56</f>
        <v>0</v>
      </c>
      <c r="I2154">
        <f>'Aug-Apr, 2023'!BN56</f>
        <v>20</v>
      </c>
      <c r="J2154">
        <f>G2154*Parameters!$B$2*Parameters!$B$5</f>
        <v>93.680399999999992</v>
      </c>
      <c r="K2154">
        <f>H2154*Parameters!$B$3*Parameters!$B$6</f>
        <v>0</v>
      </c>
      <c r="L2154">
        <f>I2154*Parameters!$B$4*Parameters!$B$7</f>
        <v>161.928</v>
      </c>
      <c r="M2154">
        <f t="shared" si="33"/>
        <v>255.60839999999999</v>
      </c>
      <c r="N2154" s="142">
        <f>'Aug-Apr, 2023'!BO56</f>
        <v>4400</v>
      </c>
      <c r="O2154" s="142">
        <f>'Aug-Apr, 2023'!BP56</f>
        <v>0</v>
      </c>
      <c r="P2154" s="142">
        <f>'Aug-Apr, 2023'!BQ56</f>
        <v>0</v>
      </c>
      <c r="Q2154" s="142">
        <f>'Aug-Apr, 2023'!BR56</f>
        <v>6000</v>
      </c>
    </row>
    <row r="2155" spans="1:17">
      <c r="A2155" t="s">
        <v>79</v>
      </c>
      <c r="B2155" t="s">
        <v>40</v>
      </c>
      <c r="C2155">
        <v>4</v>
      </c>
      <c r="D2155">
        <v>2023</v>
      </c>
      <c r="E2155" s="49" t="s">
        <v>154</v>
      </c>
      <c r="F2155" s="49" t="s">
        <v>163</v>
      </c>
      <c r="G2155">
        <f>'Aug-Apr, 2023'!BK57+'Aug-Apr, 2023'!BL57</f>
        <v>52</v>
      </c>
      <c r="H2155">
        <f>'Aug-Apr, 2023'!BM57</f>
        <v>0</v>
      </c>
      <c r="I2155">
        <f>'Aug-Apr, 2023'!BN57</f>
        <v>20</v>
      </c>
      <c r="J2155">
        <f>G2155*Parameters!$B$2*Parameters!$B$5</f>
        <v>110.71319999999999</v>
      </c>
      <c r="K2155">
        <f>H2155*Parameters!$B$3*Parameters!$B$6</f>
        <v>0</v>
      </c>
      <c r="L2155">
        <f>I2155*Parameters!$B$4*Parameters!$B$7</f>
        <v>161.928</v>
      </c>
      <c r="M2155">
        <f t="shared" si="33"/>
        <v>272.64119999999997</v>
      </c>
      <c r="N2155" s="142">
        <f>'Aug-Apr, 2023'!BO57</f>
        <v>5200</v>
      </c>
      <c r="O2155" s="142">
        <f>'Aug-Apr, 2023'!BP57</f>
        <v>0</v>
      </c>
      <c r="P2155" s="142">
        <f>'Aug-Apr, 2023'!BQ57</f>
        <v>0</v>
      </c>
      <c r="Q2155" s="142">
        <f>'Aug-Apr, 2023'!BR57</f>
        <v>6000</v>
      </c>
    </row>
    <row r="2156" spans="1:17">
      <c r="A2156" t="s">
        <v>80</v>
      </c>
      <c r="B2156" t="s">
        <v>26</v>
      </c>
      <c r="C2156">
        <v>7</v>
      </c>
      <c r="D2156">
        <v>2023</v>
      </c>
      <c r="E2156" s="49" t="s">
        <v>154</v>
      </c>
      <c r="F2156" s="49" t="s">
        <v>163</v>
      </c>
      <c r="G2156">
        <f>'Aug-Apr, 2023'!BK58+'Aug-Apr, 2023'!BL58</f>
        <v>55</v>
      </c>
      <c r="H2156">
        <f>'Aug-Apr, 2023'!BM58</f>
        <v>0</v>
      </c>
      <c r="I2156">
        <f>'Aug-Apr, 2023'!BN58</f>
        <v>18</v>
      </c>
      <c r="J2156">
        <f>G2156*Parameters!$B$2*Parameters!$B$5</f>
        <v>117.10049999999998</v>
      </c>
      <c r="K2156">
        <f>H2156*Parameters!$B$3*Parameters!$B$6</f>
        <v>0</v>
      </c>
      <c r="L2156">
        <f>I2156*Parameters!$B$4*Parameters!$B$7</f>
        <v>145.73520000000002</v>
      </c>
      <c r="M2156">
        <f t="shared" si="33"/>
        <v>262.83569999999997</v>
      </c>
      <c r="N2156" s="142">
        <f>'Aug-Apr, 2023'!BO58</f>
        <v>5500</v>
      </c>
      <c r="O2156" s="142">
        <f>'Aug-Apr, 2023'!BP58</f>
        <v>0</v>
      </c>
      <c r="P2156" s="142">
        <f>'Aug-Apr, 2023'!BQ58</f>
        <v>0</v>
      </c>
      <c r="Q2156" s="142">
        <f>'Aug-Apr, 2023'!BR58</f>
        <v>5400</v>
      </c>
    </row>
    <row r="2157" spans="1:17">
      <c r="A2157" t="s">
        <v>81</v>
      </c>
      <c r="B2157" t="s">
        <v>24</v>
      </c>
      <c r="C2157">
        <v>6</v>
      </c>
      <c r="D2157">
        <v>2023</v>
      </c>
      <c r="E2157" s="49" t="s">
        <v>154</v>
      </c>
      <c r="F2157" s="49" t="s">
        <v>163</v>
      </c>
      <c r="G2157">
        <f>'Aug-Apr, 2023'!BK59+'Aug-Apr, 2023'!BL59</f>
        <v>50</v>
      </c>
      <c r="H2157">
        <f>'Aug-Apr, 2023'!BM59</f>
        <v>0</v>
      </c>
      <c r="I2157">
        <f>'Aug-Apr, 2023'!BN59</f>
        <v>18</v>
      </c>
      <c r="J2157">
        <f>G2157*Parameters!$B$2*Parameters!$B$5</f>
        <v>106.45499999999998</v>
      </c>
      <c r="K2157">
        <f>H2157*Parameters!$B$3*Parameters!$B$6</f>
        <v>0</v>
      </c>
      <c r="L2157">
        <f>I2157*Parameters!$B$4*Parameters!$B$7</f>
        <v>145.73520000000002</v>
      </c>
      <c r="M2157">
        <f t="shared" si="33"/>
        <v>252.1902</v>
      </c>
      <c r="N2157" s="142">
        <f>'Aug-Apr, 2023'!BO59</f>
        <v>5000</v>
      </c>
      <c r="O2157" s="142">
        <f>'Aug-Apr, 2023'!BP59</f>
        <v>0</v>
      </c>
      <c r="P2157" s="142">
        <f>'Aug-Apr, 2023'!BQ59</f>
        <v>0</v>
      </c>
      <c r="Q2157" s="142">
        <f>'Aug-Apr, 2023'!BR59</f>
        <v>5400</v>
      </c>
    </row>
    <row r="2158" spans="1:17">
      <c r="A2158" t="s">
        <v>82</v>
      </c>
      <c r="B2158" t="s">
        <v>83</v>
      </c>
      <c r="C2158">
        <v>4</v>
      </c>
      <c r="D2158">
        <v>2023</v>
      </c>
      <c r="E2158" s="49" t="s">
        <v>154</v>
      </c>
      <c r="F2158" s="49" t="s">
        <v>163</v>
      </c>
      <c r="G2158">
        <f>'Aug-Apr, 2023'!BK60+'Aug-Apr, 2023'!BL60</f>
        <v>33</v>
      </c>
      <c r="H2158">
        <f>'Aug-Apr, 2023'!BM60</f>
        <v>0</v>
      </c>
      <c r="I2158">
        <f>'Aug-Apr, 2023'!BN60</f>
        <v>14</v>
      </c>
      <c r="J2158">
        <f>G2158*Parameters!$B$2*Parameters!$B$5</f>
        <v>70.260300000000001</v>
      </c>
      <c r="K2158">
        <f>H2158*Parameters!$B$3*Parameters!$B$6</f>
        <v>0</v>
      </c>
      <c r="L2158">
        <f>I2158*Parameters!$B$4*Parameters!$B$7</f>
        <v>113.34960000000001</v>
      </c>
      <c r="M2158">
        <f t="shared" si="33"/>
        <v>183.60990000000001</v>
      </c>
      <c r="N2158" s="142">
        <f>'Aug-Apr, 2023'!BO60</f>
        <v>3300</v>
      </c>
      <c r="O2158" s="142">
        <f>'Aug-Apr, 2023'!BP60</f>
        <v>0</v>
      </c>
      <c r="P2158" s="142">
        <f>'Aug-Apr, 2023'!BQ60</f>
        <v>0</v>
      </c>
      <c r="Q2158" s="142">
        <f>'Aug-Apr, 2023'!BR60</f>
        <v>4200</v>
      </c>
    </row>
    <row r="2159" spans="1:17">
      <c r="A2159" t="s">
        <v>84</v>
      </c>
      <c r="B2159" t="s">
        <v>26</v>
      </c>
      <c r="C2159">
        <v>7</v>
      </c>
      <c r="D2159">
        <v>2023</v>
      </c>
      <c r="E2159" s="49" t="s">
        <v>154</v>
      </c>
      <c r="F2159" s="49" t="s">
        <v>163</v>
      </c>
      <c r="G2159">
        <f>'Aug-Apr, 2023'!BK61+'Aug-Apr, 2023'!BL61</f>
        <v>58</v>
      </c>
      <c r="H2159">
        <f>'Aug-Apr, 2023'!BM61</f>
        <v>0</v>
      </c>
      <c r="I2159">
        <f>'Aug-Apr, 2023'!BN61</f>
        <v>20</v>
      </c>
      <c r="J2159">
        <f>G2159*Parameters!$B$2*Parameters!$B$5</f>
        <v>123.48779999999998</v>
      </c>
      <c r="K2159">
        <f>H2159*Parameters!$B$3*Parameters!$B$6</f>
        <v>0</v>
      </c>
      <c r="L2159">
        <f>I2159*Parameters!$B$4*Parameters!$B$7</f>
        <v>161.928</v>
      </c>
      <c r="M2159">
        <f t="shared" si="33"/>
        <v>285.41579999999999</v>
      </c>
      <c r="N2159" s="142">
        <f>'Aug-Apr, 2023'!BO61</f>
        <v>5800</v>
      </c>
      <c r="O2159" s="142">
        <f>'Aug-Apr, 2023'!BP61</f>
        <v>0</v>
      </c>
      <c r="P2159" s="142">
        <f>'Aug-Apr, 2023'!BQ61</f>
        <v>0</v>
      </c>
      <c r="Q2159" s="142">
        <f>'Aug-Apr, 2023'!BR61</f>
        <v>6000</v>
      </c>
    </row>
    <row r="2160" spans="1:17">
      <c r="A2160" t="s">
        <v>85</v>
      </c>
      <c r="B2160" t="s">
        <v>24</v>
      </c>
      <c r="C2160">
        <v>6</v>
      </c>
      <c r="D2160">
        <v>2023</v>
      </c>
      <c r="E2160" s="49" t="s">
        <v>154</v>
      </c>
      <c r="F2160" s="49" t="s">
        <v>163</v>
      </c>
      <c r="G2160">
        <f>'Aug-Apr, 2023'!BK62+'Aug-Apr, 2023'!BL62</f>
        <v>30</v>
      </c>
      <c r="H2160">
        <f>'Aug-Apr, 2023'!BM62</f>
        <v>0</v>
      </c>
      <c r="I2160">
        <f>'Aug-Apr, 2023'!BN62</f>
        <v>14</v>
      </c>
      <c r="J2160">
        <f>G2160*Parameters!$B$2*Parameters!$B$5</f>
        <v>63.87299999999999</v>
      </c>
      <c r="K2160">
        <f>H2160*Parameters!$B$3*Parameters!$B$6</f>
        <v>0</v>
      </c>
      <c r="L2160">
        <f>I2160*Parameters!$B$4*Parameters!$B$7</f>
        <v>113.34960000000001</v>
      </c>
      <c r="M2160">
        <f t="shared" si="33"/>
        <v>177.2226</v>
      </c>
      <c r="N2160" s="142">
        <f>'Aug-Apr, 2023'!BO62</f>
        <v>3000</v>
      </c>
      <c r="O2160" s="142">
        <f>'Aug-Apr, 2023'!BP62</f>
        <v>0</v>
      </c>
      <c r="P2160" s="142">
        <f>'Aug-Apr, 2023'!BQ62</f>
        <v>0</v>
      </c>
      <c r="Q2160" s="142">
        <f>'Aug-Apr, 2023'!BR62</f>
        <v>4200</v>
      </c>
    </row>
    <row r="2161" spans="1:17">
      <c r="A2161" t="s">
        <v>86</v>
      </c>
      <c r="B2161" t="s">
        <v>32</v>
      </c>
      <c r="C2161">
        <v>4</v>
      </c>
      <c r="D2161">
        <v>2023</v>
      </c>
      <c r="E2161" s="49" t="s">
        <v>154</v>
      </c>
      <c r="F2161" s="49" t="s">
        <v>163</v>
      </c>
      <c r="G2161">
        <f>'Aug-Apr, 2023'!BK63+'Aug-Apr, 2023'!BL63</f>
        <v>40</v>
      </c>
      <c r="H2161">
        <f>'Aug-Apr, 2023'!BM63</f>
        <v>0</v>
      </c>
      <c r="I2161">
        <f>'Aug-Apr, 2023'!BN63</f>
        <v>20</v>
      </c>
      <c r="J2161">
        <f>G2161*Parameters!$B$2*Parameters!$B$5</f>
        <v>85.163999999999987</v>
      </c>
      <c r="K2161">
        <f>H2161*Parameters!$B$3*Parameters!$B$6</f>
        <v>0</v>
      </c>
      <c r="L2161">
        <f>I2161*Parameters!$B$4*Parameters!$B$7</f>
        <v>161.928</v>
      </c>
      <c r="M2161">
        <f t="shared" si="33"/>
        <v>247.09199999999998</v>
      </c>
      <c r="N2161" s="142">
        <f>'Aug-Apr, 2023'!BO63</f>
        <v>4000</v>
      </c>
      <c r="O2161" s="142">
        <f>'Aug-Apr, 2023'!BP63</f>
        <v>0</v>
      </c>
      <c r="P2161" s="142">
        <f>'Aug-Apr, 2023'!BQ63</f>
        <v>0</v>
      </c>
      <c r="Q2161" s="142">
        <f>'Aug-Apr, 2023'!BR63</f>
        <v>6000</v>
      </c>
    </row>
    <row r="2162" spans="1:17">
      <c r="A2162" t="s">
        <v>87</v>
      </c>
      <c r="B2162" t="s">
        <v>32</v>
      </c>
      <c r="C2162">
        <v>8</v>
      </c>
      <c r="D2162">
        <v>2023</v>
      </c>
      <c r="E2162" s="49" t="s">
        <v>154</v>
      </c>
      <c r="F2162" s="49" t="s">
        <v>163</v>
      </c>
      <c r="G2162">
        <f>'Aug-Apr, 2023'!BK64+'Aug-Apr, 2023'!BL64</f>
        <v>49</v>
      </c>
      <c r="H2162">
        <f>'Aug-Apr, 2023'!BM64</f>
        <v>0</v>
      </c>
      <c r="I2162">
        <f>'Aug-Apr, 2023'!BN64</f>
        <v>12</v>
      </c>
      <c r="J2162">
        <f>G2162*Parameters!$B$2*Parameters!$B$5</f>
        <v>104.32589999999999</v>
      </c>
      <c r="K2162">
        <f>H2162*Parameters!$B$3*Parameters!$B$6</f>
        <v>0</v>
      </c>
      <c r="L2162">
        <f>I2162*Parameters!$B$4*Parameters!$B$7</f>
        <v>97.156800000000018</v>
      </c>
      <c r="M2162">
        <f t="shared" si="33"/>
        <v>201.48270000000002</v>
      </c>
      <c r="N2162" s="142">
        <f>'Aug-Apr, 2023'!BO64</f>
        <v>4900</v>
      </c>
      <c r="O2162" s="142">
        <f>'Aug-Apr, 2023'!BP64</f>
        <v>0</v>
      </c>
      <c r="P2162" s="142">
        <f>'Aug-Apr, 2023'!BQ64</f>
        <v>0</v>
      </c>
      <c r="Q2162" s="142">
        <f>'Aug-Apr, 2023'!BR64</f>
        <v>3600</v>
      </c>
    </row>
    <row r="2163" spans="1:17">
      <c r="A2163" t="s">
        <v>88</v>
      </c>
      <c r="B2163" t="s">
        <v>32</v>
      </c>
      <c r="C2163">
        <v>7</v>
      </c>
      <c r="D2163">
        <v>2023</v>
      </c>
      <c r="E2163" s="49" t="s">
        <v>154</v>
      </c>
      <c r="F2163" s="49" t="s">
        <v>163</v>
      </c>
      <c r="G2163">
        <f>'Aug-Apr, 2023'!BK65+'Aug-Apr, 2023'!BL65</f>
        <v>60</v>
      </c>
      <c r="H2163">
        <f>'Aug-Apr, 2023'!BM65</f>
        <v>0</v>
      </c>
      <c r="I2163">
        <f>'Aug-Apr, 2023'!BN65</f>
        <v>14</v>
      </c>
      <c r="J2163">
        <f>G2163*Parameters!$B$2*Parameters!$B$5</f>
        <v>127.74599999999998</v>
      </c>
      <c r="K2163">
        <f>H2163*Parameters!$B$3*Parameters!$B$6</f>
        <v>0</v>
      </c>
      <c r="L2163">
        <f>I2163*Parameters!$B$4*Parameters!$B$7</f>
        <v>113.34960000000001</v>
      </c>
      <c r="M2163">
        <f t="shared" si="33"/>
        <v>241.09559999999999</v>
      </c>
      <c r="N2163" s="142">
        <f>'Aug-Apr, 2023'!BO65</f>
        <v>6000</v>
      </c>
      <c r="O2163" s="142">
        <f>'Aug-Apr, 2023'!BP65</f>
        <v>0</v>
      </c>
      <c r="P2163" s="142">
        <f>'Aug-Apr, 2023'!BQ65</f>
        <v>0</v>
      </c>
      <c r="Q2163" s="142">
        <f>'Aug-Apr, 2023'!BR65</f>
        <v>4200</v>
      </c>
    </row>
    <row r="2164" spans="1:17">
      <c r="A2164" t="s">
        <v>89</v>
      </c>
      <c r="B2164" t="s">
        <v>65</v>
      </c>
      <c r="C2164">
        <v>8</v>
      </c>
      <c r="D2164">
        <v>2023</v>
      </c>
      <c r="E2164" s="49" t="s">
        <v>154</v>
      </c>
      <c r="F2164" s="49" t="s">
        <v>163</v>
      </c>
      <c r="G2164">
        <f>'Aug-Apr, 2023'!BK66+'Aug-Apr, 2023'!BL66</f>
        <v>52</v>
      </c>
      <c r="H2164">
        <f>'Aug-Apr, 2023'!BM66</f>
        <v>0</v>
      </c>
      <c r="I2164">
        <f>'Aug-Apr, 2023'!BN66</f>
        <v>16</v>
      </c>
      <c r="J2164">
        <f>G2164*Parameters!$B$2*Parameters!$B$5</f>
        <v>110.71319999999999</v>
      </c>
      <c r="K2164">
        <f>H2164*Parameters!$B$3*Parameters!$B$6</f>
        <v>0</v>
      </c>
      <c r="L2164">
        <f>I2164*Parameters!$B$4*Parameters!$B$7</f>
        <v>129.54240000000001</v>
      </c>
      <c r="M2164">
        <f t="shared" si="33"/>
        <v>240.25560000000002</v>
      </c>
      <c r="N2164" s="142">
        <f>'Aug-Apr, 2023'!BO66</f>
        <v>5200</v>
      </c>
      <c r="O2164" s="142">
        <f>'Aug-Apr, 2023'!BP66</f>
        <v>0</v>
      </c>
      <c r="P2164" s="142">
        <f>'Aug-Apr, 2023'!BQ66</f>
        <v>0</v>
      </c>
      <c r="Q2164" s="142">
        <f>'Aug-Apr, 2023'!BR66</f>
        <v>4800</v>
      </c>
    </row>
    <row r="2165" spans="1:17">
      <c r="A2165" t="s">
        <v>90</v>
      </c>
      <c r="B2165" t="s">
        <v>32</v>
      </c>
      <c r="C2165">
        <v>6</v>
      </c>
      <c r="D2165">
        <v>2023</v>
      </c>
      <c r="E2165" s="49" t="s">
        <v>154</v>
      </c>
      <c r="F2165" s="49" t="s">
        <v>163</v>
      </c>
      <c r="G2165">
        <f>'Aug-Apr, 2023'!BK67+'Aug-Apr, 2023'!BL67</f>
        <v>45</v>
      </c>
      <c r="H2165">
        <f>'Aug-Apr, 2023'!BM67</f>
        <v>0</v>
      </c>
      <c r="I2165">
        <f>'Aug-Apr, 2023'!BN67</f>
        <v>20</v>
      </c>
      <c r="J2165">
        <f>G2165*Parameters!$B$2*Parameters!$B$5</f>
        <v>95.809499999999986</v>
      </c>
      <c r="K2165">
        <f>H2165*Parameters!$B$3*Parameters!$B$6</f>
        <v>0</v>
      </c>
      <c r="L2165">
        <f>I2165*Parameters!$B$4*Parameters!$B$7</f>
        <v>161.928</v>
      </c>
      <c r="M2165">
        <f t="shared" si="33"/>
        <v>257.73749999999995</v>
      </c>
      <c r="N2165" s="142">
        <f>'Aug-Apr, 2023'!BO67</f>
        <v>4500</v>
      </c>
      <c r="O2165" s="142">
        <f>'Aug-Apr, 2023'!BP67</f>
        <v>0</v>
      </c>
      <c r="P2165" s="142">
        <f>'Aug-Apr, 2023'!BQ67</f>
        <v>0</v>
      </c>
      <c r="Q2165" s="142">
        <f>'Aug-Apr, 2023'!BR67</f>
        <v>6000</v>
      </c>
    </row>
    <row r="2166" spans="1:17">
      <c r="A2166" t="s">
        <v>91</v>
      </c>
      <c r="B2166" t="s">
        <v>24</v>
      </c>
      <c r="C2166">
        <v>6</v>
      </c>
      <c r="D2166">
        <v>2023</v>
      </c>
      <c r="E2166" s="49" t="s">
        <v>154</v>
      </c>
      <c r="F2166" s="49" t="s">
        <v>163</v>
      </c>
      <c r="G2166">
        <f>'Aug-Apr, 2023'!BK68+'Aug-Apr, 2023'!BL68</f>
        <v>42</v>
      </c>
      <c r="H2166">
        <f>'Aug-Apr, 2023'!BM68</f>
        <v>0</v>
      </c>
      <c r="I2166">
        <f>'Aug-Apr, 2023'!BN68</f>
        <v>19</v>
      </c>
      <c r="J2166">
        <f>G2166*Parameters!$B$2*Parameters!$B$5</f>
        <v>89.422199999999975</v>
      </c>
      <c r="K2166">
        <f>H2166*Parameters!$B$3*Parameters!$B$6</f>
        <v>0</v>
      </c>
      <c r="L2166">
        <f>I2166*Parameters!$B$4*Parameters!$B$7</f>
        <v>153.83160000000001</v>
      </c>
      <c r="M2166">
        <f t="shared" si="33"/>
        <v>243.25379999999998</v>
      </c>
      <c r="N2166" s="142">
        <f>'Aug-Apr, 2023'!BO68</f>
        <v>4200</v>
      </c>
      <c r="O2166" s="142">
        <f>'Aug-Apr, 2023'!BP68</f>
        <v>0</v>
      </c>
      <c r="P2166" s="142">
        <f>'Aug-Apr, 2023'!BQ68</f>
        <v>0</v>
      </c>
      <c r="Q2166" s="142">
        <f>'Aug-Apr, 2023'!BR68</f>
        <v>5700</v>
      </c>
    </row>
    <row r="2167" spans="1:17">
      <c r="A2167" t="s">
        <v>92</v>
      </c>
      <c r="B2167" t="s">
        <v>17</v>
      </c>
      <c r="C2167">
        <v>4</v>
      </c>
      <c r="D2167">
        <v>2023</v>
      </c>
      <c r="E2167" s="49" t="s">
        <v>154</v>
      </c>
      <c r="F2167" s="49" t="s">
        <v>163</v>
      </c>
      <c r="G2167">
        <f>'Aug-Apr, 2023'!BK69+'Aug-Apr, 2023'!BL69</f>
        <v>68</v>
      </c>
      <c r="H2167">
        <f>'Aug-Apr, 2023'!BM69</f>
        <v>0</v>
      </c>
      <c r="I2167">
        <f>'Aug-Apr, 2023'!BN69</f>
        <v>12</v>
      </c>
      <c r="J2167">
        <f>G2167*Parameters!$B$2*Parameters!$B$5</f>
        <v>144.77879999999999</v>
      </c>
      <c r="K2167">
        <f>H2167*Parameters!$B$3*Parameters!$B$6</f>
        <v>0</v>
      </c>
      <c r="L2167">
        <f>I2167*Parameters!$B$4*Parameters!$B$7</f>
        <v>97.156800000000018</v>
      </c>
      <c r="M2167">
        <f t="shared" si="33"/>
        <v>241.93560000000002</v>
      </c>
      <c r="N2167" s="142">
        <f>'Aug-Apr, 2023'!BO69</f>
        <v>5600</v>
      </c>
      <c r="O2167" s="142">
        <f>'Aug-Apr, 2023'!BP69</f>
        <v>1200</v>
      </c>
      <c r="P2167" s="142">
        <f>'Aug-Apr, 2023'!BQ69</f>
        <v>0</v>
      </c>
      <c r="Q2167" s="142">
        <f>'Aug-Apr, 2023'!BR69</f>
        <v>3600</v>
      </c>
    </row>
    <row r="2168" spans="1:17">
      <c r="A2168" t="s">
        <v>93</v>
      </c>
      <c r="B2168" t="s">
        <v>19</v>
      </c>
      <c r="C2168">
        <v>7</v>
      </c>
      <c r="D2168">
        <v>2023</v>
      </c>
      <c r="E2168" s="49" t="s">
        <v>154</v>
      </c>
      <c r="F2168" s="49" t="s">
        <v>163</v>
      </c>
      <c r="G2168">
        <f>'Aug-Apr, 2023'!BK70+'Aug-Apr, 2023'!BL70</f>
        <v>50</v>
      </c>
      <c r="H2168">
        <f>'Aug-Apr, 2023'!BM70</f>
        <v>0</v>
      </c>
      <c r="I2168">
        <f>'Aug-Apr, 2023'!BN70</f>
        <v>16</v>
      </c>
      <c r="J2168">
        <f>G2168*Parameters!$B$2*Parameters!$B$5</f>
        <v>106.45499999999998</v>
      </c>
      <c r="K2168">
        <f>H2168*Parameters!$B$3*Parameters!$B$6</f>
        <v>0</v>
      </c>
      <c r="L2168">
        <f>I2168*Parameters!$B$4*Parameters!$B$7</f>
        <v>129.54240000000001</v>
      </c>
      <c r="M2168">
        <f t="shared" si="33"/>
        <v>235.9974</v>
      </c>
      <c r="N2168" s="142">
        <f>'Aug-Apr, 2023'!BO70</f>
        <v>5000</v>
      </c>
      <c r="O2168" s="142">
        <f>'Aug-Apr, 2023'!BP70</f>
        <v>0</v>
      </c>
      <c r="P2168" s="142">
        <f>'Aug-Apr, 2023'!BQ70</f>
        <v>0</v>
      </c>
      <c r="Q2168" s="142">
        <f>'Aug-Apr, 2023'!BR70</f>
        <v>4800</v>
      </c>
    </row>
    <row r="2169" spans="1:17">
      <c r="A2169" t="s">
        <v>94</v>
      </c>
      <c r="B2169" t="s">
        <v>19</v>
      </c>
      <c r="C2169">
        <v>6</v>
      </c>
      <c r="D2169">
        <v>2023</v>
      </c>
      <c r="E2169" s="49" t="s">
        <v>154</v>
      </c>
      <c r="F2169" s="49" t="s">
        <v>163</v>
      </c>
      <c r="G2169">
        <f>'Aug-Apr, 2023'!BK71+'Aug-Apr, 2023'!BL71</f>
        <v>38</v>
      </c>
      <c r="H2169">
        <f>'Aug-Apr, 2023'!BM71</f>
        <v>0</v>
      </c>
      <c r="I2169">
        <f>'Aug-Apr, 2023'!BN71</f>
        <v>20</v>
      </c>
      <c r="J2169">
        <f>G2169*Parameters!$B$2*Parameters!$B$5</f>
        <v>80.905799999999985</v>
      </c>
      <c r="K2169">
        <f>H2169*Parameters!$B$3*Parameters!$B$6</f>
        <v>0</v>
      </c>
      <c r="L2169">
        <f>I2169*Parameters!$B$4*Parameters!$B$7</f>
        <v>161.928</v>
      </c>
      <c r="M2169">
        <f t="shared" si="33"/>
        <v>242.8338</v>
      </c>
      <c r="N2169" s="142">
        <f>'Aug-Apr, 2023'!BO71</f>
        <v>3800</v>
      </c>
      <c r="O2169" s="142">
        <f>'Aug-Apr, 2023'!BP71</f>
        <v>0</v>
      </c>
      <c r="P2169" s="142">
        <f>'Aug-Apr, 2023'!BQ71</f>
        <v>0</v>
      </c>
      <c r="Q2169" s="142">
        <f>'Aug-Apr, 2023'!BR71</f>
        <v>6000</v>
      </c>
    </row>
    <row r="2170" spans="1:17">
      <c r="A2170" t="s">
        <v>95</v>
      </c>
      <c r="B2170" t="s">
        <v>26</v>
      </c>
      <c r="C2170">
        <v>8</v>
      </c>
      <c r="D2170">
        <v>2023</v>
      </c>
      <c r="E2170" s="49" t="s">
        <v>154</v>
      </c>
      <c r="F2170" s="49" t="s">
        <v>163</v>
      </c>
      <c r="G2170">
        <f>'Aug-Apr, 2023'!BK72+'Aug-Apr, 2023'!BL72</f>
        <v>50</v>
      </c>
      <c r="H2170">
        <f>'Aug-Apr, 2023'!BM72</f>
        <v>0</v>
      </c>
      <c r="I2170">
        <f>'Aug-Apr, 2023'!BN72</f>
        <v>18</v>
      </c>
      <c r="J2170">
        <f>G2170*Parameters!$B$2*Parameters!$B$5</f>
        <v>106.45499999999998</v>
      </c>
      <c r="K2170">
        <f>H2170*Parameters!$B$3*Parameters!$B$6</f>
        <v>0</v>
      </c>
      <c r="L2170">
        <f>I2170*Parameters!$B$4*Parameters!$B$7</f>
        <v>145.73520000000002</v>
      </c>
      <c r="M2170">
        <f t="shared" si="33"/>
        <v>252.1902</v>
      </c>
      <c r="N2170" s="142">
        <f>'Aug-Apr, 2023'!BO72</f>
        <v>5000</v>
      </c>
      <c r="O2170" s="142">
        <f>'Aug-Apr, 2023'!BP72</f>
        <v>0</v>
      </c>
      <c r="P2170" s="142">
        <f>'Aug-Apr, 2023'!BQ72</f>
        <v>0</v>
      </c>
      <c r="Q2170" s="142">
        <f>'Aug-Apr, 2023'!BR72</f>
        <v>5400</v>
      </c>
    </row>
    <row r="2171" spans="1:17">
      <c r="A2171" t="s">
        <v>96</v>
      </c>
      <c r="B2171" t="s">
        <v>19</v>
      </c>
      <c r="C2171">
        <v>8</v>
      </c>
      <c r="D2171">
        <v>2023</v>
      </c>
      <c r="E2171" s="49" t="s">
        <v>154</v>
      </c>
      <c r="F2171" s="49" t="s">
        <v>163</v>
      </c>
      <c r="G2171">
        <f>'Aug-Apr, 2023'!BK73+'Aug-Apr, 2023'!BL73</f>
        <v>29</v>
      </c>
      <c r="H2171">
        <f>'Aug-Apr, 2023'!BM73</f>
        <v>6</v>
      </c>
      <c r="I2171">
        <f>'Aug-Apr, 2023'!BN73</f>
        <v>20</v>
      </c>
      <c r="J2171">
        <f>G2171*Parameters!$B$2*Parameters!$B$5</f>
        <v>61.743899999999989</v>
      </c>
      <c r="K2171">
        <f>H2171*Parameters!$B$3*Parameters!$B$6</f>
        <v>37.624799999999993</v>
      </c>
      <c r="L2171">
        <f>I2171*Parameters!$B$4*Parameters!$B$7</f>
        <v>161.928</v>
      </c>
      <c r="M2171">
        <f t="shared" si="33"/>
        <v>261.29669999999999</v>
      </c>
      <c r="N2171" s="142">
        <f>'Aug-Apr, 2023'!BO73</f>
        <v>2900</v>
      </c>
      <c r="O2171" s="142">
        <f>'Aug-Apr, 2023'!BP73</f>
        <v>0</v>
      </c>
      <c r="P2171" s="142">
        <f>'Aug-Apr, 2023'!BQ73</f>
        <v>1800</v>
      </c>
      <c r="Q2171" s="142">
        <f>'Aug-Apr, 2023'!BR73</f>
        <v>6000</v>
      </c>
    </row>
    <row r="2172" spans="1:17">
      <c r="A2172" t="s">
        <v>97</v>
      </c>
      <c r="B2172" t="s">
        <v>17</v>
      </c>
      <c r="C2172">
        <v>4</v>
      </c>
      <c r="D2172">
        <v>2023</v>
      </c>
      <c r="E2172" s="49" t="s">
        <v>154</v>
      </c>
      <c r="F2172" s="49" t="s">
        <v>163</v>
      </c>
      <c r="G2172">
        <f>'Aug-Apr, 2023'!BK74+'Aug-Apr, 2023'!BL74</f>
        <v>45</v>
      </c>
      <c r="H2172">
        <f>'Aug-Apr, 2023'!BM74</f>
        <v>0</v>
      </c>
      <c r="I2172">
        <f>'Aug-Apr, 2023'!BN74</f>
        <v>18</v>
      </c>
      <c r="J2172">
        <f>G2172*Parameters!$B$2*Parameters!$B$5</f>
        <v>95.809499999999986</v>
      </c>
      <c r="K2172">
        <f>H2172*Parameters!$B$3*Parameters!$B$6</f>
        <v>0</v>
      </c>
      <c r="L2172">
        <f>I2172*Parameters!$B$4*Parameters!$B$7</f>
        <v>145.73520000000002</v>
      </c>
      <c r="M2172">
        <f t="shared" si="33"/>
        <v>241.54470000000001</v>
      </c>
      <c r="N2172" s="142">
        <f>'Aug-Apr, 2023'!BO74</f>
        <v>4500</v>
      </c>
      <c r="O2172" s="142">
        <f>'Aug-Apr, 2023'!BP74</f>
        <v>0</v>
      </c>
      <c r="P2172" s="142">
        <f>'Aug-Apr, 2023'!BQ74</f>
        <v>0</v>
      </c>
      <c r="Q2172" s="142">
        <f>'Aug-Apr, 2023'!BR74</f>
        <v>5400</v>
      </c>
    </row>
    <row r="2173" spans="1:17">
      <c r="A2173" t="s">
        <v>98</v>
      </c>
      <c r="B2173" t="s">
        <v>65</v>
      </c>
      <c r="C2173">
        <v>5</v>
      </c>
      <c r="D2173">
        <v>2023</v>
      </c>
      <c r="E2173" s="49" t="s">
        <v>154</v>
      </c>
      <c r="F2173" s="49" t="s">
        <v>163</v>
      </c>
      <c r="G2173">
        <f>'Aug-Apr, 2023'!BK75+'Aug-Apr, 2023'!BL75</f>
        <v>41</v>
      </c>
      <c r="H2173">
        <f>'Aug-Apr, 2023'!BM75</f>
        <v>0</v>
      </c>
      <c r="I2173">
        <f>'Aug-Apr, 2023'!BN75</f>
        <v>16</v>
      </c>
      <c r="J2173">
        <f>G2173*Parameters!$B$2*Parameters!$B$5</f>
        <v>87.293099999999995</v>
      </c>
      <c r="K2173">
        <f>H2173*Parameters!$B$3*Parameters!$B$6</f>
        <v>0</v>
      </c>
      <c r="L2173">
        <f>I2173*Parameters!$B$4*Parameters!$B$7</f>
        <v>129.54240000000001</v>
      </c>
      <c r="M2173">
        <f t="shared" si="33"/>
        <v>216.83550000000002</v>
      </c>
      <c r="N2173" s="142">
        <f>'Aug-Apr, 2023'!BO75</f>
        <v>3600</v>
      </c>
      <c r="O2173" s="142">
        <f>'Aug-Apr, 2023'!BP75</f>
        <v>500</v>
      </c>
      <c r="P2173" s="142">
        <f>'Aug-Apr, 2023'!BQ75</f>
        <v>0</v>
      </c>
      <c r="Q2173" s="142">
        <f>'Aug-Apr, 2023'!BR75</f>
        <v>4800</v>
      </c>
    </row>
    <row r="2174" spans="1:17">
      <c r="A2174" t="s">
        <v>99</v>
      </c>
      <c r="B2174" t="s">
        <v>32</v>
      </c>
      <c r="C2174">
        <v>9</v>
      </c>
      <c r="D2174">
        <v>2023</v>
      </c>
      <c r="E2174" s="49" t="s">
        <v>154</v>
      </c>
      <c r="F2174" s="49" t="s">
        <v>163</v>
      </c>
      <c r="G2174">
        <f>'Aug-Apr, 2023'!BK76+'Aug-Apr, 2023'!BL76</f>
        <v>44</v>
      </c>
      <c r="H2174">
        <f>'Aug-Apr, 2023'!BM76</f>
        <v>0</v>
      </c>
      <c r="I2174">
        <f>'Aug-Apr, 2023'!BN76</f>
        <v>20</v>
      </c>
      <c r="J2174">
        <f>G2174*Parameters!$B$2*Parameters!$B$5</f>
        <v>93.680399999999992</v>
      </c>
      <c r="K2174">
        <f>H2174*Parameters!$B$3*Parameters!$B$6</f>
        <v>0</v>
      </c>
      <c r="L2174">
        <f>I2174*Parameters!$B$4*Parameters!$B$7</f>
        <v>161.928</v>
      </c>
      <c r="M2174">
        <f t="shared" si="33"/>
        <v>255.60839999999999</v>
      </c>
      <c r="N2174" s="142">
        <f>'Aug-Apr, 2023'!BO76</f>
        <v>4400</v>
      </c>
      <c r="O2174" s="142">
        <f>'Aug-Apr, 2023'!BP76</f>
        <v>0</v>
      </c>
      <c r="P2174" s="142">
        <f>'Aug-Apr, 2023'!BQ76</f>
        <v>0</v>
      </c>
      <c r="Q2174" s="142">
        <f>'Aug-Apr, 2023'!BR76</f>
        <v>6000</v>
      </c>
    </row>
    <row r="2175" spans="1:17">
      <c r="A2175" t="s">
        <v>100</v>
      </c>
      <c r="B2175" t="s">
        <v>40</v>
      </c>
      <c r="C2175">
        <v>8</v>
      </c>
      <c r="D2175">
        <v>2023</v>
      </c>
      <c r="E2175" s="49" t="s">
        <v>154</v>
      </c>
      <c r="F2175" s="49" t="s">
        <v>163</v>
      </c>
      <c r="G2175">
        <f>'Aug-Apr, 2023'!BK77+'Aug-Apr, 2023'!BL77</f>
        <v>50</v>
      </c>
      <c r="H2175">
        <f>'Aug-Apr, 2023'!BM77</f>
        <v>0</v>
      </c>
      <c r="I2175">
        <f>'Aug-Apr, 2023'!BN77</f>
        <v>15</v>
      </c>
      <c r="J2175">
        <f>G2175*Parameters!$B$2*Parameters!$B$5</f>
        <v>106.45499999999998</v>
      </c>
      <c r="K2175">
        <f>H2175*Parameters!$B$3*Parameters!$B$6</f>
        <v>0</v>
      </c>
      <c r="L2175">
        <f>I2175*Parameters!$B$4*Parameters!$B$7</f>
        <v>121.44600000000001</v>
      </c>
      <c r="M2175">
        <f t="shared" si="33"/>
        <v>227.90100000000001</v>
      </c>
      <c r="N2175" s="142">
        <f>'Aug-Apr, 2023'!BO77</f>
        <v>5000</v>
      </c>
      <c r="O2175" s="142">
        <f>'Aug-Apr, 2023'!BP77</f>
        <v>0</v>
      </c>
      <c r="P2175" s="142">
        <f>'Aug-Apr, 2023'!BQ77</f>
        <v>0</v>
      </c>
      <c r="Q2175" s="142">
        <f>'Aug-Apr, 2023'!BR77</f>
        <v>4500</v>
      </c>
    </row>
    <row r="2176" spans="1:17">
      <c r="A2176" t="s">
        <v>101</v>
      </c>
      <c r="B2176" t="s">
        <v>38</v>
      </c>
      <c r="C2176">
        <v>5</v>
      </c>
      <c r="D2176">
        <v>2023</v>
      </c>
      <c r="E2176" s="49" t="s">
        <v>154</v>
      </c>
      <c r="F2176" s="49" t="s">
        <v>163</v>
      </c>
      <c r="G2176">
        <f>'Aug-Apr, 2023'!BK78+'Aug-Apr, 2023'!BL78</f>
        <v>41</v>
      </c>
      <c r="H2176">
        <f>'Aug-Apr, 2023'!BM78</f>
        <v>0</v>
      </c>
      <c r="I2176">
        <f>'Aug-Apr, 2023'!BN78</f>
        <v>10</v>
      </c>
      <c r="J2176">
        <f>G2176*Parameters!$B$2*Parameters!$B$5</f>
        <v>87.293099999999995</v>
      </c>
      <c r="K2176">
        <f>H2176*Parameters!$B$3*Parameters!$B$6</f>
        <v>0</v>
      </c>
      <c r="L2176">
        <f>I2176*Parameters!$B$4*Parameters!$B$7</f>
        <v>80.963999999999999</v>
      </c>
      <c r="M2176">
        <f t="shared" si="33"/>
        <v>168.25709999999998</v>
      </c>
      <c r="N2176" s="142">
        <f>'Aug-Apr, 2023'!BO78</f>
        <v>4100</v>
      </c>
      <c r="O2176" s="142">
        <f>'Aug-Apr, 2023'!BP78</f>
        <v>0</v>
      </c>
      <c r="P2176" s="142">
        <f>'Aug-Apr, 2023'!BQ78</f>
        <v>0</v>
      </c>
      <c r="Q2176" s="142">
        <f>'Aug-Apr, 2023'!BR78</f>
        <v>3000</v>
      </c>
    </row>
    <row r="2177" spans="1:17">
      <c r="A2177" t="s">
        <v>102</v>
      </c>
      <c r="B2177" t="s">
        <v>17</v>
      </c>
      <c r="C2177">
        <v>4</v>
      </c>
      <c r="D2177">
        <v>2023</v>
      </c>
      <c r="E2177" s="49" t="s">
        <v>154</v>
      </c>
      <c r="F2177" s="49" t="s">
        <v>163</v>
      </c>
      <c r="G2177">
        <f>'Aug-Apr, 2023'!BK79+'Aug-Apr, 2023'!BL79</f>
        <v>52</v>
      </c>
      <c r="H2177">
        <f>'Aug-Apr, 2023'!BM79</f>
        <v>0</v>
      </c>
      <c r="I2177">
        <f>'Aug-Apr, 2023'!BN79</f>
        <v>16</v>
      </c>
      <c r="J2177">
        <f>G2177*Parameters!$B$2*Parameters!$B$5</f>
        <v>110.71319999999999</v>
      </c>
      <c r="K2177">
        <f>H2177*Parameters!$B$3*Parameters!$B$6</f>
        <v>0</v>
      </c>
      <c r="L2177">
        <f>I2177*Parameters!$B$4*Parameters!$B$7</f>
        <v>129.54240000000001</v>
      </c>
      <c r="M2177">
        <f t="shared" si="33"/>
        <v>240.25560000000002</v>
      </c>
      <c r="N2177" s="142">
        <f>'Aug-Apr, 2023'!BO79</f>
        <v>5200</v>
      </c>
      <c r="O2177" s="142">
        <f>'Aug-Apr, 2023'!BP79</f>
        <v>0</v>
      </c>
      <c r="P2177" s="142">
        <f>'Aug-Apr, 2023'!BQ79</f>
        <v>0</v>
      </c>
      <c r="Q2177" s="142">
        <f>'Aug-Apr, 2023'!BR79</f>
        <v>4800</v>
      </c>
    </row>
    <row r="2178" spans="1:17">
      <c r="A2178" t="s">
        <v>103</v>
      </c>
      <c r="B2178" t="s">
        <v>26</v>
      </c>
      <c r="C2178">
        <v>6</v>
      </c>
      <c r="D2178">
        <v>2023</v>
      </c>
      <c r="E2178" s="49" t="s">
        <v>154</v>
      </c>
      <c r="F2178" s="49" t="s">
        <v>163</v>
      </c>
      <c r="G2178">
        <f>'Aug-Apr, 2023'!BK80+'Aug-Apr, 2023'!BL80</f>
        <v>40</v>
      </c>
      <c r="H2178">
        <f>'Aug-Apr, 2023'!BM80</f>
        <v>0</v>
      </c>
      <c r="I2178">
        <f>'Aug-Apr, 2023'!BN80</f>
        <v>20</v>
      </c>
      <c r="J2178">
        <f>G2178*Parameters!$B$2*Parameters!$B$5</f>
        <v>85.163999999999987</v>
      </c>
      <c r="K2178">
        <f>H2178*Parameters!$B$3*Parameters!$B$6</f>
        <v>0</v>
      </c>
      <c r="L2178">
        <f>I2178*Parameters!$B$4*Parameters!$B$7</f>
        <v>161.928</v>
      </c>
      <c r="M2178">
        <f t="shared" si="33"/>
        <v>247.09199999999998</v>
      </c>
      <c r="N2178" s="142">
        <f>'Aug-Apr, 2023'!BO80</f>
        <v>4000</v>
      </c>
      <c r="O2178" s="142">
        <f>'Aug-Apr, 2023'!BP80</f>
        <v>0</v>
      </c>
      <c r="P2178" s="142">
        <f>'Aug-Apr, 2023'!BQ80</f>
        <v>0</v>
      </c>
      <c r="Q2178" s="142">
        <f>'Aug-Apr, 2023'!BR80</f>
        <v>6000</v>
      </c>
    </row>
    <row r="2179" spans="1:17">
      <c r="A2179" t="s">
        <v>104</v>
      </c>
      <c r="B2179" t="s">
        <v>26</v>
      </c>
      <c r="C2179">
        <v>7</v>
      </c>
      <c r="D2179">
        <v>2023</v>
      </c>
      <c r="E2179" s="49" t="s">
        <v>154</v>
      </c>
      <c r="F2179" s="49" t="s">
        <v>163</v>
      </c>
      <c r="G2179">
        <f>'Aug-Apr, 2023'!BK81+'Aug-Apr, 2023'!BL81</f>
        <v>42</v>
      </c>
      <c r="H2179">
        <f>'Aug-Apr, 2023'!BM81</f>
        <v>0</v>
      </c>
      <c r="I2179">
        <f>'Aug-Apr, 2023'!BN81</f>
        <v>15</v>
      </c>
      <c r="J2179">
        <f>G2179*Parameters!$B$2*Parameters!$B$5</f>
        <v>89.422199999999975</v>
      </c>
      <c r="K2179">
        <f>H2179*Parameters!$B$3*Parameters!$B$6</f>
        <v>0</v>
      </c>
      <c r="L2179">
        <f>I2179*Parameters!$B$4*Parameters!$B$7</f>
        <v>121.44600000000001</v>
      </c>
      <c r="M2179">
        <f t="shared" ref="M2179:M2242" si="34">SUM(J2179:L2179)</f>
        <v>210.8682</v>
      </c>
      <c r="N2179" s="142">
        <f>'Aug-Apr, 2023'!BO81</f>
        <v>4200</v>
      </c>
      <c r="O2179" s="142">
        <f>'Aug-Apr, 2023'!BP81</f>
        <v>0</v>
      </c>
      <c r="P2179" s="142">
        <f>'Aug-Apr, 2023'!BQ81</f>
        <v>0</v>
      </c>
      <c r="Q2179" s="142">
        <f>'Aug-Apr, 2023'!BR81</f>
        <v>4500</v>
      </c>
    </row>
    <row r="2180" spans="1:17">
      <c r="A2180" t="s">
        <v>105</v>
      </c>
      <c r="B2180" t="s">
        <v>21</v>
      </c>
      <c r="C2180">
        <v>5</v>
      </c>
      <c r="D2180">
        <v>2023</v>
      </c>
      <c r="E2180" s="49" t="s">
        <v>154</v>
      </c>
      <c r="F2180" s="49" t="s">
        <v>163</v>
      </c>
      <c r="G2180">
        <f>'Aug-Apr, 2023'!BK82+'Aug-Apr, 2023'!BL82</f>
        <v>35</v>
      </c>
      <c r="H2180">
        <f>'Aug-Apr, 2023'!BM82</f>
        <v>0</v>
      </c>
      <c r="I2180">
        <f>'Aug-Apr, 2023'!BN82</f>
        <v>18</v>
      </c>
      <c r="J2180">
        <f>G2180*Parameters!$B$2*Parameters!$B$5</f>
        <v>74.518499999999989</v>
      </c>
      <c r="K2180">
        <f>H2180*Parameters!$B$3*Parameters!$B$6</f>
        <v>0</v>
      </c>
      <c r="L2180">
        <f>I2180*Parameters!$B$4*Parameters!$B$7</f>
        <v>145.73520000000002</v>
      </c>
      <c r="M2180">
        <f t="shared" si="34"/>
        <v>220.25370000000001</v>
      </c>
      <c r="N2180" s="142">
        <f>'Aug-Apr, 2023'!BO82</f>
        <v>3500</v>
      </c>
      <c r="O2180" s="142">
        <f>'Aug-Apr, 2023'!BP82</f>
        <v>0</v>
      </c>
      <c r="P2180" s="142">
        <f>'Aug-Apr, 2023'!BQ82</f>
        <v>0</v>
      </c>
      <c r="Q2180" s="142">
        <f>'Aug-Apr, 2023'!BR82</f>
        <v>5400</v>
      </c>
    </row>
    <row r="2181" spans="1:17">
      <c r="A2181" t="s">
        <v>106</v>
      </c>
      <c r="B2181" t="s">
        <v>24</v>
      </c>
      <c r="C2181">
        <v>6</v>
      </c>
      <c r="D2181">
        <v>2023</v>
      </c>
      <c r="E2181" s="49" t="s">
        <v>154</v>
      </c>
      <c r="F2181" s="49" t="s">
        <v>163</v>
      </c>
      <c r="G2181">
        <f>'Aug-Apr, 2023'!BK83+'Aug-Apr, 2023'!BL83</f>
        <v>65</v>
      </c>
      <c r="H2181">
        <f>'Aug-Apr, 2023'!BM83</f>
        <v>0</v>
      </c>
      <c r="I2181">
        <f>'Aug-Apr, 2023'!BN83</f>
        <v>10</v>
      </c>
      <c r="J2181">
        <f>G2181*Parameters!$B$2*Parameters!$B$5</f>
        <v>138.39149999999998</v>
      </c>
      <c r="K2181">
        <f>H2181*Parameters!$B$3*Parameters!$B$6</f>
        <v>0</v>
      </c>
      <c r="L2181">
        <f>I2181*Parameters!$B$4*Parameters!$B$7</f>
        <v>80.963999999999999</v>
      </c>
      <c r="M2181">
        <f t="shared" si="34"/>
        <v>219.35549999999998</v>
      </c>
      <c r="N2181" s="142">
        <f>'Aug-Apr, 2023'!BO83</f>
        <v>6500</v>
      </c>
      <c r="O2181" s="142">
        <f>'Aug-Apr, 2023'!BP83</f>
        <v>0</v>
      </c>
      <c r="P2181" s="142">
        <f>'Aug-Apr, 2023'!BQ83</f>
        <v>0</v>
      </c>
      <c r="Q2181" s="142">
        <f>'Aug-Apr, 2023'!BR83</f>
        <v>3000</v>
      </c>
    </row>
    <row r="2182" spans="1:17">
      <c r="A2182" t="s">
        <v>107</v>
      </c>
      <c r="B2182" t="s">
        <v>21</v>
      </c>
      <c r="C2182">
        <v>4</v>
      </c>
      <c r="D2182">
        <v>2023</v>
      </c>
      <c r="E2182" s="49" t="s">
        <v>154</v>
      </c>
      <c r="F2182" s="49" t="s">
        <v>163</v>
      </c>
      <c r="G2182">
        <f>'Aug-Apr, 2023'!BK84+'Aug-Apr, 2023'!BL84</f>
        <v>50</v>
      </c>
      <c r="H2182">
        <f>'Aug-Apr, 2023'!BM84</f>
        <v>0</v>
      </c>
      <c r="I2182">
        <f>'Aug-Apr, 2023'!BN84</f>
        <v>12</v>
      </c>
      <c r="J2182">
        <f>G2182*Parameters!$B$2*Parameters!$B$5</f>
        <v>106.45499999999998</v>
      </c>
      <c r="K2182">
        <f>H2182*Parameters!$B$3*Parameters!$B$6</f>
        <v>0</v>
      </c>
      <c r="L2182">
        <f>I2182*Parameters!$B$4*Parameters!$B$7</f>
        <v>97.156800000000018</v>
      </c>
      <c r="M2182">
        <f t="shared" si="34"/>
        <v>203.61180000000002</v>
      </c>
      <c r="N2182" s="142">
        <f>'Aug-Apr, 2023'!BO84</f>
        <v>5000</v>
      </c>
      <c r="O2182" s="142">
        <f>'Aug-Apr, 2023'!BP84</f>
        <v>0</v>
      </c>
      <c r="P2182" s="142">
        <f>'Aug-Apr, 2023'!BQ84</f>
        <v>0</v>
      </c>
      <c r="Q2182" s="142">
        <f>'Aug-Apr, 2023'!BR84</f>
        <v>3600</v>
      </c>
    </row>
    <row r="2183" spans="1:17">
      <c r="A2183" t="s">
        <v>108</v>
      </c>
      <c r="B2183" t="s">
        <v>24</v>
      </c>
      <c r="C2183">
        <v>5</v>
      </c>
      <c r="D2183">
        <v>2023</v>
      </c>
      <c r="E2183" s="49" t="s">
        <v>154</v>
      </c>
      <c r="F2183" s="49" t="s">
        <v>163</v>
      </c>
      <c r="G2183">
        <f>'Aug-Apr, 2023'!BK85+'Aug-Apr, 2023'!BL85</f>
        <v>52</v>
      </c>
      <c r="H2183">
        <f>'Aug-Apr, 2023'!BM85</f>
        <v>0</v>
      </c>
      <c r="I2183">
        <f>'Aug-Apr, 2023'!BN85</f>
        <v>13</v>
      </c>
      <c r="J2183">
        <f>G2183*Parameters!$B$2*Parameters!$B$5</f>
        <v>110.71319999999999</v>
      </c>
      <c r="K2183">
        <f>H2183*Parameters!$B$3*Parameters!$B$6</f>
        <v>0</v>
      </c>
      <c r="L2183">
        <f>I2183*Parameters!$B$4*Parameters!$B$7</f>
        <v>105.25320000000001</v>
      </c>
      <c r="M2183">
        <f t="shared" si="34"/>
        <v>215.96639999999999</v>
      </c>
      <c r="N2183" s="142">
        <f>'Aug-Apr, 2023'!BO85</f>
        <v>5200</v>
      </c>
      <c r="O2183" s="142">
        <f>'Aug-Apr, 2023'!BP85</f>
        <v>0</v>
      </c>
      <c r="P2183" s="142">
        <f>'Aug-Apr, 2023'!BQ85</f>
        <v>0</v>
      </c>
      <c r="Q2183" s="142">
        <f>'Aug-Apr, 2023'!BR85</f>
        <v>3900</v>
      </c>
    </row>
    <row r="2184" spans="1:17">
      <c r="A2184" t="s">
        <v>109</v>
      </c>
      <c r="B2184" t="s">
        <v>32</v>
      </c>
      <c r="C2184">
        <v>6</v>
      </c>
      <c r="D2184">
        <v>2023</v>
      </c>
      <c r="E2184" s="49" t="s">
        <v>154</v>
      </c>
      <c r="F2184" s="49" t="s">
        <v>163</v>
      </c>
      <c r="G2184">
        <f>'Aug-Apr, 2023'!BK86+'Aug-Apr, 2023'!BL86</f>
        <v>45</v>
      </c>
      <c r="H2184">
        <f>'Aug-Apr, 2023'!BM86</f>
        <v>0</v>
      </c>
      <c r="I2184">
        <f>'Aug-Apr, 2023'!BN86</f>
        <v>20</v>
      </c>
      <c r="J2184">
        <f>G2184*Parameters!$B$2*Parameters!$B$5</f>
        <v>95.809499999999986</v>
      </c>
      <c r="K2184">
        <f>H2184*Parameters!$B$3*Parameters!$B$6</f>
        <v>0</v>
      </c>
      <c r="L2184">
        <f>I2184*Parameters!$B$4*Parameters!$B$7</f>
        <v>161.928</v>
      </c>
      <c r="M2184">
        <f t="shared" si="34"/>
        <v>257.73749999999995</v>
      </c>
      <c r="N2184" s="142">
        <f>'Aug-Apr, 2023'!BO86</f>
        <v>4500</v>
      </c>
      <c r="O2184" s="142">
        <f>'Aug-Apr, 2023'!BP86</f>
        <v>0</v>
      </c>
      <c r="P2184" s="142">
        <f>'Aug-Apr, 2023'!BQ86</f>
        <v>0</v>
      </c>
      <c r="Q2184" s="142">
        <f>'Aug-Apr, 2023'!BR86</f>
        <v>6000</v>
      </c>
    </row>
    <row r="2185" spans="1:17">
      <c r="A2185" t="s">
        <v>110</v>
      </c>
      <c r="B2185" t="s">
        <v>21</v>
      </c>
      <c r="C2185">
        <v>3</v>
      </c>
      <c r="D2185">
        <v>2023</v>
      </c>
      <c r="E2185" s="49" t="s">
        <v>154</v>
      </c>
      <c r="F2185" s="49" t="s">
        <v>163</v>
      </c>
      <c r="G2185">
        <f>'Aug-Apr, 2023'!BK87+'Aug-Apr, 2023'!BL87</f>
        <v>48</v>
      </c>
      <c r="H2185">
        <f>'Aug-Apr, 2023'!BM87</f>
        <v>0</v>
      </c>
      <c r="I2185">
        <f>'Aug-Apr, 2023'!BN87</f>
        <v>16</v>
      </c>
      <c r="J2185">
        <f>G2185*Parameters!$B$2*Parameters!$B$5</f>
        <v>102.19679999999998</v>
      </c>
      <c r="K2185">
        <f>H2185*Parameters!$B$3*Parameters!$B$6</f>
        <v>0</v>
      </c>
      <c r="L2185">
        <f>I2185*Parameters!$B$4*Parameters!$B$7</f>
        <v>129.54240000000001</v>
      </c>
      <c r="M2185">
        <f t="shared" si="34"/>
        <v>231.73919999999998</v>
      </c>
      <c r="N2185" s="142">
        <f>'Aug-Apr, 2023'!BO87</f>
        <v>4800</v>
      </c>
      <c r="O2185" s="142">
        <f>'Aug-Apr, 2023'!BP87</f>
        <v>0</v>
      </c>
      <c r="P2185" s="142">
        <f>'Aug-Apr, 2023'!BQ87</f>
        <v>0</v>
      </c>
      <c r="Q2185" s="142">
        <f>'Aug-Apr, 2023'!BR87</f>
        <v>4800</v>
      </c>
    </row>
    <row r="2186" spans="1:17">
      <c r="A2186" t="s">
        <v>111</v>
      </c>
      <c r="B2186" t="s">
        <v>26</v>
      </c>
      <c r="C2186">
        <v>6</v>
      </c>
      <c r="D2186">
        <v>2023</v>
      </c>
      <c r="E2186" s="49" t="s">
        <v>154</v>
      </c>
      <c r="F2186" s="49" t="s">
        <v>163</v>
      </c>
      <c r="G2186">
        <f>'Aug-Apr, 2023'!BK88+'Aug-Apr, 2023'!BL88</f>
        <v>52</v>
      </c>
      <c r="H2186">
        <f>'Aug-Apr, 2023'!BM88</f>
        <v>0</v>
      </c>
      <c r="I2186">
        <f>'Aug-Apr, 2023'!BN88</f>
        <v>11</v>
      </c>
      <c r="J2186">
        <f>G2186*Parameters!$B$2*Parameters!$B$5</f>
        <v>110.71319999999999</v>
      </c>
      <c r="K2186">
        <f>H2186*Parameters!$B$3*Parameters!$B$6</f>
        <v>0</v>
      </c>
      <c r="L2186">
        <f>I2186*Parameters!$B$4*Parameters!$B$7</f>
        <v>89.060400000000016</v>
      </c>
      <c r="M2186">
        <f t="shared" si="34"/>
        <v>199.77359999999999</v>
      </c>
      <c r="N2186" s="142">
        <f>'Aug-Apr, 2023'!BO88</f>
        <v>5200</v>
      </c>
      <c r="O2186" s="142">
        <f>'Aug-Apr, 2023'!BP88</f>
        <v>0</v>
      </c>
      <c r="P2186" s="142">
        <f>'Aug-Apr, 2023'!BQ88</f>
        <v>0</v>
      </c>
      <c r="Q2186" s="142">
        <f>'Aug-Apr, 2023'!BR88</f>
        <v>3300</v>
      </c>
    </row>
    <row r="2187" spans="1:17">
      <c r="A2187" t="s">
        <v>112</v>
      </c>
      <c r="B2187" t="s">
        <v>19</v>
      </c>
      <c r="C2187">
        <v>7</v>
      </c>
      <c r="D2187">
        <v>2023</v>
      </c>
      <c r="E2187" s="49" t="s">
        <v>154</v>
      </c>
      <c r="F2187" s="49" t="s">
        <v>163</v>
      </c>
      <c r="G2187">
        <f>'Aug-Apr, 2023'!BK89+'Aug-Apr, 2023'!BL89</f>
        <v>48</v>
      </c>
      <c r="H2187">
        <f>'Aug-Apr, 2023'!BM89</f>
        <v>0</v>
      </c>
      <c r="I2187">
        <f>'Aug-Apr, 2023'!BN89</f>
        <v>20</v>
      </c>
      <c r="J2187">
        <f>G2187*Parameters!$B$2*Parameters!$B$5</f>
        <v>102.19679999999998</v>
      </c>
      <c r="K2187">
        <f>H2187*Parameters!$B$3*Parameters!$B$6</f>
        <v>0</v>
      </c>
      <c r="L2187">
        <f>I2187*Parameters!$B$4*Parameters!$B$7</f>
        <v>161.928</v>
      </c>
      <c r="M2187">
        <f t="shared" si="34"/>
        <v>264.12479999999999</v>
      </c>
      <c r="N2187" s="142">
        <f>'Aug-Apr, 2023'!BO89</f>
        <v>0</v>
      </c>
      <c r="O2187" s="142">
        <f>'Aug-Apr, 2023'!BP89</f>
        <v>4800</v>
      </c>
      <c r="P2187" s="142">
        <f>'Aug-Apr, 2023'!BQ89</f>
        <v>0</v>
      </c>
      <c r="Q2187" s="142">
        <f>'Aug-Apr, 2023'!BR89</f>
        <v>6000</v>
      </c>
    </row>
    <row r="2188" spans="1:17">
      <c r="A2188" t="s">
        <v>113</v>
      </c>
      <c r="B2188" t="s">
        <v>26</v>
      </c>
      <c r="C2188">
        <v>4</v>
      </c>
      <c r="D2188">
        <v>2023</v>
      </c>
      <c r="E2188" s="49" t="s">
        <v>154</v>
      </c>
      <c r="F2188" s="49" t="s">
        <v>163</v>
      </c>
      <c r="G2188">
        <f>'Aug-Apr, 2023'!BK90+'Aug-Apr, 2023'!BL90</f>
        <v>48</v>
      </c>
      <c r="H2188">
        <f>'Aug-Apr, 2023'!BM90</f>
        <v>0</v>
      </c>
      <c r="I2188">
        <f>'Aug-Apr, 2023'!BN90</f>
        <v>18</v>
      </c>
      <c r="J2188">
        <f>G2188*Parameters!$B$2*Parameters!$B$5</f>
        <v>102.19679999999998</v>
      </c>
      <c r="K2188">
        <f>H2188*Parameters!$B$3*Parameters!$B$6</f>
        <v>0</v>
      </c>
      <c r="L2188">
        <f>I2188*Parameters!$B$4*Parameters!$B$7</f>
        <v>145.73520000000002</v>
      </c>
      <c r="M2188">
        <f t="shared" si="34"/>
        <v>247.93200000000002</v>
      </c>
      <c r="N2188" s="142">
        <f>'Aug-Apr, 2023'!BO90</f>
        <v>4800</v>
      </c>
      <c r="O2188" s="142">
        <f>'Aug-Apr, 2023'!BP90</f>
        <v>0</v>
      </c>
      <c r="P2188" s="142">
        <f>'Aug-Apr, 2023'!BQ90</f>
        <v>0</v>
      </c>
      <c r="Q2188" s="142">
        <f>'Aug-Apr, 2023'!BR90</f>
        <v>5400</v>
      </c>
    </row>
    <row r="2189" spans="1:17">
      <c r="A2189" t="s">
        <v>114</v>
      </c>
      <c r="B2189" t="s">
        <v>65</v>
      </c>
      <c r="C2189">
        <v>8</v>
      </c>
      <c r="D2189">
        <v>2023</v>
      </c>
      <c r="E2189" s="49" t="s">
        <v>154</v>
      </c>
      <c r="F2189" s="49" t="s">
        <v>163</v>
      </c>
      <c r="G2189">
        <f>'Aug-Apr, 2023'!BK91+'Aug-Apr, 2023'!BL91</f>
        <v>55</v>
      </c>
      <c r="H2189">
        <f>'Aug-Apr, 2023'!BM91</f>
        <v>0</v>
      </c>
      <c r="I2189">
        <f>'Aug-Apr, 2023'!BN91</f>
        <v>8</v>
      </c>
      <c r="J2189">
        <f>G2189*Parameters!$B$2*Parameters!$B$5</f>
        <v>117.10049999999998</v>
      </c>
      <c r="K2189">
        <f>H2189*Parameters!$B$3*Parameters!$B$6</f>
        <v>0</v>
      </c>
      <c r="L2189">
        <f>I2189*Parameters!$B$4*Parameters!$B$7</f>
        <v>64.771200000000007</v>
      </c>
      <c r="M2189">
        <f t="shared" si="34"/>
        <v>181.87169999999998</v>
      </c>
      <c r="N2189" s="142">
        <f>'Aug-Apr, 2023'!BO91</f>
        <v>5500</v>
      </c>
      <c r="O2189" s="142">
        <f>'Aug-Apr, 2023'!BP91</f>
        <v>0</v>
      </c>
      <c r="P2189" s="142">
        <f>'Aug-Apr, 2023'!BQ91</f>
        <v>0</v>
      </c>
      <c r="Q2189" s="142">
        <f>'Aug-Apr, 2023'!BR91</f>
        <v>2400</v>
      </c>
    </row>
    <row r="2190" spans="1:17">
      <c r="A2190" t="s">
        <v>115</v>
      </c>
      <c r="B2190" t="s">
        <v>19</v>
      </c>
      <c r="C2190">
        <v>8</v>
      </c>
      <c r="D2190">
        <v>2023</v>
      </c>
      <c r="E2190" s="49" t="s">
        <v>154</v>
      </c>
      <c r="F2190" s="49" t="s">
        <v>163</v>
      </c>
      <c r="G2190">
        <f>'Aug-Apr, 2023'!BK92+'Aug-Apr, 2023'!BL92</f>
        <v>51</v>
      </c>
      <c r="H2190">
        <f>'Aug-Apr, 2023'!BM92</f>
        <v>0</v>
      </c>
      <c r="I2190">
        <f>'Aug-Apr, 2023'!BN92</f>
        <v>18</v>
      </c>
      <c r="J2190">
        <f>G2190*Parameters!$B$2*Parameters!$B$5</f>
        <v>108.58409999999999</v>
      </c>
      <c r="K2190">
        <f>H2190*Parameters!$B$3*Parameters!$B$6</f>
        <v>0</v>
      </c>
      <c r="L2190">
        <f>I2190*Parameters!$B$4*Parameters!$B$7</f>
        <v>145.73520000000002</v>
      </c>
      <c r="M2190">
        <f t="shared" si="34"/>
        <v>254.3193</v>
      </c>
      <c r="N2190" s="142">
        <f>'Aug-Apr, 2023'!BO92</f>
        <v>5100</v>
      </c>
      <c r="O2190" s="142">
        <f>'Aug-Apr, 2023'!BP92</f>
        <v>0</v>
      </c>
      <c r="P2190" s="142">
        <f>'Aug-Apr, 2023'!BQ92</f>
        <v>0</v>
      </c>
      <c r="Q2190" s="142">
        <f>'Aug-Apr, 2023'!BR92</f>
        <v>5400</v>
      </c>
    </row>
    <row r="2191" spans="1:17">
      <c r="A2191" t="s">
        <v>116</v>
      </c>
      <c r="B2191" t="s">
        <v>21</v>
      </c>
      <c r="C2191">
        <v>4</v>
      </c>
      <c r="D2191">
        <v>2023</v>
      </c>
      <c r="E2191" s="49" t="s">
        <v>154</v>
      </c>
      <c r="F2191" s="49" t="s">
        <v>163</v>
      </c>
      <c r="G2191">
        <f>'Aug-Apr, 2023'!BK93+'Aug-Apr, 2023'!BL93</f>
        <v>35</v>
      </c>
      <c r="H2191">
        <f>'Aug-Apr, 2023'!BM93</f>
        <v>0</v>
      </c>
      <c r="I2191">
        <f>'Aug-Apr, 2023'!BN93</f>
        <v>12</v>
      </c>
      <c r="J2191">
        <f>G2191*Parameters!$B$2*Parameters!$B$5</f>
        <v>74.518499999999989</v>
      </c>
      <c r="K2191">
        <f>H2191*Parameters!$B$3*Parameters!$B$6</f>
        <v>0</v>
      </c>
      <c r="L2191">
        <f>I2191*Parameters!$B$4*Parameters!$B$7</f>
        <v>97.156800000000018</v>
      </c>
      <c r="M2191">
        <f t="shared" si="34"/>
        <v>171.67529999999999</v>
      </c>
      <c r="N2191" s="142">
        <f>'Aug-Apr, 2023'!BO93</f>
        <v>3500</v>
      </c>
      <c r="O2191" s="142">
        <f>'Aug-Apr, 2023'!BP93</f>
        <v>0</v>
      </c>
      <c r="P2191" s="142">
        <f>'Aug-Apr, 2023'!BQ93</f>
        <v>0</v>
      </c>
      <c r="Q2191" s="142">
        <f>'Aug-Apr, 2023'!BR93</f>
        <v>3600</v>
      </c>
    </row>
    <row r="2192" spans="1:17">
      <c r="A2192" t="s">
        <v>117</v>
      </c>
      <c r="B2192" t="s">
        <v>17</v>
      </c>
      <c r="C2192">
        <v>9</v>
      </c>
      <c r="D2192">
        <v>2023</v>
      </c>
      <c r="E2192" s="49" t="s">
        <v>154</v>
      </c>
      <c r="F2192" s="49" t="s">
        <v>163</v>
      </c>
      <c r="G2192">
        <f>'Aug-Apr, 2023'!BK94+'Aug-Apr, 2023'!BL94</f>
        <v>58</v>
      </c>
      <c r="H2192">
        <f>'Aug-Apr, 2023'!BM94</f>
        <v>0</v>
      </c>
      <c r="I2192">
        <f>'Aug-Apr, 2023'!BN94</f>
        <v>6</v>
      </c>
      <c r="J2192">
        <f>G2192*Parameters!$B$2*Parameters!$B$5</f>
        <v>123.48779999999998</v>
      </c>
      <c r="K2192">
        <f>H2192*Parameters!$B$3*Parameters!$B$6</f>
        <v>0</v>
      </c>
      <c r="L2192">
        <f>I2192*Parameters!$B$4*Parameters!$B$7</f>
        <v>48.578400000000009</v>
      </c>
      <c r="M2192">
        <f t="shared" si="34"/>
        <v>172.06619999999998</v>
      </c>
      <c r="N2192" s="142">
        <f>'Aug-Apr, 2023'!BO94</f>
        <v>5800</v>
      </c>
      <c r="O2192" s="142">
        <f>'Aug-Apr, 2023'!BP94</f>
        <v>0</v>
      </c>
      <c r="P2192" s="142">
        <f>'Aug-Apr, 2023'!BQ94</f>
        <v>0</v>
      </c>
      <c r="Q2192" s="142">
        <f>'Aug-Apr, 2023'!BR94</f>
        <v>1800</v>
      </c>
    </row>
    <row r="2193" spans="1:17">
      <c r="A2193" t="s">
        <v>118</v>
      </c>
      <c r="B2193" t="s">
        <v>19</v>
      </c>
      <c r="C2193">
        <v>4</v>
      </c>
      <c r="D2193">
        <v>2023</v>
      </c>
      <c r="E2193" s="49" t="s">
        <v>154</v>
      </c>
      <c r="F2193" s="49" t="s">
        <v>163</v>
      </c>
      <c r="G2193">
        <f>'Aug-Apr, 2023'!BK95+'Aug-Apr, 2023'!BL95</f>
        <v>36</v>
      </c>
      <c r="H2193">
        <f>'Aug-Apr, 2023'!BM95</f>
        <v>0</v>
      </c>
      <c r="I2193">
        <f>'Aug-Apr, 2023'!BN95</f>
        <v>12</v>
      </c>
      <c r="J2193">
        <f>G2193*Parameters!$B$2*Parameters!$B$5</f>
        <v>76.647599999999997</v>
      </c>
      <c r="K2193">
        <f>H2193*Parameters!$B$3*Parameters!$B$6</f>
        <v>0</v>
      </c>
      <c r="L2193">
        <f>I2193*Parameters!$B$4*Parameters!$B$7</f>
        <v>97.156800000000018</v>
      </c>
      <c r="M2193">
        <f t="shared" si="34"/>
        <v>173.80440000000002</v>
      </c>
      <c r="N2193" s="142">
        <f>'Aug-Apr, 2023'!BO95</f>
        <v>3600</v>
      </c>
      <c r="O2193" s="142">
        <f>'Aug-Apr, 2023'!BP95</f>
        <v>0</v>
      </c>
      <c r="P2193" s="142">
        <f>'Aug-Apr, 2023'!BQ95</f>
        <v>0</v>
      </c>
      <c r="Q2193" s="142">
        <f>'Aug-Apr, 2023'!BR95</f>
        <v>3600</v>
      </c>
    </row>
    <row r="2194" spans="1:17">
      <c r="A2194" t="s">
        <v>119</v>
      </c>
      <c r="B2194" t="s">
        <v>40</v>
      </c>
      <c r="C2194">
        <v>6</v>
      </c>
      <c r="D2194">
        <v>2023</v>
      </c>
      <c r="E2194" s="49" t="s">
        <v>154</v>
      </c>
      <c r="F2194" s="49" t="s">
        <v>163</v>
      </c>
      <c r="G2194">
        <f>'Aug-Apr, 2023'!BK96+'Aug-Apr, 2023'!BL96</f>
        <v>40</v>
      </c>
      <c r="H2194">
        <f>'Aug-Apr, 2023'!BM96</f>
        <v>0</v>
      </c>
      <c r="I2194">
        <f>'Aug-Apr, 2023'!BN96</f>
        <v>9</v>
      </c>
      <c r="J2194">
        <f>G2194*Parameters!$B$2*Parameters!$B$5</f>
        <v>85.163999999999987</v>
      </c>
      <c r="K2194">
        <f>H2194*Parameters!$B$3*Parameters!$B$6</f>
        <v>0</v>
      </c>
      <c r="L2194">
        <f>I2194*Parameters!$B$4*Parameters!$B$7</f>
        <v>72.86760000000001</v>
      </c>
      <c r="M2194">
        <f t="shared" si="34"/>
        <v>158.0316</v>
      </c>
      <c r="N2194" s="142">
        <f>'Aug-Apr, 2023'!BO96</f>
        <v>0</v>
      </c>
      <c r="O2194" s="142">
        <f>'Aug-Apr, 2023'!BP96</f>
        <v>4000</v>
      </c>
      <c r="P2194" s="142">
        <f>'Aug-Apr, 2023'!BQ96</f>
        <v>0</v>
      </c>
      <c r="Q2194" s="142">
        <f>'Aug-Apr, 2023'!BR96</f>
        <v>2700</v>
      </c>
    </row>
    <row r="2195" spans="1:17">
      <c r="A2195" t="s">
        <v>120</v>
      </c>
      <c r="B2195" t="s">
        <v>32</v>
      </c>
      <c r="C2195">
        <v>8</v>
      </c>
      <c r="D2195">
        <v>2023</v>
      </c>
      <c r="E2195" s="49" t="s">
        <v>154</v>
      </c>
      <c r="F2195" s="49" t="s">
        <v>163</v>
      </c>
      <c r="G2195">
        <f>'Aug-Apr, 2023'!BK97+'Aug-Apr, 2023'!BL97</f>
        <v>58</v>
      </c>
      <c r="H2195">
        <f>'Aug-Apr, 2023'!BM97</f>
        <v>0</v>
      </c>
      <c r="I2195">
        <f>'Aug-Apr, 2023'!BN97</f>
        <v>2</v>
      </c>
      <c r="J2195">
        <f>G2195*Parameters!$B$2*Parameters!$B$5</f>
        <v>123.48779999999998</v>
      </c>
      <c r="K2195">
        <f>H2195*Parameters!$B$3*Parameters!$B$6</f>
        <v>0</v>
      </c>
      <c r="L2195">
        <f>I2195*Parameters!$B$4*Parameters!$B$7</f>
        <v>16.192800000000002</v>
      </c>
      <c r="M2195">
        <f t="shared" si="34"/>
        <v>139.68059999999997</v>
      </c>
      <c r="N2195" s="142">
        <f>'Aug-Apr, 2023'!BO97</f>
        <v>5800</v>
      </c>
      <c r="O2195" s="142">
        <f>'Aug-Apr, 2023'!BP97</f>
        <v>0</v>
      </c>
      <c r="P2195" s="142">
        <f>'Aug-Apr, 2023'!BQ97</f>
        <v>0</v>
      </c>
      <c r="Q2195" s="142">
        <f>'Aug-Apr, 2023'!BR97</f>
        <v>600</v>
      </c>
    </row>
    <row r="2196" spans="1:17">
      <c r="A2196" t="s">
        <v>121</v>
      </c>
      <c r="B2196" t="s">
        <v>24</v>
      </c>
      <c r="C2196">
        <v>5</v>
      </c>
      <c r="D2196">
        <v>2023</v>
      </c>
      <c r="E2196" s="49" t="s">
        <v>154</v>
      </c>
      <c r="F2196" s="49" t="s">
        <v>163</v>
      </c>
      <c r="G2196">
        <f>'Aug-Apr, 2023'!BK98+'Aug-Apr, 2023'!BL98</f>
        <v>54</v>
      </c>
      <c r="H2196">
        <f>'Aug-Apr, 2023'!BM98</f>
        <v>0</v>
      </c>
      <c r="I2196">
        <f>'Aug-Apr, 2023'!BN98</f>
        <v>8</v>
      </c>
      <c r="J2196">
        <f>G2196*Parameters!$B$2*Parameters!$B$5</f>
        <v>114.97139999999999</v>
      </c>
      <c r="K2196">
        <f>H2196*Parameters!$B$3*Parameters!$B$6</f>
        <v>0</v>
      </c>
      <c r="L2196">
        <f>I2196*Parameters!$B$4*Parameters!$B$7</f>
        <v>64.771200000000007</v>
      </c>
      <c r="M2196">
        <f t="shared" si="34"/>
        <v>179.74259999999998</v>
      </c>
      <c r="N2196" s="142">
        <f>'Aug-Apr, 2023'!BO98</f>
        <v>5400</v>
      </c>
      <c r="O2196" s="142">
        <f>'Aug-Apr, 2023'!BP98</f>
        <v>0</v>
      </c>
      <c r="P2196" s="142">
        <f>'Aug-Apr, 2023'!BQ98</f>
        <v>0</v>
      </c>
      <c r="Q2196" s="142">
        <f>'Aug-Apr, 2023'!BR98</f>
        <v>2400</v>
      </c>
    </row>
    <row r="2197" spans="1:17">
      <c r="A2197" t="s">
        <v>122</v>
      </c>
      <c r="B2197" t="s">
        <v>26</v>
      </c>
      <c r="C2197">
        <v>6</v>
      </c>
      <c r="D2197">
        <v>2023</v>
      </c>
      <c r="E2197" s="49" t="s">
        <v>154</v>
      </c>
      <c r="F2197" s="49" t="s">
        <v>163</v>
      </c>
      <c r="G2197">
        <f>'Aug-Apr, 2023'!BK99+'Aug-Apr, 2023'!BL99</f>
        <v>40</v>
      </c>
      <c r="H2197">
        <f>'Aug-Apr, 2023'!BM99</f>
        <v>0</v>
      </c>
      <c r="I2197">
        <f>'Aug-Apr, 2023'!BN99</f>
        <v>14</v>
      </c>
      <c r="J2197">
        <f>G2197*Parameters!$B$2*Parameters!$B$5</f>
        <v>85.163999999999987</v>
      </c>
      <c r="K2197">
        <f>H2197*Parameters!$B$3*Parameters!$B$6</f>
        <v>0</v>
      </c>
      <c r="L2197">
        <f>I2197*Parameters!$B$4*Parameters!$B$7</f>
        <v>113.34960000000001</v>
      </c>
      <c r="M2197">
        <f t="shared" si="34"/>
        <v>198.5136</v>
      </c>
      <c r="N2197" s="142">
        <f>'Aug-Apr, 2023'!BO99</f>
        <v>4000</v>
      </c>
      <c r="O2197" s="142">
        <f>'Aug-Apr, 2023'!BP99</f>
        <v>0</v>
      </c>
      <c r="P2197" s="142">
        <f>'Aug-Apr, 2023'!BQ99</f>
        <v>0</v>
      </c>
      <c r="Q2197" s="142">
        <f>'Aug-Apr, 2023'!BR99</f>
        <v>4200</v>
      </c>
    </row>
    <row r="2198" spans="1:17">
      <c r="A2198" t="s">
        <v>123</v>
      </c>
      <c r="B2198" t="s">
        <v>19</v>
      </c>
      <c r="C2198">
        <v>8</v>
      </c>
      <c r="D2198">
        <v>2023</v>
      </c>
      <c r="E2198" s="49" t="s">
        <v>154</v>
      </c>
      <c r="F2198" s="49" t="s">
        <v>163</v>
      </c>
      <c r="G2198">
        <f>'Aug-Apr, 2023'!BK100+'Aug-Apr, 2023'!BL100</f>
        <v>45</v>
      </c>
      <c r="H2198">
        <f>'Aug-Apr, 2023'!BM100</f>
        <v>0</v>
      </c>
      <c r="I2198">
        <f>'Aug-Apr, 2023'!BN100</f>
        <v>10</v>
      </c>
      <c r="J2198">
        <f>G2198*Parameters!$B$2*Parameters!$B$5</f>
        <v>95.809499999999986</v>
      </c>
      <c r="K2198">
        <f>H2198*Parameters!$B$3*Parameters!$B$6</f>
        <v>0</v>
      </c>
      <c r="L2198">
        <f>I2198*Parameters!$B$4*Parameters!$B$7</f>
        <v>80.963999999999999</v>
      </c>
      <c r="M2198">
        <f t="shared" si="34"/>
        <v>176.77349999999998</v>
      </c>
      <c r="N2198" s="142">
        <f>'Aug-Apr, 2023'!BO100</f>
        <v>4500</v>
      </c>
      <c r="O2198" s="142">
        <f>'Aug-Apr, 2023'!BP100</f>
        <v>0</v>
      </c>
      <c r="P2198" s="142">
        <f>'Aug-Apr, 2023'!BQ100</f>
        <v>0</v>
      </c>
      <c r="Q2198" s="142">
        <f>'Aug-Apr, 2023'!BR100</f>
        <v>3000</v>
      </c>
    </row>
    <row r="2199" spans="1:17">
      <c r="A2199" t="s">
        <v>124</v>
      </c>
      <c r="B2199" t="s">
        <v>56</v>
      </c>
      <c r="C2199">
        <v>9</v>
      </c>
      <c r="D2199">
        <v>2023</v>
      </c>
      <c r="E2199" s="49" t="s">
        <v>154</v>
      </c>
      <c r="F2199" s="49" t="s">
        <v>163</v>
      </c>
      <c r="G2199">
        <f>'Aug-Apr, 2023'!BK101+'Aug-Apr, 2023'!BL101</f>
        <v>48</v>
      </c>
      <c r="H2199">
        <f>'Aug-Apr, 2023'!BM101</f>
        <v>0</v>
      </c>
      <c r="I2199">
        <f>'Aug-Apr, 2023'!BN101</f>
        <v>12</v>
      </c>
      <c r="J2199">
        <f>G2199*Parameters!$B$2*Parameters!$B$5</f>
        <v>102.19679999999998</v>
      </c>
      <c r="K2199">
        <f>H2199*Parameters!$B$3*Parameters!$B$6</f>
        <v>0</v>
      </c>
      <c r="L2199">
        <f>I2199*Parameters!$B$4*Parameters!$B$7</f>
        <v>97.156800000000018</v>
      </c>
      <c r="M2199">
        <f t="shared" si="34"/>
        <v>199.3536</v>
      </c>
      <c r="N2199" s="142">
        <f>'Aug-Apr, 2023'!BO101</f>
        <v>4800</v>
      </c>
      <c r="O2199" s="142">
        <f>'Aug-Apr, 2023'!BP101</f>
        <v>0</v>
      </c>
      <c r="P2199" s="142">
        <f>'Aug-Apr, 2023'!BQ101</f>
        <v>0</v>
      </c>
      <c r="Q2199" s="142">
        <f>'Aug-Apr, 2023'!BR101</f>
        <v>3600</v>
      </c>
    </row>
    <row r="2200" spans="1:17">
      <c r="A2200" t="s">
        <v>125</v>
      </c>
      <c r="B2200" t="s">
        <v>65</v>
      </c>
      <c r="C2200">
        <v>7</v>
      </c>
      <c r="D2200">
        <v>2023</v>
      </c>
      <c r="E2200" s="49" t="s">
        <v>154</v>
      </c>
      <c r="F2200" s="49" t="s">
        <v>163</v>
      </c>
      <c r="G2200">
        <f>'Aug-Apr, 2023'!BK102+'Aug-Apr, 2023'!BL102</f>
        <v>46</v>
      </c>
      <c r="H2200">
        <f>'Aug-Apr, 2023'!BM102</f>
        <v>0</v>
      </c>
      <c r="I2200">
        <f>'Aug-Apr, 2023'!BN102</f>
        <v>12</v>
      </c>
      <c r="J2200">
        <f>G2200*Parameters!$B$2*Parameters!$B$5</f>
        <v>97.938599999999994</v>
      </c>
      <c r="K2200">
        <f>H2200*Parameters!$B$3*Parameters!$B$6</f>
        <v>0</v>
      </c>
      <c r="L2200">
        <f>I2200*Parameters!$B$4*Parameters!$B$7</f>
        <v>97.156800000000018</v>
      </c>
      <c r="M2200">
        <f t="shared" si="34"/>
        <v>195.09540000000001</v>
      </c>
      <c r="N2200" s="142">
        <f>'Aug-Apr, 2023'!BO102</f>
        <v>4600</v>
      </c>
      <c r="O2200" s="142">
        <f>'Aug-Apr, 2023'!BP102</f>
        <v>0</v>
      </c>
      <c r="P2200" s="142">
        <f>'Aug-Apr, 2023'!BQ102</f>
        <v>0</v>
      </c>
      <c r="Q2200" s="142">
        <f>'Aug-Apr, 2023'!BR102</f>
        <v>3600</v>
      </c>
    </row>
    <row r="2201" spans="1:17">
      <c r="A2201" t="s">
        <v>126</v>
      </c>
      <c r="B2201" t="s">
        <v>65</v>
      </c>
      <c r="C2201">
        <v>6</v>
      </c>
      <c r="D2201">
        <v>2023</v>
      </c>
      <c r="E2201" s="49" t="s">
        <v>154</v>
      </c>
      <c r="F2201" s="49" t="s">
        <v>163</v>
      </c>
      <c r="G2201">
        <f>'Aug-Apr, 2023'!BK103+'Aug-Apr, 2023'!BL103</f>
        <v>55</v>
      </c>
      <c r="H2201">
        <f>'Aug-Apr, 2023'!BM103</f>
        <v>0</v>
      </c>
      <c r="I2201">
        <f>'Aug-Apr, 2023'!BN103</f>
        <v>0</v>
      </c>
      <c r="J2201">
        <f>G2201*Parameters!$B$2*Parameters!$B$5</f>
        <v>117.10049999999998</v>
      </c>
      <c r="K2201">
        <f>H2201*Parameters!$B$3*Parameters!$B$6</f>
        <v>0</v>
      </c>
      <c r="L2201">
        <f>I2201*Parameters!$B$4*Parameters!$B$7</f>
        <v>0</v>
      </c>
      <c r="M2201">
        <f t="shared" si="34"/>
        <v>117.10049999999998</v>
      </c>
      <c r="N2201" s="142">
        <f>'Aug-Apr, 2023'!BO103</f>
        <v>5500</v>
      </c>
      <c r="O2201" s="142">
        <f>'Aug-Apr, 2023'!BP103</f>
        <v>0</v>
      </c>
      <c r="P2201" s="142">
        <f>'Aug-Apr, 2023'!BQ103</f>
        <v>0</v>
      </c>
      <c r="Q2201" s="142">
        <f>'Aug-Apr, 2023'!BR103</f>
        <v>0</v>
      </c>
    </row>
    <row r="2202" spans="1:17">
      <c r="A2202" t="s">
        <v>16</v>
      </c>
      <c r="B2202" t="s">
        <v>17</v>
      </c>
      <c r="C2202">
        <v>8</v>
      </c>
      <c r="D2202">
        <v>2023</v>
      </c>
      <c r="E2202" s="49" t="s">
        <v>155</v>
      </c>
      <c r="F2202" s="49" t="s">
        <v>163</v>
      </c>
      <c r="G2202">
        <f>'Aug-Apr, 2023'!BS4+'Aug-Apr, 2023'!BT4</f>
        <v>55</v>
      </c>
      <c r="H2202">
        <f>'Aug-Apr, 2023'!BU4</f>
        <v>0</v>
      </c>
      <c r="I2202">
        <f>'Aug-Apr, 2023'!BV4</f>
        <v>20</v>
      </c>
      <c r="J2202">
        <f>G2202*Parameters!$B$2*Parameters!$B$5</f>
        <v>117.10049999999998</v>
      </c>
      <c r="K2202">
        <f>H2202*Parameters!$B$3*Parameters!$B$6</f>
        <v>0</v>
      </c>
      <c r="L2202">
        <f>I2202*Parameters!$B$4*Parameters!$B$7</f>
        <v>161.928</v>
      </c>
      <c r="M2202">
        <f t="shared" si="34"/>
        <v>279.02850000000001</v>
      </c>
      <c r="N2202" s="142">
        <f>'Aug-Apr, 2023'!BW4</f>
        <v>5500</v>
      </c>
      <c r="O2202" s="142">
        <f>'Aug-Apr, 2023'!BX4</f>
        <v>0</v>
      </c>
      <c r="P2202" s="142">
        <f>'Aug-Apr, 2023'!BY4</f>
        <v>0</v>
      </c>
      <c r="Q2202" s="142">
        <f>'Aug-Apr, 2023'!BZ4</f>
        <v>6000</v>
      </c>
    </row>
    <row r="2203" spans="1:17">
      <c r="A2203" t="s">
        <v>18</v>
      </c>
      <c r="B2203" t="s">
        <v>19</v>
      </c>
      <c r="C2203">
        <v>7</v>
      </c>
      <c r="D2203">
        <v>2023</v>
      </c>
      <c r="E2203" s="49" t="s">
        <v>155</v>
      </c>
      <c r="F2203" s="49" t="s">
        <v>163</v>
      </c>
      <c r="G2203">
        <f>'Aug-Apr, 2023'!BS5+'Aug-Apr, 2023'!BT5</f>
        <v>52</v>
      </c>
      <c r="H2203">
        <f>'Aug-Apr, 2023'!BU5</f>
        <v>0</v>
      </c>
      <c r="I2203">
        <f>'Aug-Apr, 2023'!BV5</f>
        <v>15</v>
      </c>
      <c r="J2203">
        <f>G2203*Parameters!$B$2*Parameters!$B$5</f>
        <v>110.71319999999999</v>
      </c>
      <c r="K2203">
        <f>H2203*Parameters!$B$3*Parameters!$B$6</f>
        <v>0</v>
      </c>
      <c r="L2203">
        <f>I2203*Parameters!$B$4*Parameters!$B$7</f>
        <v>121.44600000000001</v>
      </c>
      <c r="M2203">
        <f t="shared" si="34"/>
        <v>232.1592</v>
      </c>
      <c r="N2203" s="142">
        <f>'Aug-Apr, 2023'!BW5</f>
        <v>5200</v>
      </c>
      <c r="O2203" s="142">
        <f>'Aug-Apr, 2023'!BX5</f>
        <v>0</v>
      </c>
      <c r="P2203" s="142">
        <f>'Aug-Apr, 2023'!BY5</f>
        <v>0</v>
      </c>
      <c r="Q2203" s="142">
        <f>'Aug-Apr, 2023'!BZ5</f>
        <v>4500</v>
      </c>
    </row>
    <row r="2204" spans="1:17">
      <c r="A2204" t="s">
        <v>20</v>
      </c>
      <c r="B2204" t="s">
        <v>21</v>
      </c>
      <c r="C2204">
        <v>10</v>
      </c>
      <c r="D2204">
        <v>2023</v>
      </c>
      <c r="E2204" s="49" t="s">
        <v>155</v>
      </c>
      <c r="F2204" s="49" t="s">
        <v>163</v>
      </c>
      <c r="G2204">
        <f>'Aug-Apr, 2023'!BS6+'Aug-Apr, 2023'!BT6</f>
        <v>46</v>
      </c>
      <c r="H2204">
        <f>'Aug-Apr, 2023'!BU6</f>
        <v>0</v>
      </c>
      <c r="I2204">
        <f>'Aug-Apr, 2023'!BV6</f>
        <v>20</v>
      </c>
      <c r="J2204">
        <f>G2204*Parameters!$B$2*Parameters!$B$5</f>
        <v>97.938599999999994</v>
      </c>
      <c r="K2204">
        <f>H2204*Parameters!$B$3*Parameters!$B$6</f>
        <v>0</v>
      </c>
      <c r="L2204">
        <f>I2204*Parameters!$B$4*Parameters!$B$7</f>
        <v>161.928</v>
      </c>
      <c r="M2204">
        <f t="shared" si="34"/>
        <v>259.86660000000001</v>
      </c>
      <c r="N2204" s="142">
        <f>'Aug-Apr, 2023'!BW6</f>
        <v>4600</v>
      </c>
      <c r="O2204" s="142">
        <f>'Aug-Apr, 2023'!BX6</f>
        <v>0</v>
      </c>
      <c r="P2204" s="142">
        <f>'Aug-Apr, 2023'!BY6</f>
        <v>0</v>
      </c>
      <c r="Q2204" s="142">
        <f>'Aug-Apr, 2023'!BZ6</f>
        <v>6000</v>
      </c>
    </row>
    <row r="2205" spans="1:17">
      <c r="A2205" t="s">
        <v>22</v>
      </c>
      <c r="B2205" t="s">
        <v>19</v>
      </c>
      <c r="C2205">
        <v>7</v>
      </c>
      <c r="D2205">
        <v>2023</v>
      </c>
      <c r="E2205" s="49" t="s">
        <v>155</v>
      </c>
      <c r="F2205" s="49" t="s">
        <v>163</v>
      </c>
      <c r="G2205">
        <f>'Aug-Apr, 2023'!BS7+'Aug-Apr, 2023'!BT7</f>
        <v>58</v>
      </c>
      <c r="H2205">
        <f>'Aug-Apr, 2023'!BU7</f>
        <v>0</v>
      </c>
      <c r="I2205">
        <f>'Aug-Apr, 2023'!BV7</f>
        <v>18</v>
      </c>
      <c r="J2205">
        <f>G2205*Parameters!$B$2*Parameters!$B$5</f>
        <v>123.48779999999998</v>
      </c>
      <c r="K2205">
        <f>H2205*Parameters!$B$3*Parameters!$B$6</f>
        <v>0</v>
      </c>
      <c r="L2205">
        <f>I2205*Parameters!$B$4*Parameters!$B$7</f>
        <v>145.73520000000002</v>
      </c>
      <c r="M2205">
        <f t="shared" si="34"/>
        <v>269.22300000000001</v>
      </c>
      <c r="N2205" s="142">
        <f>'Aug-Apr, 2023'!BW7</f>
        <v>5800</v>
      </c>
      <c r="O2205" s="142">
        <f>'Aug-Apr, 2023'!BX7</f>
        <v>0</v>
      </c>
      <c r="P2205" s="142">
        <f>'Aug-Apr, 2023'!BY7</f>
        <v>0</v>
      </c>
      <c r="Q2205" s="142">
        <f>'Aug-Apr, 2023'!BZ7</f>
        <v>5400</v>
      </c>
    </row>
    <row r="2206" spans="1:17">
      <c r="A2206" t="s">
        <v>23</v>
      </c>
      <c r="B2206" t="s">
        <v>24</v>
      </c>
      <c r="C2206">
        <v>4</v>
      </c>
      <c r="D2206">
        <v>2023</v>
      </c>
      <c r="E2206" s="49" t="s">
        <v>155</v>
      </c>
      <c r="F2206" s="49" t="s">
        <v>163</v>
      </c>
      <c r="G2206">
        <f>'Aug-Apr, 2023'!BS8+'Aug-Apr, 2023'!BT8</f>
        <v>50</v>
      </c>
      <c r="H2206">
        <f>'Aug-Apr, 2023'!BU8</f>
        <v>0</v>
      </c>
      <c r="I2206">
        <f>'Aug-Apr, 2023'!BV8</f>
        <v>20</v>
      </c>
      <c r="J2206">
        <f>G2206*Parameters!$B$2*Parameters!$B$5</f>
        <v>106.45499999999998</v>
      </c>
      <c r="K2206">
        <f>H2206*Parameters!$B$3*Parameters!$B$6</f>
        <v>0</v>
      </c>
      <c r="L2206">
        <f>I2206*Parameters!$B$4*Parameters!$B$7</f>
        <v>161.928</v>
      </c>
      <c r="M2206">
        <f t="shared" si="34"/>
        <v>268.38299999999998</v>
      </c>
      <c r="N2206" s="142">
        <f>'Aug-Apr, 2023'!BW8</f>
        <v>5000</v>
      </c>
      <c r="O2206" s="142">
        <f>'Aug-Apr, 2023'!BX8</f>
        <v>0</v>
      </c>
      <c r="P2206" s="142">
        <f>'Aug-Apr, 2023'!BY8</f>
        <v>0</v>
      </c>
      <c r="Q2206" s="142">
        <f>'Aug-Apr, 2023'!BZ8</f>
        <v>6000</v>
      </c>
    </row>
    <row r="2207" spans="1:17">
      <c r="A2207" t="s">
        <v>25</v>
      </c>
      <c r="B2207" t="s">
        <v>26</v>
      </c>
      <c r="C2207">
        <v>3</v>
      </c>
      <c r="D2207">
        <v>2023</v>
      </c>
      <c r="E2207" s="49" t="s">
        <v>155</v>
      </c>
      <c r="F2207" s="49" t="s">
        <v>163</v>
      </c>
      <c r="G2207">
        <f>'Aug-Apr, 2023'!BS9+'Aug-Apr, 2023'!BT9</f>
        <v>44</v>
      </c>
      <c r="H2207">
        <f>'Aug-Apr, 2023'!BU9</f>
        <v>0</v>
      </c>
      <c r="I2207">
        <f>'Aug-Apr, 2023'!BV9</f>
        <v>19</v>
      </c>
      <c r="J2207">
        <f>G2207*Parameters!$B$2*Parameters!$B$5</f>
        <v>93.680399999999992</v>
      </c>
      <c r="K2207">
        <f>H2207*Parameters!$B$3*Parameters!$B$6</f>
        <v>0</v>
      </c>
      <c r="L2207">
        <f>I2207*Parameters!$B$4*Parameters!$B$7</f>
        <v>153.83160000000001</v>
      </c>
      <c r="M2207">
        <f t="shared" si="34"/>
        <v>247.512</v>
      </c>
      <c r="N2207" s="142">
        <f>'Aug-Apr, 2023'!BW9</f>
        <v>4400</v>
      </c>
      <c r="O2207" s="142">
        <f>'Aug-Apr, 2023'!BX9</f>
        <v>0</v>
      </c>
      <c r="P2207" s="142">
        <f>'Aug-Apr, 2023'!BY9</f>
        <v>0</v>
      </c>
      <c r="Q2207" s="142">
        <f>'Aug-Apr, 2023'!BZ9</f>
        <v>5700</v>
      </c>
    </row>
    <row r="2208" spans="1:17">
      <c r="A2208" t="s">
        <v>27</v>
      </c>
      <c r="B2208" t="s">
        <v>21</v>
      </c>
      <c r="C2208">
        <v>6</v>
      </c>
      <c r="D2208">
        <v>2023</v>
      </c>
      <c r="E2208" s="49" t="s">
        <v>155</v>
      </c>
      <c r="F2208" s="49" t="s">
        <v>163</v>
      </c>
      <c r="G2208">
        <f>'Aug-Apr, 2023'!BS10+'Aug-Apr, 2023'!BT10</f>
        <v>52</v>
      </c>
      <c r="H2208">
        <f>'Aug-Apr, 2023'!BU10</f>
        <v>0</v>
      </c>
      <c r="I2208">
        <f>'Aug-Apr, 2023'!BV10</f>
        <v>16</v>
      </c>
      <c r="J2208">
        <f>G2208*Parameters!$B$2*Parameters!$B$5</f>
        <v>110.71319999999999</v>
      </c>
      <c r="K2208">
        <f>H2208*Parameters!$B$3*Parameters!$B$6</f>
        <v>0</v>
      </c>
      <c r="L2208">
        <f>I2208*Parameters!$B$4*Parameters!$B$7</f>
        <v>129.54240000000001</v>
      </c>
      <c r="M2208">
        <f t="shared" si="34"/>
        <v>240.25560000000002</v>
      </c>
      <c r="N2208" s="142">
        <f>'Aug-Apr, 2023'!BW10</f>
        <v>5200</v>
      </c>
      <c r="O2208" s="142">
        <f>'Aug-Apr, 2023'!BX10</f>
        <v>0</v>
      </c>
      <c r="P2208" s="142">
        <f>'Aug-Apr, 2023'!BY10</f>
        <v>0</v>
      </c>
      <c r="Q2208" s="142">
        <f>'Aug-Apr, 2023'!BZ10</f>
        <v>4800</v>
      </c>
    </row>
    <row r="2209" spans="1:17">
      <c r="A2209" t="s">
        <v>28</v>
      </c>
      <c r="B2209" t="s">
        <v>19</v>
      </c>
      <c r="C2209">
        <v>9</v>
      </c>
      <c r="D2209">
        <v>2023</v>
      </c>
      <c r="E2209" s="49" t="s">
        <v>155</v>
      </c>
      <c r="F2209" s="49" t="s">
        <v>163</v>
      </c>
      <c r="G2209">
        <f>'Aug-Apr, 2023'!BS11+'Aug-Apr, 2023'!BT11</f>
        <v>54</v>
      </c>
      <c r="H2209">
        <f>'Aug-Apr, 2023'!BU11</f>
        <v>0</v>
      </c>
      <c r="I2209">
        <f>'Aug-Apr, 2023'!BV11</f>
        <v>18</v>
      </c>
      <c r="J2209">
        <f>G2209*Parameters!$B$2*Parameters!$B$5</f>
        <v>114.97139999999999</v>
      </c>
      <c r="K2209">
        <f>H2209*Parameters!$B$3*Parameters!$B$6</f>
        <v>0</v>
      </c>
      <c r="L2209">
        <f>I2209*Parameters!$B$4*Parameters!$B$7</f>
        <v>145.73520000000002</v>
      </c>
      <c r="M2209">
        <f t="shared" si="34"/>
        <v>260.70659999999998</v>
      </c>
      <c r="N2209" s="142">
        <f>'Aug-Apr, 2023'!BW11</f>
        <v>5400</v>
      </c>
      <c r="O2209" s="142">
        <f>'Aug-Apr, 2023'!BX11</f>
        <v>0</v>
      </c>
      <c r="P2209" s="142">
        <f>'Aug-Apr, 2023'!BY11</f>
        <v>0</v>
      </c>
      <c r="Q2209" s="142">
        <f>'Aug-Apr, 2023'!BZ11</f>
        <v>5400</v>
      </c>
    </row>
    <row r="2210" spans="1:17">
      <c r="A2210" t="s">
        <v>29</v>
      </c>
      <c r="B2210" t="s">
        <v>24</v>
      </c>
      <c r="C2210">
        <v>4</v>
      </c>
      <c r="D2210">
        <v>2023</v>
      </c>
      <c r="E2210" s="49" t="s">
        <v>155</v>
      </c>
      <c r="F2210" s="49" t="s">
        <v>163</v>
      </c>
      <c r="G2210">
        <f>'Aug-Apr, 2023'!BS12+'Aug-Apr, 2023'!BT12</f>
        <v>48</v>
      </c>
      <c r="H2210">
        <f>'Aug-Apr, 2023'!BU12</f>
        <v>0</v>
      </c>
      <c r="I2210">
        <f>'Aug-Apr, 2023'!BV12</f>
        <v>20</v>
      </c>
      <c r="J2210">
        <f>G2210*Parameters!$B$2*Parameters!$B$5</f>
        <v>102.19679999999998</v>
      </c>
      <c r="K2210">
        <f>H2210*Parameters!$B$3*Parameters!$B$6</f>
        <v>0</v>
      </c>
      <c r="L2210">
        <f>I2210*Parameters!$B$4*Parameters!$B$7</f>
        <v>161.928</v>
      </c>
      <c r="M2210">
        <f t="shared" si="34"/>
        <v>264.12479999999999</v>
      </c>
      <c r="N2210" s="142">
        <f>'Aug-Apr, 2023'!BW12</f>
        <v>4800</v>
      </c>
      <c r="O2210" s="142">
        <f>'Aug-Apr, 2023'!BX12</f>
        <v>0</v>
      </c>
      <c r="P2210" s="142">
        <f>'Aug-Apr, 2023'!BY12</f>
        <v>0</v>
      </c>
      <c r="Q2210" s="142">
        <f>'Aug-Apr, 2023'!BZ12</f>
        <v>6000</v>
      </c>
    </row>
    <row r="2211" spans="1:17">
      <c r="A2211" t="s">
        <v>30</v>
      </c>
      <c r="B2211" t="s">
        <v>21</v>
      </c>
      <c r="C2211">
        <v>6</v>
      </c>
      <c r="D2211">
        <v>2023</v>
      </c>
      <c r="E2211" s="49" t="s">
        <v>155</v>
      </c>
      <c r="F2211" s="49" t="s">
        <v>163</v>
      </c>
      <c r="G2211">
        <f>'Aug-Apr, 2023'!BS13+'Aug-Apr, 2023'!BT13</f>
        <v>38</v>
      </c>
      <c r="H2211">
        <f>'Aug-Apr, 2023'!BU13</f>
        <v>0</v>
      </c>
      <c r="I2211">
        <f>'Aug-Apr, 2023'!BV13</f>
        <v>20</v>
      </c>
      <c r="J2211">
        <f>G2211*Parameters!$B$2*Parameters!$B$5</f>
        <v>80.905799999999985</v>
      </c>
      <c r="K2211">
        <f>H2211*Parameters!$B$3*Parameters!$B$6</f>
        <v>0</v>
      </c>
      <c r="L2211">
        <f>I2211*Parameters!$B$4*Parameters!$B$7</f>
        <v>161.928</v>
      </c>
      <c r="M2211">
        <f t="shared" si="34"/>
        <v>242.8338</v>
      </c>
      <c r="N2211" s="142">
        <f>'Aug-Apr, 2023'!BW13</f>
        <v>3800</v>
      </c>
      <c r="O2211" s="142">
        <f>'Aug-Apr, 2023'!BX13</f>
        <v>0</v>
      </c>
      <c r="P2211" s="142">
        <f>'Aug-Apr, 2023'!BY13</f>
        <v>0</v>
      </c>
      <c r="Q2211" s="142">
        <f>'Aug-Apr, 2023'!BZ13</f>
        <v>6000</v>
      </c>
    </row>
    <row r="2212" spans="1:17">
      <c r="A2212" t="s">
        <v>31</v>
      </c>
      <c r="B2212" t="s">
        <v>32</v>
      </c>
      <c r="C2212">
        <v>4</v>
      </c>
      <c r="D2212">
        <v>2023</v>
      </c>
      <c r="E2212" s="49" t="s">
        <v>155</v>
      </c>
      <c r="F2212" s="49" t="s">
        <v>163</v>
      </c>
      <c r="G2212">
        <f>'Aug-Apr, 2023'!BS14+'Aug-Apr, 2023'!BT14</f>
        <v>53</v>
      </c>
      <c r="H2212">
        <f>'Aug-Apr, 2023'!BU14</f>
        <v>0</v>
      </c>
      <c r="I2212">
        <f>'Aug-Apr, 2023'!BV14</f>
        <v>20</v>
      </c>
      <c r="J2212">
        <f>G2212*Parameters!$B$2*Parameters!$B$5</f>
        <v>112.84229999999998</v>
      </c>
      <c r="K2212">
        <f>H2212*Parameters!$B$3*Parameters!$B$6</f>
        <v>0</v>
      </c>
      <c r="L2212">
        <f>I2212*Parameters!$B$4*Parameters!$B$7</f>
        <v>161.928</v>
      </c>
      <c r="M2212">
        <f t="shared" si="34"/>
        <v>274.77029999999996</v>
      </c>
      <c r="N2212" s="142">
        <f>'Aug-Apr, 2023'!BW14</f>
        <v>5300</v>
      </c>
      <c r="O2212" s="142">
        <f>'Aug-Apr, 2023'!BX14</f>
        <v>0</v>
      </c>
      <c r="P2212" s="142">
        <f>'Aug-Apr, 2023'!BY14</f>
        <v>0</v>
      </c>
      <c r="Q2212" s="142">
        <f>'Aug-Apr, 2023'!BZ14</f>
        <v>6000</v>
      </c>
    </row>
    <row r="2213" spans="1:17">
      <c r="A2213" t="s">
        <v>33</v>
      </c>
      <c r="B2213" t="s">
        <v>32</v>
      </c>
      <c r="C2213">
        <v>6</v>
      </c>
      <c r="D2213">
        <v>2023</v>
      </c>
      <c r="E2213" s="49" t="s">
        <v>155</v>
      </c>
      <c r="F2213" s="49" t="s">
        <v>163</v>
      </c>
      <c r="G2213">
        <f>'Aug-Apr, 2023'!BS15+'Aug-Apr, 2023'!BT15</f>
        <v>53</v>
      </c>
      <c r="H2213">
        <f>'Aug-Apr, 2023'!BU15</f>
        <v>0</v>
      </c>
      <c r="I2213">
        <f>'Aug-Apr, 2023'!BV15</f>
        <v>20</v>
      </c>
      <c r="J2213">
        <f>G2213*Parameters!$B$2*Parameters!$B$5</f>
        <v>112.84229999999998</v>
      </c>
      <c r="K2213">
        <f>H2213*Parameters!$B$3*Parameters!$B$6</f>
        <v>0</v>
      </c>
      <c r="L2213">
        <f>I2213*Parameters!$B$4*Parameters!$B$7</f>
        <v>161.928</v>
      </c>
      <c r="M2213">
        <f t="shared" si="34"/>
        <v>274.77029999999996</v>
      </c>
      <c r="N2213" s="142">
        <f>'Aug-Apr, 2023'!BW15</f>
        <v>5300</v>
      </c>
      <c r="O2213" s="142">
        <f>'Aug-Apr, 2023'!BX15</f>
        <v>0</v>
      </c>
      <c r="P2213" s="142">
        <f>'Aug-Apr, 2023'!BY15</f>
        <v>0</v>
      </c>
      <c r="Q2213" s="142">
        <f>'Aug-Apr, 2023'!BZ15</f>
        <v>6000</v>
      </c>
    </row>
    <row r="2214" spans="1:17">
      <c r="A2214" t="s">
        <v>34</v>
      </c>
      <c r="B2214" t="s">
        <v>21</v>
      </c>
      <c r="C2214">
        <v>9</v>
      </c>
      <c r="D2214">
        <v>2023</v>
      </c>
      <c r="E2214" s="49" t="s">
        <v>155</v>
      </c>
      <c r="F2214" s="49" t="s">
        <v>163</v>
      </c>
      <c r="G2214">
        <f>'Aug-Apr, 2023'!BS16+'Aug-Apr, 2023'!BT16</f>
        <v>48</v>
      </c>
      <c r="H2214">
        <f>'Aug-Apr, 2023'!BU16</f>
        <v>0</v>
      </c>
      <c r="I2214">
        <f>'Aug-Apr, 2023'!BV16</f>
        <v>18</v>
      </c>
      <c r="J2214">
        <f>G2214*Parameters!$B$2*Parameters!$B$5</f>
        <v>102.19679999999998</v>
      </c>
      <c r="K2214">
        <f>H2214*Parameters!$B$3*Parameters!$B$6</f>
        <v>0</v>
      </c>
      <c r="L2214">
        <f>I2214*Parameters!$B$4*Parameters!$B$7</f>
        <v>145.73520000000002</v>
      </c>
      <c r="M2214">
        <f t="shared" si="34"/>
        <v>247.93200000000002</v>
      </c>
      <c r="N2214" s="142">
        <f>'Aug-Apr, 2023'!BW16</f>
        <v>4800</v>
      </c>
      <c r="O2214" s="142">
        <f>'Aug-Apr, 2023'!BX16</f>
        <v>0</v>
      </c>
      <c r="P2214" s="142">
        <f>'Aug-Apr, 2023'!BY16</f>
        <v>0</v>
      </c>
      <c r="Q2214" s="142">
        <f>'Aug-Apr, 2023'!BZ16</f>
        <v>5400</v>
      </c>
    </row>
    <row r="2215" spans="1:17">
      <c r="A2215" t="s">
        <v>35</v>
      </c>
      <c r="B2215" t="s">
        <v>21</v>
      </c>
      <c r="C2215">
        <v>6</v>
      </c>
      <c r="D2215">
        <v>2023</v>
      </c>
      <c r="E2215" s="49" t="s">
        <v>155</v>
      </c>
      <c r="F2215" s="49" t="s">
        <v>163</v>
      </c>
      <c r="G2215">
        <f>'Aug-Apr, 2023'!BS17+'Aug-Apr, 2023'!BT17</f>
        <v>78</v>
      </c>
      <c r="H2215">
        <f>'Aug-Apr, 2023'!BU17</f>
        <v>0</v>
      </c>
      <c r="I2215">
        <f>'Aug-Apr, 2023'!BV17</f>
        <v>20</v>
      </c>
      <c r="J2215">
        <f>G2215*Parameters!$B$2*Parameters!$B$5</f>
        <v>166.06979999999999</v>
      </c>
      <c r="K2215">
        <f>H2215*Parameters!$B$3*Parameters!$B$6</f>
        <v>0</v>
      </c>
      <c r="L2215">
        <f>I2215*Parameters!$B$4*Parameters!$B$7</f>
        <v>161.928</v>
      </c>
      <c r="M2215">
        <f t="shared" si="34"/>
        <v>327.99779999999998</v>
      </c>
      <c r="N2215" s="142">
        <f>'Aug-Apr, 2023'!BW17</f>
        <v>2800</v>
      </c>
      <c r="O2215" s="142">
        <f>'Aug-Apr, 2023'!BX17</f>
        <v>5000</v>
      </c>
      <c r="P2215" s="142">
        <f>'Aug-Apr, 2023'!BY17</f>
        <v>0</v>
      </c>
      <c r="Q2215" s="142">
        <f>'Aug-Apr, 2023'!BZ17</f>
        <v>6000</v>
      </c>
    </row>
    <row r="2216" spans="1:17">
      <c r="A2216" t="s">
        <v>36</v>
      </c>
      <c r="B2216" t="s">
        <v>21</v>
      </c>
      <c r="C2216">
        <v>12</v>
      </c>
      <c r="D2216">
        <v>2023</v>
      </c>
      <c r="E2216" s="49" t="s">
        <v>155</v>
      </c>
      <c r="F2216" s="49" t="s">
        <v>163</v>
      </c>
      <c r="G2216">
        <f>'Aug-Apr, 2023'!BS18+'Aug-Apr, 2023'!BT18</f>
        <v>44</v>
      </c>
      <c r="H2216">
        <f>'Aug-Apr, 2023'!BU18</f>
        <v>0</v>
      </c>
      <c r="I2216">
        <f>'Aug-Apr, 2023'!BV18</f>
        <v>16</v>
      </c>
      <c r="J2216">
        <f>G2216*Parameters!$B$2*Parameters!$B$5</f>
        <v>93.680399999999992</v>
      </c>
      <c r="K2216">
        <f>H2216*Parameters!$B$3*Parameters!$B$6</f>
        <v>0</v>
      </c>
      <c r="L2216">
        <f>I2216*Parameters!$B$4*Parameters!$B$7</f>
        <v>129.54240000000001</v>
      </c>
      <c r="M2216">
        <f t="shared" si="34"/>
        <v>223.22280000000001</v>
      </c>
      <c r="N2216" s="142">
        <f>'Aug-Apr, 2023'!BW18</f>
        <v>4400</v>
      </c>
      <c r="O2216" s="142">
        <f>'Aug-Apr, 2023'!BX18</f>
        <v>0</v>
      </c>
      <c r="P2216" s="142">
        <f>'Aug-Apr, 2023'!BY18</f>
        <v>0</v>
      </c>
      <c r="Q2216" s="142">
        <f>'Aug-Apr, 2023'!BZ18</f>
        <v>4800</v>
      </c>
    </row>
    <row r="2217" spans="1:17">
      <c r="A2217" t="s">
        <v>37</v>
      </c>
      <c r="B2217" t="s">
        <v>38</v>
      </c>
      <c r="C2217">
        <v>7</v>
      </c>
      <c r="D2217">
        <v>2023</v>
      </c>
      <c r="E2217" s="49" t="s">
        <v>155</v>
      </c>
      <c r="F2217" s="49" t="s">
        <v>163</v>
      </c>
      <c r="G2217">
        <f>'Aug-Apr, 2023'!BS19+'Aug-Apr, 2023'!BT19</f>
        <v>45</v>
      </c>
      <c r="H2217">
        <f>'Aug-Apr, 2023'!BU19</f>
        <v>0</v>
      </c>
      <c r="I2217">
        <f>'Aug-Apr, 2023'!BV19</f>
        <v>18</v>
      </c>
      <c r="J2217">
        <f>G2217*Parameters!$B$2*Parameters!$B$5</f>
        <v>95.809499999999986</v>
      </c>
      <c r="K2217">
        <f>H2217*Parameters!$B$3*Parameters!$B$6</f>
        <v>0</v>
      </c>
      <c r="L2217">
        <f>I2217*Parameters!$B$4*Parameters!$B$7</f>
        <v>145.73520000000002</v>
      </c>
      <c r="M2217">
        <f t="shared" si="34"/>
        <v>241.54470000000001</v>
      </c>
      <c r="N2217" s="142">
        <f>'Aug-Apr, 2023'!BW19</f>
        <v>4500</v>
      </c>
      <c r="O2217" s="142">
        <f>'Aug-Apr, 2023'!BX19</f>
        <v>0</v>
      </c>
      <c r="P2217" s="142">
        <f>'Aug-Apr, 2023'!BY19</f>
        <v>0</v>
      </c>
      <c r="Q2217" s="142">
        <f>'Aug-Apr, 2023'!BZ19</f>
        <v>5400</v>
      </c>
    </row>
    <row r="2218" spans="1:17">
      <c r="A2218" t="s">
        <v>39</v>
      </c>
      <c r="B2218" t="s">
        <v>40</v>
      </c>
      <c r="C2218">
        <v>6</v>
      </c>
      <c r="D2218">
        <v>2023</v>
      </c>
      <c r="E2218" s="49" t="s">
        <v>155</v>
      </c>
      <c r="F2218" s="49" t="s">
        <v>163</v>
      </c>
      <c r="G2218">
        <f>'Aug-Apr, 2023'!BS20+'Aug-Apr, 2023'!BT20</f>
        <v>86</v>
      </c>
      <c r="H2218">
        <f>'Aug-Apr, 2023'!BU20</f>
        <v>0</v>
      </c>
      <c r="I2218">
        <f>'Aug-Apr, 2023'!BV20</f>
        <v>25</v>
      </c>
      <c r="J2218">
        <f>G2218*Parameters!$B$2*Parameters!$B$5</f>
        <v>183.10259999999997</v>
      </c>
      <c r="K2218">
        <f>H2218*Parameters!$B$3*Parameters!$B$6</f>
        <v>0</v>
      </c>
      <c r="L2218">
        <f>I2218*Parameters!$B$4*Parameters!$B$7</f>
        <v>202.41000000000003</v>
      </c>
      <c r="M2218">
        <f t="shared" si="34"/>
        <v>385.51260000000002</v>
      </c>
      <c r="N2218" s="142">
        <f>'Aug-Apr, 2023'!BW20</f>
        <v>5600</v>
      </c>
      <c r="O2218" s="142">
        <f>'Aug-Apr, 2023'!BX20</f>
        <v>3000</v>
      </c>
      <c r="P2218" s="142">
        <f>'Aug-Apr, 2023'!BY20</f>
        <v>0</v>
      </c>
      <c r="Q2218" s="142">
        <f>'Aug-Apr, 2023'!BZ20</f>
        <v>7500</v>
      </c>
    </row>
    <row r="2219" spans="1:17">
      <c r="A2219" t="s">
        <v>41</v>
      </c>
      <c r="B2219" t="s">
        <v>26</v>
      </c>
      <c r="C2219">
        <v>5</v>
      </c>
      <c r="D2219">
        <v>2023</v>
      </c>
      <c r="E2219" s="49" t="s">
        <v>155</v>
      </c>
      <c r="F2219" s="49" t="s">
        <v>163</v>
      </c>
      <c r="G2219">
        <f>'Aug-Apr, 2023'!BS21+'Aug-Apr, 2023'!BT21</f>
        <v>46</v>
      </c>
      <c r="H2219">
        <f>'Aug-Apr, 2023'!BU21</f>
        <v>0</v>
      </c>
      <c r="I2219">
        <f>'Aug-Apr, 2023'!BV21</f>
        <v>14</v>
      </c>
      <c r="J2219">
        <f>G2219*Parameters!$B$2*Parameters!$B$5</f>
        <v>97.938599999999994</v>
      </c>
      <c r="K2219">
        <f>H2219*Parameters!$B$3*Parameters!$B$6</f>
        <v>0</v>
      </c>
      <c r="L2219">
        <f>I2219*Parameters!$B$4*Parameters!$B$7</f>
        <v>113.34960000000001</v>
      </c>
      <c r="M2219">
        <f t="shared" si="34"/>
        <v>211.28820000000002</v>
      </c>
      <c r="N2219" s="142">
        <f>'Aug-Apr, 2023'!BW21</f>
        <v>4600</v>
      </c>
      <c r="O2219" s="142">
        <f>'Aug-Apr, 2023'!BX21</f>
        <v>0</v>
      </c>
      <c r="P2219" s="142">
        <f>'Aug-Apr, 2023'!BY21</f>
        <v>0</v>
      </c>
      <c r="Q2219" s="142">
        <f>'Aug-Apr, 2023'!BZ21</f>
        <v>4200</v>
      </c>
    </row>
    <row r="2220" spans="1:17">
      <c r="A2220" t="s">
        <v>42</v>
      </c>
      <c r="B2220" t="s">
        <v>24</v>
      </c>
      <c r="C2220">
        <v>5</v>
      </c>
      <c r="D2220">
        <v>2023</v>
      </c>
      <c r="E2220" s="49" t="s">
        <v>155</v>
      </c>
      <c r="F2220" s="49" t="s">
        <v>163</v>
      </c>
      <c r="G2220">
        <f>'Aug-Apr, 2023'!BS22+'Aug-Apr, 2023'!BT22</f>
        <v>49</v>
      </c>
      <c r="H2220">
        <f>'Aug-Apr, 2023'!BU22</f>
        <v>0</v>
      </c>
      <c r="I2220">
        <f>'Aug-Apr, 2023'!BV22</f>
        <v>16</v>
      </c>
      <c r="J2220">
        <f>G2220*Parameters!$B$2*Parameters!$B$5</f>
        <v>104.32589999999999</v>
      </c>
      <c r="K2220">
        <f>H2220*Parameters!$B$3*Parameters!$B$6</f>
        <v>0</v>
      </c>
      <c r="L2220">
        <f>I2220*Parameters!$B$4*Parameters!$B$7</f>
        <v>129.54240000000001</v>
      </c>
      <c r="M2220">
        <f t="shared" si="34"/>
        <v>233.8683</v>
      </c>
      <c r="N2220" s="142">
        <f>'Aug-Apr, 2023'!BW22</f>
        <v>4900</v>
      </c>
      <c r="O2220" s="142">
        <f>'Aug-Apr, 2023'!BX22</f>
        <v>0</v>
      </c>
      <c r="P2220" s="142">
        <f>'Aug-Apr, 2023'!BY22</f>
        <v>0</v>
      </c>
      <c r="Q2220" s="142">
        <f>'Aug-Apr, 2023'!BZ22</f>
        <v>4800</v>
      </c>
    </row>
    <row r="2221" spans="1:17">
      <c r="A2221" t="s">
        <v>43</v>
      </c>
      <c r="B2221" t="s">
        <v>19</v>
      </c>
      <c r="C2221">
        <v>8</v>
      </c>
      <c r="D2221">
        <v>2023</v>
      </c>
      <c r="E2221" s="49" t="s">
        <v>155</v>
      </c>
      <c r="F2221" s="49" t="s">
        <v>163</v>
      </c>
      <c r="G2221">
        <f>'Aug-Apr, 2023'!BS23+'Aug-Apr, 2023'!BT23</f>
        <v>55</v>
      </c>
      <c r="H2221">
        <f>'Aug-Apr, 2023'!BU23</f>
        <v>0</v>
      </c>
      <c r="I2221">
        <f>'Aug-Apr, 2023'!BV23</f>
        <v>20</v>
      </c>
      <c r="J2221">
        <f>G2221*Parameters!$B$2*Parameters!$B$5</f>
        <v>117.10049999999998</v>
      </c>
      <c r="K2221">
        <f>H2221*Parameters!$B$3*Parameters!$B$6</f>
        <v>0</v>
      </c>
      <c r="L2221">
        <f>I2221*Parameters!$B$4*Parameters!$B$7</f>
        <v>161.928</v>
      </c>
      <c r="M2221">
        <f t="shared" si="34"/>
        <v>279.02850000000001</v>
      </c>
      <c r="N2221" s="142">
        <f>'Aug-Apr, 2023'!BW23</f>
        <v>5500</v>
      </c>
      <c r="O2221" s="142">
        <f>'Aug-Apr, 2023'!BX23</f>
        <v>0</v>
      </c>
      <c r="P2221" s="142">
        <f>'Aug-Apr, 2023'!BY23</f>
        <v>0</v>
      </c>
      <c r="Q2221" s="142">
        <f>'Aug-Apr, 2023'!BZ23</f>
        <v>6000</v>
      </c>
    </row>
    <row r="2222" spans="1:17">
      <c r="A2222" t="s">
        <v>44</v>
      </c>
      <c r="B2222" t="s">
        <v>40</v>
      </c>
      <c r="C2222">
        <v>10</v>
      </c>
      <c r="D2222">
        <v>2023</v>
      </c>
      <c r="E2222" s="49" t="s">
        <v>155</v>
      </c>
      <c r="F2222" s="49" t="s">
        <v>163</v>
      </c>
      <c r="G2222">
        <f>'Aug-Apr, 2023'!BS24+'Aug-Apr, 2023'!BT24</f>
        <v>46</v>
      </c>
      <c r="H2222">
        <f>'Aug-Apr, 2023'!BU24</f>
        <v>0</v>
      </c>
      <c r="I2222">
        <f>'Aug-Apr, 2023'!BV24</f>
        <v>18</v>
      </c>
      <c r="J2222">
        <f>G2222*Parameters!$B$2*Parameters!$B$5</f>
        <v>97.938599999999994</v>
      </c>
      <c r="K2222">
        <f>H2222*Parameters!$B$3*Parameters!$B$6</f>
        <v>0</v>
      </c>
      <c r="L2222">
        <f>I2222*Parameters!$B$4*Parameters!$B$7</f>
        <v>145.73520000000002</v>
      </c>
      <c r="M2222">
        <f t="shared" si="34"/>
        <v>243.67380000000003</v>
      </c>
      <c r="N2222" s="142">
        <f>'Aug-Apr, 2023'!BW24</f>
        <v>4600</v>
      </c>
      <c r="O2222" s="142">
        <f>'Aug-Apr, 2023'!BX24</f>
        <v>0</v>
      </c>
      <c r="P2222" s="142">
        <f>'Aug-Apr, 2023'!BY24</f>
        <v>0</v>
      </c>
      <c r="Q2222" s="142">
        <f>'Aug-Apr, 2023'!BZ24</f>
        <v>5400</v>
      </c>
    </row>
    <row r="2223" spans="1:17">
      <c r="A2223" t="s">
        <v>45</v>
      </c>
      <c r="B2223" t="s">
        <v>24</v>
      </c>
      <c r="C2223">
        <v>8</v>
      </c>
      <c r="D2223">
        <v>2023</v>
      </c>
      <c r="E2223" s="49" t="s">
        <v>155</v>
      </c>
      <c r="F2223" s="49" t="s">
        <v>163</v>
      </c>
      <c r="G2223">
        <f>'Aug-Apr, 2023'!BS25+'Aug-Apr, 2023'!BT25</f>
        <v>50</v>
      </c>
      <c r="H2223">
        <f>'Aug-Apr, 2023'!BU25</f>
        <v>0</v>
      </c>
      <c r="I2223">
        <f>'Aug-Apr, 2023'!BV25</f>
        <v>20</v>
      </c>
      <c r="J2223">
        <f>G2223*Parameters!$B$2*Parameters!$B$5</f>
        <v>106.45499999999998</v>
      </c>
      <c r="K2223">
        <f>H2223*Parameters!$B$3*Parameters!$B$6</f>
        <v>0</v>
      </c>
      <c r="L2223">
        <f>I2223*Parameters!$B$4*Parameters!$B$7</f>
        <v>161.928</v>
      </c>
      <c r="M2223">
        <f t="shared" si="34"/>
        <v>268.38299999999998</v>
      </c>
      <c r="N2223" s="142">
        <f>'Aug-Apr, 2023'!BW25</f>
        <v>5000</v>
      </c>
      <c r="O2223" s="142">
        <f>'Aug-Apr, 2023'!BX25</f>
        <v>0</v>
      </c>
      <c r="P2223" s="142">
        <f>'Aug-Apr, 2023'!BY25</f>
        <v>0</v>
      </c>
      <c r="Q2223" s="142">
        <f>'Aug-Apr, 2023'!BZ25</f>
        <v>6000</v>
      </c>
    </row>
    <row r="2224" spans="1:17">
      <c r="A2224" t="s">
        <v>46</v>
      </c>
      <c r="B2224" t="s">
        <v>24</v>
      </c>
      <c r="C2224">
        <v>4</v>
      </c>
      <c r="D2224">
        <v>2023</v>
      </c>
      <c r="E2224" s="49" t="s">
        <v>155</v>
      </c>
      <c r="F2224" s="49" t="s">
        <v>163</v>
      </c>
      <c r="G2224">
        <f>'Aug-Apr, 2023'!BS26+'Aug-Apr, 2023'!BT26</f>
        <v>38</v>
      </c>
      <c r="H2224">
        <f>'Aug-Apr, 2023'!BU26</f>
        <v>20</v>
      </c>
      <c r="I2224">
        <f>'Aug-Apr, 2023'!BV26</f>
        <v>16</v>
      </c>
      <c r="J2224">
        <f>G2224*Parameters!$B$2*Parameters!$B$5</f>
        <v>80.905799999999985</v>
      </c>
      <c r="K2224">
        <f>H2224*Parameters!$B$3*Parameters!$B$6</f>
        <v>125.416</v>
      </c>
      <c r="L2224">
        <f>I2224*Parameters!$B$4*Parameters!$B$7</f>
        <v>129.54240000000001</v>
      </c>
      <c r="M2224">
        <f t="shared" si="34"/>
        <v>335.86419999999998</v>
      </c>
      <c r="N2224" s="142">
        <f>'Aug-Apr, 2023'!BW26</f>
        <v>3800</v>
      </c>
      <c r="O2224" s="142">
        <f>'Aug-Apr, 2023'!BX26</f>
        <v>0</v>
      </c>
      <c r="P2224" s="142">
        <f>'Aug-Apr, 2023'!BY26</f>
        <v>6000</v>
      </c>
      <c r="Q2224" s="142">
        <f>'Aug-Apr, 2023'!BZ26</f>
        <v>4800</v>
      </c>
    </row>
    <row r="2225" spans="1:17">
      <c r="A2225" t="s">
        <v>47</v>
      </c>
      <c r="B2225" t="s">
        <v>19</v>
      </c>
      <c r="C2225">
        <v>6</v>
      </c>
      <c r="D2225">
        <v>2023</v>
      </c>
      <c r="E2225" s="49" t="s">
        <v>155</v>
      </c>
      <c r="F2225" s="49" t="s">
        <v>163</v>
      </c>
      <c r="G2225">
        <f>'Aug-Apr, 2023'!BS27+'Aug-Apr, 2023'!BT27</f>
        <v>46</v>
      </c>
      <c r="H2225">
        <f>'Aug-Apr, 2023'!BU27</f>
        <v>0</v>
      </c>
      <c r="I2225">
        <f>'Aug-Apr, 2023'!BV27</f>
        <v>18</v>
      </c>
      <c r="J2225">
        <f>G2225*Parameters!$B$2*Parameters!$B$5</f>
        <v>97.938599999999994</v>
      </c>
      <c r="K2225">
        <f>H2225*Parameters!$B$3*Parameters!$B$6</f>
        <v>0</v>
      </c>
      <c r="L2225">
        <f>I2225*Parameters!$B$4*Parameters!$B$7</f>
        <v>145.73520000000002</v>
      </c>
      <c r="M2225">
        <f t="shared" si="34"/>
        <v>243.67380000000003</v>
      </c>
      <c r="N2225" s="142">
        <f>'Aug-Apr, 2023'!BW27</f>
        <v>4600</v>
      </c>
      <c r="O2225" s="142">
        <f>'Aug-Apr, 2023'!BX27</f>
        <v>0</v>
      </c>
      <c r="P2225" s="142">
        <f>'Aug-Apr, 2023'!BY27</f>
        <v>0</v>
      </c>
      <c r="Q2225" s="142">
        <f>'Aug-Apr, 2023'!BZ27</f>
        <v>5400</v>
      </c>
    </row>
    <row r="2226" spans="1:17">
      <c r="A2226" t="s">
        <v>48</v>
      </c>
      <c r="B2226" t="s">
        <v>24</v>
      </c>
      <c r="C2226">
        <v>4</v>
      </c>
      <c r="D2226">
        <v>2023</v>
      </c>
      <c r="E2226" s="49" t="s">
        <v>155</v>
      </c>
      <c r="F2226" s="49" t="s">
        <v>163</v>
      </c>
      <c r="G2226">
        <f>'Aug-Apr, 2023'!BS28+'Aug-Apr, 2023'!BT28</f>
        <v>50</v>
      </c>
      <c r="H2226">
        <f>'Aug-Apr, 2023'!BU28</f>
        <v>0</v>
      </c>
      <c r="I2226">
        <f>'Aug-Apr, 2023'!BV28</f>
        <v>20</v>
      </c>
      <c r="J2226">
        <f>G2226*Parameters!$B$2*Parameters!$B$5</f>
        <v>106.45499999999998</v>
      </c>
      <c r="K2226">
        <f>H2226*Parameters!$B$3*Parameters!$B$6</f>
        <v>0</v>
      </c>
      <c r="L2226">
        <f>I2226*Parameters!$B$4*Parameters!$B$7</f>
        <v>161.928</v>
      </c>
      <c r="M2226">
        <f t="shared" si="34"/>
        <v>268.38299999999998</v>
      </c>
      <c r="N2226" s="142">
        <f>'Aug-Apr, 2023'!BW28</f>
        <v>5000</v>
      </c>
      <c r="O2226" s="142">
        <f>'Aug-Apr, 2023'!BX28</f>
        <v>0</v>
      </c>
      <c r="P2226" s="142">
        <f>'Aug-Apr, 2023'!BY28</f>
        <v>0</v>
      </c>
      <c r="Q2226" s="142">
        <f>'Aug-Apr, 2023'!BZ28</f>
        <v>6000</v>
      </c>
    </row>
    <row r="2227" spans="1:17">
      <c r="A2227" t="s">
        <v>49</v>
      </c>
      <c r="B2227" t="s">
        <v>38</v>
      </c>
      <c r="C2227">
        <v>2</v>
      </c>
      <c r="D2227">
        <v>2023</v>
      </c>
      <c r="E2227" s="49" t="s">
        <v>155</v>
      </c>
      <c r="F2227" s="49" t="s">
        <v>163</v>
      </c>
      <c r="G2227">
        <f>'Aug-Apr, 2023'!BS29+'Aug-Apr, 2023'!BT29</f>
        <v>53</v>
      </c>
      <c r="H2227">
        <f>'Aug-Apr, 2023'!BU29</f>
        <v>0</v>
      </c>
      <c r="I2227">
        <f>'Aug-Apr, 2023'!BV29</f>
        <v>20</v>
      </c>
      <c r="J2227">
        <f>G2227*Parameters!$B$2*Parameters!$B$5</f>
        <v>112.84229999999998</v>
      </c>
      <c r="K2227">
        <f>H2227*Parameters!$B$3*Parameters!$B$6</f>
        <v>0</v>
      </c>
      <c r="L2227">
        <f>I2227*Parameters!$B$4*Parameters!$B$7</f>
        <v>161.928</v>
      </c>
      <c r="M2227">
        <f t="shared" si="34"/>
        <v>274.77029999999996</v>
      </c>
      <c r="N2227" s="142">
        <f>'Aug-Apr, 2023'!BW29</f>
        <v>5300</v>
      </c>
      <c r="O2227" s="142">
        <f>'Aug-Apr, 2023'!BX29</f>
        <v>0</v>
      </c>
      <c r="P2227" s="142">
        <f>'Aug-Apr, 2023'!BY29</f>
        <v>0</v>
      </c>
      <c r="Q2227" s="142">
        <f>'Aug-Apr, 2023'!BZ29</f>
        <v>6000</v>
      </c>
    </row>
    <row r="2228" spans="1:17">
      <c r="A2228" t="s">
        <v>50</v>
      </c>
      <c r="B2228" t="s">
        <v>19</v>
      </c>
      <c r="C2228">
        <v>8</v>
      </c>
      <c r="D2228">
        <v>2023</v>
      </c>
      <c r="E2228" s="49" t="s">
        <v>155</v>
      </c>
      <c r="F2228" s="49" t="s">
        <v>163</v>
      </c>
      <c r="G2228">
        <f>'Aug-Apr, 2023'!BS30+'Aug-Apr, 2023'!BT30</f>
        <v>51</v>
      </c>
      <c r="H2228">
        <f>'Aug-Apr, 2023'!BU30</f>
        <v>0</v>
      </c>
      <c r="I2228">
        <f>'Aug-Apr, 2023'!BV30</f>
        <v>18</v>
      </c>
      <c r="J2228">
        <f>G2228*Parameters!$B$2*Parameters!$B$5</f>
        <v>108.58409999999999</v>
      </c>
      <c r="K2228">
        <f>H2228*Parameters!$B$3*Parameters!$B$6</f>
        <v>0</v>
      </c>
      <c r="L2228">
        <f>I2228*Parameters!$B$4*Parameters!$B$7</f>
        <v>145.73520000000002</v>
      </c>
      <c r="M2228">
        <f t="shared" si="34"/>
        <v>254.3193</v>
      </c>
      <c r="N2228" s="142">
        <f>'Aug-Apr, 2023'!BW30</f>
        <v>5100</v>
      </c>
      <c r="O2228" s="142">
        <f>'Aug-Apr, 2023'!BX30</f>
        <v>0</v>
      </c>
      <c r="P2228" s="142">
        <f>'Aug-Apr, 2023'!BY30</f>
        <v>0</v>
      </c>
      <c r="Q2228" s="142">
        <f>'Aug-Apr, 2023'!BZ30</f>
        <v>5400</v>
      </c>
    </row>
    <row r="2229" spans="1:17">
      <c r="A2229" t="s">
        <v>51</v>
      </c>
      <c r="B2229" t="s">
        <v>19</v>
      </c>
      <c r="C2229">
        <v>6</v>
      </c>
      <c r="D2229">
        <v>2023</v>
      </c>
      <c r="E2229" s="49" t="s">
        <v>155</v>
      </c>
      <c r="F2229" s="49" t="s">
        <v>163</v>
      </c>
      <c r="G2229">
        <f>'Aug-Apr, 2023'!BS31+'Aug-Apr, 2023'!BT31</f>
        <v>55</v>
      </c>
      <c r="H2229">
        <f>'Aug-Apr, 2023'!BU31</f>
        <v>0</v>
      </c>
      <c r="I2229">
        <f>'Aug-Apr, 2023'!BV31</f>
        <v>20</v>
      </c>
      <c r="J2229">
        <f>G2229*Parameters!$B$2*Parameters!$B$5</f>
        <v>117.10049999999998</v>
      </c>
      <c r="K2229">
        <f>H2229*Parameters!$B$3*Parameters!$B$6</f>
        <v>0</v>
      </c>
      <c r="L2229">
        <f>I2229*Parameters!$B$4*Parameters!$B$7</f>
        <v>161.928</v>
      </c>
      <c r="M2229">
        <f t="shared" si="34"/>
        <v>279.02850000000001</v>
      </c>
      <c r="N2229" s="142">
        <f>'Aug-Apr, 2023'!BW31</f>
        <v>5500</v>
      </c>
      <c r="O2229" s="142">
        <f>'Aug-Apr, 2023'!BX31</f>
        <v>0</v>
      </c>
      <c r="P2229" s="142">
        <f>'Aug-Apr, 2023'!BY31</f>
        <v>0</v>
      </c>
      <c r="Q2229" s="142">
        <f>'Aug-Apr, 2023'!BZ31</f>
        <v>6000</v>
      </c>
    </row>
    <row r="2230" spans="1:17">
      <c r="A2230" t="s">
        <v>52</v>
      </c>
      <c r="B2230" t="s">
        <v>38</v>
      </c>
      <c r="C2230">
        <v>12</v>
      </c>
      <c r="D2230">
        <v>2023</v>
      </c>
      <c r="E2230" s="49" t="s">
        <v>155</v>
      </c>
      <c r="F2230" s="49" t="s">
        <v>163</v>
      </c>
      <c r="G2230">
        <f>'Aug-Apr, 2023'!BS32+'Aug-Apr, 2023'!BT32</f>
        <v>58</v>
      </c>
      <c r="H2230">
        <f>'Aug-Apr, 2023'!BU32</f>
        <v>0</v>
      </c>
      <c r="I2230">
        <f>'Aug-Apr, 2023'!BV32</f>
        <v>18</v>
      </c>
      <c r="J2230">
        <f>G2230*Parameters!$B$2*Parameters!$B$5</f>
        <v>123.48779999999998</v>
      </c>
      <c r="K2230">
        <f>H2230*Parameters!$B$3*Parameters!$B$6</f>
        <v>0</v>
      </c>
      <c r="L2230">
        <f>I2230*Parameters!$B$4*Parameters!$B$7</f>
        <v>145.73520000000002</v>
      </c>
      <c r="M2230">
        <f t="shared" si="34"/>
        <v>269.22300000000001</v>
      </c>
      <c r="N2230" s="142">
        <f>'Aug-Apr, 2023'!BW32</f>
        <v>5800</v>
      </c>
      <c r="O2230" s="142">
        <f>'Aug-Apr, 2023'!BX32</f>
        <v>0</v>
      </c>
      <c r="P2230" s="142">
        <f>'Aug-Apr, 2023'!BY32</f>
        <v>0</v>
      </c>
      <c r="Q2230" s="142">
        <f>'Aug-Apr, 2023'!BZ32</f>
        <v>5400</v>
      </c>
    </row>
    <row r="2231" spans="1:17">
      <c r="A2231" t="s">
        <v>53</v>
      </c>
      <c r="B2231" t="s">
        <v>40</v>
      </c>
      <c r="C2231">
        <v>8</v>
      </c>
      <c r="D2231">
        <v>2023</v>
      </c>
      <c r="E2231" s="49" t="s">
        <v>155</v>
      </c>
      <c r="F2231" s="49" t="s">
        <v>163</v>
      </c>
      <c r="G2231">
        <f>'Aug-Apr, 2023'!BS33+'Aug-Apr, 2023'!BT33</f>
        <v>53</v>
      </c>
      <c r="H2231">
        <f>'Aug-Apr, 2023'!BU33</f>
        <v>0</v>
      </c>
      <c r="I2231">
        <f>'Aug-Apr, 2023'!BV33</f>
        <v>19</v>
      </c>
      <c r="J2231">
        <f>G2231*Parameters!$B$2*Parameters!$B$5</f>
        <v>112.84229999999998</v>
      </c>
      <c r="K2231">
        <f>H2231*Parameters!$B$3*Parameters!$B$6</f>
        <v>0</v>
      </c>
      <c r="L2231">
        <f>I2231*Parameters!$B$4*Parameters!$B$7</f>
        <v>153.83160000000001</v>
      </c>
      <c r="M2231">
        <f t="shared" si="34"/>
        <v>266.6739</v>
      </c>
      <c r="N2231" s="142">
        <f>'Aug-Apr, 2023'!BW33</f>
        <v>5300</v>
      </c>
      <c r="O2231" s="142">
        <f>'Aug-Apr, 2023'!BX33</f>
        <v>0</v>
      </c>
      <c r="P2231" s="142">
        <f>'Aug-Apr, 2023'!BY33</f>
        <v>0</v>
      </c>
      <c r="Q2231" s="142">
        <f>'Aug-Apr, 2023'!BZ33</f>
        <v>5700</v>
      </c>
    </row>
    <row r="2232" spans="1:17">
      <c r="A2232" t="s">
        <v>54</v>
      </c>
      <c r="B2232" t="s">
        <v>40</v>
      </c>
      <c r="C2232">
        <v>6</v>
      </c>
      <c r="D2232">
        <v>2023</v>
      </c>
      <c r="E2232" s="49" t="s">
        <v>155</v>
      </c>
      <c r="F2232" s="49" t="s">
        <v>163</v>
      </c>
      <c r="G2232">
        <f>'Aug-Apr, 2023'!BS34+'Aug-Apr, 2023'!BT34</f>
        <v>51</v>
      </c>
      <c r="H2232">
        <f>'Aug-Apr, 2023'!BU34</f>
        <v>0</v>
      </c>
      <c r="I2232">
        <f>'Aug-Apr, 2023'!BV34</f>
        <v>20</v>
      </c>
      <c r="J2232">
        <f>G2232*Parameters!$B$2*Parameters!$B$5</f>
        <v>108.58409999999999</v>
      </c>
      <c r="K2232">
        <f>H2232*Parameters!$B$3*Parameters!$B$6</f>
        <v>0</v>
      </c>
      <c r="L2232">
        <f>I2232*Parameters!$B$4*Parameters!$B$7</f>
        <v>161.928</v>
      </c>
      <c r="M2232">
        <f t="shared" si="34"/>
        <v>270.51209999999998</v>
      </c>
      <c r="N2232" s="142">
        <f>'Aug-Apr, 2023'!BW34</f>
        <v>5100</v>
      </c>
      <c r="O2232" s="142">
        <f>'Aug-Apr, 2023'!BX34</f>
        <v>0</v>
      </c>
      <c r="P2232" s="142">
        <f>'Aug-Apr, 2023'!BY34</f>
        <v>0</v>
      </c>
      <c r="Q2232" s="142">
        <f>'Aug-Apr, 2023'!BZ34</f>
        <v>6000</v>
      </c>
    </row>
    <row r="2233" spans="1:17">
      <c r="A2233" t="s">
        <v>55</v>
      </c>
      <c r="B2233" t="s">
        <v>56</v>
      </c>
      <c r="C2233">
        <v>4</v>
      </c>
      <c r="D2233">
        <v>2023</v>
      </c>
      <c r="E2233" s="49" t="s">
        <v>155</v>
      </c>
      <c r="F2233" s="49" t="s">
        <v>163</v>
      </c>
      <c r="G2233">
        <f>'Aug-Apr, 2023'!BS35+'Aug-Apr, 2023'!BT35</f>
        <v>56</v>
      </c>
      <c r="H2233">
        <f>'Aug-Apr, 2023'!BU35</f>
        <v>0</v>
      </c>
      <c r="I2233">
        <f>'Aug-Apr, 2023'!BV35</f>
        <v>20</v>
      </c>
      <c r="J2233">
        <f>G2233*Parameters!$B$2*Parameters!$B$5</f>
        <v>119.22959999999999</v>
      </c>
      <c r="K2233">
        <f>H2233*Parameters!$B$3*Parameters!$B$6</f>
        <v>0</v>
      </c>
      <c r="L2233">
        <f>I2233*Parameters!$B$4*Parameters!$B$7</f>
        <v>161.928</v>
      </c>
      <c r="M2233">
        <f t="shared" si="34"/>
        <v>281.1576</v>
      </c>
      <c r="N2233" s="142">
        <f>'Aug-Apr, 2023'!BW35</f>
        <v>5600</v>
      </c>
      <c r="O2233" s="142">
        <f>'Aug-Apr, 2023'!BX35</f>
        <v>0</v>
      </c>
      <c r="P2233" s="142">
        <f>'Aug-Apr, 2023'!BY35</f>
        <v>0</v>
      </c>
      <c r="Q2233" s="142">
        <f>'Aug-Apr, 2023'!BZ35</f>
        <v>6000</v>
      </c>
    </row>
    <row r="2234" spans="1:17">
      <c r="A2234" t="s">
        <v>57</v>
      </c>
      <c r="B2234" t="s">
        <v>40</v>
      </c>
      <c r="C2234">
        <v>4</v>
      </c>
      <c r="D2234">
        <v>2023</v>
      </c>
      <c r="E2234" s="49" t="s">
        <v>155</v>
      </c>
      <c r="F2234" s="49" t="s">
        <v>163</v>
      </c>
      <c r="G2234">
        <f>'Aug-Apr, 2023'!BS36+'Aug-Apr, 2023'!BT36</f>
        <v>60</v>
      </c>
      <c r="H2234">
        <f>'Aug-Apr, 2023'!BU36</f>
        <v>0</v>
      </c>
      <c r="I2234">
        <f>'Aug-Apr, 2023'!BV36</f>
        <v>15</v>
      </c>
      <c r="J2234">
        <f>G2234*Parameters!$B$2*Parameters!$B$5</f>
        <v>127.74599999999998</v>
      </c>
      <c r="K2234">
        <f>H2234*Parameters!$B$3*Parameters!$B$6</f>
        <v>0</v>
      </c>
      <c r="L2234">
        <f>I2234*Parameters!$B$4*Parameters!$B$7</f>
        <v>121.44600000000001</v>
      </c>
      <c r="M2234">
        <f t="shared" si="34"/>
        <v>249.19200000000001</v>
      </c>
      <c r="N2234" s="142">
        <f>'Aug-Apr, 2023'!BW36</f>
        <v>6000</v>
      </c>
      <c r="O2234" s="142">
        <f>'Aug-Apr, 2023'!BX36</f>
        <v>0</v>
      </c>
      <c r="P2234" s="142">
        <f>'Aug-Apr, 2023'!BY36</f>
        <v>0</v>
      </c>
      <c r="Q2234" s="142">
        <f>'Aug-Apr, 2023'!BZ36</f>
        <v>4500</v>
      </c>
    </row>
    <row r="2235" spans="1:17">
      <c r="A2235" t="s">
        <v>58</v>
      </c>
      <c r="B2235" t="s">
        <v>26</v>
      </c>
      <c r="C2235">
        <v>6</v>
      </c>
      <c r="D2235">
        <v>2023</v>
      </c>
      <c r="E2235" s="49" t="s">
        <v>155</v>
      </c>
      <c r="F2235" s="49" t="s">
        <v>163</v>
      </c>
      <c r="G2235">
        <f>'Aug-Apr, 2023'!BS37+'Aug-Apr, 2023'!BT37</f>
        <v>64</v>
      </c>
      <c r="H2235">
        <f>'Aug-Apr, 2023'!BU37</f>
        <v>0</v>
      </c>
      <c r="I2235">
        <f>'Aug-Apr, 2023'!BV37</f>
        <v>18</v>
      </c>
      <c r="J2235">
        <f>G2235*Parameters!$B$2*Parameters!$B$5</f>
        <v>136.26239999999999</v>
      </c>
      <c r="K2235">
        <f>H2235*Parameters!$B$3*Parameters!$B$6</f>
        <v>0</v>
      </c>
      <c r="L2235">
        <f>I2235*Parameters!$B$4*Parameters!$B$7</f>
        <v>145.73520000000002</v>
      </c>
      <c r="M2235">
        <f t="shared" si="34"/>
        <v>281.99760000000003</v>
      </c>
      <c r="N2235" s="142">
        <f>'Aug-Apr, 2023'!BW37</f>
        <v>6400</v>
      </c>
      <c r="O2235" s="142">
        <f>'Aug-Apr, 2023'!BX37</f>
        <v>0</v>
      </c>
      <c r="P2235" s="142">
        <f>'Aug-Apr, 2023'!BY37</f>
        <v>0</v>
      </c>
      <c r="Q2235" s="142">
        <f>'Aug-Apr, 2023'!BZ37</f>
        <v>5400</v>
      </c>
    </row>
    <row r="2236" spans="1:17">
      <c r="A2236" t="s">
        <v>59</v>
      </c>
      <c r="B2236" t="s">
        <v>26</v>
      </c>
      <c r="C2236">
        <v>7</v>
      </c>
      <c r="D2236">
        <v>2023</v>
      </c>
      <c r="E2236" s="49" t="s">
        <v>155</v>
      </c>
      <c r="F2236" s="49" t="s">
        <v>163</v>
      </c>
      <c r="G2236">
        <f>'Aug-Apr, 2023'!BS38+'Aug-Apr, 2023'!BT38</f>
        <v>46</v>
      </c>
      <c r="H2236">
        <f>'Aug-Apr, 2023'!BU38</f>
        <v>0</v>
      </c>
      <c r="I2236">
        <f>'Aug-Apr, 2023'!BV38</f>
        <v>20</v>
      </c>
      <c r="J2236">
        <f>G2236*Parameters!$B$2*Parameters!$B$5</f>
        <v>97.938599999999994</v>
      </c>
      <c r="K2236">
        <f>H2236*Parameters!$B$3*Parameters!$B$6</f>
        <v>0</v>
      </c>
      <c r="L2236">
        <f>I2236*Parameters!$B$4*Parameters!$B$7</f>
        <v>161.928</v>
      </c>
      <c r="M2236">
        <f t="shared" si="34"/>
        <v>259.86660000000001</v>
      </c>
      <c r="N2236" s="142">
        <f>'Aug-Apr, 2023'!BW38</f>
        <v>4600</v>
      </c>
      <c r="O2236" s="142">
        <f>'Aug-Apr, 2023'!BX38</f>
        <v>0</v>
      </c>
      <c r="P2236" s="142">
        <f>'Aug-Apr, 2023'!BY38</f>
        <v>0</v>
      </c>
      <c r="Q2236" s="142">
        <f>'Aug-Apr, 2023'!BZ38</f>
        <v>6000</v>
      </c>
    </row>
    <row r="2237" spans="1:17">
      <c r="A2237" t="s">
        <v>60</v>
      </c>
      <c r="B2237" t="s">
        <v>26</v>
      </c>
      <c r="C2237">
        <v>8</v>
      </c>
      <c r="D2237">
        <v>2023</v>
      </c>
      <c r="E2237" s="49" t="s">
        <v>155</v>
      </c>
      <c r="F2237" s="49" t="s">
        <v>163</v>
      </c>
      <c r="G2237">
        <f>'Aug-Apr, 2023'!BS39+'Aug-Apr, 2023'!BT39</f>
        <v>50</v>
      </c>
      <c r="H2237">
        <f>'Aug-Apr, 2023'!BU39</f>
        <v>0</v>
      </c>
      <c r="I2237">
        <f>'Aug-Apr, 2023'!BV39</f>
        <v>20</v>
      </c>
      <c r="J2237">
        <f>G2237*Parameters!$B$2*Parameters!$B$5</f>
        <v>106.45499999999998</v>
      </c>
      <c r="K2237">
        <f>H2237*Parameters!$B$3*Parameters!$B$6</f>
        <v>0</v>
      </c>
      <c r="L2237">
        <f>I2237*Parameters!$B$4*Parameters!$B$7</f>
        <v>161.928</v>
      </c>
      <c r="M2237">
        <f t="shared" si="34"/>
        <v>268.38299999999998</v>
      </c>
      <c r="N2237" s="142">
        <f>'Aug-Apr, 2023'!BW39</f>
        <v>5000</v>
      </c>
      <c r="O2237" s="142">
        <f>'Aug-Apr, 2023'!BX39</f>
        <v>0</v>
      </c>
      <c r="P2237" s="142">
        <f>'Aug-Apr, 2023'!BY39</f>
        <v>0</v>
      </c>
      <c r="Q2237" s="142">
        <f>'Aug-Apr, 2023'!BZ39</f>
        <v>6000</v>
      </c>
    </row>
    <row r="2238" spans="1:17">
      <c r="A2238" t="s">
        <v>61</v>
      </c>
      <c r="B2238" t="s">
        <v>56</v>
      </c>
      <c r="C2238">
        <v>5</v>
      </c>
      <c r="D2238">
        <v>2023</v>
      </c>
      <c r="E2238" s="49" t="s">
        <v>155</v>
      </c>
      <c r="F2238" s="49" t="s">
        <v>163</v>
      </c>
      <c r="G2238">
        <f>'Aug-Apr, 2023'!BS40+'Aug-Apr, 2023'!BT40</f>
        <v>62</v>
      </c>
      <c r="H2238">
        <f>'Aug-Apr, 2023'!BU40</f>
        <v>0</v>
      </c>
      <c r="I2238">
        <f>'Aug-Apr, 2023'!BV40</f>
        <v>18</v>
      </c>
      <c r="J2238">
        <f>G2238*Parameters!$B$2*Parameters!$B$5</f>
        <v>132.00419999999997</v>
      </c>
      <c r="K2238">
        <f>H2238*Parameters!$B$3*Parameters!$B$6</f>
        <v>0</v>
      </c>
      <c r="L2238">
        <f>I2238*Parameters!$B$4*Parameters!$B$7</f>
        <v>145.73520000000002</v>
      </c>
      <c r="M2238">
        <f t="shared" si="34"/>
        <v>277.73939999999999</v>
      </c>
      <c r="N2238" s="142">
        <f>'Aug-Apr, 2023'!BW40</f>
        <v>6200</v>
      </c>
      <c r="O2238" s="142">
        <f>'Aug-Apr, 2023'!BX40</f>
        <v>0</v>
      </c>
      <c r="P2238" s="142">
        <f>'Aug-Apr, 2023'!BY40</f>
        <v>0</v>
      </c>
      <c r="Q2238" s="142">
        <f>'Aug-Apr, 2023'!BZ40</f>
        <v>5400</v>
      </c>
    </row>
    <row r="2239" spans="1:17">
      <c r="A2239" t="s">
        <v>62</v>
      </c>
      <c r="B2239" t="s">
        <v>21</v>
      </c>
      <c r="C2239">
        <v>6</v>
      </c>
      <c r="D2239">
        <v>2023</v>
      </c>
      <c r="E2239" s="49" t="s">
        <v>155</v>
      </c>
      <c r="F2239" s="49" t="s">
        <v>163</v>
      </c>
      <c r="G2239">
        <f>'Aug-Apr, 2023'!BS41+'Aug-Apr, 2023'!BT41</f>
        <v>51</v>
      </c>
      <c r="H2239">
        <f>'Aug-Apr, 2023'!BU41</f>
        <v>0</v>
      </c>
      <c r="I2239">
        <f>'Aug-Apr, 2023'!BV41</f>
        <v>20</v>
      </c>
      <c r="J2239">
        <f>G2239*Parameters!$B$2*Parameters!$B$5</f>
        <v>108.58409999999999</v>
      </c>
      <c r="K2239">
        <f>H2239*Parameters!$B$3*Parameters!$B$6</f>
        <v>0</v>
      </c>
      <c r="L2239">
        <f>I2239*Parameters!$B$4*Parameters!$B$7</f>
        <v>161.928</v>
      </c>
      <c r="M2239">
        <f t="shared" si="34"/>
        <v>270.51209999999998</v>
      </c>
      <c r="N2239" s="142">
        <f>'Aug-Apr, 2023'!BW41</f>
        <v>5100</v>
      </c>
      <c r="O2239" s="142">
        <f>'Aug-Apr, 2023'!BX41</f>
        <v>0</v>
      </c>
      <c r="P2239" s="142">
        <f>'Aug-Apr, 2023'!BY41</f>
        <v>0</v>
      </c>
      <c r="Q2239" s="142">
        <f>'Aug-Apr, 2023'!BZ41</f>
        <v>6000</v>
      </c>
    </row>
    <row r="2240" spans="1:17">
      <c r="A2240" t="s">
        <v>63</v>
      </c>
      <c r="B2240" t="s">
        <v>21</v>
      </c>
      <c r="C2240">
        <v>9</v>
      </c>
      <c r="D2240">
        <v>2023</v>
      </c>
      <c r="E2240" s="49" t="s">
        <v>155</v>
      </c>
      <c r="F2240" s="49" t="s">
        <v>163</v>
      </c>
      <c r="G2240">
        <f>'Aug-Apr, 2023'!BS42+'Aug-Apr, 2023'!BT42</f>
        <v>52</v>
      </c>
      <c r="H2240">
        <f>'Aug-Apr, 2023'!BU42</f>
        <v>0</v>
      </c>
      <c r="I2240">
        <f>'Aug-Apr, 2023'!BV42</f>
        <v>20</v>
      </c>
      <c r="J2240">
        <f>G2240*Parameters!$B$2*Parameters!$B$5</f>
        <v>110.71319999999999</v>
      </c>
      <c r="K2240">
        <f>H2240*Parameters!$B$3*Parameters!$B$6</f>
        <v>0</v>
      </c>
      <c r="L2240">
        <f>I2240*Parameters!$B$4*Parameters!$B$7</f>
        <v>161.928</v>
      </c>
      <c r="M2240">
        <f t="shared" si="34"/>
        <v>272.64119999999997</v>
      </c>
      <c r="N2240" s="142">
        <f>'Aug-Apr, 2023'!BW42</f>
        <v>5200</v>
      </c>
      <c r="O2240" s="142">
        <f>'Aug-Apr, 2023'!BX42</f>
        <v>0</v>
      </c>
      <c r="P2240" s="142">
        <f>'Aug-Apr, 2023'!BY42</f>
        <v>0</v>
      </c>
      <c r="Q2240" s="142">
        <f>'Aug-Apr, 2023'!BZ42</f>
        <v>6000</v>
      </c>
    </row>
    <row r="2241" spans="1:17">
      <c r="A2241" t="s">
        <v>64</v>
      </c>
      <c r="B2241" t="s">
        <v>65</v>
      </c>
      <c r="C2241">
        <v>3</v>
      </c>
      <c r="D2241">
        <v>2023</v>
      </c>
      <c r="E2241" s="49" t="s">
        <v>155</v>
      </c>
      <c r="F2241" s="49" t="s">
        <v>163</v>
      </c>
      <c r="G2241">
        <f>'Aug-Apr, 2023'!BS43+'Aug-Apr, 2023'!BT43</f>
        <v>95</v>
      </c>
      <c r="H2241">
        <f>'Aug-Apr, 2023'!BU43</f>
        <v>0</v>
      </c>
      <c r="I2241">
        <f>'Aug-Apr, 2023'!BV43</f>
        <v>12</v>
      </c>
      <c r="J2241">
        <f>G2241*Parameters!$B$2*Parameters!$B$5</f>
        <v>202.26449999999997</v>
      </c>
      <c r="K2241">
        <f>H2241*Parameters!$B$3*Parameters!$B$6</f>
        <v>0</v>
      </c>
      <c r="L2241">
        <f>I2241*Parameters!$B$4*Parameters!$B$7</f>
        <v>97.156800000000018</v>
      </c>
      <c r="M2241">
        <f t="shared" si="34"/>
        <v>299.42129999999997</v>
      </c>
      <c r="N2241" s="142">
        <f>'Aug-Apr, 2023'!BW43</f>
        <v>4000</v>
      </c>
      <c r="O2241" s="142">
        <f>'Aug-Apr, 2023'!BX43</f>
        <v>5500</v>
      </c>
      <c r="P2241" s="142">
        <f>'Aug-Apr, 2023'!BY43</f>
        <v>0</v>
      </c>
      <c r="Q2241" s="142">
        <f>'Aug-Apr, 2023'!BZ43</f>
        <v>3600</v>
      </c>
    </row>
    <row r="2242" spans="1:17">
      <c r="A2242" t="s">
        <v>66</v>
      </c>
      <c r="B2242" t="s">
        <v>24</v>
      </c>
      <c r="C2242">
        <v>4</v>
      </c>
      <c r="D2242">
        <v>2023</v>
      </c>
      <c r="E2242" s="49" t="s">
        <v>155</v>
      </c>
      <c r="F2242" s="49" t="s">
        <v>163</v>
      </c>
      <c r="G2242">
        <f>'Aug-Apr, 2023'!BS44+'Aug-Apr, 2023'!BT44</f>
        <v>55</v>
      </c>
      <c r="H2242">
        <f>'Aug-Apr, 2023'!BU44</f>
        <v>0</v>
      </c>
      <c r="I2242">
        <f>'Aug-Apr, 2023'!BV44</f>
        <v>18</v>
      </c>
      <c r="J2242">
        <f>G2242*Parameters!$B$2*Parameters!$B$5</f>
        <v>117.10049999999998</v>
      </c>
      <c r="K2242">
        <f>H2242*Parameters!$B$3*Parameters!$B$6</f>
        <v>0</v>
      </c>
      <c r="L2242">
        <f>I2242*Parameters!$B$4*Parameters!$B$7</f>
        <v>145.73520000000002</v>
      </c>
      <c r="M2242">
        <f t="shared" si="34"/>
        <v>262.83569999999997</v>
      </c>
      <c r="N2242" s="142">
        <f>'Aug-Apr, 2023'!BW44</f>
        <v>5500</v>
      </c>
      <c r="O2242" s="142">
        <f>'Aug-Apr, 2023'!BX44</f>
        <v>0</v>
      </c>
      <c r="P2242" s="142">
        <f>'Aug-Apr, 2023'!BY44</f>
        <v>0</v>
      </c>
      <c r="Q2242" s="142">
        <f>'Aug-Apr, 2023'!BZ44</f>
        <v>5400</v>
      </c>
    </row>
    <row r="2243" spans="1:17">
      <c r="A2243" t="s">
        <v>67</v>
      </c>
      <c r="B2243" t="s">
        <v>56</v>
      </c>
      <c r="C2243">
        <v>6</v>
      </c>
      <c r="D2243">
        <v>2023</v>
      </c>
      <c r="E2243" s="49" t="s">
        <v>155</v>
      </c>
      <c r="F2243" s="49" t="s">
        <v>163</v>
      </c>
      <c r="G2243">
        <f>'Aug-Apr, 2023'!BS45+'Aug-Apr, 2023'!BT45</f>
        <v>56</v>
      </c>
      <c r="H2243">
        <f>'Aug-Apr, 2023'!BU45</f>
        <v>0</v>
      </c>
      <c r="I2243">
        <f>'Aug-Apr, 2023'!BV45</f>
        <v>20</v>
      </c>
      <c r="J2243">
        <f>G2243*Parameters!$B$2*Parameters!$B$5</f>
        <v>119.22959999999999</v>
      </c>
      <c r="K2243">
        <f>H2243*Parameters!$B$3*Parameters!$B$6</f>
        <v>0</v>
      </c>
      <c r="L2243">
        <f>I2243*Parameters!$B$4*Parameters!$B$7</f>
        <v>161.928</v>
      </c>
      <c r="M2243">
        <f t="shared" ref="M2243:M2301" si="35">SUM(J2243:L2243)</f>
        <v>281.1576</v>
      </c>
      <c r="N2243" s="142">
        <f>'Aug-Apr, 2023'!BW45</f>
        <v>5600</v>
      </c>
      <c r="O2243" s="142">
        <f>'Aug-Apr, 2023'!BX45</f>
        <v>0</v>
      </c>
      <c r="P2243" s="142">
        <f>'Aug-Apr, 2023'!BY45</f>
        <v>0</v>
      </c>
      <c r="Q2243" s="142">
        <f>'Aug-Apr, 2023'!BZ45</f>
        <v>6000</v>
      </c>
    </row>
    <row r="2244" spans="1:17">
      <c r="A2244" t="s">
        <v>68</v>
      </c>
      <c r="B2244" t="s">
        <v>21</v>
      </c>
      <c r="C2244">
        <v>4</v>
      </c>
      <c r="D2244">
        <v>2023</v>
      </c>
      <c r="E2244" s="49" t="s">
        <v>155</v>
      </c>
      <c r="F2244" s="49" t="s">
        <v>163</v>
      </c>
      <c r="G2244">
        <f>'Aug-Apr, 2023'!BS46+'Aug-Apr, 2023'!BT46</f>
        <v>55</v>
      </c>
      <c r="H2244">
        <f>'Aug-Apr, 2023'!BU46</f>
        <v>0</v>
      </c>
      <c r="I2244">
        <f>'Aug-Apr, 2023'!BV46</f>
        <v>15</v>
      </c>
      <c r="J2244">
        <f>G2244*Parameters!$B$2*Parameters!$B$5</f>
        <v>117.10049999999998</v>
      </c>
      <c r="K2244">
        <f>H2244*Parameters!$B$3*Parameters!$B$6</f>
        <v>0</v>
      </c>
      <c r="L2244">
        <f>I2244*Parameters!$B$4*Parameters!$B$7</f>
        <v>121.44600000000001</v>
      </c>
      <c r="M2244">
        <f t="shared" si="35"/>
        <v>238.54649999999998</v>
      </c>
      <c r="N2244" s="142">
        <f>'Aug-Apr, 2023'!BW46</f>
        <v>5500</v>
      </c>
      <c r="O2244" s="142">
        <f>'Aug-Apr, 2023'!BX46</f>
        <v>0</v>
      </c>
      <c r="P2244" s="142">
        <f>'Aug-Apr, 2023'!BY46</f>
        <v>0</v>
      </c>
      <c r="Q2244" s="142">
        <f>'Aug-Apr, 2023'!BZ46</f>
        <v>4500</v>
      </c>
    </row>
    <row r="2245" spans="1:17">
      <c r="A2245" t="s">
        <v>69</v>
      </c>
      <c r="B2245" t="s">
        <v>24</v>
      </c>
      <c r="C2245">
        <v>6</v>
      </c>
      <c r="D2245">
        <v>2023</v>
      </c>
      <c r="E2245" s="49" t="s">
        <v>155</v>
      </c>
      <c r="F2245" s="49" t="s">
        <v>163</v>
      </c>
      <c r="G2245">
        <f>'Aug-Apr, 2023'!BS47+'Aug-Apr, 2023'!BT47</f>
        <v>60</v>
      </c>
      <c r="H2245">
        <f>'Aug-Apr, 2023'!BU47</f>
        <v>0</v>
      </c>
      <c r="I2245">
        <f>'Aug-Apr, 2023'!BV47</f>
        <v>20</v>
      </c>
      <c r="J2245">
        <f>G2245*Parameters!$B$2*Parameters!$B$5</f>
        <v>127.74599999999998</v>
      </c>
      <c r="K2245">
        <f>H2245*Parameters!$B$3*Parameters!$B$6</f>
        <v>0</v>
      </c>
      <c r="L2245">
        <f>I2245*Parameters!$B$4*Parameters!$B$7</f>
        <v>161.928</v>
      </c>
      <c r="M2245">
        <f t="shared" si="35"/>
        <v>289.67399999999998</v>
      </c>
      <c r="N2245" s="142">
        <f>'Aug-Apr, 2023'!BW47</f>
        <v>6000</v>
      </c>
      <c r="O2245" s="142">
        <f>'Aug-Apr, 2023'!BX47</f>
        <v>0</v>
      </c>
      <c r="P2245" s="142">
        <f>'Aug-Apr, 2023'!BY47</f>
        <v>0</v>
      </c>
      <c r="Q2245" s="142">
        <f>'Aug-Apr, 2023'!BZ47</f>
        <v>6000</v>
      </c>
    </row>
    <row r="2246" spans="1:17">
      <c r="A2246" t="s">
        <v>70</v>
      </c>
      <c r="B2246" t="s">
        <v>26</v>
      </c>
      <c r="C2246">
        <v>6</v>
      </c>
      <c r="D2246">
        <v>2023</v>
      </c>
      <c r="E2246" s="49" t="s">
        <v>155</v>
      </c>
      <c r="F2246" s="49" t="s">
        <v>163</v>
      </c>
      <c r="G2246">
        <f>'Aug-Apr, 2023'!BS48+'Aug-Apr, 2023'!BT48</f>
        <v>39</v>
      </c>
      <c r="H2246">
        <f>'Aug-Apr, 2023'!BU48</f>
        <v>0</v>
      </c>
      <c r="I2246">
        <f>'Aug-Apr, 2023'!BV48</f>
        <v>18</v>
      </c>
      <c r="J2246">
        <f>G2246*Parameters!$B$2*Parameters!$B$5</f>
        <v>83.034899999999993</v>
      </c>
      <c r="K2246">
        <f>H2246*Parameters!$B$3*Parameters!$B$6</f>
        <v>0</v>
      </c>
      <c r="L2246">
        <f>I2246*Parameters!$B$4*Parameters!$B$7</f>
        <v>145.73520000000002</v>
      </c>
      <c r="M2246">
        <f t="shared" si="35"/>
        <v>228.77010000000001</v>
      </c>
      <c r="N2246" s="142">
        <f>'Aug-Apr, 2023'!BW48</f>
        <v>3900</v>
      </c>
      <c r="O2246" s="142">
        <f>'Aug-Apr, 2023'!BX48</f>
        <v>0</v>
      </c>
      <c r="P2246" s="142">
        <f>'Aug-Apr, 2023'!BY48</f>
        <v>0</v>
      </c>
      <c r="Q2246" s="142">
        <f>'Aug-Apr, 2023'!BZ48</f>
        <v>5400</v>
      </c>
    </row>
    <row r="2247" spans="1:17">
      <c r="A2247" t="s">
        <v>71</v>
      </c>
      <c r="B2247" t="s">
        <v>26</v>
      </c>
      <c r="C2247">
        <v>5</v>
      </c>
      <c r="D2247">
        <v>2023</v>
      </c>
      <c r="E2247" s="49" t="s">
        <v>155</v>
      </c>
      <c r="F2247" s="49" t="s">
        <v>163</v>
      </c>
      <c r="G2247">
        <f>'Aug-Apr, 2023'!BS49+'Aug-Apr, 2023'!BT49</f>
        <v>50</v>
      </c>
      <c r="H2247">
        <f>'Aug-Apr, 2023'!BU49</f>
        <v>0</v>
      </c>
      <c r="I2247">
        <f>'Aug-Apr, 2023'!BV49</f>
        <v>20</v>
      </c>
      <c r="J2247">
        <f>G2247*Parameters!$B$2*Parameters!$B$5</f>
        <v>106.45499999999998</v>
      </c>
      <c r="K2247">
        <f>H2247*Parameters!$B$3*Parameters!$B$6</f>
        <v>0</v>
      </c>
      <c r="L2247">
        <f>I2247*Parameters!$B$4*Parameters!$B$7</f>
        <v>161.928</v>
      </c>
      <c r="M2247">
        <f t="shared" si="35"/>
        <v>268.38299999999998</v>
      </c>
      <c r="N2247" s="142">
        <f>'Aug-Apr, 2023'!BW49</f>
        <v>5000</v>
      </c>
      <c r="O2247" s="142">
        <f>'Aug-Apr, 2023'!BX49</f>
        <v>0</v>
      </c>
      <c r="P2247" s="142">
        <f>'Aug-Apr, 2023'!BY49</f>
        <v>0</v>
      </c>
      <c r="Q2247" s="142">
        <f>'Aug-Apr, 2023'!BZ49</f>
        <v>6000</v>
      </c>
    </row>
    <row r="2248" spans="1:17">
      <c r="A2248" t="s">
        <v>72</v>
      </c>
      <c r="B2248" t="s">
        <v>26</v>
      </c>
      <c r="C2248">
        <v>8</v>
      </c>
      <c r="D2248">
        <v>2023</v>
      </c>
      <c r="E2248" s="49" t="s">
        <v>155</v>
      </c>
      <c r="F2248" s="49" t="s">
        <v>163</v>
      </c>
      <c r="G2248">
        <f>'Aug-Apr, 2023'!BS50+'Aug-Apr, 2023'!BT50</f>
        <v>51</v>
      </c>
      <c r="H2248">
        <f>'Aug-Apr, 2023'!BU50</f>
        <v>0</v>
      </c>
      <c r="I2248">
        <f>'Aug-Apr, 2023'!BV50</f>
        <v>18</v>
      </c>
      <c r="J2248">
        <f>G2248*Parameters!$B$2*Parameters!$B$5</f>
        <v>108.58409999999999</v>
      </c>
      <c r="K2248">
        <f>H2248*Parameters!$B$3*Parameters!$B$6</f>
        <v>0</v>
      </c>
      <c r="L2248">
        <f>I2248*Parameters!$B$4*Parameters!$B$7</f>
        <v>145.73520000000002</v>
      </c>
      <c r="M2248">
        <f t="shared" si="35"/>
        <v>254.3193</v>
      </c>
      <c r="N2248" s="142">
        <f>'Aug-Apr, 2023'!BW50</f>
        <v>5100</v>
      </c>
      <c r="O2248" s="142">
        <f>'Aug-Apr, 2023'!BX50</f>
        <v>0</v>
      </c>
      <c r="P2248" s="142">
        <f>'Aug-Apr, 2023'!BY50</f>
        <v>0</v>
      </c>
      <c r="Q2248" s="142">
        <f>'Aug-Apr, 2023'!BZ50</f>
        <v>5400</v>
      </c>
    </row>
    <row r="2249" spans="1:17">
      <c r="A2249" t="s">
        <v>73</v>
      </c>
      <c r="B2249" t="s">
        <v>17</v>
      </c>
      <c r="C2249">
        <v>4</v>
      </c>
      <c r="D2249">
        <v>2023</v>
      </c>
      <c r="E2249" s="49" t="s">
        <v>155</v>
      </c>
      <c r="F2249" s="49" t="s">
        <v>163</v>
      </c>
      <c r="G2249">
        <f>'Aug-Apr, 2023'!BS51+'Aug-Apr, 2023'!BT51</f>
        <v>55</v>
      </c>
      <c r="H2249">
        <f>'Aug-Apr, 2023'!BU51</f>
        <v>0</v>
      </c>
      <c r="I2249">
        <f>'Aug-Apr, 2023'!BV51</f>
        <v>20</v>
      </c>
      <c r="J2249">
        <f>G2249*Parameters!$B$2*Parameters!$B$5</f>
        <v>117.10049999999998</v>
      </c>
      <c r="K2249">
        <f>H2249*Parameters!$B$3*Parameters!$B$6</f>
        <v>0</v>
      </c>
      <c r="L2249">
        <f>I2249*Parameters!$B$4*Parameters!$B$7</f>
        <v>161.928</v>
      </c>
      <c r="M2249">
        <f t="shared" si="35"/>
        <v>279.02850000000001</v>
      </c>
      <c r="N2249" s="142">
        <f>'Aug-Apr, 2023'!BW51</f>
        <v>5500</v>
      </c>
      <c r="O2249" s="142">
        <f>'Aug-Apr, 2023'!BX51</f>
        <v>0</v>
      </c>
      <c r="P2249" s="142">
        <f>'Aug-Apr, 2023'!BY51</f>
        <v>0</v>
      </c>
      <c r="Q2249" s="142">
        <f>'Aug-Apr, 2023'!BZ51</f>
        <v>6000</v>
      </c>
    </row>
    <row r="2250" spans="1:17">
      <c r="A2250" t="s">
        <v>74</v>
      </c>
      <c r="B2250" t="s">
        <v>65</v>
      </c>
      <c r="C2250">
        <v>8</v>
      </c>
      <c r="D2250">
        <v>2023</v>
      </c>
      <c r="E2250" s="49" t="s">
        <v>155</v>
      </c>
      <c r="F2250" s="49" t="s">
        <v>163</v>
      </c>
      <c r="G2250">
        <f>'Aug-Apr, 2023'!BS52+'Aug-Apr, 2023'!BT52</f>
        <v>86</v>
      </c>
      <c r="H2250">
        <f>'Aug-Apr, 2023'!BU52</f>
        <v>12</v>
      </c>
      <c r="I2250">
        <f>'Aug-Apr, 2023'!BV52</f>
        <v>0</v>
      </c>
      <c r="J2250">
        <f>G2250*Parameters!$B$2*Parameters!$B$5</f>
        <v>183.10259999999997</v>
      </c>
      <c r="K2250">
        <f>H2250*Parameters!$B$3*Parameters!$B$6</f>
        <v>75.249599999999987</v>
      </c>
      <c r="L2250">
        <f>I2250*Parameters!$B$4*Parameters!$B$7</f>
        <v>0</v>
      </c>
      <c r="M2250">
        <f t="shared" si="35"/>
        <v>258.35219999999993</v>
      </c>
      <c r="N2250" s="142">
        <f>'Aug-Apr, 2023'!BW52</f>
        <v>4600</v>
      </c>
      <c r="O2250" s="142">
        <f>'Aug-Apr, 2023'!BX52</f>
        <v>4000</v>
      </c>
      <c r="P2250" s="142">
        <f>'Aug-Apr, 2023'!BY52</f>
        <v>3600</v>
      </c>
      <c r="Q2250" s="142">
        <f>'Aug-Apr, 2023'!BZ52</f>
        <v>0</v>
      </c>
    </row>
    <row r="2251" spans="1:17">
      <c r="A2251" t="s">
        <v>75</v>
      </c>
      <c r="B2251" t="s">
        <v>24</v>
      </c>
      <c r="C2251">
        <v>4</v>
      </c>
      <c r="D2251">
        <v>2023</v>
      </c>
      <c r="E2251" s="49" t="s">
        <v>155</v>
      </c>
      <c r="F2251" s="49" t="s">
        <v>163</v>
      </c>
      <c r="G2251">
        <f>'Aug-Apr, 2023'!BS53+'Aug-Apr, 2023'!BT53</f>
        <v>49</v>
      </c>
      <c r="H2251">
        <f>'Aug-Apr, 2023'!BU53</f>
        <v>0</v>
      </c>
      <c r="I2251">
        <f>'Aug-Apr, 2023'!BV53</f>
        <v>20</v>
      </c>
      <c r="J2251">
        <f>G2251*Parameters!$B$2*Parameters!$B$5</f>
        <v>104.32589999999999</v>
      </c>
      <c r="K2251">
        <f>H2251*Parameters!$B$3*Parameters!$B$6</f>
        <v>0</v>
      </c>
      <c r="L2251">
        <f>I2251*Parameters!$B$4*Parameters!$B$7</f>
        <v>161.928</v>
      </c>
      <c r="M2251">
        <f t="shared" si="35"/>
        <v>266.25389999999999</v>
      </c>
      <c r="N2251" s="142">
        <f>'Aug-Apr, 2023'!BW53</f>
        <v>4900</v>
      </c>
      <c r="O2251" s="142">
        <f>'Aug-Apr, 2023'!BX53</f>
        <v>0</v>
      </c>
      <c r="P2251" s="142">
        <f>'Aug-Apr, 2023'!BY53</f>
        <v>0</v>
      </c>
      <c r="Q2251" s="142">
        <f>'Aug-Apr, 2023'!BZ53</f>
        <v>6000</v>
      </c>
    </row>
    <row r="2252" spans="1:17">
      <c r="A2252" t="s">
        <v>76</v>
      </c>
      <c r="B2252" t="s">
        <v>56</v>
      </c>
      <c r="C2252">
        <v>4</v>
      </c>
      <c r="D2252">
        <v>2023</v>
      </c>
      <c r="E2252" s="49" t="s">
        <v>155</v>
      </c>
      <c r="F2252" s="49" t="s">
        <v>163</v>
      </c>
      <c r="G2252">
        <f>'Aug-Apr, 2023'!BS54+'Aug-Apr, 2023'!BT54</f>
        <v>53</v>
      </c>
      <c r="H2252">
        <f>'Aug-Apr, 2023'!BU54</f>
        <v>0</v>
      </c>
      <c r="I2252">
        <f>'Aug-Apr, 2023'!BV54</f>
        <v>18</v>
      </c>
      <c r="J2252">
        <f>G2252*Parameters!$B$2*Parameters!$B$5</f>
        <v>112.84229999999998</v>
      </c>
      <c r="K2252">
        <f>H2252*Parameters!$B$3*Parameters!$B$6</f>
        <v>0</v>
      </c>
      <c r="L2252">
        <f>I2252*Parameters!$B$4*Parameters!$B$7</f>
        <v>145.73520000000002</v>
      </c>
      <c r="M2252">
        <f t="shared" si="35"/>
        <v>258.57749999999999</v>
      </c>
      <c r="N2252" s="142">
        <f>'Aug-Apr, 2023'!BW54</f>
        <v>5300</v>
      </c>
      <c r="O2252" s="142">
        <f>'Aug-Apr, 2023'!BX54</f>
        <v>0</v>
      </c>
      <c r="P2252" s="142">
        <f>'Aug-Apr, 2023'!BY54</f>
        <v>0</v>
      </c>
      <c r="Q2252" s="142">
        <f>'Aug-Apr, 2023'!BZ54</f>
        <v>5400</v>
      </c>
    </row>
    <row r="2253" spans="1:17">
      <c r="A2253" t="s">
        <v>77</v>
      </c>
      <c r="B2253" t="s">
        <v>40</v>
      </c>
      <c r="C2253">
        <v>12</v>
      </c>
      <c r="D2253">
        <v>2023</v>
      </c>
      <c r="E2253" s="49" t="s">
        <v>155</v>
      </c>
      <c r="F2253" s="49" t="s">
        <v>163</v>
      </c>
      <c r="G2253">
        <f>'Aug-Apr, 2023'!BS55+'Aug-Apr, 2023'!BT55</f>
        <v>40</v>
      </c>
      <c r="H2253">
        <f>'Aug-Apr, 2023'!BU55</f>
        <v>0</v>
      </c>
      <c r="I2253">
        <f>'Aug-Apr, 2023'!BV55</f>
        <v>20</v>
      </c>
      <c r="J2253">
        <f>G2253*Parameters!$B$2*Parameters!$B$5</f>
        <v>85.163999999999987</v>
      </c>
      <c r="K2253">
        <f>H2253*Parameters!$B$3*Parameters!$B$6</f>
        <v>0</v>
      </c>
      <c r="L2253">
        <f>I2253*Parameters!$B$4*Parameters!$B$7</f>
        <v>161.928</v>
      </c>
      <c r="M2253">
        <f t="shared" si="35"/>
        <v>247.09199999999998</v>
      </c>
      <c r="N2253" s="142">
        <f>'Aug-Apr, 2023'!BW55</f>
        <v>4000</v>
      </c>
      <c r="O2253" s="142">
        <f>'Aug-Apr, 2023'!BX55</f>
        <v>0</v>
      </c>
      <c r="P2253" s="142">
        <f>'Aug-Apr, 2023'!BY55</f>
        <v>0</v>
      </c>
      <c r="Q2253" s="142">
        <f>'Aug-Apr, 2023'!BZ55</f>
        <v>6000</v>
      </c>
    </row>
    <row r="2254" spans="1:17">
      <c r="A2254" t="s">
        <v>78</v>
      </c>
      <c r="B2254" t="s">
        <v>32</v>
      </c>
      <c r="C2254">
        <v>6</v>
      </c>
      <c r="D2254">
        <v>2023</v>
      </c>
      <c r="E2254" s="49" t="s">
        <v>155</v>
      </c>
      <c r="F2254" s="49" t="s">
        <v>163</v>
      </c>
      <c r="G2254">
        <f>'Aug-Apr, 2023'!BS56+'Aug-Apr, 2023'!BT56</f>
        <v>44</v>
      </c>
      <c r="H2254">
        <f>'Aug-Apr, 2023'!BU56</f>
        <v>0</v>
      </c>
      <c r="I2254">
        <f>'Aug-Apr, 2023'!BV56</f>
        <v>12</v>
      </c>
      <c r="J2254">
        <f>G2254*Parameters!$B$2*Parameters!$B$5</f>
        <v>93.680399999999992</v>
      </c>
      <c r="K2254">
        <f>H2254*Parameters!$B$3*Parameters!$B$6</f>
        <v>0</v>
      </c>
      <c r="L2254">
        <f>I2254*Parameters!$B$4*Parameters!$B$7</f>
        <v>97.156800000000018</v>
      </c>
      <c r="M2254">
        <f t="shared" si="35"/>
        <v>190.8372</v>
      </c>
      <c r="N2254" s="142">
        <f>'Aug-Apr, 2023'!BW56</f>
        <v>4400</v>
      </c>
      <c r="O2254" s="142">
        <f>'Aug-Apr, 2023'!BX56</f>
        <v>0</v>
      </c>
      <c r="P2254" s="142">
        <f>'Aug-Apr, 2023'!BY56</f>
        <v>0</v>
      </c>
      <c r="Q2254" s="142">
        <f>'Aug-Apr, 2023'!BZ56</f>
        <v>3600</v>
      </c>
    </row>
    <row r="2255" spans="1:17">
      <c r="A2255" t="s">
        <v>79</v>
      </c>
      <c r="B2255" t="s">
        <v>40</v>
      </c>
      <c r="C2255">
        <v>4</v>
      </c>
      <c r="D2255">
        <v>2023</v>
      </c>
      <c r="E2255" s="49" t="s">
        <v>155</v>
      </c>
      <c r="F2255" s="49" t="s">
        <v>163</v>
      </c>
      <c r="G2255">
        <f>'Aug-Apr, 2023'!BS57+'Aug-Apr, 2023'!BT57</f>
        <v>52</v>
      </c>
      <c r="H2255">
        <f>'Aug-Apr, 2023'!BU57</f>
        <v>0</v>
      </c>
      <c r="I2255">
        <f>'Aug-Apr, 2023'!BV57</f>
        <v>20</v>
      </c>
      <c r="J2255">
        <f>G2255*Parameters!$B$2*Parameters!$B$5</f>
        <v>110.71319999999999</v>
      </c>
      <c r="K2255">
        <f>H2255*Parameters!$B$3*Parameters!$B$6</f>
        <v>0</v>
      </c>
      <c r="L2255">
        <f>I2255*Parameters!$B$4*Parameters!$B$7</f>
        <v>161.928</v>
      </c>
      <c r="M2255">
        <f t="shared" si="35"/>
        <v>272.64119999999997</v>
      </c>
      <c r="N2255" s="142">
        <f>'Aug-Apr, 2023'!BW57</f>
        <v>5200</v>
      </c>
      <c r="O2255" s="142">
        <f>'Aug-Apr, 2023'!BX57</f>
        <v>0</v>
      </c>
      <c r="P2255" s="142">
        <f>'Aug-Apr, 2023'!BY57</f>
        <v>0</v>
      </c>
      <c r="Q2255" s="142">
        <f>'Aug-Apr, 2023'!BZ57</f>
        <v>6000</v>
      </c>
    </row>
    <row r="2256" spans="1:17">
      <c r="A2256" t="s">
        <v>80</v>
      </c>
      <c r="B2256" t="s">
        <v>26</v>
      </c>
      <c r="C2256">
        <v>7</v>
      </c>
      <c r="D2256">
        <v>2023</v>
      </c>
      <c r="E2256" s="49" t="s">
        <v>155</v>
      </c>
      <c r="F2256" s="49" t="s">
        <v>163</v>
      </c>
      <c r="G2256">
        <f>'Aug-Apr, 2023'!BS58+'Aug-Apr, 2023'!BT58</f>
        <v>60</v>
      </c>
      <c r="H2256">
        <f>'Aug-Apr, 2023'!BU58</f>
        <v>0</v>
      </c>
      <c r="I2256">
        <f>'Aug-Apr, 2023'!BV58</f>
        <v>18</v>
      </c>
      <c r="J2256">
        <f>G2256*Parameters!$B$2*Parameters!$B$5</f>
        <v>127.74599999999998</v>
      </c>
      <c r="K2256">
        <f>H2256*Parameters!$B$3*Parameters!$B$6</f>
        <v>0</v>
      </c>
      <c r="L2256">
        <f>I2256*Parameters!$B$4*Parameters!$B$7</f>
        <v>145.73520000000002</v>
      </c>
      <c r="M2256">
        <f t="shared" si="35"/>
        <v>273.4812</v>
      </c>
      <c r="N2256" s="142">
        <f>'Aug-Apr, 2023'!BW58</f>
        <v>6000</v>
      </c>
      <c r="O2256" s="142">
        <f>'Aug-Apr, 2023'!BX58</f>
        <v>0</v>
      </c>
      <c r="P2256" s="142">
        <f>'Aug-Apr, 2023'!BY58</f>
        <v>0</v>
      </c>
      <c r="Q2256" s="142">
        <f>'Aug-Apr, 2023'!BZ58</f>
        <v>5400</v>
      </c>
    </row>
    <row r="2257" spans="1:17">
      <c r="A2257" t="s">
        <v>81</v>
      </c>
      <c r="B2257" t="s">
        <v>24</v>
      </c>
      <c r="C2257">
        <v>6</v>
      </c>
      <c r="D2257">
        <v>2023</v>
      </c>
      <c r="E2257" s="49" t="s">
        <v>155</v>
      </c>
      <c r="F2257" s="49" t="s">
        <v>163</v>
      </c>
      <c r="G2257">
        <f>'Aug-Apr, 2023'!BS59+'Aug-Apr, 2023'!BT59</f>
        <v>56</v>
      </c>
      <c r="H2257">
        <f>'Aug-Apr, 2023'!BU59</f>
        <v>0</v>
      </c>
      <c r="I2257">
        <f>'Aug-Apr, 2023'!BV59</f>
        <v>18</v>
      </c>
      <c r="J2257">
        <f>G2257*Parameters!$B$2*Parameters!$B$5</f>
        <v>119.22959999999999</v>
      </c>
      <c r="K2257">
        <f>H2257*Parameters!$B$3*Parameters!$B$6</f>
        <v>0</v>
      </c>
      <c r="L2257">
        <f>I2257*Parameters!$B$4*Parameters!$B$7</f>
        <v>145.73520000000002</v>
      </c>
      <c r="M2257">
        <f t="shared" si="35"/>
        <v>264.96480000000003</v>
      </c>
      <c r="N2257" s="142">
        <f>'Aug-Apr, 2023'!BW59</f>
        <v>5600</v>
      </c>
      <c r="O2257" s="142">
        <f>'Aug-Apr, 2023'!BX59</f>
        <v>0</v>
      </c>
      <c r="P2257" s="142">
        <f>'Aug-Apr, 2023'!BY59</f>
        <v>0</v>
      </c>
      <c r="Q2257" s="142">
        <f>'Aug-Apr, 2023'!BZ59</f>
        <v>5400</v>
      </c>
    </row>
    <row r="2258" spans="1:17">
      <c r="A2258" t="s">
        <v>82</v>
      </c>
      <c r="B2258" t="s">
        <v>83</v>
      </c>
      <c r="C2258">
        <v>4</v>
      </c>
      <c r="D2258">
        <v>2023</v>
      </c>
      <c r="E2258" s="49" t="s">
        <v>155</v>
      </c>
      <c r="F2258" s="49" t="s">
        <v>163</v>
      </c>
      <c r="G2258">
        <f>'Aug-Apr, 2023'!BS60+'Aug-Apr, 2023'!BT60</f>
        <v>39</v>
      </c>
      <c r="H2258">
        <f>'Aug-Apr, 2023'!BU60</f>
        <v>0</v>
      </c>
      <c r="I2258">
        <f>'Aug-Apr, 2023'!BV60</f>
        <v>20</v>
      </c>
      <c r="J2258">
        <f>G2258*Parameters!$B$2*Parameters!$B$5</f>
        <v>83.034899999999993</v>
      </c>
      <c r="K2258">
        <f>H2258*Parameters!$B$3*Parameters!$B$6</f>
        <v>0</v>
      </c>
      <c r="L2258">
        <f>I2258*Parameters!$B$4*Parameters!$B$7</f>
        <v>161.928</v>
      </c>
      <c r="M2258">
        <f t="shared" si="35"/>
        <v>244.96289999999999</v>
      </c>
      <c r="N2258" s="142">
        <f>'Aug-Apr, 2023'!BW60</f>
        <v>3900</v>
      </c>
      <c r="O2258" s="142">
        <f>'Aug-Apr, 2023'!BX60</f>
        <v>0</v>
      </c>
      <c r="P2258" s="142">
        <f>'Aug-Apr, 2023'!BY60</f>
        <v>0</v>
      </c>
      <c r="Q2258" s="142">
        <f>'Aug-Apr, 2023'!BZ60</f>
        <v>6000</v>
      </c>
    </row>
    <row r="2259" spans="1:17">
      <c r="A2259" t="s">
        <v>84</v>
      </c>
      <c r="B2259" t="s">
        <v>26</v>
      </c>
      <c r="C2259">
        <v>7</v>
      </c>
      <c r="D2259">
        <v>2023</v>
      </c>
      <c r="E2259" s="49" t="s">
        <v>155</v>
      </c>
      <c r="F2259" s="49" t="s">
        <v>163</v>
      </c>
      <c r="G2259">
        <f>'Aug-Apr, 2023'!BS61+'Aug-Apr, 2023'!BT61</f>
        <v>60</v>
      </c>
      <c r="H2259">
        <f>'Aug-Apr, 2023'!BU61</f>
        <v>0</v>
      </c>
      <c r="I2259">
        <f>'Aug-Apr, 2023'!BV61</f>
        <v>20</v>
      </c>
      <c r="J2259">
        <f>G2259*Parameters!$B$2*Parameters!$B$5</f>
        <v>127.74599999999998</v>
      </c>
      <c r="K2259">
        <f>H2259*Parameters!$B$3*Parameters!$B$6</f>
        <v>0</v>
      </c>
      <c r="L2259">
        <f>I2259*Parameters!$B$4*Parameters!$B$7</f>
        <v>161.928</v>
      </c>
      <c r="M2259">
        <f t="shared" si="35"/>
        <v>289.67399999999998</v>
      </c>
      <c r="N2259" s="142">
        <f>'Aug-Apr, 2023'!BW61</f>
        <v>6000</v>
      </c>
      <c r="O2259" s="142">
        <f>'Aug-Apr, 2023'!BX61</f>
        <v>0</v>
      </c>
      <c r="P2259" s="142">
        <f>'Aug-Apr, 2023'!BY61</f>
        <v>0</v>
      </c>
      <c r="Q2259" s="142">
        <f>'Aug-Apr, 2023'!BZ61</f>
        <v>6000</v>
      </c>
    </row>
    <row r="2260" spans="1:17">
      <c r="A2260" t="s">
        <v>85</v>
      </c>
      <c r="B2260" t="s">
        <v>24</v>
      </c>
      <c r="C2260">
        <v>6</v>
      </c>
      <c r="D2260">
        <v>2023</v>
      </c>
      <c r="E2260" s="49" t="s">
        <v>155</v>
      </c>
      <c r="F2260" s="49" t="s">
        <v>163</v>
      </c>
      <c r="G2260">
        <f>'Aug-Apr, 2023'!BS62+'Aug-Apr, 2023'!BT62</f>
        <v>35</v>
      </c>
      <c r="H2260">
        <f>'Aug-Apr, 2023'!BU62</f>
        <v>0</v>
      </c>
      <c r="I2260">
        <f>'Aug-Apr, 2023'!BV62</f>
        <v>13</v>
      </c>
      <c r="J2260">
        <f>G2260*Parameters!$B$2*Parameters!$B$5</f>
        <v>74.518499999999989</v>
      </c>
      <c r="K2260">
        <f>H2260*Parameters!$B$3*Parameters!$B$6</f>
        <v>0</v>
      </c>
      <c r="L2260">
        <f>I2260*Parameters!$B$4*Parameters!$B$7</f>
        <v>105.25320000000001</v>
      </c>
      <c r="M2260">
        <f t="shared" si="35"/>
        <v>179.77170000000001</v>
      </c>
      <c r="N2260" s="142">
        <f>'Aug-Apr, 2023'!BW62</f>
        <v>3500</v>
      </c>
      <c r="O2260" s="142">
        <f>'Aug-Apr, 2023'!BX62</f>
        <v>0</v>
      </c>
      <c r="P2260" s="142">
        <f>'Aug-Apr, 2023'!BY62</f>
        <v>0</v>
      </c>
      <c r="Q2260" s="142">
        <f>'Aug-Apr, 2023'!BZ62</f>
        <v>3900</v>
      </c>
    </row>
    <row r="2261" spans="1:17">
      <c r="A2261" t="s">
        <v>86</v>
      </c>
      <c r="B2261" t="s">
        <v>32</v>
      </c>
      <c r="C2261">
        <v>4</v>
      </c>
      <c r="D2261">
        <v>2023</v>
      </c>
      <c r="E2261" s="49" t="s">
        <v>155</v>
      </c>
      <c r="F2261" s="49" t="s">
        <v>163</v>
      </c>
      <c r="G2261">
        <f>'Aug-Apr, 2023'!BS63+'Aug-Apr, 2023'!BT63</f>
        <v>42</v>
      </c>
      <c r="H2261">
        <f>'Aug-Apr, 2023'!BU63</f>
        <v>0</v>
      </c>
      <c r="I2261">
        <f>'Aug-Apr, 2023'!BV63</f>
        <v>19</v>
      </c>
      <c r="J2261">
        <f>G2261*Parameters!$B$2*Parameters!$B$5</f>
        <v>89.422199999999975</v>
      </c>
      <c r="K2261">
        <f>H2261*Parameters!$B$3*Parameters!$B$6</f>
        <v>0</v>
      </c>
      <c r="L2261">
        <f>I2261*Parameters!$B$4*Parameters!$B$7</f>
        <v>153.83160000000001</v>
      </c>
      <c r="M2261">
        <f t="shared" si="35"/>
        <v>243.25379999999998</v>
      </c>
      <c r="N2261" s="142">
        <f>'Aug-Apr, 2023'!BW63</f>
        <v>4200</v>
      </c>
      <c r="O2261" s="142">
        <f>'Aug-Apr, 2023'!BX63</f>
        <v>0</v>
      </c>
      <c r="P2261" s="142">
        <f>'Aug-Apr, 2023'!BY63</f>
        <v>0</v>
      </c>
      <c r="Q2261" s="142">
        <f>'Aug-Apr, 2023'!BZ63</f>
        <v>5700</v>
      </c>
    </row>
    <row r="2262" spans="1:17">
      <c r="A2262" t="s">
        <v>87</v>
      </c>
      <c r="B2262" t="s">
        <v>32</v>
      </c>
      <c r="C2262">
        <v>8</v>
      </c>
      <c r="D2262">
        <v>2023</v>
      </c>
      <c r="E2262" s="49" t="s">
        <v>155</v>
      </c>
      <c r="F2262" s="49" t="s">
        <v>163</v>
      </c>
      <c r="G2262">
        <f>'Aug-Apr, 2023'!BS64+'Aug-Apr, 2023'!BT64</f>
        <v>50</v>
      </c>
      <c r="H2262">
        <f>'Aug-Apr, 2023'!BU64</f>
        <v>0</v>
      </c>
      <c r="I2262">
        <f>'Aug-Apr, 2023'!BV64</f>
        <v>20</v>
      </c>
      <c r="J2262">
        <f>G2262*Parameters!$B$2*Parameters!$B$5</f>
        <v>106.45499999999998</v>
      </c>
      <c r="K2262">
        <f>H2262*Parameters!$B$3*Parameters!$B$6</f>
        <v>0</v>
      </c>
      <c r="L2262">
        <f>I2262*Parameters!$B$4*Parameters!$B$7</f>
        <v>161.928</v>
      </c>
      <c r="M2262">
        <f t="shared" si="35"/>
        <v>268.38299999999998</v>
      </c>
      <c r="N2262" s="142">
        <f>'Aug-Apr, 2023'!BW64</f>
        <v>5000</v>
      </c>
      <c r="O2262" s="142">
        <f>'Aug-Apr, 2023'!BX64</f>
        <v>0</v>
      </c>
      <c r="P2262" s="142">
        <f>'Aug-Apr, 2023'!BY64</f>
        <v>0</v>
      </c>
      <c r="Q2262" s="142">
        <f>'Aug-Apr, 2023'!BZ64</f>
        <v>6000</v>
      </c>
    </row>
    <row r="2263" spans="1:17">
      <c r="A2263" t="s">
        <v>88</v>
      </c>
      <c r="B2263" t="s">
        <v>32</v>
      </c>
      <c r="C2263">
        <v>7</v>
      </c>
      <c r="D2263">
        <v>2023</v>
      </c>
      <c r="E2263" s="49" t="s">
        <v>155</v>
      </c>
      <c r="F2263" s="49" t="s">
        <v>163</v>
      </c>
      <c r="G2263">
        <f>'Aug-Apr, 2023'!BS65+'Aug-Apr, 2023'!BT65</f>
        <v>59</v>
      </c>
      <c r="H2263">
        <f>'Aug-Apr, 2023'!BU65</f>
        <v>0</v>
      </c>
      <c r="I2263">
        <f>'Aug-Apr, 2023'!BV65</f>
        <v>20</v>
      </c>
      <c r="J2263">
        <f>G2263*Parameters!$B$2*Parameters!$B$5</f>
        <v>125.61689999999999</v>
      </c>
      <c r="K2263">
        <f>H2263*Parameters!$B$3*Parameters!$B$6</f>
        <v>0</v>
      </c>
      <c r="L2263">
        <f>I2263*Parameters!$B$4*Parameters!$B$7</f>
        <v>161.928</v>
      </c>
      <c r="M2263">
        <f t="shared" si="35"/>
        <v>287.54489999999998</v>
      </c>
      <c r="N2263" s="142">
        <f>'Aug-Apr, 2023'!BW65</f>
        <v>5900</v>
      </c>
      <c r="O2263" s="142">
        <f>'Aug-Apr, 2023'!BX65</f>
        <v>0</v>
      </c>
      <c r="P2263" s="142">
        <f>'Aug-Apr, 2023'!BY65</f>
        <v>0</v>
      </c>
      <c r="Q2263" s="142">
        <f>'Aug-Apr, 2023'!BZ65</f>
        <v>6000</v>
      </c>
    </row>
    <row r="2264" spans="1:17">
      <c r="A2264" t="s">
        <v>89</v>
      </c>
      <c r="B2264" t="s">
        <v>65</v>
      </c>
      <c r="C2264">
        <v>8</v>
      </c>
      <c r="D2264">
        <v>2023</v>
      </c>
      <c r="E2264" s="49" t="s">
        <v>155</v>
      </c>
      <c r="F2264" s="49" t="s">
        <v>163</v>
      </c>
      <c r="G2264">
        <f>'Aug-Apr, 2023'!BS66+'Aug-Apr, 2023'!BT66</f>
        <v>50</v>
      </c>
      <c r="H2264">
        <f>'Aug-Apr, 2023'!BU66</f>
        <v>0</v>
      </c>
      <c r="I2264">
        <f>'Aug-Apr, 2023'!BV66</f>
        <v>16</v>
      </c>
      <c r="J2264">
        <f>G2264*Parameters!$B$2*Parameters!$B$5</f>
        <v>106.45499999999998</v>
      </c>
      <c r="K2264">
        <f>H2264*Parameters!$B$3*Parameters!$B$6</f>
        <v>0</v>
      </c>
      <c r="L2264">
        <f>I2264*Parameters!$B$4*Parameters!$B$7</f>
        <v>129.54240000000001</v>
      </c>
      <c r="M2264">
        <f t="shared" si="35"/>
        <v>235.9974</v>
      </c>
      <c r="N2264" s="142">
        <f>'Aug-Apr, 2023'!BW66</f>
        <v>5000</v>
      </c>
      <c r="O2264" s="142">
        <f>'Aug-Apr, 2023'!BX66</f>
        <v>0</v>
      </c>
      <c r="P2264" s="142">
        <f>'Aug-Apr, 2023'!BY66</f>
        <v>0</v>
      </c>
      <c r="Q2264" s="142">
        <f>'Aug-Apr, 2023'!BZ66</f>
        <v>4800</v>
      </c>
    </row>
    <row r="2265" spans="1:17">
      <c r="A2265" t="s">
        <v>90</v>
      </c>
      <c r="B2265" t="s">
        <v>32</v>
      </c>
      <c r="C2265">
        <v>6</v>
      </c>
      <c r="D2265">
        <v>2023</v>
      </c>
      <c r="E2265" s="49" t="s">
        <v>155</v>
      </c>
      <c r="F2265" s="49" t="s">
        <v>163</v>
      </c>
      <c r="G2265">
        <f>'Aug-Apr, 2023'!BS67+'Aug-Apr, 2023'!BT67</f>
        <v>46</v>
      </c>
      <c r="H2265">
        <f>'Aug-Apr, 2023'!BU67</f>
        <v>0</v>
      </c>
      <c r="I2265">
        <f>'Aug-Apr, 2023'!BV67</f>
        <v>15</v>
      </c>
      <c r="J2265">
        <f>G2265*Parameters!$B$2*Parameters!$B$5</f>
        <v>97.938599999999994</v>
      </c>
      <c r="K2265">
        <f>H2265*Parameters!$B$3*Parameters!$B$6</f>
        <v>0</v>
      </c>
      <c r="L2265">
        <f>I2265*Parameters!$B$4*Parameters!$B$7</f>
        <v>121.44600000000001</v>
      </c>
      <c r="M2265">
        <f t="shared" si="35"/>
        <v>219.38460000000001</v>
      </c>
      <c r="N2265" s="142">
        <f>'Aug-Apr, 2023'!BW67</f>
        <v>4600</v>
      </c>
      <c r="O2265" s="142">
        <f>'Aug-Apr, 2023'!BX67</f>
        <v>0</v>
      </c>
      <c r="P2265" s="142">
        <f>'Aug-Apr, 2023'!BY67</f>
        <v>0</v>
      </c>
      <c r="Q2265" s="142">
        <f>'Aug-Apr, 2023'!BZ67</f>
        <v>4500</v>
      </c>
    </row>
    <row r="2266" spans="1:17">
      <c r="A2266" t="s">
        <v>91</v>
      </c>
      <c r="B2266" t="s">
        <v>24</v>
      </c>
      <c r="C2266">
        <v>6</v>
      </c>
      <c r="D2266">
        <v>2023</v>
      </c>
      <c r="E2266" s="49" t="s">
        <v>155</v>
      </c>
      <c r="F2266" s="49" t="s">
        <v>163</v>
      </c>
      <c r="G2266">
        <f>'Aug-Apr, 2023'!BS68+'Aug-Apr, 2023'!BT68</f>
        <v>42</v>
      </c>
      <c r="H2266">
        <f>'Aug-Apr, 2023'!BU68</f>
        <v>0</v>
      </c>
      <c r="I2266">
        <f>'Aug-Apr, 2023'!BV68</f>
        <v>20</v>
      </c>
      <c r="J2266">
        <f>G2266*Parameters!$B$2*Parameters!$B$5</f>
        <v>89.422199999999975</v>
      </c>
      <c r="K2266">
        <f>H2266*Parameters!$B$3*Parameters!$B$6</f>
        <v>0</v>
      </c>
      <c r="L2266">
        <f>I2266*Parameters!$B$4*Parameters!$B$7</f>
        <v>161.928</v>
      </c>
      <c r="M2266">
        <f t="shared" si="35"/>
        <v>251.35019999999997</v>
      </c>
      <c r="N2266" s="142">
        <f>'Aug-Apr, 2023'!BW68</f>
        <v>4200</v>
      </c>
      <c r="O2266" s="142">
        <f>'Aug-Apr, 2023'!BX68</f>
        <v>0</v>
      </c>
      <c r="P2266" s="142">
        <f>'Aug-Apr, 2023'!BY68</f>
        <v>0</v>
      </c>
      <c r="Q2266" s="142">
        <f>'Aug-Apr, 2023'!BZ68</f>
        <v>6000</v>
      </c>
    </row>
    <row r="2267" spans="1:17">
      <c r="A2267" t="s">
        <v>92</v>
      </c>
      <c r="B2267" t="s">
        <v>17</v>
      </c>
      <c r="C2267">
        <v>4</v>
      </c>
      <c r="D2267">
        <v>2023</v>
      </c>
      <c r="E2267" s="49" t="s">
        <v>155</v>
      </c>
      <c r="F2267" s="49" t="s">
        <v>163</v>
      </c>
      <c r="G2267">
        <f>'Aug-Apr, 2023'!BS69+'Aug-Apr, 2023'!BT69</f>
        <v>68</v>
      </c>
      <c r="H2267">
        <f>'Aug-Apr, 2023'!BU69</f>
        <v>0</v>
      </c>
      <c r="I2267">
        <f>'Aug-Apr, 2023'!BV69</f>
        <v>20</v>
      </c>
      <c r="J2267">
        <f>G2267*Parameters!$B$2*Parameters!$B$5</f>
        <v>144.77879999999999</v>
      </c>
      <c r="K2267">
        <f>H2267*Parameters!$B$3*Parameters!$B$6</f>
        <v>0</v>
      </c>
      <c r="L2267">
        <f>I2267*Parameters!$B$4*Parameters!$B$7</f>
        <v>161.928</v>
      </c>
      <c r="M2267">
        <f t="shared" si="35"/>
        <v>306.70679999999999</v>
      </c>
      <c r="N2267" s="142">
        <f>'Aug-Apr, 2023'!BW69</f>
        <v>5600</v>
      </c>
      <c r="O2267" s="142">
        <f>'Aug-Apr, 2023'!BX69</f>
        <v>1200</v>
      </c>
      <c r="P2267" s="142">
        <f>'Aug-Apr, 2023'!BY69</f>
        <v>0</v>
      </c>
      <c r="Q2267" s="142">
        <f>'Aug-Apr, 2023'!BZ69</f>
        <v>6000</v>
      </c>
    </row>
    <row r="2268" spans="1:17">
      <c r="A2268" t="s">
        <v>93</v>
      </c>
      <c r="B2268" t="s">
        <v>19</v>
      </c>
      <c r="C2268">
        <v>7</v>
      </c>
      <c r="D2268">
        <v>2023</v>
      </c>
      <c r="E2268" s="49" t="s">
        <v>155</v>
      </c>
      <c r="F2268" s="49" t="s">
        <v>163</v>
      </c>
      <c r="G2268">
        <f>'Aug-Apr, 2023'!BS70+'Aug-Apr, 2023'!BT70</f>
        <v>50</v>
      </c>
      <c r="H2268">
        <f>'Aug-Apr, 2023'!BU70</f>
        <v>0</v>
      </c>
      <c r="I2268">
        <f>'Aug-Apr, 2023'!BV70</f>
        <v>16</v>
      </c>
      <c r="J2268">
        <f>G2268*Parameters!$B$2*Parameters!$B$5</f>
        <v>106.45499999999998</v>
      </c>
      <c r="K2268">
        <f>H2268*Parameters!$B$3*Parameters!$B$6</f>
        <v>0</v>
      </c>
      <c r="L2268">
        <f>I2268*Parameters!$B$4*Parameters!$B$7</f>
        <v>129.54240000000001</v>
      </c>
      <c r="M2268">
        <f t="shared" si="35"/>
        <v>235.9974</v>
      </c>
      <c r="N2268" s="142">
        <f>'Aug-Apr, 2023'!BW70</f>
        <v>5000</v>
      </c>
      <c r="O2268" s="142">
        <f>'Aug-Apr, 2023'!BX70</f>
        <v>0</v>
      </c>
      <c r="P2268" s="142">
        <f>'Aug-Apr, 2023'!BY70</f>
        <v>0</v>
      </c>
      <c r="Q2268" s="142">
        <f>'Aug-Apr, 2023'!BZ70</f>
        <v>4800</v>
      </c>
    </row>
    <row r="2269" spans="1:17">
      <c r="A2269" t="s">
        <v>94</v>
      </c>
      <c r="B2269" t="s">
        <v>19</v>
      </c>
      <c r="C2269">
        <v>6</v>
      </c>
      <c r="D2269">
        <v>2023</v>
      </c>
      <c r="E2269" s="49" t="s">
        <v>155</v>
      </c>
      <c r="F2269" s="49" t="s">
        <v>163</v>
      </c>
      <c r="G2269">
        <f>'Aug-Apr, 2023'!BS71+'Aug-Apr, 2023'!BT71</f>
        <v>40</v>
      </c>
      <c r="H2269">
        <f>'Aug-Apr, 2023'!BU71</f>
        <v>0</v>
      </c>
      <c r="I2269">
        <f>'Aug-Apr, 2023'!BV71</f>
        <v>20</v>
      </c>
      <c r="J2269">
        <f>G2269*Parameters!$B$2*Parameters!$B$5</f>
        <v>85.163999999999987</v>
      </c>
      <c r="K2269">
        <f>H2269*Parameters!$B$3*Parameters!$B$6</f>
        <v>0</v>
      </c>
      <c r="L2269">
        <f>I2269*Parameters!$B$4*Parameters!$B$7</f>
        <v>161.928</v>
      </c>
      <c r="M2269">
        <f t="shared" si="35"/>
        <v>247.09199999999998</v>
      </c>
      <c r="N2269" s="142">
        <f>'Aug-Apr, 2023'!BW71</f>
        <v>4000</v>
      </c>
      <c r="O2269" s="142">
        <f>'Aug-Apr, 2023'!BX71</f>
        <v>0</v>
      </c>
      <c r="P2269" s="142">
        <f>'Aug-Apr, 2023'!BY71</f>
        <v>0</v>
      </c>
      <c r="Q2269" s="142">
        <f>'Aug-Apr, 2023'!BZ71</f>
        <v>6000</v>
      </c>
    </row>
    <row r="2270" spans="1:17">
      <c r="A2270" t="s">
        <v>95</v>
      </c>
      <c r="B2270" t="s">
        <v>26</v>
      </c>
      <c r="C2270">
        <v>8</v>
      </c>
      <c r="D2270">
        <v>2023</v>
      </c>
      <c r="E2270" s="49" t="s">
        <v>155</v>
      </c>
      <c r="F2270" s="49" t="s">
        <v>163</v>
      </c>
      <c r="G2270">
        <f>'Aug-Apr, 2023'!BS72+'Aug-Apr, 2023'!BT72</f>
        <v>55</v>
      </c>
      <c r="H2270">
        <f>'Aug-Apr, 2023'!BU72</f>
        <v>0</v>
      </c>
      <c r="I2270">
        <f>'Aug-Apr, 2023'!BV72</f>
        <v>18</v>
      </c>
      <c r="J2270">
        <f>G2270*Parameters!$B$2*Parameters!$B$5</f>
        <v>117.10049999999998</v>
      </c>
      <c r="K2270">
        <f>H2270*Parameters!$B$3*Parameters!$B$6</f>
        <v>0</v>
      </c>
      <c r="L2270">
        <f>I2270*Parameters!$B$4*Parameters!$B$7</f>
        <v>145.73520000000002</v>
      </c>
      <c r="M2270">
        <f t="shared" si="35"/>
        <v>262.83569999999997</v>
      </c>
      <c r="N2270" s="142">
        <f>'Aug-Apr, 2023'!BW72</f>
        <v>5500</v>
      </c>
      <c r="O2270" s="142">
        <f>'Aug-Apr, 2023'!BX72</f>
        <v>0</v>
      </c>
      <c r="P2270" s="142">
        <f>'Aug-Apr, 2023'!BY72</f>
        <v>0</v>
      </c>
      <c r="Q2270" s="142">
        <f>'Aug-Apr, 2023'!BZ72</f>
        <v>5400</v>
      </c>
    </row>
    <row r="2271" spans="1:17">
      <c r="A2271" t="s">
        <v>96</v>
      </c>
      <c r="B2271" t="s">
        <v>19</v>
      </c>
      <c r="C2271">
        <v>8</v>
      </c>
      <c r="D2271">
        <v>2023</v>
      </c>
      <c r="E2271" s="49" t="s">
        <v>155</v>
      </c>
      <c r="F2271" s="49" t="s">
        <v>163</v>
      </c>
      <c r="G2271">
        <f>'Aug-Apr, 2023'!BS73+'Aug-Apr, 2023'!BT73</f>
        <v>33</v>
      </c>
      <c r="H2271">
        <f>'Aug-Apr, 2023'!BU73</f>
        <v>10</v>
      </c>
      <c r="I2271">
        <f>'Aug-Apr, 2023'!BV73</f>
        <v>20</v>
      </c>
      <c r="J2271">
        <f>G2271*Parameters!$B$2*Parameters!$B$5</f>
        <v>70.260300000000001</v>
      </c>
      <c r="K2271">
        <f>H2271*Parameters!$B$3*Parameters!$B$6</f>
        <v>62.707999999999998</v>
      </c>
      <c r="L2271">
        <f>I2271*Parameters!$B$4*Parameters!$B$7</f>
        <v>161.928</v>
      </c>
      <c r="M2271">
        <f t="shared" si="35"/>
        <v>294.8963</v>
      </c>
      <c r="N2271" s="142">
        <f>'Aug-Apr, 2023'!BW73</f>
        <v>3300</v>
      </c>
      <c r="O2271" s="142">
        <f>'Aug-Apr, 2023'!BX73</f>
        <v>0</v>
      </c>
      <c r="P2271" s="142">
        <f>'Aug-Apr, 2023'!BY73</f>
        <v>3000</v>
      </c>
      <c r="Q2271" s="142">
        <f>'Aug-Apr, 2023'!BZ73</f>
        <v>6000</v>
      </c>
    </row>
    <row r="2272" spans="1:17">
      <c r="A2272" t="s">
        <v>97</v>
      </c>
      <c r="B2272" t="s">
        <v>17</v>
      </c>
      <c r="C2272">
        <v>4</v>
      </c>
      <c r="D2272">
        <v>2023</v>
      </c>
      <c r="E2272" s="49" t="s">
        <v>155</v>
      </c>
      <c r="F2272" s="49" t="s">
        <v>163</v>
      </c>
      <c r="G2272">
        <f>'Aug-Apr, 2023'!BS74+'Aug-Apr, 2023'!BT74</f>
        <v>45</v>
      </c>
      <c r="H2272">
        <f>'Aug-Apr, 2023'!BU74</f>
        <v>0</v>
      </c>
      <c r="I2272">
        <f>'Aug-Apr, 2023'!BV74</f>
        <v>18</v>
      </c>
      <c r="J2272">
        <f>G2272*Parameters!$B$2*Parameters!$B$5</f>
        <v>95.809499999999986</v>
      </c>
      <c r="K2272">
        <f>H2272*Parameters!$B$3*Parameters!$B$6</f>
        <v>0</v>
      </c>
      <c r="L2272">
        <f>I2272*Parameters!$B$4*Parameters!$B$7</f>
        <v>145.73520000000002</v>
      </c>
      <c r="M2272">
        <f t="shared" si="35"/>
        <v>241.54470000000001</v>
      </c>
      <c r="N2272" s="142">
        <f>'Aug-Apr, 2023'!BW74</f>
        <v>4500</v>
      </c>
      <c r="O2272" s="142">
        <f>'Aug-Apr, 2023'!BX74</f>
        <v>0</v>
      </c>
      <c r="P2272" s="142">
        <f>'Aug-Apr, 2023'!BY74</f>
        <v>0</v>
      </c>
      <c r="Q2272" s="142">
        <f>'Aug-Apr, 2023'!BZ74</f>
        <v>5400</v>
      </c>
    </row>
    <row r="2273" spans="1:17">
      <c r="A2273" t="s">
        <v>98</v>
      </c>
      <c r="B2273" t="s">
        <v>65</v>
      </c>
      <c r="C2273">
        <v>5</v>
      </c>
      <c r="D2273">
        <v>2023</v>
      </c>
      <c r="E2273" s="49" t="s">
        <v>155</v>
      </c>
      <c r="F2273" s="49" t="s">
        <v>163</v>
      </c>
      <c r="G2273">
        <f>'Aug-Apr, 2023'!BS75+'Aug-Apr, 2023'!BT75</f>
        <v>51</v>
      </c>
      <c r="H2273">
        <f>'Aug-Apr, 2023'!BU75</f>
        <v>0</v>
      </c>
      <c r="I2273">
        <f>'Aug-Apr, 2023'!BV75</f>
        <v>16</v>
      </c>
      <c r="J2273">
        <f>G2273*Parameters!$B$2*Parameters!$B$5</f>
        <v>108.58409999999999</v>
      </c>
      <c r="K2273">
        <f>H2273*Parameters!$B$3*Parameters!$B$6</f>
        <v>0</v>
      </c>
      <c r="L2273">
        <f>I2273*Parameters!$B$4*Parameters!$B$7</f>
        <v>129.54240000000001</v>
      </c>
      <c r="M2273">
        <f t="shared" si="35"/>
        <v>238.12650000000002</v>
      </c>
      <c r="N2273" s="142">
        <f>'Aug-Apr, 2023'!BW75</f>
        <v>4600</v>
      </c>
      <c r="O2273" s="142">
        <f>'Aug-Apr, 2023'!BX75</f>
        <v>500</v>
      </c>
      <c r="P2273" s="142">
        <f>'Aug-Apr, 2023'!BY75</f>
        <v>0</v>
      </c>
      <c r="Q2273" s="142">
        <f>'Aug-Apr, 2023'!BZ75</f>
        <v>4800</v>
      </c>
    </row>
    <row r="2274" spans="1:17">
      <c r="A2274" t="s">
        <v>99</v>
      </c>
      <c r="B2274" t="s">
        <v>32</v>
      </c>
      <c r="C2274">
        <v>9</v>
      </c>
      <c r="D2274">
        <v>2023</v>
      </c>
      <c r="E2274" s="49" t="s">
        <v>155</v>
      </c>
      <c r="F2274" s="49" t="s">
        <v>163</v>
      </c>
      <c r="G2274">
        <f>'Aug-Apr, 2023'!BS76+'Aug-Apr, 2023'!BT76</f>
        <v>44</v>
      </c>
      <c r="H2274">
        <f>'Aug-Apr, 2023'!BU76</f>
        <v>0</v>
      </c>
      <c r="I2274">
        <f>'Aug-Apr, 2023'!BV76</f>
        <v>20</v>
      </c>
      <c r="J2274">
        <f>G2274*Parameters!$B$2*Parameters!$B$5</f>
        <v>93.680399999999992</v>
      </c>
      <c r="K2274">
        <f>H2274*Parameters!$B$3*Parameters!$B$6</f>
        <v>0</v>
      </c>
      <c r="L2274">
        <f>I2274*Parameters!$B$4*Parameters!$B$7</f>
        <v>161.928</v>
      </c>
      <c r="M2274">
        <f t="shared" si="35"/>
        <v>255.60839999999999</v>
      </c>
      <c r="N2274" s="142">
        <f>'Aug-Apr, 2023'!BW76</f>
        <v>4400</v>
      </c>
      <c r="O2274" s="142">
        <f>'Aug-Apr, 2023'!BX76</f>
        <v>0</v>
      </c>
      <c r="P2274" s="142">
        <f>'Aug-Apr, 2023'!BY76</f>
        <v>0</v>
      </c>
      <c r="Q2274" s="142">
        <f>'Aug-Apr, 2023'!BZ76</f>
        <v>6000</v>
      </c>
    </row>
    <row r="2275" spans="1:17">
      <c r="A2275" t="s">
        <v>100</v>
      </c>
      <c r="B2275" t="s">
        <v>40</v>
      </c>
      <c r="C2275">
        <v>8</v>
      </c>
      <c r="D2275">
        <v>2023</v>
      </c>
      <c r="E2275" s="49" t="s">
        <v>155</v>
      </c>
      <c r="F2275" s="49" t="s">
        <v>163</v>
      </c>
      <c r="G2275">
        <f>'Aug-Apr, 2023'!BS77+'Aug-Apr, 2023'!BT77</f>
        <v>52</v>
      </c>
      <c r="H2275">
        <f>'Aug-Apr, 2023'!BU77</f>
        <v>0</v>
      </c>
      <c r="I2275">
        <f>'Aug-Apr, 2023'!BV77</f>
        <v>15</v>
      </c>
      <c r="J2275">
        <f>G2275*Parameters!$B$2*Parameters!$B$5</f>
        <v>110.71319999999999</v>
      </c>
      <c r="K2275">
        <f>H2275*Parameters!$B$3*Parameters!$B$6</f>
        <v>0</v>
      </c>
      <c r="L2275">
        <f>I2275*Parameters!$B$4*Parameters!$B$7</f>
        <v>121.44600000000001</v>
      </c>
      <c r="M2275">
        <f t="shared" si="35"/>
        <v>232.1592</v>
      </c>
      <c r="N2275" s="142">
        <f>'Aug-Apr, 2023'!BW77</f>
        <v>5200</v>
      </c>
      <c r="O2275" s="142">
        <f>'Aug-Apr, 2023'!BX77</f>
        <v>0</v>
      </c>
      <c r="P2275" s="142">
        <f>'Aug-Apr, 2023'!BY77</f>
        <v>0</v>
      </c>
      <c r="Q2275" s="142">
        <f>'Aug-Apr, 2023'!BZ77</f>
        <v>4500</v>
      </c>
    </row>
    <row r="2276" spans="1:17">
      <c r="A2276" t="s">
        <v>101</v>
      </c>
      <c r="B2276" t="s">
        <v>38</v>
      </c>
      <c r="C2276">
        <v>5</v>
      </c>
      <c r="D2276">
        <v>2023</v>
      </c>
      <c r="E2276" s="49" t="s">
        <v>155</v>
      </c>
      <c r="F2276" s="49" t="s">
        <v>163</v>
      </c>
      <c r="G2276">
        <f>'Aug-Apr, 2023'!BS78+'Aug-Apr, 2023'!BT78</f>
        <v>45</v>
      </c>
      <c r="H2276">
        <f>'Aug-Apr, 2023'!BU78</f>
        <v>0</v>
      </c>
      <c r="I2276">
        <f>'Aug-Apr, 2023'!BV78</f>
        <v>10</v>
      </c>
      <c r="J2276">
        <f>G2276*Parameters!$B$2*Parameters!$B$5</f>
        <v>95.809499999999986</v>
      </c>
      <c r="K2276">
        <f>H2276*Parameters!$B$3*Parameters!$B$6</f>
        <v>0</v>
      </c>
      <c r="L2276">
        <f>I2276*Parameters!$B$4*Parameters!$B$7</f>
        <v>80.963999999999999</v>
      </c>
      <c r="M2276">
        <f t="shared" si="35"/>
        <v>176.77349999999998</v>
      </c>
      <c r="N2276" s="142">
        <f>'Aug-Apr, 2023'!BW78</f>
        <v>4500</v>
      </c>
      <c r="O2276" s="142">
        <f>'Aug-Apr, 2023'!BX78</f>
        <v>0</v>
      </c>
      <c r="P2276" s="142">
        <f>'Aug-Apr, 2023'!BY78</f>
        <v>0</v>
      </c>
      <c r="Q2276" s="142">
        <f>'Aug-Apr, 2023'!BZ78</f>
        <v>3000</v>
      </c>
    </row>
    <row r="2277" spans="1:17">
      <c r="A2277" t="s">
        <v>102</v>
      </c>
      <c r="B2277" t="s">
        <v>17</v>
      </c>
      <c r="C2277">
        <v>4</v>
      </c>
      <c r="D2277">
        <v>2023</v>
      </c>
      <c r="E2277" s="49" t="s">
        <v>155</v>
      </c>
      <c r="F2277" s="49" t="s">
        <v>163</v>
      </c>
      <c r="G2277">
        <f>'Aug-Apr, 2023'!BS79+'Aug-Apr, 2023'!BT79</f>
        <v>54</v>
      </c>
      <c r="H2277">
        <f>'Aug-Apr, 2023'!BU79</f>
        <v>0</v>
      </c>
      <c r="I2277">
        <f>'Aug-Apr, 2023'!BV79</f>
        <v>16</v>
      </c>
      <c r="J2277">
        <f>G2277*Parameters!$B$2*Parameters!$B$5</f>
        <v>114.97139999999999</v>
      </c>
      <c r="K2277">
        <f>H2277*Parameters!$B$3*Parameters!$B$6</f>
        <v>0</v>
      </c>
      <c r="L2277">
        <f>I2277*Parameters!$B$4*Parameters!$B$7</f>
        <v>129.54240000000001</v>
      </c>
      <c r="M2277">
        <f t="shared" si="35"/>
        <v>244.5138</v>
      </c>
      <c r="N2277" s="142">
        <f>'Aug-Apr, 2023'!BW79</f>
        <v>5400</v>
      </c>
      <c r="O2277" s="142">
        <f>'Aug-Apr, 2023'!BX79</f>
        <v>0</v>
      </c>
      <c r="P2277" s="142">
        <f>'Aug-Apr, 2023'!BY79</f>
        <v>0</v>
      </c>
      <c r="Q2277" s="142">
        <f>'Aug-Apr, 2023'!BZ79</f>
        <v>4800</v>
      </c>
    </row>
    <row r="2278" spans="1:17">
      <c r="A2278" t="s">
        <v>103</v>
      </c>
      <c r="B2278" t="s">
        <v>26</v>
      </c>
      <c r="C2278">
        <v>6</v>
      </c>
      <c r="D2278">
        <v>2023</v>
      </c>
      <c r="E2278" s="49" t="s">
        <v>155</v>
      </c>
      <c r="F2278" s="49" t="s">
        <v>163</v>
      </c>
      <c r="G2278">
        <f>'Aug-Apr, 2023'!BS80+'Aug-Apr, 2023'!BT80</f>
        <v>49</v>
      </c>
      <c r="H2278">
        <f>'Aug-Apr, 2023'!BU80</f>
        <v>0</v>
      </c>
      <c r="I2278">
        <f>'Aug-Apr, 2023'!BV80</f>
        <v>20</v>
      </c>
      <c r="J2278">
        <f>G2278*Parameters!$B$2*Parameters!$B$5</f>
        <v>104.32589999999999</v>
      </c>
      <c r="K2278">
        <f>H2278*Parameters!$B$3*Parameters!$B$6</f>
        <v>0</v>
      </c>
      <c r="L2278">
        <f>I2278*Parameters!$B$4*Parameters!$B$7</f>
        <v>161.928</v>
      </c>
      <c r="M2278">
        <f t="shared" si="35"/>
        <v>266.25389999999999</v>
      </c>
      <c r="N2278" s="142">
        <f>'Aug-Apr, 2023'!BW80</f>
        <v>4900</v>
      </c>
      <c r="O2278" s="142">
        <f>'Aug-Apr, 2023'!BX80</f>
        <v>0</v>
      </c>
      <c r="P2278" s="142">
        <f>'Aug-Apr, 2023'!BY80</f>
        <v>0</v>
      </c>
      <c r="Q2278" s="142">
        <f>'Aug-Apr, 2023'!BZ80</f>
        <v>6000</v>
      </c>
    </row>
    <row r="2279" spans="1:17">
      <c r="A2279" t="s">
        <v>104</v>
      </c>
      <c r="B2279" t="s">
        <v>26</v>
      </c>
      <c r="C2279">
        <v>7</v>
      </c>
      <c r="D2279">
        <v>2023</v>
      </c>
      <c r="E2279" s="49" t="s">
        <v>155</v>
      </c>
      <c r="F2279" s="49" t="s">
        <v>163</v>
      </c>
      <c r="G2279">
        <f>'Aug-Apr, 2023'!BS81+'Aug-Apr, 2023'!BT81</f>
        <v>40</v>
      </c>
      <c r="H2279">
        <f>'Aug-Apr, 2023'!BU81</f>
        <v>0</v>
      </c>
      <c r="I2279">
        <f>'Aug-Apr, 2023'!BV81</f>
        <v>20</v>
      </c>
      <c r="J2279">
        <f>G2279*Parameters!$B$2*Parameters!$B$5</f>
        <v>85.163999999999987</v>
      </c>
      <c r="K2279">
        <f>H2279*Parameters!$B$3*Parameters!$B$6</f>
        <v>0</v>
      </c>
      <c r="L2279">
        <f>I2279*Parameters!$B$4*Parameters!$B$7</f>
        <v>161.928</v>
      </c>
      <c r="M2279">
        <f t="shared" si="35"/>
        <v>247.09199999999998</v>
      </c>
      <c r="N2279" s="142">
        <f>'Aug-Apr, 2023'!BW81</f>
        <v>4000</v>
      </c>
      <c r="O2279" s="142">
        <f>'Aug-Apr, 2023'!BX81</f>
        <v>0</v>
      </c>
      <c r="P2279" s="142">
        <f>'Aug-Apr, 2023'!BY81</f>
        <v>0</v>
      </c>
      <c r="Q2279" s="142">
        <f>'Aug-Apr, 2023'!BZ81</f>
        <v>6000</v>
      </c>
    </row>
    <row r="2280" spans="1:17">
      <c r="A2280" t="s">
        <v>105</v>
      </c>
      <c r="B2280" t="s">
        <v>21</v>
      </c>
      <c r="C2280">
        <v>5</v>
      </c>
      <c r="D2280">
        <v>2023</v>
      </c>
      <c r="E2280" s="49" t="s">
        <v>155</v>
      </c>
      <c r="F2280" s="49" t="s">
        <v>163</v>
      </c>
      <c r="G2280">
        <f>'Aug-Apr, 2023'!BS82+'Aug-Apr, 2023'!BT82</f>
        <v>38</v>
      </c>
      <c r="H2280">
        <f>'Aug-Apr, 2023'!BU82</f>
        <v>0</v>
      </c>
      <c r="I2280">
        <f>'Aug-Apr, 2023'!BV82</f>
        <v>18</v>
      </c>
      <c r="J2280">
        <f>G2280*Parameters!$B$2*Parameters!$B$5</f>
        <v>80.905799999999985</v>
      </c>
      <c r="K2280">
        <f>H2280*Parameters!$B$3*Parameters!$B$6</f>
        <v>0</v>
      </c>
      <c r="L2280">
        <f>I2280*Parameters!$B$4*Parameters!$B$7</f>
        <v>145.73520000000002</v>
      </c>
      <c r="M2280">
        <f t="shared" si="35"/>
        <v>226.64100000000002</v>
      </c>
      <c r="N2280" s="142">
        <f>'Aug-Apr, 2023'!BW82</f>
        <v>3800</v>
      </c>
      <c r="O2280" s="142">
        <f>'Aug-Apr, 2023'!BX82</f>
        <v>0</v>
      </c>
      <c r="P2280" s="142">
        <f>'Aug-Apr, 2023'!BY82</f>
        <v>0</v>
      </c>
      <c r="Q2280" s="142">
        <f>'Aug-Apr, 2023'!BZ82</f>
        <v>5400</v>
      </c>
    </row>
    <row r="2281" spans="1:17">
      <c r="A2281" t="s">
        <v>106</v>
      </c>
      <c r="B2281" t="s">
        <v>24</v>
      </c>
      <c r="C2281">
        <v>6</v>
      </c>
      <c r="D2281">
        <v>2023</v>
      </c>
      <c r="E2281" s="49" t="s">
        <v>155</v>
      </c>
      <c r="F2281" s="49" t="s">
        <v>163</v>
      </c>
      <c r="G2281">
        <f>'Aug-Apr, 2023'!BS83+'Aug-Apr, 2023'!BT83</f>
        <v>65</v>
      </c>
      <c r="H2281">
        <f>'Aug-Apr, 2023'!BU83</f>
        <v>0</v>
      </c>
      <c r="I2281">
        <f>'Aug-Apr, 2023'!BV83</f>
        <v>10</v>
      </c>
      <c r="J2281">
        <f>G2281*Parameters!$B$2*Parameters!$B$5</f>
        <v>138.39149999999998</v>
      </c>
      <c r="K2281">
        <f>H2281*Parameters!$B$3*Parameters!$B$6</f>
        <v>0</v>
      </c>
      <c r="L2281">
        <f>I2281*Parameters!$B$4*Parameters!$B$7</f>
        <v>80.963999999999999</v>
      </c>
      <c r="M2281">
        <f t="shared" si="35"/>
        <v>219.35549999999998</v>
      </c>
      <c r="N2281" s="142">
        <f>'Aug-Apr, 2023'!BW83</f>
        <v>6500</v>
      </c>
      <c r="O2281" s="142">
        <f>'Aug-Apr, 2023'!BX83</f>
        <v>0</v>
      </c>
      <c r="P2281" s="142">
        <f>'Aug-Apr, 2023'!BY83</f>
        <v>0</v>
      </c>
      <c r="Q2281" s="142">
        <f>'Aug-Apr, 2023'!BZ83</f>
        <v>3000</v>
      </c>
    </row>
    <row r="2282" spans="1:17">
      <c r="A2282" t="s">
        <v>107</v>
      </c>
      <c r="B2282" t="s">
        <v>21</v>
      </c>
      <c r="C2282">
        <v>4</v>
      </c>
      <c r="D2282">
        <v>2023</v>
      </c>
      <c r="E2282" s="49" t="s">
        <v>155</v>
      </c>
      <c r="F2282" s="49" t="s">
        <v>163</v>
      </c>
      <c r="G2282">
        <f>'Aug-Apr, 2023'!BS84+'Aug-Apr, 2023'!BT84</f>
        <v>50</v>
      </c>
      <c r="H2282">
        <f>'Aug-Apr, 2023'!BU84</f>
        <v>0</v>
      </c>
      <c r="I2282">
        <f>'Aug-Apr, 2023'!BV84</f>
        <v>12</v>
      </c>
      <c r="J2282">
        <f>G2282*Parameters!$B$2*Parameters!$B$5</f>
        <v>106.45499999999998</v>
      </c>
      <c r="K2282">
        <f>H2282*Parameters!$B$3*Parameters!$B$6</f>
        <v>0</v>
      </c>
      <c r="L2282">
        <f>I2282*Parameters!$B$4*Parameters!$B$7</f>
        <v>97.156800000000018</v>
      </c>
      <c r="M2282">
        <f t="shared" si="35"/>
        <v>203.61180000000002</v>
      </c>
      <c r="N2282" s="142">
        <f>'Aug-Apr, 2023'!BW84</f>
        <v>5000</v>
      </c>
      <c r="O2282" s="142">
        <f>'Aug-Apr, 2023'!BX84</f>
        <v>0</v>
      </c>
      <c r="P2282" s="142">
        <f>'Aug-Apr, 2023'!BY84</f>
        <v>0</v>
      </c>
      <c r="Q2282" s="142">
        <f>'Aug-Apr, 2023'!BZ84</f>
        <v>3600</v>
      </c>
    </row>
    <row r="2283" spans="1:17">
      <c r="A2283" t="s">
        <v>108</v>
      </c>
      <c r="B2283" t="s">
        <v>24</v>
      </c>
      <c r="C2283">
        <v>5</v>
      </c>
      <c r="D2283">
        <v>2023</v>
      </c>
      <c r="E2283" s="49" t="s">
        <v>155</v>
      </c>
      <c r="F2283" s="49" t="s">
        <v>163</v>
      </c>
      <c r="G2283">
        <f>'Aug-Apr, 2023'!BS85+'Aug-Apr, 2023'!BT85</f>
        <v>52</v>
      </c>
      <c r="H2283">
        <f>'Aug-Apr, 2023'!BU85</f>
        <v>0</v>
      </c>
      <c r="I2283">
        <f>'Aug-Apr, 2023'!BV85</f>
        <v>13</v>
      </c>
      <c r="J2283">
        <f>G2283*Parameters!$B$2*Parameters!$B$5</f>
        <v>110.71319999999999</v>
      </c>
      <c r="K2283">
        <f>H2283*Parameters!$B$3*Parameters!$B$6</f>
        <v>0</v>
      </c>
      <c r="L2283">
        <f>I2283*Parameters!$B$4*Parameters!$B$7</f>
        <v>105.25320000000001</v>
      </c>
      <c r="M2283">
        <f t="shared" si="35"/>
        <v>215.96639999999999</v>
      </c>
      <c r="N2283" s="142">
        <f>'Aug-Apr, 2023'!BW85</f>
        <v>5200</v>
      </c>
      <c r="O2283" s="142">
        <f>'Aug-Apr, 2023'!BX85</f>
        <v>0</v>
      </c>
      <c r="P2283" s="142">
        <f>'Aug-Apr, 2023'!BY85</f>
        <v>0</v>
      </c>
      <c r="Q2283" s="142">
        <f>'Aug-Apr, 2023'!BZ85</f>
        <v>3900</v>
      </c>
    </row>
    <row r="2284" spans="1:17">
      <c r="A2284" t="s">
        <v>109</v>
      </c>
      <c r="B2284" t="s">
        <v>32</v>
      </c>
      <c r="C2284">
        <v>6</v>
      </c>
      <c r="D2284">
        <v>2023</v>
      </c>
      <c r="E2284" s="49" t="s">
        <v>155</v>
      </c>
      <c r="F2284" s="49" t="s">
        <v>163</v>
      </c>
      <c r="G2284">
        <f>'Aug-Apr, 2023'!BS86+'Aug-Apr, 2023'!BT86</f>
        <v>45</v>
      </c>
      <c r="H2284">
        <f>'Aug-Apr, 2023'!BU86</f>
        <v>0</v>
      </c>
      <c r="I2284">
        <f>'Aug-Apr, 2023'!BV86</f>
        <v>20</v>
      </c>
      <c r="J2284">
        <f>G2284*Parameters!$B$2*Parameters!$B$5</f>
        <v>95.809499999999986</v>
      </c>
      <c r="K2284">
        <f>H2284*Parameters!$B$3*Parameters!$B$6</f>
        <v>0</v>
      </c>
      <c r="L2284">
        <f>I2284*Parameters!$B$4*Parameters!$B$7</f>
        <v>161.928</v>
      </c>
      <c r="M2284">
        <f t="shared" si="35"/>
        <v>257.73749999999995</v>
      </c>
      <c r="N2284" s="142">
        <f>'Aug-Apr, 2023'!BW86</f>
        <v>4500</v>
      </c>
      <c r="O2284" s="142">
        <f>'Aug-Apr, 2023'!BX86</f>
        <v>0</v>
      </c>
      <c r="P2284" s="142">
        <f>'Aug-Apr, 2023'!BY86</f>
        <v>0</v>
      </c>
      <c r="Q2284" s="142">
        <f>'Aug-Apr, 2023'!BZ86</f>
        <v>6000</v>
      </c>
    </row>
    <row r="2285" spans="1:17">
      <c r="A2285" t="s">
        <v>110</v>
      </c>
      <c r="B2285" t="s">
        <v>21</v>
      </c>
      <c r="C2285">
        <v>3</v>
      </c>
      <c r="D2285">
        <v>2023</v>
      </c>
      <c r="E2285" s="49" t="s">
        <v>155</v>
      </c>
      <c r="F2285" s="49" t="s">
        <v>163</v>
      </c>
      <c r="G2285">
        <f>'Aug-Apr, 2023'!BS87+'Aug-Apr, 2023'!BT87</f>
        <v>52</v>
      </c>
      <c r="H2285">
        <f>'Aug-Apr, 2023'!BU87</f>
        <v>0</v>
      </c>
      <c r="I2285">
        <f>'Aug-Apr, 2023'!BV87</f>
        <v>16</v>
      </c>
      <c r="J2285">
        <f>G2285*Parameters!$B$2*Parameters!$B$5</f>
        <v>110.71319999999999</v>
      </c>
      <c r="K2285">
        <f>H2285*Parameters!$B$3*Parameters!$B$6</f>
        <v>0</v>
      </c>
      <c r="L2285">
        <f>I2285*Parameters!$B$4*Parameters!$B$7</f>
        <v>129.54240000000001</v>
      </c>
      <c r="M2285">
        <f t="shared" si="35"/>
        <v>240.25560000000002</v>
      </c>
      <c r="N2285" s="142">
        <f>'Aug-Apr, 2023'!BW87</f>
        <v>5200</v>
      </c>
      <c r="O2285" s="142">
        <f>'Aug-Apr, 2023'!BX87</f>
        <v>0</v>
      </c>
      <c r="P2285" s="142">
        <f>'Aug-Apr, 2023'!BY87</f>
        <v>0</v>
      </c>
      <c r="Q2285" s="142">
        <f>'Aug-Apr, 2023'!BZ87</f>
        <v>4800</v>
      </c>
    </row>
    <row r="2286" spans="1:17">
      <c r="A2286" t="s">
        <v>111</v>
      </c>
      <c r="B2286" t="s">
        <v>26</v>
      </c>
      <c r="C2286">
        <v>6</v>
      </c>
      <c r="D2286">
        <v>2023</v>
      </c>
      <c r="E2286" s="49" t="s">
        <v>155</v>
      </c>
      <c r="F2286" s="49" t="s">
        <v>163</v>
      </c>
      <c r="G2286">
        <f>'Aug-Apr, 2023'!BS88+'Aug-Apr, 2023'!BT88</f>
        <v>52</v>
      </c>
      <c r="H2286">
        <f>'Aug-Apr, 2023'!BU88</f>
        <v>0</v>
      </c>
      <c r="I2286">
        <f>'Aug-Apr, 2023'!BV88</f>
        <v>11</v>
      </c>
      <c r="J2286">
        <f>G2286*Parameters!$B$2*Parameters!$B$5</f>
        <v>110.71319999999999</v>
      </c>
      <c r="K2286">
        <f>H2286*Parameters!$B$3*Parameters!$B$6</f>
        <v>0</v>
      </c>
      <c r="L2286">
        <f>I2286*Parameters!$B$4*Parameters!$B$7</f>
        <v>89.060400000000016</v>
      </c>
      <c r="M2286">
        <f t="shared" si="35"/>
        <v>199.77359999999999</v>
      </c>
      <c r="N2286" s="142">
        <f>'Aug-Apr, 2023'!BW88</f>
        <v>5200</v>
      </c>
      <c r="O2286" s="142">
        <f>'Aug-Apr, 2023'!BX88</f>
        <v>0</v>
      </c>
      <c r="P2286" s="142">
        <f>'Aug-Apr, 2023'!BY88</f>
        <v>0</v>
      </c>
      <c r="Q2286" s="142">
        <f>'Aug-Apr, 2023'!BZ88</f>
        <v>3300</v>
      </c>
    </row>
    <row r="2287" spans="1:17">
      <c r="A2287" t="s">
        <v>112</v>
      </c>
      <c r="B2287" t="s">
        <v>19</v>
      </c>
      <c r="C2287">
        <v>7</v>
      </c>
      <c r="D2287">
        <v>2023</v>
      </c>
      <c r="E2287" s="49" t="s">
        <v>155</v>
      </c>
      <c r="F2287" s="49" t="s">
        <v>163</v>
      </c>
      <c r="G2287">
        <f>'Aug-Apr, 2023'!BS89+'Aug-Apr, 2023'!BT89</f>
        <v>50</v>
      </c>
      <c r="H2287">
        <f>'Aug-Apr, 2023'!BU89</f>
        <v>0</v>
      </c>
      <c r="I2287">
        <f>'Aug-Apr, 2023'!BV89</f>
        <v>20</v>
      </c>
      <c r="J2287">
        <f>G2287*Parameters!$B$2*Parameters!$B$5</f>
        <v>106.45499999999998</v>
      </c>
      <c r="K2287">
        <f>H2287*Parameters!$B$3*Parameters!$B$6</f>
        <v>0</v>
      </c>
      <c r="L2287">
        <f>I2287*Parameters!$B$4*Parameters!$B$7</f>
        <v>161.928</v>
      </c>
      <c r="M2287">
        <f t="shared" si="35"/>
        <v>268.38299999999998</v>
      </c>
      <c r="N2287" s="142">
        <f>'Aug-Apr, 2023'!BW89</f>
        <v>0</v>
      </c>
      <c r="O2287" s="142">
        <f>'Aug-Apr, 2023'!BX89</f>
        <v>5000</v>
      </c>
      <c r="P2287" s="142">
        <f>'Aug-Apr, 2023'!BY89</f>
        <v>0</v>
      </c>
      <c r="Q2287" s="142">
        <f>'Aug-Apr, 2023'!BZ89</f>
        <v>6000</v>
      </c>
    </row>
    <row r="2288" spans="1:17">
      <c r="A2288" t="s">
        <v>113</v>
      </c>
      <c r="B2288" t="s">
        <v>26</v>
      </c>
      <c r="C2288">
        <v>4</v>
      </c>
      <c r="D2288">
        <v>2023</v>
      </c>
      <c r="E2288" s="49" t="s">
        <v>155</v>
      </c>
      <c r="F2288" s="49" t="s">
        <v>163</v>
      </c>
      <c r="G2288">
        <f>'Aug-Apr, 2023'!BS90+'Aug-Apr, 2023'!BT90</f>
        <v>48</v>
      </c>
      <c r="H2288">
        <f>'Aug-Apr, 2023'!BU90</f>
        <v>0</v>
      </c>
      <c r="I2288">
        <f>'Aug-Apr, 2023'!BV90</f>
        <v>18</v>
      </c>
      <c r="J2288">
        <f>G2288*Parameters!$B$2*Parameters!$B$5</f>
        <v>102.19679999999998</v>
      </c>
      <c r="K2288">
        <f>H2288*Parameters!$B$3*Parameters!$B$6</f>
        <v>0</v>
      </c>
      <c r="L2288">
        <f>I2288*Parameters!$B$4*Parameters!$B$7</f>
        <v>145.73520000000002</v>
      </c>
      <c r="M2288">
        <f t="shared" si="35"/>
        <v>247.93200000000002</v>
      </c>
      <c r="N2288" s="142">
        <f>'Aug-Apr, 2023'!BW90</f>
        <v>4800</v>
      </c>
      <c r="O2288" s="142">
        <f>'Aug-Apr, 2023'!BX90</f>
        <v>0</v>
      </c>
      <c r="P2288" s="142">
        <f>'Aug-Apr, 2023'!BY90</f>
        <v>0</v>
      </c>
      <c r="Q2288" s="142">
        <f>'Aug-Apr, 2023'!BZ90</f>
        <v>5400</v>
      </c>
    </row>
    <row r="2289" spans="1:17">
      <c r="A2289" t="s">
        <v>114</v>
      </c>
      <c r="B2289" t="s">
        <v>65</v>
      </c>
      <c r="C2289">
        <v>8</v>
      </c>
      <c r="D2289">
        <v>2023</v>
      </c>
      <c r="E2289" s="49" t="s">
        <v>155</v>
      </c>
      <c r="F2289" s="49" t="s">
        <v>163</v>
      </c>
      <c r="G2289">
        <f>'Aug-Apr, 2023'!BS91+'Aug-Apr, 2023'!BT91</f>
        <v>55</v>
      </c>
      <c r="H2289">
        <f>'Aug-Apr, 2023'!BU91</f>
        <v>0</v>
      </c>
      <c r="I2289">
        <f>'Aug-Apr, 2023'!BV91</f>
        <v>20</v>
      </c>
      <c r="J2289">
        <f>G2289*Parameters!$B$2*Parameters!$B$5</f>
        <v>117.10049999999998</v>
      </c>
      <c r="K2289">
        <f>H2289*Parameters!$B$3*Parameters!$B$6</f>
        <v>0</v>
      </c>
      <c r="L2289">
        <f>I2289*Parameters!$B$4*Parameters!$B$7</f>
        <v>161.928</v>
      </c>
      <c r="M2289">
        <f t="shared" si="35"/>
        <v>279.02850000000001</v>
      </c>
      <c r="N2289" s="142">
        <f>'Aug-Apr, 2023'!BW91</f>
        <v>5500</v>
      </c>
      <c r="O2289" s="142">
        <f>'Aug-Apr, 2023'!BX91</f>
        <v>0</v>
      </c>
      <c r="P2289" s="142">
        <f>'Aug-Apr, 2023'!BY91</f>
        <v>0</v>
      </c>
      <c r="Q2289" s="142">
        <f>'Aug-Apr, 2023'!BZ91</f>
        <v>6000</v>
      </c>
    </row>
    <row r="2290" spans="1:17">
      <c r="A2290" t="s">
        <v>115</v>
      </c>
      <c r="B2290" t="s">
        <v>19</v>
      </c>
      <c r="C2290">
        <v>8</v>
      </c>
      <c r="D2290">
        <v>2023</v>
      </c>
      <c r="E2290" s="49" t="s">
        <v>155</v>
      </c>
      <c r="F2290" s="49" t="s">
        <v>163</v>
      </c>
      <c r="G2290">
        <f>'Aug-Apr, 2023'!BS92+'Aug-Apr, 2023'!BT92</f>
        <v>53</v>
      </c>
      <c r="H2290">
        <f>'Aug-Apr, 2023'!BU92</f>
        <v>0</v>
      </c>
      <c r="I2290">
        <f>'Aug-Apr, 2023'!BV92</f>
        <v>18</v>
      </c>
      <c r="J2290">
        <f>G2290*Parameters!$B$2*Parameters!$B$5</f>
        <v>112.84229999999998</v>
      </c>
      <c r="K2290">
        <f>H2290*Parameters!$B$3*Parameters!$B$6</f>
        <v>0</v>
      </c>
      <c r="L2290">
        <f>I2290*Parameters!$B$4*Parameters!$B$7</f>
        <v>145.73520000000002</v>
      </c>
      <c r="M2290">
        <f t="shared" si="35"/>
        <v>258.57749999999999</v>
      </c>
      <c r="N2290" s="142">
        <f>'Aug-Apr, 2023'!BW92</f>
        <v>5300</v>
      </c>
      <c r="O2290" s="142">
        <f>'Aug-Apr, 2023'!BX92</f>
        <v>0</v>
      </c>
      <c r="P2290" s="142">
        <f>'Aug-Apr, 2023'!BY92</f>
        <v>0</v>
      </c>
      <c r="Q2290" s="142">
        <f>'Aug-Apr, 2023'!BZ92</f>
        <v>5400</v>
      </c>
    </row>
    <row r="2291" spans="1:17">
      <c r="A2291" t="s">
        <v>116</v>
      </c>
      <c r="B2291" t="s">
        <v>21</v>
      </c>
      <c r="C2291">
        <v>4</v>
      </c>
      <c r="D2291">
        <v>2023</v>
      </c>
      <c r="E2291" s="49" t="s">
        <v>155</v>
      </c>
      <c r="F2291" s="49" t="s">
        <v>163</v>
      </c>
      <c r="G2291">
        <f>'Aug-Apr, 2023'!BS93+'Aug-Apr, 2023'!BT93</f>
        <v>38</v>
      </c>
      <c r="H2291">
        <f>'Aug-Apr, 2023'!BU93</f>
        <v>0</v>
      </c>
      <c r="I2291">
        <f>'Aug-Apr, 2023'!BV93</f>
        <v>12</v>
      </c>
      <c r="J2291">
        <f>G2291*Parameters!$B$2*Parameters!$B$5</f>
        <v>80.905799999999985</v>
      </c>
      <c r="K2291">
        <f>H2291*Parameters!$B$3*Parameters!$B$6</f>
        <v>0</v>
      </c>
      <c r="L2291">
        <f>I2291*Parameters!$B$4*Parameters!$B$7</f>
        <v>97.156800000000018</v>
      </c>
      <c r="M2291">
        <f t="shared" si="35"/>
        <v>178.0626</v>
      </c>
      <c r="N2291" s="142">
        <f>'Aug-Apr, 2023'!BW93</f>
        <v>3800</v>
      </c>
      <c r="O2291" s="142">
        <f>'Aug-Apr, 2023'!BX93</f>
        <v>0</v>
      </c>
      <c r="P2291" s="142">
        <f>'Aug-Apr, 2023'!BY93</f>
        <v>0</v>
      </c>
      <c r="Q2291" s="142">
        <f>'Aug-Apr, 2023'!BZ93</f>
        <v>3600</v>
      </c>
    </row>
    <row r="2292" spans="1:17">
      <c r="A2292" t="s">
        <v>117</v>
      </c>
      <c r="B2292" t="s">
        <v>17</v>
      </c>
      <c r="C2292">
        <v>9</v>
      </c>
      <c r="D2292">
        <v>2023</v>
      </c>
      <c r="E2292" s="49" t="s">
        <v>155</v>
      </c>
      <c r="F2292" s="49" t="s">
        <v>163</v>
      </c>
      <c r="G2292">
        <f>'Aug-Apr, 2023'!BS94+'Aug-Apr, 2023'!BT94</f>
        <v>58</v>
      </c>
      <c r="H2292">
        <f>'Aug-Apr, 2023'!BU94</f>
        <v>0</v>
      </c>
      <c r="I2292">
        <f>'Aug-Apr, 2023'!BV94</f>
        <v>6</v>
      </c>
      <c r="J2292">
        <f>G2292*Parameters!$B$2*Parameters!$B$5</f>
        <v>123.48779999999998</v>
      </c>
      <c r="K2292">
        <f>H2292*Parameters!$B$3*Parameters!$B$6</f>
        <v>0</v>
      </c>
      <c r="L2292">
        <f>I2292*Parameters!$B$4*Parameters!$B$7</f>
        <v>48.578400000000009</v>
      </c>
      <c r="M2292">
        <f t="shared" si="35"/>
        <v>172.06619999999998</v>
      </c>
      <c r="N2292" s="142">
        <f>'Aug-Apr, 2023'!BW94</f>
        <v>5800</v>
      </c>
      <c r="O2292" s="142">
        <f>'Aug-Apr, 2023'!BX94</f>
        <v>0</v>
      </c>
      <c r="P2292" s="142">
        <f>'Aug-Apr, 2023'!BY94</f>
        <v>0</v>
      </c>
      <c r="Q2292" s="142">
        <f>'Aug-Apr, 2023'!BZ94</f>
        <v>1800</v>
      </c>
    </row>
    <row r="2293" spans="1:17">
      <c r="A2293" t="s">
        <v>118</v>
      </c>
      <c r="B2293" t="s">
        <v>19</v>
      </c>
      <c r="C2293">
        <v>4</v>
      </c>
      <c r="D2293">
        <v>2023</v>
      </c>
      <c r="E2293" s="49" t="s">
        <v>155</v>
      </c>
      <c r="F2293" s="49" t="s">
        <v>163</v>
      </c>
      <c r="G2293">
        <f>'Aug-Apr, 2023'!BS95+'Aug-Apr, 2023'!BT95</f>
        <v>60</v>
      </c>
      <c r="H2293">
        <f>'Aug-Apr, 2023'!BU95</f>
        <v>0</v>
      </c>
      <c r="I2293">
        <f>'Aug-Apr, 2023'!BV95</f>
        <v>12</v>
      </c>
      <c r="J2293">
        <f>G2293*Parameters!$B$2*Parameters!$B$5</f>
        <v>127.74599999999998</v>
      </c>
      <c r="K2293">
        <f>H2293*Parameters!$B$3*Parameters!$B$6</f>
        <v>0</v>
      </c>
      <c r="L2293">
        <f>I2293*Parameters!$B$4*Parameters!$B$7</f>
        <v>97.156800000000018</v>
      </c>
      <c r="M2293">
        <f t="shared" si="35"/>
        <v>224.90280000000001</v>
      </c>
      <c r="N2293" s="142">
        <f>'Aug-Apr, 2023'!BW95</f>
        <v>6000</v>
      </c>
      <c r="O2293" s="142">
        <f>'Aug-Apr, 2023'!BX95</f>
        <v>0</v>
      </c>
      <c r="P2293" s="142">
        <f>'Aug-Apr, 2023'!BY95</f>
        <v>0</v>
      </c>
      <c r="Q2293" s="142">
        <f>'Aug-Apr, 2023'!BZ95</f>
        <v>3600</v>
      </c>
    </row>
    <row r="2294" spans="1:17">
      <c r="A2294" t="s">
        <v>119</v>
      </c>
      <c r="B2294" t="s">
        <v>40</v>
      </c>
      <c r="C2294">
        <v>6</v>
      </c>
      <c r="D2294">
        <v>2023</v>
      </c>
      <c r="E2294" s="49" t="s">
        <v>155</v>
      </c>
      <c r="F2294" s="49" t="s">
        <v>163</v>
      </c>
      <c r="G2294">
        <f>'Aug-Apr, 2023'!BS96+'Aug-Apr, 2023'!BT96</f>
        <v>52</v>
      </c>
      <c r="H2294">
        <f>'Aug-Apr, 2023'!BU96</f>
        <v>0</v>
      </c>
      <c r="I2294">
        <f>'Aug-Apr, 2023'!BV96</f>
        <v>20</v>
      </c>
      <c r="J2294">
        <f>G2294*Parameters!$B$2*Parameters!$B$5</f>
        <v>110.71319999999999</v>
      </c>
      <c r="K2294">
        <f>H2294*Parameters!$B$3*Parameters!$B$6</f>
        <v>0</v>
      </c>
      <c r="L2294">
        <f>I2294*Parameters!$B$4*Parameters!$B$7</f>
        <v>161.928</v>
      </c>
      <c r="M2294">
        <f t="shared" si="35"/>
        <v>272.64119999999997</v>
      </c>
      <c r="N2294" s="142">
        <f>'Aug-Apr, 2023'!BW96</f>
        <v>0</v>
      </c>
      <c r="O2294" s="142">
        <f>'Aug-Apr, 2023'!BX96</f>
        <v>5200</v>
      </c>
      <c r="P2294" s="142">
        <f>'Aug-Apr, 2023'!BY96</f>
        <v>0</v>
      </c>
      <c r="Q2294" s="142">
        <f>'Aug-Apr, 2023'!BZ96</f>
        <v>6000</v>
      </c>
    </row>
    <row r="2295" spans="1:17">
      <c r="A2295" t="s">
        <v>120</v>
      </c>
      <c r="B2295" t="s">
        <v>32</v>
      </c>
      <c r="C2295">
        <v>8</v>
      </c>
      <c r="D2295">
        <v>2023</v>
      </c>
      <c r="E2295" s="49" t="s">
        <v>155</v>
      </c>
      <c r="F2295" s="49" t="s">
        <v>163</v>
      </c>
      <c r="G2295">
        <f>'Aug-Apr, 2023'!BS97+'Aug-Apr, 2023'!BT97</f>
        <v>58</v>
      </c>
      <c r="H2295">
        <f>'Aug-Apr, 2023'!BU97</f>
        <v>0</v>
      </c>
      <c r="I2295">
        <f>'Aug-Apr, 2023'!BV97</f>
        <v>2</v>
      </c>
      <c r="J2295">
        <f>G2295*Parameters!$B$2*Parameters!$B$5</f>
        <v>123.48779999999998</v>
      </c>
      <c r="K2295">
        <f>H2295*Parameters!$B$3*Parameters!$B$6</f>
        <v>0</v>
      </c>
      <c r="L2295">
        <f>I2295*Parameters!$B$4*Parameters!$B$7</f>
        <v>16.192800000000002</v>
      </c>
      <c r="M2295">
        <f t="shared" si="35"/>
        <v>139.68059999999997</v>
      </c>
      <c r="N2295" s="142">
        <f>'Aug-Apr, 2023'!BW97</f>
        <v>5800</v>
      </c>
      <c r="O2295" s="142">
        <f>'Aug-Apr, 2023'!BX97</f>
        <v>0</v>
      </c>
      <c r="P2295" s="142">
        <f>'Aug-Apr, 2023'!BY97</f>
        <v>0</v>
      </c>
      <c r="Q2295" s="142">
        <f>'Aug-Apr, 2023'!BZ97</f>
        <v>600</v>
      </c>
    </row>
    <row r="2296" spans="1:17">
      <c r="A2296" t="s">
        <v>121</v>
      </c>
      <c r="B2296" t="s">
        <v>24</v>
      </c>
      <c r="C2296">
        <v>5</v>
      </c>
      <c r="D2296">
        <v>2023</v>
      </c>
      <c r="E2296" s="49" t="s">
        <v>155</v>
      </c>
      <c r="F2296" s="49" t="s">
        <v>163</v>
      </c>
      <c r="G2296">
        <f>'Aug-Apr, 2023'!BS98+'Aug-Apr, 2023'!BT98</f>
        <v>56</v>
      </c>
      <c r="H2296">
        <f>'Aug-Apr, 2023'!BU98</f>
        <v>0</v>
      </c>
      <c r="I2296">
        <f>'Aug-Apr, 2023'!BV98</f>
        <v>8</v>
      </c>
      <c r="J2296">
        <f>G2296*Parameters!$B$2*Parameters!$B$5</f>
        <v>119.22959999999999</v>
      </c>
      <c r="K2296">
        <f>H2296*Parameters!$B$3*Parameters!$B$6</f>
        <v>0</v>
      </c>
      <c r="L2296">
        <f>I2296*Parameters!$B$4*Parameters!$B$7</f>
        <v>64.771200000000007</v>
      </c>
      <c r="M2296">
        <f t="shared" si="35"/>
        <v>184.0008</v>
      </c>
      <c r="N2296" s="142">
        <f>'Aug-Apr, 2023'!BW98</f>
        <v>5600</v>
      </c>
      <c r="O2296" s="142">
        <f>'Aug-Apr, 2023'!BX98</f>
        <v>0</v>
      </c>
      <c r="P2296" s="142">
        <f>'Aug-Apr, 2023'!BY98</f>
        <v>0</v>
      </c>
      <c r="Q2296" s="142">
        <f>'Aug-Apr, 2023'!BZ98</f>
        <v>2400</v>
      </c>
    </row>
    <row r="2297" spans="1:17">
      <c r="A2297" t="s">
        <v>122</v>
      </c>
      <c r="B2297" t="s">
        <v>26</v>
      </c>
      <c r="C2297">
        <v>6</v>
      </c>
      <c r="D2297">
        <v>2023</v>
      </c>
      <c r="E2297" s="49" t="s">
        <v>155</v>
      </c>
      <c r="F2297" s="49" t="s">
        <v>163</v>
      </c>
      <c r="G2297">
        <f>'Aug-Apr, 2023'!BS99+'Aug-Apr, 2023'!BT99</f>
        <v>45</v>
      </c>
      <c r="H2297">
        <f>'Aug-Apr, 2023'!BU99</f>
        <v>0</v>
      </c>
      <c r="I2297">
        <f>'Aug-Apr, 2023'!BV99</f>
        <v>14</v>
      </c>
      <c r="J2297">
        <f>G2297*Parameters!$B$2*Parameters!$B$5</f>
        <v>95.809499999999986</v>
      </c>
      <c r="K2297">
        <f>H2297*Parameters!$B$3*Parameters!$B$6</f>
        <v>0</v>
      </c>
      <c r="L2297">
        <f>I2297*Parameters!$B$4*Parameters!$B$7</f>
        <v>113.34960000000001</v>
      </c>
      <c r="M2297">
        <f t="shared" si="35"/>
        <v>209.1591</v>
      </c>
      <c r="N2297" s="142">
        <f>'Aug-Apr, 2023'!BW99</f>
        <v>4500</v>
      </c>
      <c r="O2297" s="142">
        <f>'Aug-Apr, 2023'!BX99</f>
        <v>0</v>
      </c>
      <c r="P2297" s="142">
        <f>'Aug-Apr, 2023'!BY99</f>
        <v>0</v>
      </c>
      <c r="Q2297" s="142">
        <f>'Aug-Apr, 2023'!BZ99</f>
        <v>4200</v>
      </c>
    </row>
    <row r="2298" spans="1:17">
      <c r="A2298" t="s">
        <v>123</v>
      </c>
      <c r="B2298" t="s">
        <v>19</v>
      </c>
      <c r="C2298">
        <v>8</v>
      </c>
      <c r="D2298">
        <v>2023</v>
      </c>
      <c r="E2298" s="49" t="s">
        <v>155</v>
      </c>
      <c r="F2298" s="49" t="s">
        <v>163</v>
      </c>
      <c r="G2298">
        <f>'Aug-Apr, 2023'!BS100+'Aug-Apr, 2023'!BT100</f>
        <v>40</v>
      </c>
      <c r="H2298">
        <f>'Aug-Apr, 2023'!BU100</f>
        <v>0</v>
      </c>
      <c r="I2298">
        <f>'Aug-Apr, 2023'!BV100</f>
        <v>10</v>
      </c>
      <c r="J2298">
        <f>G2298*Parameters!$B$2*Parameters!$B$5</f>
        <v>85.163999999999987</v>
      </c>
      <c r="K2298">
        <f>H2298*Parameters!$B$3*Parameters!$B$6</f>
        <v>0</v>
      </c>
      <c r="L2298">
        <f>I2298*Parameters!$B$4*Parameters!$B$7</f>
        <v>80.963999999999999</v>
      </c>
      <c r="M2298">
        <f t="shared" si="35"/>
        <v>166.12799999999999</v>
      </c>
      <c r="N2298" s="142">
        <f>'Aug-Apr, 2023'!BW100</f>
        <v>4000</v>
      </c>
      <c r="O2298" s="142">
        <f>'Aug-Apr, 2023'!BX100</f>
        <v>0</v>
      </c>
      <c r="P2298" s="142">
        <f>'Aug-Apr, 2023'!BY100</f>
        <v>0</v>
      </c>
      <c r="Q2298" s="142">
        <f>'Aug-Apr, 2023'!BZ100</f>
        <v>3000</v>
      </c>
    </row>
    <row r="2299" spans="1:17">
      <c r="A2299" t="s">
        <v>124</v>
      </c>
      <c r="B2299" t="s">
        <v>56</v>
      </c>
      <c r="C2299">
        <v>9</v>
      </c>
      <c r="D2299">
        <v>2023</v>
      </c>
      <c r="E2299" s="49" t="s">
        <v>155</v>
      </c>
      <c r="F2299" s="49" t="s">
        <v>163</v>
      </c>
      <c r="G2299">
        <f>'Aug-Apr, 2023'!BS101+'Aug-Apr, 2023'!BT101</f>
        <v>38</v>
      </c>
      <c r="H2299">
        <f>'Aug-Apr, 2023'!BU101</f>
        <v>0</v>
      </c>
      <c r="I2299">
        <f>'Aug-Apr, 2023'!BV101</f>
        <v>12</v>
      </c>
      <c r="J2299">
        <f>G2299*Parameters!$B$2*Parameters!$B$5</f>
        <v>80.905799999999985</v>
      </c>
      <c r="K2299">
        <f>H2299*Parameters!$B$3*Parameters!$B$6</f>
        <v>0</v>
      </c>
      <c r="L2299">
        <f>I2299*Parameters!$B$4*Parameters!$B$7</f>
        <v>97.156800000000018</v>
      </c>
      <c r="M2299">
        <f t="shared" si="35"/>
        <v>178.0626</v>
      </c>
      <c r="N2299" s="142">
        <f>'Aug-Apr, 2023'!BW101</f>
        <v>3800</v>
      </c>
      <c r="O2299" s="142">
        <f>'Aug-Apr, 2023'!BX101</f>
        <v>0</v>
      </c>
      <c r="P2299" s="142">
        <f>'Aug-Apr, 2023'!BY101</f>
        <v>0</v>
      </c>
      <c r="Q2299" s="142">
        <f>'Aug-Apr, 2023'!BZ101</f>
        <v>3600</v>
      </c>
    </row>
    <row r="2300" spans="1:17">
      <c r="A2300" t="s">
        <v>125</v>
      </c>
      <c r="B2300" t="s">
        <v>65</v>
      </c>
      <c r="C2300">
        <v>7</v>
      </c>
      <c r="D2300">
        <v>2023</v>
      </c>
      <c r="E2300" s="49" t="s">
        <v>155</v>
      </c>
      <c r="F2300" s="49" t="s">
        <v>163</v>
      </c>
      <c r="G2300">
        <f>'Aug-Apr, 2023'!BS102+'Aug-Apr, 2023'!BT102</f>
        <v>46</v>
      </c>
      <c r="H2300">
        <f>'Aug-Apr, 2023'!BU102</f>
        <v>0</v>
      </c>
      <c r="I2300">
        <f>'Aug-Apr, 2023'!BV102</f>
        <v>12</v>
      </c>
      <c r="J2300">
        <f>G2300*Parameters!$B$2*Parameters!$B$5</f>
        <v>97.938599999999994</v>
      </c>
      <c r="K2300">
        <f>H2300*Parameters!$B$3*Parameters!$B$6</f>
        <v>0</v>
      </c>
      <c r="L2300">
        <f>I2300*Parameters!$B$4*Parameters!$B$7</f>
        <v>97.156800000000018</v>
      </c>
      <c r="M2300">
        <f t="shared" si="35"/>
        <v>195.09540000000001</v>
      </c>
      <c r="N2300" s="142">
        <f>'Aug-Apr, 2023'!BW102</f>
        <v>4600</v>
      </c>
      <c r="O2300" s="142">
        <f>'Aug-Apr, 2023'!BX102</f>
        <v>0</v>
      </c>
      <c r="P2300" s="142">
        <f>'Aug-Apr, 2023'!BY102</f>
        <v>0</v>
      </c>
      <c r="Q2300" s="142">
        <f>'Aug-Apr, 2023'!BZ102</f>
        <v>3600</v>
      </c>
    </row>
    <row r="2301" spans="1:17">
      <c r="A2301" t="s">
        <v>126</v>
      </c>
      <c r="B2301" t="s">
        <v>65</v>
      </c>
      <c r="C2301">
        <v>6</v>
      </c>
      <c r="D2301">
        <v>2023</v>
      </c>
      <c r="E2301" s="49" t="s">
        <v>155</v>
      </c>
      <c r="F2301" s="49" t="s">
        <v>163</v>
      </c>
      <c r="G2301">
        <f>'Aug-Apr, 2023'!BS103+'Aug-Apr, 2023'!BT103</f>
        <v>55</v>
      </c>
      <c r="H2301">
        <f>'Aug-Apr, 2023'!BU103</f>
        <v>0</v>
      </c>
      <c r="I2301">
        <f>'Aug-Apr, 2023'!BV103</f>
        <v>3</v>
      </c>
      <c r="J2301">
        <f>G2301*Parameters!$B$2*Parameters!$B$5</f>
        <v>117.10049999999998</v>
      </c>
      <c r="K2301">
        <f>H2301*Parameters!$B$3*Parameters!$B$6</f>
        <v>0</v>
      </c>
      <c r="L2301">
        <f>I2301*Parameters!$B$4*Parameters!$B$7</f>
        <v>24.289200000000005</v>
      </c>
      <c r="M2301">
        <f t="shared" si="35"/>
        <v>141.38969999999998</v>
      </c>
      <c r="N2301" s="142">
        <f>'Aug-Apr, 2023'!BW103</f>
        <v>5500</v>
      </c>
      <c r="O2301" s="142">
        <f>'Aug-Apr, 2023'!BX103</f>
        <v>0</v>
      </c>
      <c r="P2301" s="142">
        <f>'Aug-Apr, 2023'!BY103</f>
        <v>0</v>
      </c>
      <c r="Q2301" s="142">
        <f>'Aug-Apr, 2023'!BZ103</f>
        <v>900</v>
      </c>
    </row>
  </sheetData>
  <phoneticPr fontId="15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ABA136-F99D-0C40-BC51-48B76BCB95CA}">
  <dimension ref="A1:C7"/>
  <sheetViews>
    <sheetView zoomScale="150" zoomScaleNormal="150" workbookViewId="0">
      <selection activeCell="E16" sqref="E16"/>
    </sheetView>
  </sheetViews>
  <sheetFormatPr baseColWidth="10" defaultRowHeight="13"/>
  <cols>
    <col min="1" max="1" width="32.6640625" customWidth="1"/>
    <col min="2" max="2" width="21.6640625" customWidth="1"/>
  </cols>
  <sheetData>
    <row r="1" spans="1:3">
      <c r="A1" s="49" t="s">
        <v>258</v>
      </c>
    </row>
    <row r="2" spans="1:3">
      <c r="A2" t="s">
        <v>167</v>
      </c>
      <c r="B2">
        <v>15.1</v>
      </c>
      <c r="C2" s="50" t="s">
        <v>169</v>
      </c>
    </row>
    <row r="3" spans="1:3">
      <c r="A3" t="s">
        <v>168</v>
      </c>
      <c r="B3">
        <v>25.7</v>
      </c>
      <c r="C3" s="51" t="s">
        <v>169</v>
      </c>
    </row>
    <row r="4" spans="1:3">
      <c r="A4" s="49" t="s">
        <v>173</v>
      </c>
      <c r="B4">
        <v>17.3</v>
      </c>
      <c r="C4" s="49" t="s">
        <v>174</v>
      </c>
    </row>
    <row r="5" spans="1:3">
      <c r="A5" s="49" t="s">
        <v>175</v>
      </c>
      <c r="B5">
        <v>0.14099999999999999</v>
      </c>
    </row>
    <row r="6" spans="1:3">
      <c r="A6" s="49" t="s">
        <v>176</v>
      </c>
      <c r="B6">
        <v>0.24399999999999999</v>
      </c>
    </row>
    <row r="7" spans="1:3">
      <c r="A7" s="49" t="s">
        <v>177</v>
      </c>
      <c r="B7">
        <v>0.46800000000000003</v>
      </c>
    </row>
  </sheetData>
  <hyperlinks>
    <hyperlink ref="C2" r:id="rId1" xr:uid="{BB51B5F2-C9BE-0E47-A095-7295654B14D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Aug-Apr, 2023</vt:lpstr>
      <vt:lpstr>Baseline (June to Sep)</vt:lpstr>
      <vt:lpstr>October to Jan, 2021 2022</vt:lpstr>
      <vt:lpstr>Feb to July, 2022</vt:lpstr>
      <vt:lpstr>Tidy Format</vt:lpstr>
      <vt:lpstr>Parameters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Jayne</dc:creator>
  <cp:lastModifiedBy>Yingfei Jiang</cp:lastModifiedBy>
  <dcterms:created xsi:type="dcterms:W3CDTF">2022-05-04T17:46:00Z</dcterms:created>
  <dcterms:modified xsi:type="dcterms:W3CDTF">2023-06-16T16:27:00Z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1033-3.2.0.6370</vt:lpwstr>
  </property>
</Properties>
</file>